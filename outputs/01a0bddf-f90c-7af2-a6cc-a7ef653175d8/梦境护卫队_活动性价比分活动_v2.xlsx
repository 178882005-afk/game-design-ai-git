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3d82cdd5b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活动索引" sheetId="1" r:id="R96c9c4bfaa5447c7"/>
    <x:sheet xmlns:r="http://schemas.openxmlformats.org/officeDocument/2006/relationships" name="日周月礼包" sheetId="2" r:id="R06d4a4c794984897"/>
    <x:sheet xmlns:r="http://schemas.openxmlformats.org/officeDocument/2006/relationships" name="每日特惠充值" sheetId="3" r:id="Rf8914a57037a44be"/>
    <x:sheet xmlns:r="http://schemas.openxmlformats.org/officeDocument/2006/relationships" name="招募冲刺" sheetId="4" r:id="Rbc9e8e1e04ab4dcc"/>
    <x:sheet xmlns:r="http://schemas.openxmlformats.org/officeDocument/2006/relationships" name="符文冲刺" sheetId="5" r:id="R1f72bdb59f7b43ab"/>
    <x:sheet xmlns:r="http://schemas.openxmlformats.org/officeDocument/2006/relationships" name="秘宝冲刺" sheetId="6" r:id="R6c36a6f9189f4ade"/>
    <x:sheet xmlns:r="http://schemas.openxmlformats.org/officeDocument/2006/relationships" name="招募狂欢" sheetId="7" r:id="R394222eea9134664"/>
    <x:sheet xmlns:r="http://schemas.openxmlformats.org/officeDocument/2006/relationships" name="橙卡试炼" sheetId="8" r:id="R469400e24f484389"/>
    <x:sheet xmlns:r="http://schemas.openxmlformats.org/officeDocument/2006/relationships" name="红卡试炼" sheetId="9" r:id="R2a0a3ae13be243cf"/>
    <x:sheet xmlns:r="http://schemas.openxmlformats.org/officeDocument/2006/relationships" name="月光炼梦" sheetId="10" r:id="Rf4202fedd06c41ab"/>
    <x:sheet xmlns:r="http://schemas.openxmlformats.org/officeDocument/2006/relationships" name="星轨探测" sheetId="11" r:id="R54efc02fd0ad413f"/>
    <x:sheet xmlns:r="http://schemas.openxmlformats.org/officeDocument/2006/relationships" name="首月活动" sheetId="12" r:id="R8ffe07285d81438a"/>
    <x:sheet xmlns:r="http://schemas.openxmlformats.org/officeDocument/2006/relationships" name="悬赏活动" sheetId="13" r:id="Rfcc09776225f4776"/>
    <x:sheet xmlns:r="http://schemas.openxmlformats.org/officeDocument/2006/relationships" name="章节礼包" sheetId="14" r:id="R261bf3c14f154c04"/>
    <x:sheet xmlns:r="http://schemas.openxmlformats.org/officeDocument/2006/relationships" name="心梦商店" sheetId="15" r:id="R92f92f6a5d054c3c"/>
    <x:sheet xmlns:r="http://schemas.openxmlformats.org/officeDocument/2006/relationships" name="首充三卡" sheetId="16" r:id="R77bc69db12504feb"/>
    <x:sheet xmlns:r="http://schemas.openxmlformats.org/officeDocument/2006/relationships" name="双月卡周卡" sheetId="17" r:id="Ra54b766c742f42b3"/>
    <x:sheet xmlns:r="http://schemas.openxmlformats.org/officeDocument/2006/relationships" name="体力战令" sheetId="18" r:id="R735d8531a83f476a"/>
    <x:sheet xmlns:r="http://schemas.openxmlformats.org/officeDocument/2006/relationships" name="钻石基金" sheetId="19" r:id="R368bc541eab64a46"/>
    <x:sheet xmlns:r="http://schemas.openxmlformats.org/officeDocument/2006/relationships" name="载具战令" sheetId="20" r:id="R00755cc8464f4c1f"/>
    <x:sheet xmlns:r="http://schemas.openxmlformats.org/officeDocument/2006/relationships" name="星光寻梦" sheetId="21" r:id="Rcaf314c9990a4243"/>
    <x:sheet xmlns:r="http://schemas.openxmlformats.org/officeDocument/2006/relationships" name="七日挑战宝箱" sheetId="22" r:id="Rf73c1186e07c4414"/>
    <x:sheet xmlns:r="http://schemas.openxmlformats.org/officeDocument/2006/relationships" name="后续活动池" sheetId="23" r:id="Rfa0b0eb05d8745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0"/>
  </x:numFmts>
  <x:fonts count="14">
    <x:font>
      <x:sz val="11"/>
      <x:name val="Carlito"/>
    </x:font>
    <x:font>
      <x:sz val="11"/>
      <x:color rgb="FFFFFFFF"/>
      <x:name val="Carlito"/>
    </x:font>
    <x:font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  <x:font>
      <x:sz val="18"/>
      <x:color rgb="FFFFFFFF"/>
      <x:name val="Microsoft YaHei"/>
    </x:font>
    <x:font>
      <x:sz val="10"/>
      <x:color rgb="FFFFFFFF"/>
      <x:name val="Microsoft YaHei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1"/>
      <x:name val="Microsoft YaHei"/>
    </x:font>
    <x:font>
      <x:sz val="11"/>
      <x:color rgb="FFFFFFFF"/>
      <x:name val="Microsoft YaHei"/>
    </x:font>
    <x:font>
      <x:b/>
      <x:sz val="10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23B50"/>
      </x:patternFill>
    </x:fill>
    <x:fill>
      <x:patternFill patternType="solid">
        <x:fgColor rgb="FFE7F2F4"/>
      </x:patternFill>
    </x:fill>
    <x:fill>
      <x:patternFill patternType="solid">
        <x:fgColor rgb="FF087E8B"/>
      </x:patternFill>
    </x:fill>
    <x:fill>
      <x:patternFill patternType="solid">
        <x:fgColor rgb="FFF0F5F7"/>
      </x:patternFill>
    </x:fill>
    <x:fill>
      <x:patternFill patternType="solid">
        <x:fgColor rgb="FFDDECEF"/>
      </x:patternFill>
    </x:fill>
    <x:fill>
      <x:patternFill patternType="solid">
        <x:fgColor rgb="FFF7FBFC"/>
      </x:patternFill>
    </x:fill>
    <x:fill>
      <x:patternFill patternType="solid">
        <x:fgColor rgb="FFFFF4CC"/>
      </x:patternFill>
    </x:fill>
    <x:fill>
      <x:patternFill patternType="solid">
        <x:fgColor rgb="FF34495E"/>
      </x:patternFill>
    </x:fill>
    <x:fill>
      <x:patternFill patternType="solid">
        <x:fgColor rgb="FFC77D16"/>
      </x:patternFill>
    </x:fill>
  </x:fills>
  <x:borders count="3">
    <x:border/>
    <x:border>
      <x:left style="thin">
        <x:color rgb="FFD9E2E5"/>
      </x:left>
      <x:right style="thin">
        <x:color rgb="FFD9E2E5"/>
      </x:right>
      <x:top style="thin">
        <x:color rgb="FFD9E2E5"/>
      </x:top>
      <x:bottom style="thin">
        <x:color rgb="FFD9E2E5"/>
      </x:bottom>
    </x:border>
    <x:border>
      <x:left style="thin">
        <x:color rgb="FFC9D8DC"/>
      </x:left>
      <x:right style="thin">
        <x:color rgb="FFC9D8DC"/>
      </x:right>
      <x:top style="thin">
        <x:color rgb="FFC9D8DC"/>
      </x:top>
      <x:bottom style="thin">
        <x:color rgb="FFC9D8DC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4" fillId="6" borderId="2" xfId="0" applyNumberFormat="1" applyFont="1" applyFill="1" applyBorder="1"/>
    <x:xf numFmtId="0" fontId="0" fillId="7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200" fontId="0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8" fillId="2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5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11" fillId="6" borderId="2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/>
    <x:xf numFmtId="0" fontId="5" fillId="4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0" fontId="6" fillId="8" borderId="1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/>
    <x:xf numFmtId="0" fontId="12" fillId="10" borderId="0" xfId="0" applyNumberFormat="1" applyFont="1" applyFill="1" applyBorder="1"/>
    <x:xf numFmtId="0" fontId="13" fillId="6" borderId="2" xfId="0" applyNumberFormat="1" applyFont="1" applyFill="1" applyBorder="1"/>
    <x:xf numFmtId="0" fontId="9" fillId="7" borderId="2" xfId="0" applyNumberFormat="1" applyFont="1" applyFill="1" applyBorder="1" applyAlignment="1">
      <x:alignment wrapText="1"/>
    </x:xf>
    <x:xf numFmtId="0" fontId="9" fillId="0" borderId="2" xfId="0" applyNumberFormat="1" applyFont="1" applyFill="1" applyBorder="1"/>
    <x:xf numFmtId="0" fontId="10" fillId="4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200" fontId="9" fillId="0" borderId="1" xfId="0" applyNumberFormat="1" applyFont="1" applyFill="1" applyBorder="1" applyAlignment="1">
      <x:alignment vertical="center" wrapText="1"/>
    </x:xf>
    <x:xf numFmtId="200" fontId="9" fillId="8" borderId="1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/>
    <x:xf numFmtId="0" fontId="8" fillId="10" borderId="0" xfId="0" applyNumberFormat="1" applyFont="1" applyFill="1" applyBorder="1"/>
    <x:xf numFmtId="200" fontId="6" fillId="5" borderId="1" xfId="0" applyNumberFormat="1" applyFont="1" applyFill="1" applyBorder="1" applyAlignment="1">
      <x:alignment vertical="center" wrapText="1"/>
    </x:xf>
    <x:xf numFmtId="200" fontId="9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509ef6d354a4e" /><Relationship Type="http://schemas.openxmlformats.org/officeDocument/2006/relationships/theme" Target="/xl/theme/theme1.xml" Id="R304ac218298b4433" /><Relationship Type="http://schemas.openxmlformats.org/officeDocument/2006/relationships/sharedStrings" Target="/xl/sharedStrings.xml" Id="Rb54333136b614cb7" /><Relationship Type="http://schemas.openxmlformats.org/officeDocument/2006/relationships/worksheet" Target="/xl/worksheets/sheet1.xml" Id="R96c9c4bfaa5447c7" /><Relationship Type="http://schemas.openxmlformats.org/officeDocument/2006/relationships/worksheet" Target="/xl/worksheets/sheet2.xml" Id="R06d4a4c794984897" /><Relationship Type="http://schemas.openxmlformats.org/officeDocument/2006/relationships/worksheet" Target="/xl/worksheets/sheet3.xml" Id="Rf8914a57037a44be" /><Relationship Type="http://schemas.openxmlformats.org/officeDocument/2006/relationships/worksheet" Target="/xl/worksheets/sheet4.xml" Id="Rbc9e8e1e04ab4dcc" /><Relationship Type="http://schemas.openxmlformats.org/officeDocument/2006/relationships/worksheet" Target="/xl/worksheets/sheet5.xml" Id="R1f72bdb59f7b43ab" /><Relationship Type="http://schemas.openxmlformats.org/officeDocument/2006/relationships/worksheet" Target="/xl/worksheets/sheet6.xml" Id="R6c36a6f9189f4ade" /><Relationship Type="http://schemas.openxmlformats.org/officeDocument/2006/relationships/worksheet" Target="/xl/worksheets/sheet7.xml" Id="R394222eea9134664" /><Relationship Type="http://schemas.openxmlformats.org/officeDocument/2006/relationships/worksheet" Target="/xl/worksheets/sheet8.xml" Id="R469400e24f484389" /><Relationship Type="http://schemas.openxmlformats.org/officeDocument/2006/relationships/worksheet" Target="/xl/worksheets/sheet9.xml" Id="R2a0a3ae13be243cf" /><Relationship Type="http://schemas.openxmlformats.org/officeDocument/2006/relationships/worksheet" Target="/xl/worksheets/sheet10.xml" Id="Rf4202fedd06c41ab" /><Relationship Type="http://schemas.openxmlformats.org/officeDocument/2006/relationships/worksheet" Target="/xl/worksheets/sheet11.xml" Id="R54efc02fd0ad413f" /><Relationship Type="http://schemas.openxmlformats.org/officeDocument/2006/relationships/worksheet" Target="/xl/worksheets/sheet12.xml" Id="R8ffe07285d81438a" /><Relationship Type="http://schemas.openxmlformats.org/officeDocument/2006/relationships/worksheet" Target="/xl/worksheets/sheet13.xml" Id="Rfcc09776225f4776" /><Relationship Type="http://schemas.openxmlformats.org/officeDocument/2006/relationships/worksheet" Target="/xl/worksheets/sheet14.xml" Id="R261bf3c14f154c04" /><Relationship Type="http://schemas.openxmlformats.org/officeDocument/2006/relationships/worksheet" Target="/xl/worksheets/sheet15.xml" Id="R92f92f6a5d054c3c" /><Relationship Type="http://schemas.openxmlformats.org/officeDocument/2006/relationships/worksheet" Target="/xl/worksheets/sheet16.xml" Id="R77bc69db12504feb" /><Relationship Type="http://schemas.openxmlformats.org/officeDocument/2006/relationships/worksheet" Target="/xl/worksheets/sheet17.xml" Id="Ra54b766c742f42b3" /><Relationship Type="http://schemas.openxmlformats.org/officeDocument/2006/relationships/worksheet" Target="/xl/worksheets/sheet18.xml" Id="R735d8531a83f476a" /><Relationship Type="http://schemas.openxmlformats.org/officeDocument/2006/relationships/worksheet" Target="/xl/worksheets/sheet19.xml" Id="R368bc541eab64a46" /><Relationship Type="http://schemas.openxmlformats.org/officeDocument/2006/relationships/worksheet" Target="/xl/worksheets/sheet20.xml" Id="R00755cc8464f4c1f" /><Relationship Type="http://schemas.openxmlformats.org/officeDocument/2006/relationships/worksheet" Target="/xl/worksheets/sheet21.xml" Id="Rcaf314c9990a4243" /><Relationship Type="http://schemas.openxmlformats.org/officeDocument/2006/relationships/worksheet" Target="/xl/worksheets/sheet22.xml" Id="Rf73c1186e07c4414" /><Relationship Type="http://schemas.openxmlformats.org/officeDocument/2006/relationships/worksheet" Target="/xl/worksheets/sheet23.xml" Id="Rfa0b0eb05d87456b" /></Relationships>
</file>

<file path=xl/tables/table1.xml><?xml version="1.0" encoding="utf-8"?>
<x:table xmlns:x="http://schemas.openxmlformats.org/spreadsheetml/2006/main" id="1" name="TINDEX" displayName="TINDEX" ref="A4:H26" headerRowCount="1" totalsRowCount="0" totalsRowShown="0">
  <x:tableColumns count="8">
    <x:tableColumn id="1" name="活动子表"/>
    <x:tableColumn id="2" name="活动职责"/>
    <x:tableColumn id="3" name="礼包数量"/>
    <x:tableColumn id="4" name="可计算条目"/>
    <x:tableColumn id="5" name="最优礼包（按重算折数）"/>
    <x:tableColumn id="6" name="最终大奖/标的物"/>
    <x:tableColumn id="7" name="条件成本钻"/>
    <x:tableColumn id="8" name="RMB等价/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69a8b2de0e4578" /></Relationships>
</file>

<file path=xl/worksheets/sheet1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6" hidden="0" customWidth="1"/>
    <x:col min="5" max="5" width="35" hidden="0" customWidth="1"/>
    <x:col min="6" max="6" width="40" hidden="0" customWidth="1"/>
    <x:col min="7" max="7" width="18" hidden="0" customWidth="1"/>
    <x:col min="8" max="8" width="52" hidden="0" customWidth="1"/>
  </x:cols>
  <x:sheetData>
    <x:row r="1" ht="36" customHeight="1">
      <x:c r="A1" s="41" t="str">
        <x:v>《梦境护卫队》活动性价比索引 · 礼包性价比</x:v>
      </x:c>
      <x:c r="B1" s="41"/>
      <x:c r="C1" s="41"/>
      <x:c r="D1" s="41"/>
      <x:c r="E1" s="41"/>
      <x:c r="F1" s="41"/>
      <x:c r="G1" s="41"/>
      <x:c r="H1" s="41"/>
    </x:row>
    <x:row r="2" ht="34" customHeight="1">
      <x:c r="A2" s="42" t="str">
        <x:v>以《最新商业化规划_v1.xlsx》为数值基准；折数=成本钻÷奖励价值钻×10；1折=支付价值的10%。每个活动下方为独立子表。</x:v>
      </x:c>
      <x:c r="B2" s="42"/>
      <x:c r="C2" s="42"/>
      <x:c r="D2" s="42"/>
      <x:c r="E2" s="42"/>
      <x:c r="F2" s="42"/>
      <x:c r="G2" s="42"/>
      <x:c r="H2" s="42"/>
    </x:row>
    <x:row r="3">
      <x:c r="A3" s="43"/>
      <x:c r="B3" s="43"/>
      <x:c r="C3" s="43"/>
      <x:c r="D3" s="43"/>
      <x:c r="E3" s="43"/>
      <x:c r="F3" s="43"/>
      <x:c r="G3" s="43"/>
      <x:c r="H3" s="43"/>
    </x:row>
    <x:row r="4" ht="42" customHeight="1">
      <x:c r="A4" s="44" t="str">
        <x:v>活动子表</x:v>
      </x:c>
      <x:c r="B4" s="44" t="str">
        <x:v>活动职责</x:v>
      </x:c>
      <x:c r="C4" s="44" t="str">
        <x:v>礼包数量</x:v>
      </x:c>
      <x:c r="D4" s="44" t="str">
        <x:v>可计算条目</x:v>
      </x:c>
      <x:c r="E4" s="44" t="str">
        <x:v>最优礼包（按重算折数）</x:v>
      </x:c>
      <x:c r="F4" s="44" t="str">
        <x:v>最终大奖/标的物</x:v>
      </x:c>
      <x:c r="G4" s="44" t="str">
        <x:v>条件成本钻</x:v>
      </x:c>
      <x:c r="H4" s="44" t="str">
        <x:v>RMB等价/说明</x:v>
      </x:c>
    </x:row>
    <x:row r="5" ht="42" customHeight="1">
      <x:c r="A5" s="45" t="str">
        <x:v>日周月礼包</x:v>
      </x:c>
      <x:c r="B5" s="45" t="str">
        <x:v>钻石回收/定向补养成</x:v>
      </x:c>
      <x:c r="C5" s="45" t="n">
        <x:v>54</x:v>
      </x:c>
      <x:c r="D5" s="45" t="n">
        <x:v>51</x:v>
      </x:c>
      <x:c r="E5" s="45" t="str">
        <x:v>见子表</x:v>
      </x:c>
      <x:c r="F5" s="45" t="str">
        <x:v>无单一终大奖；按单礼包到手价值比较</x:v>
      </x:c>
      <x:c r="G5" s="45" t="str">
        <x:v>待核</x:v>
      </x:c>
      <x:c r="H5" s="45" t="str">
        <x:v>该模块为日/周/月商品池</x:v>
      </x:c>
    </x:row>
    <x:row r="6" ht="42" customHeight="1">
      <x:c r="A6" s="46" t="str">
        <x:v>每日特惠充值</x:v>
      </x:c>
      <x:c r="B6" s="46" t="str">
        <x:v>日付费</x:v>
      </x:c>
      <x:c r="C6" s="46" t="n">
        <x:v>6</x:v>
      </x:c>
      <x:c r="D6" s="46" t="n">
        <x:v>6</x:v>
      </x:c>
      <x:c r="E6" s="46" t="str">
        <x:v>见子表</x:v>
      </x:c>
      <x:c r="F6" s="46" t="str">
        <x:v>无单一终大奖；按单礼包到手价值比较</x:v>
      </x:c>
      <x:c r="G6" s="46" t="str">
        <x:v>待核</x:v>
      </x:c>
      <x:c r="H6" s="46" t="str">
        <x:v>该模块为日/周/月商品池</x:v>
      </x:c>
    </x:row>
    <x:row r="7" ht="42" customHeight="1">
      <x:c r="A7" s="47" t="str">
        <x:v>招募冲刺</x:v>
      </x:c>
      <x:c r="B7" s="47" t="str">
        <x:v>周轮换消耗目标+排行</x:v>
      </x:c>
      <x:c r="C7" s="47" t="n">
        <x:v>9</x:v>
      </x:c>
      <x:c r="D7" s="47" t="n">
        <x:v>9</x:v>
      </x:c>
      <x:c r="E7" s="47" t="str">
        <x:v>见子表</x:v>
      </x:c>
      <x:c r="F7" s="47" t="str">
        <x:v>轮次/排行最终奖励</x:v>
      </x:c>
      <x:c r="G7" s="47" t="str">
        <x:v>待核</x:v>
      </x:c>
      <x:c r="H7" s="47" t="str">
        <x:v>阈值是累计消耗或活动积分，排行收益不是保证到手</x:v>
      </x:c>
    </x:row>
    <x:row r="8" ht="42" customHeight="1">
      <x:c r="A8" s="46" t="str">
        <x:v>符文冲刺</x:v>
      </x:c>
      <x:c r="B8" s="46" t="str">
        <x:v>周轮换消耗目标+排行</x:v>
      </x:c>
      <x:c r="C8" s="46" t="n">
        <x:v>9</x:v>
      </x:c>
      <x:c r="D8" s="46" t="n">
        <x:v>9</x:v>
      </x:c>
      <x:c r="E8" s="46" t="str">
        <x:v>见子表</x:v>
      </x:c>
      <x:c r="F8" s="46" t="str">
        <x:v>轮次/排行最终奖励</x:v>
      </x:c>
      <x:c r="G8" s="46" t="str">
        <x:v>待核</x:v>
      </x:c>
      <x:c r="H8" s="46" t="str">
        <x:v>阈值是累计消耗或活动积分，排行收益不是保证到手</x:v>
      </x:c>
    </x:row>
    <x:row r="9" ht="42" customHeight="1">
      <x:c r="A9" s="47" t="str">
        <x:v>秘宝冲刺</x:v>
      </x:c>
      <x:c r="B9" s="47" t="str">
        <x:v>周轮换消耗目标+排行</x:v>
      </x:c>
      <x:c r="C9" s="47" t="n">
        <x:v>9</x:v>
      </x:c>
      <x:c r="D9" s="47" t="n">
        <x:v>9</x:v>
      </x:c>
      <x:c r="E9" s="47" t="str">
        <x:v>见子表</x:v>
      </x:c>
      <x:c r="F9" s="47" t="str">
        <x:v>轮次/排行最终奖励</x:v>
      </x:c>
      <x:c r="G9" s="47" t="str">
        <x:v>待核</x:v>
      </x:c>
      <x:c r="H9" s="47" t="str">
        <x:v>阈值是累计消耗或活动积分，排行收益不是保证到手</x:v>
      </x:c>
    </x:row>
    <x:row r="10" ht="42" customHeight="1">
      <x:c r="A10" s="46" t="str">
        <x:v>招募狂欢</x:v>
      </x:c>
      <x:c r="B10" s="46" t="str">
        <x:v>新服前期招募目标</x:v>
      </x:c>
      <x:c r="C10" s="46" t="n">
        <x:v>0</x:v>
      </x:c>
      <x:c r="D10" s="46" t="n">
        <x:v>0</x:v>
      </x:c>
      <x:c r="E10" s="46" t="str">
        <x:v>见子表</x:v>
      </x:c>
      <x:c r="F10" s="46" t="str">
        <x:v>招募狂欢最终轮奖励</x:v>
      </x:c>
      <x:c r="G10" s="46" t="str">
        <x:v>待核</x:v>
      </x:c>
      <x:c r="H10" s="46" t="str">
        <x:v>阈值是招募累计，未换算成现金成本</x:v>
      </x:c>
    </x:row>
    <x:row r="11" ht="42" customHeight="1">
      <x:c r="A11" s="47" t="str">
        <x:v>橙卡试炼</x:v>
      </x:c>
      <x:c r="B11" s="47" t="str">
        <x:v>指定梦灵等级驱动</x:v>
      </x:c>
      <x:c r="C11" s="47" t="n">
        <x:v>7</x:v>
      </x:c>
      <x:c r="D11" s="47" t="n">
        <x:v>4</x:v>
      </x:c>
      <x:c r="E11" s="47" t="str">
        <x:v>见子表</x:v>
      </x:c>
      <x:c r="F11" s="47" t="str">
        <x:v>幻梦晶核×80；星辉秘契×30</x:v>
      </x:c>
      <x:c r="G11" s="47" t="n">
        <x:v>4388</x:v>
      </x:c>
      <x:c r="H11" s="47" t="str">
        <x:v>438.80元（条件值）</x:v>
      </x:c>
    </x:row>
    <x:row r="12" ht="42" customHeight="1">
      <x:c r="A12" s="46" t="str">
        <x:v>红卡试炼</x:v>
      </x:c>
      <x:c r="B12" s="46" t="str">
        <x:v>神话梦灵等级驱动</x:v>
      </x:c>
      <x:c r="C12" s="46" t="n">
        <x:v>8</x:v>
      </x:c>
      <x:c r="D12" s="46" t="n">
        <x:v>6</x:v>
      </x:c>
      <x:c r="E12" s="46" t="str">
        <x:v>见子表</x:v>
      </x:c>
      <x:c r="F12" s="46" t="str">
        <x:v>星辉秘契×30；梦境招募器×300</x:v>
      </x:c>
      <x:c r="G12" s="46" t="n">
        <x:v>7888</x:v>
      </x:c>
      <x:c r="H12" s="46" t="str">
        <x:v>788.80元（条件值）</x:v>
      </x:c>
    </x:row>
    <x:row r="13" ht="42" customHeight="1">
      <x:c r="A13" s="47" t="str">
        <x:v>月光炼梦</x:v>
      </x:c>
      <x:c r="B13" s="47" t="str">
        <x:v>稀缺大奖/多轮付费</x:v>
      </x:c>
      <x:c r="C13" s="47" t="n">
        <x:v>3</x:v>
      </x:c>
      <x:c r="D13" s="47" t="n">
        <x:v>3</x:v>
      </x:c>
      <x:c r="E13" s="47" t="str">
        <x:v>见子表</x:v>
      </x:c>
      <x:c r="F13" s="47" t="str">
        <x:v>炼梦宝箱/当期大奖</x:v>
      </x:c>
      <x:c r="G13" s="47" t="n">
        <x:v>37680</x:v>
      </x:c>
      <x:c r="H13" s="47" t="str">
        <x:v>3768.00元（条件值）</x:v>
      </x:c>
    </x:row>
    <x:row r="14" ht="42" customHeight="1">
      <x:c r="A14" s="46" t="str">
        <x:v>星轨探测</x:v>
      </x:c>
      <x:c r="B14" s="46" t="str">
        <x:v>载具稀缺大奖</x:v>
      </x:c>
      <x:c r="C14" s="46" t="n">
        <x:v>3</x:v>
      </x:c>
      <x:c r="D14" s="46" t="n">
        <x:v>0</x:v>
      </x:c>
      <x:c r="E14" s="46" t="str">
        <x:v>见子表</x:v>
      </x:c>
      <x:c r="F14" s="46" t="str">
        <x:v>织梦捕星机/载具大奖</x:v>
      </x:c>
      <x:c r="G14" s="46" t="n">
        <x:v>9000</x:v>
      </x:c>
      <x:c r="H14" s="46" t="str">
        <x:v>900.00元（条件值）</x:v>
      </x:c>
    </x:row>
    <x:row r="15" ht="42" customHeight="1">
      <x:c r="A15" s="47" t="str">
        <x:v>首月活动</x:v>
      </x:c>
      <x:c r="B15" s="47" t="str">
        <x:v>长周期目标/签到/许愿</x:v>
      </x:c>
      <x:c r="C15" s="47" t="n">
        <x:v>3</x:v>
      </x:c>
      <x:c r="D15" s="47" t="n">
        <x:v>0</x:v>
      </x:c>
      <x:c r="E15" s="47" t="str">
        <x:v>见子表</x:v>
      </x:c>
      <x:c r="F15" s="47" t="str">
        <x:v>首月活动最终大奖/星愿目标</x:v>
      </x:c>
      <x:c r="G15" s="47" t="n">
        <x:v>6000</x:v>
      </x:c>
      <x:c r="H15" s="47" t="str">
        <x:v>600.00元（条件值）</x:v>
      </x:c>
    </x:row>
    <x:row r="16" ht="42" customHeight="1">
      <x:c r="A16" s="46" t="str">
        <x:v>悬赏活动</x:v>
      </x:c>
      <x:c r="B16" s="46" t="str">
        <x:v>跨轮次高价值目标</x:v>
      </x:c>
      <x:c r="C16" s="46" t="n">
        <x:v>8</x:v>
      </x:c>
      <x:c r="D16" s="46" t="n">
        <x:v>1</x:v>
      </x:c>
      <x:c r="E16" s="46" t="str">
        <x:v>见子表</x:v>
      </x:c>
      <x:c r="F16" s="46" t="str">
        <x:v>悬赏线索轮换最终标的</x:v>
      </x:c>
      <x:c r="G16" s="46" t="str">
        <x:v>待核</x:v>
      </x:c>
      <x:c r="H16" s="46" t="str">
        <x:v>多选项并列，不能把所有选项相加；礼包可单独比较</x:v>
      </x:c>
    </x:row>
    <x:row r="17" ht="42" customHeight="1">
      <x:c r="A17" s="47" t="str">
        <x:v>章节礼包</x:v>
      </x:c>
      <x:c r="B17" s="47" t="str">
        <x:v>通关触发</x:v>
      </x:c>
      <x:c r="C17" s="47" t="n">
        <x:v>9</x:v>
      </x:c>
      <x:c r="D17" s="47" t="n">
        <x:v>9</x:v>
      </x:c>
      <x:c r="E17" s="47" t="str">
        <x:v>见子表</x:v>
      </x:c>
      <x:c r="F17" s="47" t="str">
        <x:v>随机神话符文×1；超能特饮×2000；装备图纸×1200</x:v>
      </x:c>
      <x:c r="G17" s="47" t="n">
        <x:v>6480</x:v>
      </x:c>
      <x:c r="H17" s="47" t="str">
        <x:v>648.00元（条件值）</x:v>
      </x:c>
    </x:row>
    <x:row r="18" ht="42" customHeight="1">
      <x:c r="A18" s="46" t="str">
        <x:v>心梦商店</x:v>
      </x:c>
      <x:c r="B18" s="46" t="str">
        <x:v>付费附赠币回收</x:v>
      </x:c>
      <x:c r="C18" s="46" t="n">
        <x:v>18</x:v>
      </x:c>
      <x:c r="D18" s="46" t="n">
        <x:v>12</x:v>
      </x:c>
      <x:c r="E18" s="46" t="str">
        <x:v>见子表</x:v>
      </x:c>
      <x:c r="F18" s="46" t="str">
        <x:v>抵达深空/酣眠的祝福等兑换大奖</x:v>
      </x:c>
      <x:c r="G18" s="46" t="str">
        <x:v>待核</x:v>
      </x:c>
      <x:c r="H18" s="46" t="str">
        <x:v>心梦宝石兑换，不是直接现金；按14钻/宝石换算需指定目标条目</x:v>
      </x:c>
    </x:row>
    <x:row r="19" ht="42" customHeight="1">
      <x:c r="A19" s="47" t="str">
        <x:v>首充三卡</x:v>
      </x:c>
      <x:c r="B19" s="47" t="str">
        <x:v>首次付费转化</x:v>
      </x:c>
      <x:c r="C19" s="47" t="n">
        <x:v>9</x:v>
      </x:c>
      <x:c r="D19" s="47" t="n">
        <x:v>3</x:v>
      </x:c>
      <x:c r="E19" s="47" t="str">
        <x:v>见子表</x:v>
      </x:c>
      <x:c r="F19" s="47" t="str">
        <x:v>待补充</x:v>
      </x:c>
      <x:c r="G19" s="47" t="str">
        <x:v>待核</x:v>
      </x:c>
      <x:c r="H19" s="47" t="str">
        <x:v>主文档未形成可确认的最终大奖成本</x:v>
      </x:c>
    </x:row>
    <x:row r="20" ht="42" customHeight="1">
      <x:c r="A20" s="46" t="str">
        <x:v>双月卡周卡</x:v>
      </x:c>
      <x:c r="B20" s="46" t="str">
        <x:v>稳定留存和日常效率</x:v>
      </x:c>
      <x:c r="C20" s="46" t="n">
        <x:v>3</x:v>
      </x:c>
      <x:c r="D20" s="46" t="n">
        <x:v>2</x:v>
      </x:c>
      <x:c r="E20" s="46" t="str">
        <x:v>见子表</x:v>
      </x:c>
      <x:c r="F20" s="46" t="str">
        <x:v>待补充</x:v>
      </x:c>
      <x:c r="G20" s="46" t="str">
        <x:v>待核</x:v>
      </x:c>
      <x:c r="H20" s="46" t="str">
        <x:v>主文档未形成可确认的最终大奖成本</x:v>
      </x:c>
    </x:row>
    <x:row r="21" ht="42" customHeight="1">
      <x:c r="A21" s="47" t="str">
        <x:v>体力战令</x:v>
      </x:c>
      <x:c r="B21" s="47" t="str">
        <x:v>活跃+付费解锁</x:v>
      </x:c>
      <x:c r="C21" s="47" t="n">
        <x:v>0</x:v>
      </x:c>
      <x:c r="D21" s="47" t="n">
        <x:v>0</x:v>
      </x:c>
      <x:c r="E21" s="47" t="str">
        <x:v>见子表</x:v>
      </x:c>
      <x:c r="F21" s="47" t="str">
        <x:v>待补充</x:v>
      </x:c>
      <x:c r="G21" s="47" t="str">
        <x:v>待核</x:v>
      </x:c>
      <x:c r="H21" s="47" t="str">
        <x:v>主文档未形成可确认的最终大奖成本</x:v>
      </x:c>
    </x:row>
    <x:row r="22" ht="42" customHeight="1">
      <x:c r="A22" s="46" t="str">
        <x:v>钻石基金</x:v>
      </x:c>
      <x:c r="B22" s="46" t="str">
        <x:v>章节推进</x:v>
      </x:c>
      <x:c r="C22" s="46" t="n">
        <x:v>0</x:v>
      </x:c>
      <x:c r="D22" s="46" t="n">
        <x:v>0</x:v>
      </x:c>
      <x:c r="E22" s="46" t="str">
        <x:v>见子表</x:v>
      </x:c>
      <x:c r="F22" s="46" t="str">
        <x:v>待补充</x:v>
      </x:c>
      <x:c r="G22" s="46" t="str">
        <x:v>待核</x:v>
      </x:c>
      <x:c r="H22" s="46" t="str">
        <x:v>主文档未形成可确认的最终大奖成本</x:v>
      </x:c>
    </x:row>
    <x:row r="23" ht="42" customHeight="1">
      <x:c r="A23" s="47" t="str">
        <x:v>载具战令</x:v>
      </x:c>
      <x:c r="B23" s="47" t="str">
        <x:v>载具开放后承接</x:v>
      </x:c>
      <x:c r="C23" s="47" t="n">
        <x:v>0</x:v>
      </x:c>
      <x:c r="D23" s="47" t="n">
        <x:v>0</x:v>
      </x:c>
      <x:c r="E23" s="47" t="str">
        <x:v>见子表</x:v>
      </x:c>
      <x:c r="F23" s="47" t="str">
        <x:v>待补充</x:v>
      </x:c>
      <x:c r="G23" s="47" t="str">
        <x:v>待核</x:v>
      </x:c>
      <x:c r="H23" s="47" t="str">
        <x:v>主文档未形成可确认的最终大奖成本</x:v>
      </x:c>
    </x:row>
    <x:row r="24" ht="42" customHeight="1">
      <x:c r="A24" s="46" t="str">
        <x:v>星光寻梦</x:v>
      </x:c>
      <x:c r="B24" s="46" t="str">
        <x:v>更高品质稀缺目标</x:v>
      </x:c>
      <x:c r="C24" s="46" t="n">
        <x:v>0</x:v>
      </x:c>
      <x:c r="D24" s="46" t="n">
        <x:v>0</x:v>
      </x:c>
      <x:c r="E24" s="46" t="str">
        <x:v>见子表</x:v>
      </x:c>
      <x:c r="F24" s="46" t="str">
        <x:v>待补充</x:v>
      </x:c>
      <x:c r="G24" s="46" t="str">
        <x:v>待核</x:v>
      </x:c>
      <x:c r="H24" s="46" t="str">
        <x:v>主文档未形成可确认的最终大奖成本</x:v>
      </x:c>
    </x:row>
    <x:row r="25" ht="42" customHeight="1">
      <x:c r="A25" s="47" t="str">
        <x:v>七日挑战宝箱</x:v>
      </x:c>
      <x:c r="B25" s="47" t="str">
        <x:v>进度目标与付费承接</x:v>
      </x:c>
      <x:c r="C25" s="47" t="n">
        <x:v>0</x:v>
      </x:c>
      <x:c r="D25" s="47" t="n">
        <x:v>0</x:v>
      </x:c>
      <x:c r="E25" s="47" t="str">
        <x:v>见子表</x:v>
      </x:c>
      <x:c r="F25" s="47" t="str">
        <x:v>待补充</x:v>
      </x:c>
      <x:c r="G25" s="47" t="str">
        <x:v>待核</x:v>
      </x:c>
      <x:c r="H25" s="47" t="str">
        <x:v>主文档未形成可确认的最终大奖成本</x:v>
      </x:c>
    </x:row>
    <x:row r="26" ht="42" customHeight="1">
      <x:c r="A26" s="46" t="str">
        <x:v>后续活动池</x:v>
      </x:c>
      <x:c r="B26" s="46" t="str">
        <x:v>后续活动池</x:v>
      </x:c>
      <x:c r="C26" s="46" t="n">
        <x:v>0</x:v>
      </x:c>
      <x:c r="D26" s="46" t="n">
        <x:v>0</x:v>
      </x:c>
      <x:c r="E26" s="46" t="str">
        <x:v>见子表</x:v>
      </x:c>
      <x:c r="F26" s="46" t="str">
        <x:v>待补充</x:v>
      </x:c>
      <x:c r="G26" s="46" t="str">
        <x:v>待核</x:v>
      </x:c>
      <x:c r="H26" s="46" t="str">
        <x:v>主文档未形成可确认的最终大奖成本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e69a8b2de0e4578"/>
  </x:tableParts>
</x:worksheet>
</file>

<file path=xl/worksheets/sheet2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《梦境护卫队》日周月礼包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来源：主/日周月礼包!A1:L69｜载具/藏品分别有天数开启；加速沙漏标删除；多处标注折扣与重算不符｜主方案优先，补充方案不覆盖主方案。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日周月礼包</x:v>
      </x:c>
      <x:c r="C4" s="59"/>
      <x:c r="D4" s="57" t="str">
        <x:v>最终大奖条件说明</x:v>
      </x:c>
      <x:c r="E4" s="58" t="str">
        <x:v>该模块为日/周/月商品池</x:v>
      </x:c>
      <x:c r="F4" s="59"/>
      <x:c r="G4" s="57" t="str">
        <x:v>礼包数</x:v>
      </x:c>
      <x:c r="H4" s="58" t="n">
        <x:v>54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无单一终大奖；按单礼包到手价值比较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51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60" t="str">
        <x:v>礼包/档位</x:v>
      </x:c>
      <x:c r="B8" s="60" t="str">
        <x:v>支付币种</x:v>
      </x:c>
      <x:c r="C8" s="60" t="str">
        <x:v>标价</x:v>
      </x:c>
      <x:c r="D8" s="60" t="str">
        <x:v>成本折钻</x:v>
      </x:c>
      <x:c r="E8" s="60" t="str">
        <x:v>奖励价值钻</x:v>
      </x:c>
      <x:c r="F8" s="60" t="str">
        <x:v>价值倍率</x:v>
      </x:c>
      <x:c r="G8" s="60" t="str">
        <x:v>重算折数</x:v>
      </x:c>
      <x:c r="H8" s="60" t="str">
        <x:v>原标注折数</x:v>
      </x:c>
      <x:c r="I8" s="60" t="str">
        <x:v>主要到手标的物</x:v>
      </x:c>
      <x:c r="J8" s="60" t="str">
        <x:v>限购</x:v>
      </x:c>
      <x:c r="K8" s="60" t="str">
        <x:v>到手判断</x:v>
      </x:c>
      <x:c r="L8" s="60" t="str">
        <x:v>来源</x:v>
      </x:c>
    </x:row>
    <x:row r="9" ht="42" customHeight="1">
      <x:c r="A9" s="61" t="str">
        <x:v>日礼包/体力/4</x:v>
      </x:c>
      <x:c r="B9" s="61" t="str">
        <x:v>钻石</x:v>
      </x:c>
      <x:c r="C9" s="61" t="n">
        <x:v>0</x:v>
      </x:c>
      <x:c r="D9" s="62" t="n">
        <x:f>IF(ISNUMBER(C9),C9,"待核")</x:f>
        <x:v>0</x:v>
      </x:c>
      <x:c r="E9" s="62" t="n">
        <x:v>20</x:v>
      </x:c>
      <x:c r="F9" s="62" t="str">
        <x:f>IF(AND(ISNUMBER(D9),ISNUMBER(E9),D9&gt;0),E9/D9,"待核")</x:f>
        <x:v>待核</x:v>
      </x:c>
      <x:c r="G9" s="63" t="n">
        <x:f>IF(AND(ISNUMBER(D9),ISNUMBER(E9),E9&gt;0),D9/E9*10,"待核")</x:f>
        <x:v>0</x:v>
      </x:c>
      <x:c r="H9" s="61" t="n">
        <x:v>0</x:v>
      </x:c>
      <x:c r="I9" s="61" t="str">
        <x:v>体力×10</x:v>
      </x:c>
      <x:c r="J9" s="61" t="n">
        <x:v>1</x:v>
      </x:c>
      <x:c r="K9" s="61" t="str">
        <x:v>明细规划</x:v>
      </x:c>
      <x:c r="L9" s="61" t="str">
        <x:v>主/日周月礼包!第4行</x:v>
      </x:c>
    </x:row>
    <x:row r="10" ht="42" customHeight="1">
      <x:c r="A10" s="61" t="str">
        <x:v>日礼包/体力/5</x:v>
      </x:c>
      <x:c r="B10" s="61" t="str">
        <x:v>广告</x:v>
      </x:c>
      <x:c r="C10" s="61" t="str">
        <x:v>广告</x:v>
      </x:c>
      <x:c r="D10" s="62" t="str">
        <x:f>IF(ISNUMBER(C10),C10,"待核")</x:f>
        <x:v>待核</x:v>
      </x:c>
      <x:c r="E10" s="62" t="n">
        <x:v>20</x:v>
      </x:c>
      <x:c r="F10" s="62" t="str">
        <x:f>IF(AND(ISNUMBER(D10),ISNUMBER(E10),D10&gt;0),E10/D10,"待核")</x:f>
        <x:v>待核</x:v>
      </x:c>
      <x:c r="G10" s="63" t="str">
        <x:f>IF(AND(ISNUMBER(D10),ISNUMBER(E10),E10&gt;0),D10/E10*10,"待核")</x:f>
        <x:v>待核</x:v>
      </x:c>
      <x:c r="H10" s="61" t="n">
        <x:v>0</x:v>
      </x:c>
      <x:c r="I10" s="61" t="str">
        <x:v>体力×10</x:v>
      </x:c>
      <x:c r="J10" s="61" t="n">
        <x:v>1</x:v>
      </x:c>
      <x:c r="K10" s="61" t="str">
        <x:v>明细规划</x:v>
      </x:c>
      <x:c r="L10" s="61" t="str">
        <x:v>主/日周月礼包!第5行</x:v>
      </x:c>
    </x:row>
    <x:row r="11" ht="42" customHeight="1">
      <x:c r="A11" s="61" t="str">
        <x:v>日礼包/体力/6</x:v>
      </x:c>
      <x:c r="B11" s="61" t="str">
        <x:v>钻石</x:v>
      </x:c>
      <x:c r="C11" s="61" t="n">
        <x:v>96</x:v>
      </x:c>
      <x:c r="D11" s="62" t="n">
        <x:f>IF(ISNUMBER(C11),C11,"待核")</x:f>
        <x:v>96</x:v>
      </x:c>
      <x:c r="E11" s="62" t="n">
        <x:v>120</x:v>
      </x:c>
      <x:c r="F11" s="62" t="n">
        <x:f>IF(AND(ISNUMBER(D11),ISNUMBER(E11),D11&gt;0),E11/D11,"待核")</x:f>
        <x:v>1.25</x:v>
      </x:c>
      <x:c r="G11" s="63" t="n">
        <x:f>IF(AND(ISNUMBER(D11),ISNUMBER(E11),E11&gt;0),D11/E11*10,"待核")</x:f>
        <x:v>8</x:v>
      </x:c>
      <x:c r="H11" s="61" t="n">
        <x:v>8</x:v>
      </x:c>
      <x:c r="I11" s="61" t="str">
        <x:v>体力×60</x:v>
      </x:c>
      <x:c r="J11" s="61" t="n">
        <x:v>1</x:v>
      </x:c>
      <x:c r="K11" s="61" t="str">
        <x:v>明细规划</x:v>
      </x:c>
      <x:c r="L11" s="61" t="str">
        <x:v>主/日周月礼包!第6行</x:v>
      </x:c>
    </x:row>
    <x:row r="12" ht="42" customHeight="1">
      <x:c r="A12" s="61" t="str">
        <x:v>日礼包/金币/7</x:v>
      </x:c>
      <x:c r="B12" s="61" t="str">
        <x:v>钻石</x:v>
      </x:c>
      <x:c r="C12" s="61" t="n">
        <x:v>125</x:v>
      </x:c>
      <x:c r="D12" s="62" t="n">
        <x:f>IF(ISNUMBER(C12),C12,"待核")</x:f>
        <x:v>125</x:v>
      </x:c>
      <x:c r="E12" s="62" t="n">
        <x:v>250</x:v>
      </x:c>
      <x:c r="F12" s="62" t="n">
        <x:f>IF(AND(ISNUMBER(D12),ISNUMBER(E12),D12&gt;0),E12/D12,"待核")</x:f>
        <x:v>2</x:v>
      </x:c>
      <x:c r="G12" s="63" t="n">
        <x:f>IF(AND(ISNUMBER(D12),ISNUMBER(E12),E12&gt;0),D12/E12*10,"待核")</x:f>
        <x:v>5</x:v>
      </x:c>
      <x:c r="H12" s="61" t="n">
        <x:v>5</x:v>
      </x:c>
      <x:c r="I12" s="61" t="str">
        <x:v>金币×5000</x:v>
      </x:c>
      <x:c r="J12" s="61" t="n">
        <x:v>2</x:v>
      </x:c>
      <x:c r="K12" s="61" t="str">
        <x:v>明细规划</x:v>
      </x:c>
      <x:c r="L12" s="61" t="str">
        <x:v>主/日周月礼包!第7行</x:v>
      </x:c>
    </x:row>
    <x:row r="13" ht="42" customHeight="1">
      <x:c r="A13" s="61" t="str">
        <x:v>日礼包/梦境招募器/8</x:v>
      </x:c>
      <x:c r="B13" s="61" t="str">
        <x:v>钻石</x:v>
      </x:c>
      <x:c r="C13" s="61" t="n">
        <x:v>480</x:v>
      </x:c>
      <x:c r="D13" s="62" t="n">
        <x:f>IF(ISNUMBER(C13),C13,"待核")</x:f>
        <x:v>480</x:v>
      </x:c>
      <x:c r="E13" s="62" t="n">
        <x:v>600</x:v>
      </x:c>
      <x:c r="F13" s="62" t="n">
        <x:f>IF(AND(ISNUMBER(D13),ISNUMBER(E13),D13&gt;0),E13/D13,"待核")</x:f>
        <x:v>1.25</x:v>
      </x:c>
      <x:c r="G13" s="63" t="n">
        <x:f>IF(AND(ISNUMBER(D13),ISNUMBER(E13),E13&gt;0),D13/E13*10,"待核")</x:f>
        <x:v>8</x:v>
      </x:c>
      <x:c r="H13" s="61" t="n">
        <x:v>8</x:v>
      </x:c>
      <x:c r="I13" s="61" t="str">
        <x:v>梦境招募器×20</x:v>
      </x:c>
      <x:c r="J13" s="61" t="n">
        <x:v>2</x:v>
      </x:c>
      <x:c r="K13" s="61" t="str">
        <x:v>明细规划</x:v>
      </x:c>
      <x:c r="L13" s="61" t="str">
        <x:v>主/日周月礼包!第8行</x:v>
      </x:c>
    </x:row>
    <x:row r="14" ht="42" customHeight="1">
      <x:c r="A14" s="61" t="str">
        <x:v>日礼包/随机能量特饮/9</x:v>
      </x:c>
      <x:c r="B14" s="61" t="str">
        <x:v>钻石</x:v>
      </x:c>
      <x:c r="C14" s="61" t="n">
        <x:v>200</x:v>
      </x:c>
      <x:c r="D14" s="62" t="n">
        <x:f>IF(ISNUMBER(C14),C14,"待核")</x:f>
        <x:v>200</x:v>
      </x:c>
      <x:c r="E14" s="62" t="n">
        <x:v>400</x:v>
      </x:c>
      <x:c r="F14" s="62" t="n">
        <x:f>IF(AND(ISNUMBER(D14),ISNUMBER(E14),D14&gt;0),E14/D14,"待核")</x:f>
        <x:v>2</x:v>
      </x:c>
      <x:c r="G14" s="63" t="n">
        <x:f>IF(AND(ISNUMBER(D14),ISNUMBER(E14),E14&gt;0),D14/E14*10,"待核")</x:f>
        <x:v>5</x:v>
      </x:c>
      <x:c r="H14" s="61" t="n">
        <x:v>5</x:v>
      </x:c>
      <x:c r="I14" s="61" t="str">
        <x:v>随机能量特饮×400</x:v>
      </x:c>
      <x:c r="J14" s="61" t="n">
        <x:v>3</x:v>
      </x:c>
      <x:c r="K14" s="61" t="str">
        <x:v>明细规划</x:v>
      </x:c>
      <x:c r="L14" s="61" t="str">
        <x:v>主/日周月礼包!第9行</x:v>
      </x:c>
    </x:row>
    <x:row r="15" ht="42" customHeight="1">
      <x:c r="A15" s="61" t="str">
        <x:v>日礼包/超能特饮/10</x:v>
      </x:c>
      <x:c r="B15" s="61" t="str">
        <x:v>钻石</x:v>
      </x:c>
      <x:c r="C15" s="61" t="n">
        <x:v>200</x:v>
      </x:c>
      <x:c r="D15" s="62" t="n">
        <x:f>IF(ISNUMBER(C15),C15,"待核")</x:f>
        <x:v>200</x:v>
      </x:c>
      <x:c r="E15" s="62" t="n">
        <x:v>400</x:v>
      </x:c>
      <x:c r="F15" s="62" t="n">
        <x:f>IF(AND(ISNUMBER(D15),ISNUMBER(E15),D15&gt;0),E15/D15,"待核")</x:f>
        <x:v>2</x:v>
      </x:c>
      <x:c r="G15" s="63" t="n">
        <x:f>IF(AND(ISNUMBER(D15),ISNUMBER(E15),E15&gt;0),D15/E15*10,"待核")</x:f>
        <x:v>5</x:v>
      </x:c>
      <x:c r="H15" s="61" t="n">
        <x:v>5</x:v>
      </x:c>
      <x:c r="I15" s="61" t="str">
        <x:v>超能特饮×200</x:v>
      </x:c>
      <x:c r="J15" s="61" t="n">
        <x:v>3</x:v>
      </x:c>
      <x:c r="K15" s="61" t="str">
        <x:v>明细规划</x:v>
      </x:c>
      <x:c r="L15" s="61" t="str">
        <x:v>主/日周月礼包!第10行</x:v>
      </x:c>
    </x:row>
    <x:row r="16" ht="42" customHeight="1">
      <x:c r="A16" s="61" t="str">
        <x:v>日礼包/装备图纸/11</x:v>
      </x:c>
      <x:c r="B16" s="61" t="str">
        <x:v>钻石</x:v>
      </x:c>
      <x:c r="C16" s="61" t="n">
        <x:v>240</x:v>
      </x:c>
      <x:c r="D16" s="62" t="n">
        <x:f>IF(ISNUMBER(C16),C16,"待核")</x:f>
        <x:v>240</x:v>
      </x:c>
      <x:c r="E16" s="62" t="n">
        <x:v>300</x:v>
      </x:c>
      <x:c r="F16" s="62" t="n">
        <x:f>IF(AND(ISNUMBER(D16),ISNUMBER(E16),D16&gt;0),E16/D16,"待核")</x:f>
        <x:v>1.25</x:v>
      </x:c>
      <x:c r="G16" s="63" t="n">
        <x:f>IF(AND(ISNUMBER(D16),ISNUMBER(E16),E16&gt;0),D16/E16*10,"待核")</x:f>
        <x:v>8</x:v>
      </x:c>
      <x:c r="H16" s="61" t="n">
        <x:v>8</x:v>
      </x:c>
      <x:c r="I16" s="61" t="str">
        <x:v>装备图纸×100</x:v>
      </x:c>
      <x:c r="J16" s="61" t="n">
        <x:v>3</x:v>
      </x:c>
      <x:c r="K16" s="61" t="str">
        <x:v>明细规划</x:v>
      </x:c>
      <x:c r="L16" s="61" t="str">
        <x:v>主/日周月礼包!第11行</x:v>
      </x:c>
    </x:row>
    <x:row r="17" ht="42" customHeight="1">
      <x:c r="A17" s="61" t="str">
        <x:v>日礼包/星辉秘契/12</x:v>
      </x:c>
      <x:c r="B17" s="61" t="str">
        <x:v>钻石</x:v>
      </x:c>
      <x:c r="C17" s="61" t="n">
        <x:v>392</x:v>
      </x:c>
      <x:c r="D17" s="62" t="n">
        <x:f>IF(ISNUMBER(C17),C17,"待核")</x:f>
        <x:v>392</x:v>
      </x:c>
      <x:c r="E17" s="62" t="n">
        <x:v>560</x:v>
      </x:c>
      <x:c r="F17" s="62" t="n">
        <x:f>IF(AND(ISNUMBER(D17),ISNUMBER(E17),D17&gt;0),E17/D17,"待核")</x:f>
        <x:v>1.4285714285714286</x:v>
      </x:c>
      <x:c r="G17" s="63" t="n">
        <x:f>IF(AND(ISNUMBER(D17),ISNUMBER(E17),E17&gt;0),D17/E17*10,"待核")</x:f>
        <x:v>7</x:v>
      </x:c>
      <x:c r="H17" s="61" t="n">
        <x:v>7</x:v>
      </x:c>
      <x:c r="I17" s="61" t="str">
        <x:v>星辉秘契×2</x:v>
      </x:c>
      <x:c r="J17" s="61" t="n">
        <x:v>3</x:v>
      </x:c>
      <x:c r="K17" s="61" t="str">
        <x:v>明细规划</x:v>
      </x:c>
      <x:c r="L17" s="61" t="str">
        <x:v>主/日周月礼包!第12行</x:v>
      </x:c>
    </x:row>
    <x:row r="18" ht="42" customHeight="1">
      <x:c r="A18" s="61" t="str">
        <x:v>日礼包/星辉秘契/13</x:v>
      </x:c>
      <x:c r="B18" s="61" t="str">
        <x:v>钻石</x:v>
      </x:c>
      <x:c r="C18" s="61" t="n">
        <x:v>840</x:v>
      </x:c>
      <x:c r="D18" s="62" t="n">
        <x:f>IF(ISNUMBER(C18),C18,"待核")</x:f>
        <x:v>840</x:v>
      </x:c>
      <x:c r="E18" s="62" t="n">
        <x:v>1400</x:v>
      </x:c>
      <x:c r="F18" s="62" t="n">
        <x:f>IF(AND(ISNUMBER(D18),ISNUMBER(E18),D18&gt;0),E18/D18,"待核")</x:f>
        <x:v>1.6666666666666667</x:v>
      </x:c>
      <x:c r="G18" s="63" t="n">
        <x:f>IF(AND(ISNUMBER(D18),ISNUMBER(E18),E18&gt;0),D18/E18*10,"待核")</x:f>
        <x:v>6</x:v>
      </x:c>
      <x:c r="H18" s="61" t="n">
        <x:v>6</x:v>
      </x:c>
      <x:c r="I18" s="61" t="str">
        <x:v>星辉秘契×5</x:v>
      </x:c>
      <x:c r="J18" s="61" t="n">
        <x:v>3</x:v>
      </x:c>
      <x:c r="K18" s="61" t="str">
        <x:v>明细规划</x:v>
      </x:c>
      <x:c r="L18" s="61" t="str">
        <x:v>主/日周月礼包!第13行</x:v>
      </x:c>
    </x:row>
    <x:row r="19" ht="42" customHeight="1">
      <x:c r="A19" s="61" t="str">
        <x:v>日礼包/符引结晶/14</x:v>
      </x:c>
      <x:c r="B19" s="61" t="str">
        <x:v>钻石</x:v>
      </x:c>
      <x:c r="C19" s="61" t="n">
        <x:v>225</x:v>
      </x:c>
      <x:c r="D19" s="62" t="n">
        <x:f>IF(ISNUMBER(C19),C19,"待核")</x:f>
        <x:v>225</x:v>
      </x:c>
      <x:c r="E19" s="62" t="n">
        <x:v>250</x:v>
      </x:c>
      <x:c r="F19" s="62" t="n">
        <x:f>IF(AND(ISNUMBER(D19),ISNUMBER(E19),D19&gt;0),E19/D19,"待核")</x:f>
        <x:v>1.1111111111111112</x:v>
      </x:c>
      <x:c r="G19" s="63" t="n">
        <x:f>IF(AND(ISNUMBER(D19),ISNUMBER(E19),E19&gt;0),D19/E19*10,"待核")</x:f>
        <x:v>9</x:v>
      </x:c>
      <x:c r="H19" s="61" t="n">
        <x:v>9</x:v>
      </x:c>
      <x:c r="I19" s="61" t="str">
        <x:v>符引结晶×50</x:v>
      </x:c>
      <x:c r="J19" s="61" t="n">
        <x:v>2</x:v>
      </x:c>
      <x:c r="K19" s="61" t="str">
        <x:v>明细规划</x:v>
      </x:c>
      <x:c r="L19" s="61" t="str">
        <x:v>主/日周月礼包!第14行</x:v>
      </x:c>
    </x:row>
    <x:row r="20" ht="42" customHeight="1">
      <x:c r="A20" s="61" t="str">
        <x:v>日礼包/织梦微尘/15</x:v>
      </x:c>
      <x:c r="B20" s="61" t="str">
        <x:v>钻石</x:v>
      </x:c>
      <x:c r="C20" s="61" t="n">
        <x:v>210</x:v>
      </x:c>
      <x:c r="D20" s="62" t="n">
        <x:f>IF(ISNUMBER(C20),C20,"待核")</x:f>
        <x:v>210</x:v>
      </x:c>
      <x:c r="E20" s="62" t="n">
        <x:v>150</x:v>
      </x:c>
      <x:c r="F20" s="62" t="n">
        <x:f>IF(AND(ISNUMBER(D20),ISNUMBER(E20),D20&gt;0),E20/D20,"待核")</x:f>
        <x:v>0.7142857142857143</x:v>
      </x:c>
      <x:c r="G20" s="63" t="n">
        <x:f>IF(AND(ISNUMBER(D20),ISNUMBER(E20),E20&gt;0),D20/E20*10,"待核")</x:f>
        <x:v>14</x:v>
      </x:c>
      <x:c r="H20" s="61" t="n">
        <x:v>7</x:v>
      </x:c>
      <x:c r="I20" s="61" t="str">
        <x:v>织梦微尘×50</x:v>
      </x:c>
      <x:c r="J20" s="61" t="n">
        <x:v>3</x:v>
      </x:c>
      <x:c r="K20" s="61" t="str">
        <x:v>明细规划</x:v>
      </x:c>
      <x:c r="L20" s="61" t="str">
        <x:v>主/日周月礼包!第15行</x:v>
      </x:c>
    </x:row>
    <x:row r="21" ht="42" customHeight="1">
      <x:c r="A21" s="61" t="str">
        <x:v>日礼包/锻造晶石/16</x:v>
      </x:c>
      <x:c r="B21" s="61" t="str">
        <x:v>钻石</x:v>
      </x:c>
      <x:c r="C21" s="61" t="n">
        <x:v>300</x:v>
      </x:c>
      <x:c r="D21" s="62" t="n">
        <x:f>IF(ISNUMBER(C21),C21,"待核")</x:f>
        <x:v>300</x:v>
      </x:c>
      <x:c r="E21" s="62" t="n">
        <x:v>50</x:v>
      </x:c>
      <x:c r="F21" s="62" t="n">
        <x:f>IF(AND(ISNUMBER(D21),ISNUMBER(E21),D21&gt;0),E21/D21,"待核")</x:f>
        <x:v>0.16666666666666666</x:v>
      </x:c>
      <x:c r="G21" s="63" t="n">
        <x:f>IF(AND(ISNUMBER(D21),ISNUMBER(E21),E21&gt;0),D21/E21*10,"待核")</x:f>
        <x:v>60</x:v>
      </x:c>
      <x:c r="H21" s="61" t="n">
        <x:v>6</x:v>
      </x:c>
      <x:c r="I21" s="61" t="str">
        <x:v>锻造晶石×500</x:v>
      </x:c>
      <x:c r="J21" s="61" t="n">
        <x:v>5</x:v>
      </x:c>
      <x:c r="K21" s="61" t="str">
        <x:v>明细规划</x:v>
      </x:c>
      <x:c r="L21" s="61" t="str">
        <x:v>主/日周月礼包!第16行</x:v>
      </x:c>
    </x:row>
    <x:row r="22" ht="42" customHeight="1">
      <x:c r="A22" s="61" t="str">
        <x:v>日礼包/幻梦晶核/17</x:v>
      </x:c>
      <x:c r="B22" s="61" t="str">
        <x:v>钻石</x:v>
      </x:c>
      <x:c r="C22" s="61" t="n">
        <x:v>216</x:v>
      </x:c>
      <x:c r="D22" s="62" t="n">
        <x:f>IF(ISNUMBER(C22),C22,"待核")</x:f>
        <x:v>216</x:v>
      </x:c>
      <x:c r="E22" s="62" t="n">
        <x:v>360</x:v>
      </x:c>
      <x:c r="F22" s="62" t="n">
        <x:f>IF(AND(ISNUMBER(D22),ISNUMBER(E22),D22&gt;0),E22/D22,"待核")</x:f>
        <x:v>1.6666666666666667</x:v>
      </x:c>
      <x:c r="G22" s="63" t="n">
        <x:f>IF(AND(ISNUMBER(D22),ISNUMBER(E22),E22&gt;0),D22/E22*10,"待核")</x:f>
        <x:v>6</x:v>
      </x:c>
      <x:c r="H22" s="61" t="n">
        <x:v>6</x:v>
      </x:c>
      <x:c r="I22" s="61" t="str">
        <x:v>幻梦晶核×6</x:v>
      </x:c>
      <x:c r="J22" s="61" t="n">
        <x:v>2</x:v>
      </x:c>
      <x:c r="K22" s="61" t="str">
        <x:v>明细规划</x:v>
      </x:c>
      <x:c r="L22" s="61" t="str">
        <x:v>主/日周月礼包!第17行</x:v>
      </x:c>
    </x:row>
    <x:row r="23" ht="42" customHeight="1">
      <x:c r="A23" s="61" t="str">
        <x:v>日礼包/转运石/18</x:v>
      </x:c>
      <x:c r="B23" s="61" t="str">
        <x:v>钻石</x:v>
      </x:c>
      <x:c r="C23" s="61" t="n">
        <x:v>196</x:v>
      </x:c>
      <x:c r="D23" s="62" t="n">
        <x:f>IF(ISNUMBER(C23),C23,"待核")</x:f>
        <x:v>196</x:v>
      </x:c>
      <x:c r="E23" s="62" t="n">
        <x:v>330</x:v>
      </x:c>
      <x:c r="F23" s="62" t="n">
        <x:f>IF(AND(ISNUMBER(D23),ISNUMBER(E23),D23&gt;0),E23/D23,"待核")</x:f>
        <x:v>1.683673469387755</x:v>
      </x:c>
      <x:c r="G23" s="63" t="n">
        <x:f>IF(AND(ISNUMBER(D23),ISNUMBER(E23),E23&gt;0),D23/E23*10,"待核")</x:f>
        <x:v>5.9393939393939394</x:v>
      </x:c>
      <x:c r="H23" s="61" t="n">
        <x:v>6</x:v>
      </x:c>
      <x:c r="I23" s="61" t="str">
        <x:v>转运石×1000</x:v>
      </x:c>
      <x:c r="J23" s="61" t="n">
        <x:v>3</x:v>
      </x:c>
      <x:c r="K23" s="61" t="str">
        <x:v>明细规划</x:v>
      </x:c>
      <x:c r="L23" s="61" t="str">
        <x:v>主/日周月礼包!第18行</x:v>
      </x:c>
    </x:row>
    <x:row r="24" ht="42" customHeight="1">
      <x:c r="A24" s="61" t="str">
        <x:v>日礼包/智械发条/19</x:v>
      </x:c>
      <x:c r="B24" s="61" t="str">
        <x:v>钻石</x:v>
      </x:c>
      <x:c r="C24" s="61" t="n">
        <x:v>225</x:v>
      </x:c>
      <x:c r="D24" s="62" t="n">
        <x:f>IF(ISNUMBER(C24),C24,"待核")</x:f>
        <x:v>225</x:v>
      </x:c>
      <x:c r="E24" s="62" t="n">
        <x:v>450</x:v>
      </x:c>
      <x:c r="F24" s="62" t="n">
        <x:f>IF(AND(ISNUMBER(D24),ISNUMBER(E24),D24&gt;0),E24/D24,"待核")</x:f>
        <x:v>2</x:v>
      </x:c>
      <x:c r="G24" s="63" t="n">
        <x:f>IF(AND(ISNUMBER(D24),ISNUMBER(E24),E24&gt;0),D24/E24*10,"待核")</x:f>
        <x:v>5</x:v>
      </x:c>
      <x:c r="H24" s="61" t="n">
        <x:v>5</x:v>
      </x:c>
      <x:c r="I24" s="61" t="str">
        <x:v>智械发条×3</x:v>
      </x:c>
      <x:c r="J24" s="61" t="n">
        <x:v>5</x:v>
      </x:c>
      <x:c r="K24" s="61" t="str">
        <x:v>明细规划</x:v>
      </x:c>
      <x:c r="L24" s="61" t="str">
        <x:v>主/日周月礼包!第19行</x:v>
      </x:c>
    </x:row>
    <x:row r="25" ht="42" customHeight="1">
      <x:c r="A25" s="61" t="str">
        <x:v>周礼包/体力/28</x:v>
      </x:c>
      <x:c r="B25" s="61" t="str">
        <x:v>钻石</x:v>
      </x:c>
      <x:c r="C25" s="61" t="n">
        <x:v>0</x:v>
      </x:c>
      <x:c r="D25" s="62" t="n">
        <x:f>IF(ISNUMBER(C25),C25,"待核")</x:f>
        <x:v>0</x:v>
      </x:c>
      <x:c r="E25" s="62" t="n">
        <x:v>20</x:v>
      </x:c>
      <x:c r="F25" s="62" t="str">
        <x:f>IF(AND(ISNUMBER(D25),ISNUMBER(E25),D25&gt;0),E25/D25,"待核")</x:f>
        <x:v>待核</x:v>
      </x:c>
      <x:c r="G25" s="63" t="n">
        <x:f>IF(AND(ISNUMBER(D25),ISNUMBER(E25),E25&gt;0),D25/E25*10,"待核")</x:f>
        <x:v>0</x:v>
      </x:c>
      <x:c r="H25" s="61"/>
      <x:c r="I25" s="61" t="str">
        <x:v>体力×10</x:v>
      </x:c>
      <x:c r="J25" s="61" t="str"/>
      <x:c r="K25" s="61" t="str">
        <x:v>明细规划</x:v>
      </x:c>
      <x:c r="L25" s="61" t="str">
        <x:v>主/日周月礼包!第28行</x:v>
      </x:c>
    </x:row>
    <x:row r="26" ht="42" customHeight="1">
      <x:c r="A26" s="61" t="str">
        <x:v>周礼包/体力/29</x:v>
      </x:c>
      <x:c r="B26" s="61" t="str">
        <x:v>广告</x:v>
      </x:c>
      <x:c r="C26" s="61" t="str">
        <x:v>广告</x:v>
      </x:c>
      <x:c r="D26" s="62" t="str">
        <x:f>IF(ISNUMBER(C26),C26,"待核")</x:f>
        <x:v>待核</x:v>
      </x:c>
      <x:c r="E26" s="62" t="n">
        <x:v>20</x:v>
      </x:c>
      <x:c r="F26" s="62" t="str">
        <x:f>IF(AND(ISNUMBER(D26),ISNUMBER(E26),D26&gt;0),E26/D26,"待核")</x:f>
        <x:v>待核</x:v>
      </x:c>
      <x:c r="G26" s="63" t="str">
        <x:f>IF(AND(ISNUMBER(D26),ISNUMBER(E26),E26&gt;0),D26/E26*10,"待核")</x:f>
        <x:v>待核</x:v>
      </x:c>
      <x:c r="H26" s="61"/>
      <x:c r="I26" s="61" t="str">
        <x:v>体力×10</x:v>
      </x:c>
      <x:c r="J26" s="61" t="str"/>
      <x:c r="K26" s="61" t="str">
        <x:v>明细规划</x:v>
      </x:c>
      <x:c r="L26" s="61" t="str">
        <x:v>主/日周月礼包!第29行</x:v>
      </x:c>
    </x:row>
    <x:row r="27" ht="42" customHeight="1">
      <x:c r="A27" s="61" t="str">
        <x:v>周礼包/体力/30</x:v>
      </x:c>
      <x:c r="B27" s="61" t="str">
        <x:v>钻石</x:v>
      </x:c>
      <x:c r="C27" s="61" t="n">
        <x:v>84</x:v>
      </x:c>
      <x:c r="D27" s="62" t="n">
        <x:f>IF(ISNUMBER(C27),C27,"待核")</x:f>
        <x:v>84</x:v>
      </x:c>
      <x:c r="E27" s="62" t="n">
        <x:v>120</x:v>
      </x:c>
      <x:c r="F27" s="62" t="n">
        <x:f>IF(AND(ISNUMBER(D27),ISNUMBER(E27),D27&gt;0),E27/D27,"待核")</x:f>
        <x:v>1.4285714285714286</x:v>
      </x:c>
      <x:c r="G27" s="63" t="n">
        <x:f>IF(AND(ISNUMBER(D27),ISNUMBER(E27),E27&gt;0),D27/E27*10,"待核")</x:f>
        <x:v>7</x:v>
      </x:c>
      <x:c r="H27" s="61" t="n">
        <x:v>7</x:v>
      </x:c>
      <x:c r="I27" s="61" t="str">
        <x:v>体力×60</x:v>
      </x:c>
      <x:c r="J27" s="61" t="n">
        <x:v>5</x:v>
      </x:c>
      <x:c r="K27" s="61" t="str">
        <x:v>明细规划</x:v>
      </x:c>
      <x:c r="L27" s="61" t="str">
        <x:v>主/日周月礼包!第30行</x:v>
      </x:c>
    </x:row>
    <x:row r="28" ht="42" customHeight="1">
      <x:c r="A28" s="61" t="str">
        <x:v>周礼包/金币/31</x:v>
      </x:c>
      <x:c r="B28" s="61" t="str">
        <x:v>钻石</x:v>
      </x:c>
      <x:c r="C28" s="61" t="n">
        <x:v>200</x:v>
      </x:c>
      <x:c r="D28" s="62" t="n">
        <x:f>IF(ISNUMBER(C28),C28,"待核")</x:f>
        <x:v>200</x:v>
      </x:c>
      <x:c r="E28" s="62" t="n">
        <x:v>500</x:v>
      </x:c>
      <x:c r="F28" s="62" t="n">
        <x:f>IF(AND(ISNUMBER(D28),ISNUMBER(E28),D28&gt;0),E28/D28,"待核")</x:f>
        <x:v>2.5</x:v>
      </x:c>
      <x:c r="G28" s="63" t="n">
        <x:f>IF(AND(ISNUMBER(D28),ISNUMBER(E28),E28&gt;0),D28/E28*10,"待核")</x:f>
        <x:v>4</x:v>
      </x:c>
      <x:c r="H28" s="61" t="n">
        <x:v>4</x:v>
      </x:c>
      <x:c r="I28" s="61" t="str">
        <x:v>金币×10000</x:v>
      </x:c>
      <x:c r="J28" s="61" t="n">
        <x:v>1</x:v>
      </x:c>
      <x:c r="K28" s="61" t="str">
        <x:v>明细规划</x:v>
      </x:c>
      <x:c r="L28" s="61" t="str">
        <x:v>主/日周月礼包!第31行</x:v>
      </x:c>
    </x:row>
    <x:row r="29" ht="42" customHeight="1">
      <x:c r="A29" s="61" t="str">
        <x:v>周礼包/梦境招募器/32</x:v>
      </x:c>
      <x:c r="B29" s="61" t="str">
        <x:v>钻石</x:v>
      </x:c>
      <x:c r="C29" s="61" t="n">
        <x:v>1050</x:v>
      </x:c>
      <x:c r="D29" s="62" t="n">
        <x:f>IF(ISNUMBER(C29),C29,"待核")</x:f>
        <x:v>1050</x:v>
      </x:c>
      <x:c r="E29" s="62" t="n">
        <x:v>1500</x:v>
      </x:c>
      <x:c r="F29" s="62" t="n">
        <x:f>IF(AND(ISNUMBER(D29),ISNUMBER(E29),D29&gt;0),E29/D29,"待核")</x:f>
        <x:v>1.4285714285714286</x:v>
      </x:c>
      <x:c r="G29" s="63" t="n">
        <x:f>IF(AND(ISNUMBER(D29),ISNUMBER(E29),E29&gt;0),D29/E29*10,"待核")</x:f>
        <x:v>7</x:v>
      </x:c>
      <x:c r="H29" s="61" t="n">
        <x:v>7</x:v>
      </x:c>
      <x:c r="I29" s="61" t="str">
        <x:v>梦境招募器×50</x:v>
      </x:c>
      <x:c r="J29" s="61" t="n">
        <x:v>3</x:v>
      </x:c>
      <x:c r="K29" s="61" t="str">
        <x:v>明细规划</x:v>
      </x:c>
      <x:c r="L29" s="61" t="str">
        <x:v>主/日周月礼包!第32行</x:v>
      </x:c>
    </x:row>
    <x:row r="30" ht="42" customHeight="1">
      <x:c r="A30" s="61" t="str">
        <x:v>周礼包/梦境招募器/33</x:v>
      </x:c>
      <x:c r="B30" s="61" t="str">
        <x:v>钻石</x:v>
      </x:c>
      <x:c r="C30" s="61" t="n">
        <x:v>1800</x:v>
      </x:c>
      <x:c r="D30" s="62" t="n">
        <x:f>IF(ISNUMBER(C30),C30,"待核")</x:f>
        <x:v>1800</x:v>
      </x:c>
      <x:c r="E30" s="62" t="n">
        <x:v>3000</x:v>
      </x:c>
      <x:c r="F30" s="62" t="n">
        <x:f>IF(AND(ISNUMBER(D30),ISNUMBER(E30),D30&gt;0),E30/D30,"待核")</x:f>
        <x:v>1.6666666666666667</x:v>
      </x:c>
      <x:c r="G30" s="63" t="n">
        <x:f>IF(AND(ISNUMBER(D30),ISNUMBER(E30),E30&gt;0),D30/E30*10,"待核")</x:f>
        <x:v>6</x:v>
      </x:c>
      <x:c r="H30" s="61" t="n">
        <x:v>6</x:v>
      </x:c>
      <x:c r="I30" s="61" t="str">
        <x:v>梦境招募器×100</x:v>
      </x:c>
      <x:c r="J30" s="61" t="n">
        <x:v>3</x:v>
      </x:c>
      <x:c r="K30" s="61" t="str">
        <x:v>明细规划</x:v>
      </x:c>
      <x:c r="L30" s="61" t="str">
        <x:v>主/日周月礼包!第33行</x:v>
      </x:c>
    </x:row>
    <x:row r="31" ht="42" customHeight="1">
      <x:c r="A31" s="61" t="str">
        <x:v>周礼包/超能特饮/34</x:v>
      </x:c>
      <x:c r="B31" s="61" t="str">
        <x:v>钻石</x:v>
      </x:c>
      <x:c r="C31" s="61" t="n">
        <x:v>320</x:v>
      </x:c>
      <x:c r="D31" s="62" t="n">
        <x:f>IF(ISNUMBER(C31),C31,"待核")</x:f>
        <x:v>320</x:v>
      </x:c>
      <x:c r="E31" s="62" t="n">
        <x:v>800</x:v>
      </x:c>
      <x:c r="F31" s="62" t="n">
        <x:f>IF(AND(ISNUMBER(D31),ISNUMBER(E31),D31&gt;0),E31/D31,"待核")</x:f>
        <x:v>2.5</x:v>
      </x:c>
      <x:c r="G31" s="63" t="n">
        <x:f>IF(AND(ISNUMBER(D31),ISNUMBER(E31),E31&gt;0),D31/E31*10,"待核")</x:f>
        <x:v>4</x:v>
      </x:c>
      <x:c r="H31" s="61" t="n">
        <x:v>7</x:v>
      </x:c>
      <x:c r="I31" s="61" t="str">
        <x:v>超能特饮×400</x:v>
      </x:c>
      <x:c r="J31" s="61" t="n">
        <x:v>10</x:v>
      </x:c>
      <x:c r="K31" s="61" t="str">
        <x:v>明细规划</x:v>
      </x:c>
      <x:c r="L31" s="61" t="str">
        <x:v>主/日周月礼包!第34行</x:v>
      </x:c>
    </x:row>
    <x:row r="32" ht="42" customHeight="1">
      <x:c r="A32" s="61" t="str">
        <x:v>周礼包/装备图纸/35</x:v>
      </x:c>
      <x:c r="B32" s="61" t="str">
        <x:v>钻石</x:v>
      </x:c>
      <x:c r="C32" s="61" t="n">
        <x:v>360</x:v>
      </x:c>
      <x:c r="D32" s="62" t="n">
        <x:f>IF(ISNUMBER(C32),C32,"待核")</x:f>
        <x:v>360</x:v>
      </x:c>
      <x:c r="E32" s="62" t="n">
        <x:v>600</x:v>
      </x:c>
      <x:c r="F32" s="62" t="n">
        <x:f>IF(AND(ISNUMBER(D32),ISNUMBER(E32),D32&gt;0),E32/D32,"待核")</x:f>
        <x:v>1.6666666666666667</x:v>
      </x:c>
      <x:c r="G32" s="63" t="n">
        <x:f>IF(AND(ISNUMBER(D32),ISNUMBER(E32),E32&gt;0),D32/E32*10,"待核")</x:f>
        <x:v>6</x:v>
      </x:c>
      <x:c r="H32" s="61" t="n">
        <x:v>6</x:v>
      </x:c>
      <x:c r="I32" s="61" t="str">
        <x:v>装备图纸×200</x:v>
      </x:c>
      <x:c r="J32" s="61" t="n">
        <x:v>3</x:v>
      </x:c>
      <x:c r="K32" s="61" t="str">
        <x:v>明细规划</x:v>
      </x:c>
      <x:c r="L32" s="61" t="str">
        <x:v>主/日周月礼包!第35行</x:v>
      </x:c>
    </x:row>
    <x:row r="33" ht="42" customHeight="1">
      <x:c r="A33" s="61" t="str">
        <x:v>周礼包/星辉秘契/36</x:v>
      </x:c>
      <x:c r="B33" s="61" t="str">
        <x:v>钻石</x:v>
      </x:c>
      <x:c r="C33" s="61" t="n">
        <x:v>1400</x:v>
      </x:c>
      <x:c r="D33" s="62" t="n">
        <x:f>IF(ISNUMBER(C33),C33,"待核")</x:f>
        <x:v>1400</x:v>
      </x:c>
      <x:c r="E33" s="62" t="n">
        <x:v>2800</x:v>
      </x:c>
      <x:c r="F33" s="62" t="n">
        <x:f>IF(AND(ISNUMBER(D33),ISNUMBER(E33),D33&gt;0),E33/D33,"待核")</x:f>
        <x:v>2</x:v>
      </x:c>
      <x:c r="G33" s="63" t="n">
        <x:f>IF(AND(ISNUMBER(D33),ISNUMBER(E33),E33&gt;0),D33/E33*10,"待核")</x:f>
        <x:v>5</x:v>
      </x:c>
      <x:c r="H33" s="61" t="n">
        <x:v>5</x:v>
      </x:c>
      <x:c r="I33" s="61" t="str">
        <x:v>星辉秘契×10</x:v>
      </x:c>
      <x:c r="J33" s="61" t="n">
        <x:v>5</x:v>
      </x:c>
      <x:c r="K33" s="61" t="str">
        <x:v>明细规划</x:v>
      </x:c>
      <x:c r="L33" s="61" t="str">
        <x:v>主/日周月礼包!第36行</x:v>
      </x:c>
    </x:row>
    <x:row r="34" ht="42" customHeight="1">
      <x:c r="A34" s="61" t="str">
        <x:v>周礼包/星辉秘契/37</x:v>
      </x:c>
      <x:c r="B34" s="61" t="str">
        <x:v>钻石</x:v>
      </x:c>
      <x:c r="C34" s="61" t="n">
        <x:v>2240</x:v>
      </x:c>
      <x:c r="D34" s="62" t="n">
        <x:f>IF(ISNUMBER(C34),C34,"待核")</x:f>
        <x:v>2240</x:v>
      </x:c>
      <x:c r="E34" s="62" t="n">
        <x:v>5600</x:v>
      </x:c>
      <x:c r="F34" s="62" t="n">
        <x:f>IF(AND(ISNUMBER(D34),ISNUMBER(E34),D34&gt;0),E34/D34,"待核")</x:f>
        <x:v>2.5</x:v>
      </x:c>
      <x:c r="G34" s="63" t="n">
        <x:f>IF(AND(ISNUMBER(D34),ISNUMBER(E34),E34&gt;0),D34/E34*10,"待核")</x:f>
        <x:v>4</x:v>
      </x:c>
      <x:c r="H34" s="61" t="n">
        <x:v>4</x:v>
      </x:c>
      <x:c r="I34" s="61" t="str">
        <x:v>星辉秘契×20</x:v>
      </x:c>
      <x:c r="J34" s="61" t="n">
        <x:v>5</x:v>
      </x:c>
      <x:c r="K34" s="61" t="str">
        <x:v>明细规划</x:v>
      </x:c>
      <x:c r="L34" s="61" t="str">
        <x:v>主/日周月礼包!第37行</x:v>
      </x:c>
    </x:row>
    <x:row r="35" ht="42" customHeight="1">
      <x:c r="A35" s="61" t="str">
        <x:v>周礼包/符引结晶/38</x:v>
      </x:c>
      <x:c r="B35" s="61" t="str">
        <x:v>钻石</x:v>
      </x:c>
      <x:c r="C35" s="61" t="n">
        <x:v>400</x:v>
      </x:c>
      <x:c r="D35" s="62" t="n">
        <x:f>IF(ISNUMBER(C35),C35,"待核")</x:f>
        <x:v>400</x:v>
      </x:c>
      <x:c r="E35" s="62" t="n">
        <x:v>500</x:v>
      </x:c>
      <x:c r="F35" s="62" t="n">
        <x:f>IF(AND(ISNUMBER(D35),ISNUMBER(E35),D35&gt;0),E35/D35,"待核")</x:f>
        <x:v>1.25</x:v>
      </x:c>
      <x:c r="G35" s="63" t="n">
        <x:f>IF(AND(ISNUMBER(D35),ISNUMBER(E35),E35&gt;0),D35/E35*10,"待核")</x:f>
        <x:v>8</x:v>
      </x:c>
      <x:c r="H35" s="61" t="n">
        <x:v>8</x:v>
      </x:c>
      <x:c r="I35" s="61" t="str">
        <x:v>符引结晶×100</x:v>
      </x:c>
      <x:c r="J35" s="61" t="n">
        <x:v>3</x:v>
      </x:c>
      <x:c r="K35" s="61" t="str">
        <x:v>明细规划</x:v>
      </x:c>
      <x:c r="L35" s="61" t="str">
        <x:v>主/日周月礼包!第38行</x:v>
      </x:c>
    </x:row>
    <x:row r="36" ht="42" customHeight="1">
      <x:c r="A36" s="61" t="str">
        <x:v>周礼包/幻梦晶核/39</x:v>
      </x:c>
      <x:c r="B36" s="61" t="str">
        <x:v>钻石</x:v>
      </x:c>
      <x:c r="C36" s="61" t="n">
        <x:v>360</x:v>
      </x:c>
      <x:c r="D36" s="62" t="n">
        <x:f>IF(ISNUMBER(C36),C36,"待核")</x:f>
        <x:v>360</x:v>
      </x:c>
      <x:c r="E36" s="62" t="n">
        <x:v>720</x:v>
      </x:c>
      <x:c r="F36" s="62" t="n">
        <x:f>IF(AND(ISNUMBER(D36),ISNUMBER(E36),D36&gt;0),E36/D36,"待核")</x:f>
        <x:v>2</x:v>
      </x:c>
      <x:c r="G36" s="63" t="n">
        <x:f>IF(AND(ISNUMBER(D36),ISNUMBER(E36),E36&gt;0),D36/E36*10,"待核")</x:f>
        <x:v>5</x:v>
      </x:c>
      <x:c r="H36" s="61" t="n">
        <x:v>5</x:v>
      </x:c>
      <x:c r="I36" s="61" t="str">
        <x:v>幻梦晶核×12</x:v>
      </x:c>
      <x:c r="J36" s="61" t="n">
        <x:v>2</x:v>
      </x:c>
      <x:c r="K36" s="61" t="str">
        <x:v>明细规划</x:v>
      </x:c>
      <x:c r="L36" s="61" t="str">
        <x:v>主/日周月礼包!第39行</x:v>
      </x:c>
    </x:row>
    <x:row r="37" ht="42" customHeight="1">
      <x:c r="A37" s="61" t="str">
        <x:v>周礼包/织梦微尘/40</x:v>
      </x:c>
      <x:c r="B37" s="61" t="str">
        <x:v>钻石</x:v>
      </x:c>
      <x:c r="C37" s="61" t="n">
        <x:v>360</x:v>
      </x:c>
      <x:c r="D37" s="62" t="n">
        <x:f>IF(ISNUMBER(C37),C37,"待核")</x:f>
        <x:v>360</x:v>
      </x:c>
      <x:c r="E37" s="62" t="n">
        <x:v>600</x:v>
      </x:c>
      <x:c r="F37" s="62" t="n">
        <x:f>IF(AND(ISNUMBER(D37),ISNUMBER(E37),D37&gt;0),E37/D37,"待核")</x:f>
        <x:v>1.6666666666666667</x:v>
      </x:c>
      <x:c r="G37" s="63" t="n">
        <x:f>IF(AND(ISNUMBER(D37),ISNUMBER(E37),E37&gt;0),D37/E37*10,"待核")</x:f>
        <x:v>6</x:v>
      </x:c>
      <x:c r="H37" s="61" t="n">
        <x:v>6</x:v>
      </x:c>
      <x:c r="I37" s="61" t="str">
        <x:v>织梦微尘×200</x:v>
      </x:c>
      <x:c r="J37" s="61" t="n">
        <x:v>3</x:v>
      </x:c>
      <x:c r="K37" s="61" t="str">
        <x:v>明细规划</x:v>
      </x:c>
      <x:c r="L37" s="61" t="str">
        <x:v>主/日周月礼包!第40行</x:v>
      </x:c>
    </x:row>
    <x:row r="38" ht="42" customHeight="1">
      <x:c r="A38" s="61" t="str">
        <x:v>周礼包/加速沙漏/41</x:v>
      </x:c>
      <x:c r="B38" s="61" t="str">
        <x:v>钻石</x:v>
      </x:c>
      <x:c r="C38" s="61" t="n">
        <x:v>200</x:v>
      </x:c>
      <x:c r="D38" s="62" t="n">
        <x:f>IF(ISNUMBER(C38),C38,"待核")</x:f>
        <x:v>200</x:v>
      </x:c>
      <x:c r="E38" s="62" t="n">
        <x:v>250</x:v>
      </x:c>
      <x:c r="F38" s="62" t="n">
        <x:f>IF(AND(ISNUMBER(D38),ISNUMBER(E38),D38&gt;0),E38/D38,"待核")</x:f>
        <x:v>1.25</x:v>
      </x:c>
      <x:c r="G38" s="63" t="n">
        <x:f>IF(AND(ISNUMBER(D38),ISNUMBER(E38),E38&gt;0),D38/E38*10,"待核")</x:f>
        <x:v>8</x:v>
      </x:c>
      <x:c r="H38" s="61" t="n">
        <x:v>8</x:v>
      </x:c>
      <x:c r="I38" s="61" t="str">
        <x:v>加速沙漏×50</x:v>
      </x:c>
      <x:c r="J38" s="61" t="n">
        <x:v>10</x:v>
      </x:c>
      <x:c r="K38" s="61" t="str">
        <x:v>删除投放</x:v>
      </x:c>
      <x:c r="L38" s="61" t="str">
        <x:v>主/日周月礼包!第41行</x:v>
      </x:c>
    </x:row>
    <x:row r="39" ht="42" customHeight="1">
      <x:c r="A39" s="61" t="str">
        <x:v>周礼包/梦境衣橱礼包/42</x:v>
      </x:c>
      <x:c r="B39" s="61" t="str">
        <x:v>钻石</x:v>
      </x:c>
      <x:c r="C39" s="61" t="n">
        <x:v>980</x:v>
      </x:c>
      <x:c r="D39" s="62" t="n">
        <x:f>IF(ISNUMBER(C39),C39,"待核")</x:f>
        <x:v>980</x:v>
      </x:c>
      <x:c r="E39" s="62" t="str">
        <x:v>缺完整估值</x:v>
      </x:c>
      <x:c r="F39" s="62" t="str">
        <x:f>IF(AND(ISNUMBER(D39),ISNUMBER(E39),D39&gt;0),E39/D39,"待核")</x:f>
        <x:v>待核</x:v>
      </x:c>
      <x:c r="G39" s="63" t="str">
        <x:f>IF(AND(ISNUMBER(D39),ISNUMBER(E39),E39&gt;0),D39/E39*10,"待核")</x:f>
        <x:v>待核</x:v>
      </x:c>
      <x:c r="H39" s="61" t="n">
        <x:v>1</x:v>
      </x:c>
      <x:c r="I39" s="61" t="str">
        <x:v>梦境衣橱礼包×1</x:v>
      </x:c>
      <x:c r="J39" s="61" t="n">
        <x:v>3</x:v>
      </x:c>
      <x:c r="K39" s="61" t="str">
        <x:v>明细规划；估值缺失</x:v>
      </x:c>
      <x:c r="L39" s="61" t="str">
        <x:v>主/日周月礼包!第42行</x:v>
      </x:c>
    </x:row>
    <x:row r="40" ht="42" customHeight="1">
      <x:c r="A40" s="61" t="str">
        <x:v>周礼包/转运石/43</x:v>
      </x:c>
      <x:c r="B40" s="61" t="str">
        <x:v>钻石</x:v>
      </x:c>
      <x:c r="C40" s="61" t="n">
        <x:v>500</x:v>
      </x:c>
      <x:c r="D40" s="62" t="n">
        <x:f>IF(ISNUMBER(C40),C40,"待核")</x:f>
        <x:v>500</x:v>
      </x:c>
      <x:c r="E40" s="62" t="n">
        <x:v>990</x:v>
      </x:c>
      <x:c r="F40" s="62" t="n">
        <x:f>IF(AND(ISNUMBER(D40),ISNUMBER(E40),D40&gt;0),E40/D40,"待核")</x:f>
        <x:v>1.98</x:v>
      </x:c>
      <x:c r="G40" s="63" t="n">
        <x:f>IF(AND(ISNUMBER(D40),ISNUMBER(E40),E40&gt;0),D40/E40*10,"待核")</x:f>
        <x:v>5.050505050505051</x:v>
      </x:c>
      <x:c r="H40" s="61" t="n">
        <x:v>5</x:v>
      </x:c>
      <x:c r="I40" s="61" t="str">
        <x:v>转运石×3000</x:v>
      </x:c>
      <x:c r="J40" s="61" t="n">
        <x:v>4</x:v>
      </x:c>
      <x:c r="K40" s="61" t="str">
        <x:v>明细规划</x:v>
      </x:c>
      <x:c r="L40" s="61" t="str">
        <x:v>主/日周月礼包!第43行</x:v>
      </x:c>
    </x:row>
    <x:row r="41" ht="42" customHeight="1">
      <x:c r="A41" s="61" t="str">
        <x:v>周礼包/智械发条/44</x:v>
      </x:c>
      <x:c r="B41" s="61" t="str">
        <x:v>钻石</x:v>
      </x:c>
      <x:c r="C41" s="61" t="n">
        <x:v>600</x:v>
      </x:c>
      <x:c r="D41" s="62" t="n">
        <x:f>IF(ISNUMBER(C41),C41,"待核")</x:f>
        <x:v>600</x:v>
      </x:c>
      <x:c r="E41" s="62" t="n">
        <x:v>1500</x:v>
      </x:c>
      <x:c r="F41" s="62" t="n">
        <x:f>IF(AND(ISNUMBER(D41),ISNUMBER(E41),D41&gt;0),E41/D41,"待核")</x:f>
        <x:v>2.5</x:v>
      </x:c>
      <x:c r="G41" s="63" t="n">
        <x:f>IF(AND(ISNUMBER(D41),ISNUMBER(E41),E41&gt;0),D41/E41*10,"待核")</x:f>
        <x:v>4</x:v>
      </x:c>
      <x:c r="H41" s="61" t="n">
        <x:v>4</x:v>
      </x:c>
      <x:c r="I41" s="61" t="str">
        <x:v>智械发条×10</x:v>
      </x:c>
      <x:c r="J41" s="61" t="n">
        <x:v>3</x:v>
      </x:c>
      <x:c r="K41" s="61" t="str">
        <x:v>明细规划</x:v>
      </x:c>
      <x:c r="L41" s="61" t="str">
        <x:v>主/日周月礼包!第44行</x:v>
      </x:c>
    </x:row>
    <x:row r="42" ht="42" customHeight="1">
      <x:c r="A42" s="61" t="str">
        <x:v>周礼包/精密齿轮/45</x:v>
      </x:c>
      <x:c r="B42" s="61" t="str">
        <x:v>钻石</x:v>
      </x:c>
      <x:c r="C42" s="61" t="n">
        <x:v>180</x:v>
      </x:c>
      <x:c r="D42" s="62" t="n">
        <x:f>IF(ISNUMBER(C42),C42,"待核")</x:f>
        <x:v>180</x:v>
      </x:c>
      <x:c r="E42" s="62" t="n">
        <x:v>300</x:v>
      </x:c>
      <x:c r="F42" s="62" t="n">
        <x:f>IF(AND(ISNUMBER(D42),ISNUMBER(E42),D42&gt;0),E42/D42,"待核")</x:f>
        <x:v>1.6666666666666667</x:v>
      </x:c>
      <x:c r="G42" s="63" t="n">
        <x:f>IF(AND(ISNUMBER(D42),ISNUMBER(E42),E42&gt;0),D42/E42*10,"待核")</x:f>
        <x:v>6</x:v>
      </x:c>
      <x:c r="H42" s="61" t="n">
        <x:v>6</x:v>
      </x:c>
      <x:c r="I42" s="61" t="str">
        <x:v>精密齿轮×300</x:v>
      </x:c>
      <x:c r="J42" s="61" t="n">
        <x:v>5</x:v>
      </x:c>
      <x:c r="K42" s="61" t="str">
        <x:v>明细规划</x:v>
      </x:c>
      <x:c r="L42" s="61" t="str">
        <x:v>主/日周月礼包!第45行</x:v>
      </x:c>
    </x:row>
    <x:row r="43" ht="42" customHeight="1">
      <x:c r="A43" s="61" t="str">
        <x:v>周礼包/随机史诗藏品/46</x:v>
      </x:c>
      <x:c r="B43" s="61" t="str">
        <x:v>钻石</x:v>
      </x:c>
      <x:c r="C43" s="61" t="n">
        <x:v>1400</x:v>
      </x:c>
      <x:c r="D43" s="62" t="n">
        <x:f>IF(ISNUMBER(C43),C43,"待核")</x:f>
        <x:v>1400</x:v>
      </x:c>
      <x:c r="E43" s="62" t="n">
        <x:v>2400</x:v>
      </x:c>
      <x:c r="F43" s="62" t="n">
        <x:f>IF(AND(ISNUMBER(D43),ISNUMBER(E43),D43&gt;0),E43/D43,"待核")</x:f>
        <x:v>1.7142857142857142</x:v>
      </x:c>
      <x:c r="G43" s="63" t="n">
        <x:f>IF(AND(ISNUMBER(D43),ISNUMBER(E43),E43&gt;0),D43/E43*10,"待核")</x:f>
        <x:v>5.833333333333334</x:v>
      </x:c>
      <x:c r="H43" s="61" t="n">
        <x:v>6</x:v>
      </x:c>
      <x:c r="I43" s="61" t="str">
        <x:v>随机史诗藏品×1</x:v>
      </x:c>
      <x:c r="J43" s="61" t="n">
        <x:v>3</x:v>
      </x:c>
      <x:c r="K43" s="61" t="str">
        <x:v>明细规划</x:v>
      </x:c>
      <x:c r="L43" s="61" t="str">
        <x:v>主/日周月礼包!第46行</x:v>
      </x:c>
    </x:row>
    <x:row r="44" ht="42" customHeight="1">
      <x:c r="A44" s="61" t="str">
        <x:v>周礼包/万象自选宝盒Ⅰ/47</x:v>
      </x:c>
      <x:c r="B44" s="61" t="str">
        <x:v>钻石</x:v>
      </x:c>
      <x:c r="C44" s="61" t="n">
        <x:v>1800</x:v>
      </x:c>
      <x:c r="D44" s="62" t="n">
        <x:f>IF(ISNUMBER(C44),C44,"待核")</x:f>
        <x:v>1800</x:v>
      </x:c>
      <x:c r="E44" s="62" t="str">
        <x:v>缺完整估值</x:v>
      </x:c>
      <x:c r="F44" s="62" t="str">
        <x:f>IF(AND(ISNUMBER(D44),ISNUMBER(E44),D44&gt;0),E44/D44,"待核")</x:f>
        <x:v>待核</x:v>
      </x:c>
      <x:c r="G44" s="63" t="str">
        <x:f>IF(AND(ISNUMBER(D44),ISNUMBER(E44),E44&gt;0),D44/E44*10,"待核")</x:f>
        <x:v>待核</x:v>
      </x:c>
      <x:c r="H44" s="61" t="n">
        <x:v>3</x:v>
      </x:c>
      <x:c r="I44" s="61" t="str">
        <x:v>万象自选宝盒Ⅰ×1</x:v>
      </x:c>
      <x:c r="J44" s="61" t="n">
        <x:v>1</x:v>
      </x:c>
      <x:c r="K44" s="61" t="str">
        <x:v>明细规划；估值缺失</x:v>
      </x:c>
      <x:c r="L44" s="61" t="str">
        <x:v>主/日周月礼包!第47行</x:v>
      </x:c>
    </x:row>
    <x:row r="45" ht="42" customHeight="1">
      <x:c r="A45" s="61" t="str">
        <x:v>月礼包/体力/52</x:v>
      </x:c>
      <x:c r="B45" s="61" t="str">
        <x:v>钻石</x:v>
      </x:c>
      <x:c r="C45" s="61" t="n">
        <x:v>0</x:v>
      </x:c>
      <x:c r="D45" s="62" t="n">
        <x:f>IF(ISNUMBER(C45),C45,"待核")</x:f>
        <x:v>0</x:v>
      </x:c>
      <x:c r="E45" s="62" t="n">
        <x:v>20</x:v>
      </x:c>
      <x:c r="F45" s="62" t="str">
        <x:f>IF(AND(ISNUMBER(D45),ISNUMBER(E45),D45&gt;0),E45/D45,"待核")</x:f>
        <x:v>待核</x:v>
      </x:c>
      <x:c r="G45" s="63" t="n">
        <x:f>IF(AND(ISNUMBER(D45),ISNUMBER(E45),E45&gt;0),D45/E45*10,"待核")</x:f>
        <x:v>0</x:v>
      </x:c>
      <x:c r="H45" s="61"/>
      <x:c r="I45" s="61" t="str">
        <x:v>体力×10</x:v>
      </x:c>
      <x:c r="J45" s="61" t="str"/>
      <x:c r="K45" s="61" t="str">
        <x:v>明细规划</x:v>
      </x:c>
      <x:c r="L45" s="61" t="str">
        <x:v>主/日周月礼包!第52行</x:v>
      </x:c>
    </x:row>
    <x:row r="46" ht="42" customHeight="1">
      <x:c r="A46" s="61" t="str">
        <x:v>月礼包/体力/53</x:v>
      </x:c>
      <x:c r="B46" s="61" t="str">
        <x:v>广告</x:v>
      </x:c>
      <x:c r="C46" s="61" t="str">
        <x:v>广告</x:v>
      </x:c>
      <x:c r="D46" s="62" t="str">
        <x:f>IF(ISNUMBER(C46),C46,"待核")</x:f>
        <x:v>待核</x:v>
      </x:c>
      <x:c r="E46" s="62" t="n">
        <x:v>20</x:v>
      </x:c>
      <x:c r="F46" s="62" t="str">
        <x:f>IF(AND(ISNUMBER(D46),ISNUMBER(E46),D46&gt;0),E46/D46,"待核")</x:f>
        <x:v>待核</x:v>
      </x:c>
      <x:c r="G46" s="63" t="str">
        <x:f>IF(AND(ISNUMBER(D46),ISNUMBER(E46),E46&gt;0),D46/E46*10,"待核")</x:f>
        <x:v>待核</x:v>
      </x:c>
      <x:c r="H46" s="61"/>
      <x:c r="I46" s="61" t="str">
        <x:v>体力×10</x:v>
      </x:c>
      <x:c r="J46" s="61" t="str"/>
      <x:c r="K46" s="61" t="str">
        <x:v>明细规划</x:v>
      </x:c>
      <x:c r="L46" s="61" t="str">
        <x:v>主/日周月礼包!第53行</x:v>
      </x:c>
    </x:row>
    <x:row r="47" ht="42" customHeight="1">
      <x:c r="A47" s="61" t="str">
        <x:v>月礼包/梦境招募器/54</x:v>
      </x:c>
      <x:c r="B47" s="61" t="str">
        <x:v>钻石</x:v>
      </x:c>
      <x:c r="C47" s="61" t="n">
        <x:v>750</x:v>
      </x:c>
      <x:c r="D47" s="62" t="n">
        <x:f>IF(ISNUMBER(C47),C47,"待核")</x:f>
        <x:v>750</x:v>
      </x:c>
      <x:c r="E47" s="62" t="n">
        <x:v>1500</x:v>
      </x:c>
      <x:c r="F47" s="62" t="n">
        <x:f>IF(AND(ISNUMBER(D47),ISNUMBER(E47),D47&gt;0),E47/D47,"待核")</x:f>
        <x:v>2</x:v>
      </x:c>
      <x:c r="G47" s="63" t="n">
        <x:f>IF(AND(ISNUMBER(D47),ISNUMBER(E47),E47&gt;0),D47/E47*10,"待核")</x:f>
        <x:v>5</x:v>
      </x:c>
      <x:c r="H47" s="61" t="n">
        <x:v>5</x:v>
      </x:c>
      <x:c r="I47" s="61" t="str">
        <x:v>梦境招募器×50</x:v>
      </x:c>
      <x:c r="J47" s="61" t="n">
        <x:v>2</x:v>
      </x:c>
      <x:c r="K47" s="61" t="str">
        <x:v>明细规划</x:v>
      </x:c>
      <x:c r="L47" s="61" t="str">
        <x:v>主/日周月礼包!第54行</x:v>
      </x:c>
    </x:row>
    <x:row r="48" ht="42" customHeight="1">
      <x:c r="A48" s="61" t="str">
        <x:v>月礼包/梦境招募器/55</x:v>
      </x:c>
      <x:c r="B48" s="61" t="str">
        <x:v>钻石</x:v>
      </x:c>
      <x:c r="C48" s="61" t="n">
        <x:v>3300</x:v>
      </x:c>
      <x:c r="D48" s="62" t="n">
        <x:f>IF(ISNUMBER(C48),C48,"待核")</x:f>
        <x:v>3300</x:v>
      </x:c>
      <x:c r="E48" s="62" t="n">
        <x:v>6000</x:v>
      </x:c>
      <x:c r="F48" s="62" t="n">
        <x:f>IF(AND(ISNUMBER(D48),ISNUMBER(E48),D48&gt;0),E48/D48,"待核")</x:f>
        <x:v>1.8181818181818181</x:v>
      </x:c>
      <x:c r="G48" s="63" t="n">
        <x:f>IF(AND(ISNUMBER(D48),ISNUMBER(E48),E48&gt;0),D48/E48*10,"待核")</x:f>
        <x:v>5.5</x:v>
      </x:c>
      <x:c r="H48" s="61" t="n">
        <x:v>6</x:v>
      </x:c>
      <x:c r="I48" s="61" t="str">
        <x:v>梦境招募器×200</x:v>
      </x:c>
      <x:c r="J48" s="61" t="n">
        <x:v>2</x:v>
      </x:c>
      <x:c r="K48" s="61" t="str">
        <x:v>明细规划</x:v>
      </x:c>
      <x:c r="L48" s="61" t="str">
        <x:v>主/日周月礼包!第55行</x:v>
      </x:c>
    </x:row>
    <x:row r="49" ht="42" customHeight="1">
      <x:c r="A49" s="61" t="str">
        <x:v>月礼包/超能特饮/56</x:v>
      </x:c>
      <x:c r="B49" s="61" t="str">
        <x:v>钻石</x:v>
      </x:c>
      <x:c r="C49" s="61" t="n">
        <x:v>600</x:v>
      </x:c>
      <x:c r="D49" s="62" t="n">
        <x:f>IF(ISNUMBER(C49),C49,"待核")</x:f>
        <x:v>600</x:v>
      </x:c>
      <x:c r="E49" s="62" t="n">
        <x:v>2000</x:v>
      </x:c>
      <x:c r="F49" s="62" t="n">
        <x:f>IF(AND(ISNUMBER(D49),ISNUMBER(E49),D49&gt;0),E49/D49,"待核")</x:f>
        <x:v>3.3333333333333335</x:v>
      </x:c>
      <x:c r="G49" s="63" t="n">
        <x:f>IF(AND(ISNUMBER(D49),ISNUMBER(E49),E49&gt;0),D49/E49*10,"待核")</x:f>
        <x:v>3</x:v>
      </x:c>
      <x:c r="H49" s="61" t="n">
        <x:v>3</x:v>
      </x:c>
      <x:c r="I49" s="61" t="str">
        <x:v>超能特饮×1000</x:v>
      </x:c>
      <x:c r="J49" s="61" t="n">
        <x:v>10</x:v>
      </x:c>
      <x:c r="K49" s="61" t="str">
        <x:v>明细规划</x:v>
      </x:c>
      <x:c r="L49" s="61" t="str">
        <x:v>主/日周月礼包!第56行</x:v>
      </x:c>
    </x:row>
    <x:row r="50" ht="42" customHeight="1">
      <x:c r="A50" s="61" t="str">
        <x:v>月礼包/装备图纸/57</x:v>
      </x:c>
      <x:c r="B50" s="61" t="str">
        <x:v>钻石</x:v>
      </x:c>
      <x:c r="C50" s="61" t="n">
        <x:v>600</x:v>
      </x:c>
      <x:c r="D50" s="62" t="n">
        <x:f>IF(ISNUMBER(C50),C50,"待核")</x:f>
        <x:v>600</x:v>
      </x:c>
      <x:c r="E50" s="62" t="n">
        <x:v>1200</x:v>
      </x:c>
      <x:c r="F50" s="62" t="n">
        <x:f>IF(AND(ISNUMBER(D50),ISNUMBER(E50),D50&gt;0),E50/D50,"待核")</x:f>
        <x:v>2</x:v>
      </x:c>
      <x:c r="G50" s="63" t="n">
        <x:f>IF(AND(ISNUMBER(D50),ISNUMBER(E50),E50&gt;0),D50/E50*10,"待核")</x:f>
        <x:v>5</x:v>
      </x:c>
      <x:c r="H50" s="61" t="n">
        <x:v>5</x:v>
      </x:c>
      <x:c r="I50" s="61" t="str">
        <x:v>装备图纸×400</x:v>
      </x:c>
      <x:c r="J50" s="61" t="n">
        <x:v>3</x:v>
      </x:c>
      <x:c r="K50" s="61" t="str">
        <x:v>明细规划</x:v>
      </x:c>
      <x:c r="L50" s="61" t="str">
        <x:v>主/日周月礼包!第57行</x:v>
      </x:c>
    </x:row>
    <x:row r="51" ht="42" customHeight="1">
      <x:c r="A51" s="61" t="str">
        <x:v>月礼包/幻梦晶核/58</x:v>
      </x:c>
      <x:c r="B51" s="61" t="str">
        <x:v>钻石</x:v>
      </x:c>
      <x:c r="C51" s="61" t="n">
        <x:v>900</x:v>
      </x:c>
      <x:c r="D51" s="62" t="n">
        <x:f>IF(ISNUMBER(C51),C51,"待核")</x:f>
        <x:v>900</x:v>
      </x:c>
      <x:c r="E51" s="62" t="n">
        <x:v>1800</x:v>
      </x:c>
      <x:c r="F51" s="62" t="n">
        <x:f>IF(AND(ISNUMBER(D51),ISNUMBER(E51),D51&gt;0),E51/D51,"待核")</x:f>
        <x:v>2</x:v>
      </x:c>
      <x:c r="G51" s="63" t="n">
        <x:f>IF(AND(ISNUMBER(D51),ISNUMBER(E51),E51&gt;0),D51/E51*10,"待核")</x:f>
        <x:v>5</x:v>
      </x:c>
      <x:c r="H51" s="61" t="n">
        <x:v>5</x:v>
      </x:c>
      <x:c r="I51" s="61" t="str">
        <x:v>幻梦晶核×30</x:v>
      </x:c>
      <x:c r="J51" s="61" t="n">
        <x:v>3</x:v>
      </x:c>
      <x:c r="K51" s="61" t="str">
        <x:v>明细规划</x:v>
      </x:c>
      <x:c r="L51" s="61" t="str">
        <x:v>主/日周月礼包!第58行</x:v>
      </x:c>
    </x:row>
    <x:row r="52" ht="42" customHeight="1">
      <x:c r="A52" s="61" t="str">
        <x:v>月礼包/幻梦晶核/59</x:v>
      </x:c>
      <x:c r="B52" s="61" t="str">
        <x:v>钻石</x:v>
      </x:c>
      <x:c r="C52" s="61" t="n">
        <x:v>3120</x:v>
      </x:c>
      <x:c r="D52" s="62" t="n">
        <x:f>IF(ISNUMBER(C52),C52,"待核")</x:f>
        <x:v>3120</x:v>
      </x:c>
      <x:c r="E52" s="62" t="n">
        <x:v>7800</x:v>
      </x:c>
      <x:c r="F52" s="62" t="n">
        <x:f>IF(AND(ISNUMBER(D52),ISNUMBER(E52),D52&gt;0),E52/D52,"待核")</x:f>
        <x:v>2.5</x:v>
      </x:c>
      <x:c r="G52" s="63" t="n">
        <x:f>IF(AND(ISNUMBER(D52),ISNUMBER(E52),E52&gt;0),D52/E52*10,"待核")</x:f>
        <x:v>4</x:v>
      </x:c>
      <x:c r="H52" s="61" t="n">
        <x:v>4</x:v>
      </x:c>
      <x:c r="I52" s="61" t="str">
        <x:v>幻梦晶核×130</x:v>
      </x:c>
      <x:c r="J52" s="61" t="n">
        <x:v>1</x:v>
      </x:c>
      <x:c r="K52" s="61" t="str">
        <x:v>明细规划</x:v>
      </x:c>
      <x:c r="L52" s="61" t="str">
        <x:v>主/日周月礼包!第59行</x:v>
      </x:c>
    </x:row>
    <x:row r="53" ht="42" customHeight="1">
      <x:c r="A53" s="61" t="str">
        <x:v>月礼包/绮梦衣橱盒Ⅰ/60</x:v>
      </x:c>
      <x:c r="B53" s="61" t="str">
        <x:v>钻石</x:v>
      </x:c>
      <x:c r="C53" s="61" t="n">
        <x:v>3280</x:v>
      </x:c>
      <x:c r="D53" s="62" t="n">
        <x:f>IF(ISNUMBER(C53),C53,"待核")</x:f>
        <x:v>3280</x:v>
      </x:c>
      <x:c r="E53" s="62" t="str">
        <x:v>缺完整估值</x:v>
      </x:c>
      <x:c r="F53" s="62" t="str">
        <x:f>IF(AND(ISNUMBER(D53),ISNUMBER(E53),D53&gt;0),E53/D53,"待核")</x:f>
        <x:v>待核</x:v>
      </x:c>
      <x:c r="G53" s="63" t="str">
        <x:f>IF(AND(ISNUMBER(D53),ISNUMBER(E53),E53&gt;0),D53/E53*10,"待核")</x:f>
        <x:v>待核</x:v>
      </x:c>
      <x:c r="H53" s="61" t="n">
        <x:v>4</x:v>
      </x:c>
      <x:c r="I53" s="61" t="str">
        <x:v>绮梦衣橱盒Ⅰ×1</x:v>
      </x:c>
      <x:c r="J53" s="61" t="n">
        <x:v>3</x:v>
      </x:c>
      <x:c r="K53" s="61" t="str">
        <x:v>明细规划；估值缺失</x:v>
      </x:c>
      <x:c r="L53" s="61" t="str">
        <x:v>主/日周月礼包!第60行</x:v>
      </x:c>
    </x:row>
    <x:row r="54" ht="42" customHeight="1">
      <x:c r="A54" s="61" t="str">
        <x:v>月礼包/星辉秘契/61</x:v>
      </x:c>
      <x:c r="B54" s="61" t="str">
        <x:v>钻石</x:v>
      </x:c>
      <x:c r="C54" s="61" t="n">
        <x:v>840</x:v>
      </x:c>
      <x:c r="D54" s="62" t="n">
        <x:f>IF(ISNUMBER(C54),C54,"待核")</x:f>
        <x:v>840</x:v>
      </x:c>
      <x:c r="E54" s="62" t="n">
        <x:v>2800</x:v>
      </x:c>
      <x:c r="F54" s="62" t="n">
        <x:f>IF(AND(ISNUMBER(D54),ISNUMBER(E54),D54&gt;0),E54/D54,"待核")</x:f>
        <x:v>3.3333333333333335</x:v>
      </x:c>
      <x:c r="G54" s="63" t="n">
        <x:f>IF(AND(ISNUMBER(D54),ISNUMBER(E54),E54&gt;0),D54/E54*10,"待核")</x:f>
        <x:v>3</x:v>
      </x:c>
      <x:c r="H54" s="61" t="n">
        <x:v>3</x:v>
      </x:c>
      <x:c r="I54" s="61" t="str">
        <x:v>星辉秘契×10</x:v>
      </x:c>
      <x:c r="J54" s="61" t="n">
        <x:v>3</x:v>
      </x:c>
      <x:c r="K54" s="61" t="str">
        <x:v>明细规划</x:v>
      </x:c>
      <x:c r="L54" s="61" t="str">
        <x:v>主/日周月礼包!第61行</x:v>
      </x:c>
    </x:row>
    <x:row r="55" ht="42" customHeight="1">
      <x:c r="A55" s="61" t="str">
        <x:v>月礼包/星辉秘契/62</x:v>
      </x:c>
      <x:c r="B55" s="61" t="str">
        <x:v>钻石</x:v>
      </x:c>
      <x:c r="C55" s="61" t="n">
        <x:v>4480</x:v>
      </x:c>
      <x:c r="D55" s="62" t="n">
        <x:f>IF(ISNUMBER(C55),C55,"待核")</x:f>
        <x:v>4480</x:v>
      </x:c>
      <x:c r="E55" s="62" t="n">
        <x:v>11200</x:v>
      </x:c>
      <x:c r="F55" s="62" t="n">
        <x:f>IF(AND(ISNUMBER(D55),ISNUMBER(E55),D55&gt;0),E55/D55,"待核")</x:f>
        <x:v>2.5</x:v>
      </x:c>
      <x:c r="G55" s="63" t="n">
        <x:f>IF(AND(ISNUMBER(D55),ISNUMBER(E55),E55&gt;0),D55/E55*10,"待核")</x:f>
        <x:v>4</x:v>
      </x:c>
      <x:c r="H55" s="61" t="n">
        <x:v>4</x:v>
      </x:c>
      <x:c r="I55" s="61" t="str">
        <x:v>星辉秘契×40</x:v>
      </x:c>
      <x:c r="J55" s="61" t="n">
        <x:v>3</x:v>
      </x:c>
      <x:c r="K55" s="61" t="str">
        <x:v>明细规划</x:v>
      </x:c>
      <x:c r="L55" s="61" t="str">
        <x:v>主/日周月礼包!第62行</x:v>
      </x:c>
    </x:row>
    <x:row r="56" ht="42" customHeight="1">
      <x:c r="A56" s="61" t="str">
        <x:v>月礼包/传说符文/63</x:v>
      </x:c>
      <x:c r="B56" s="61" t="str">
        <x:v>钻石</x:v>
      </x:c>
      <x:c r="C56" s="61" t="n">
        <x:v>1380</x:v>
      </x:c>
      <x:c r="D56" s="62" t="n">
        <x:f>IF(ISNUMBER(C56),C56,"待核")</x:f>
        <x:v>1380</x:v>
      </x:c>
      <x:c r="E56" s="62" t="n">
        <x:v>4096</x:v>
      </x:c>
      <x:c r="F56" s="62" t="n">
        <x:f>IF(AND(ISNUMBER(D56),ISNUMBER(E56),D56&gt;0),E56/D56,"待核")</x:f>
        <x:v>2.9681159420289855</x:v>
      </x:c>
      <x:c r="G56" s="63" t="n">
        <x:f>IF(AND(ISNUMBER(D56),ISNUMBER(E56),E56&gt;0),D56/E56*10,"待核")</x:f>
        <x:v>3.369140625</x:v>
      </x:c>
      <x:c r="H56" s="61" t="n">
        <x:v>1</x:v>
      </x:c>
      <x:c r="I56" s="61" t="str">
        <x:v>传说符文×1</x:v>
      </x:c>
      <x:c r="J56" s="61" t="n">
        <x:v>1</x:v>
      </x:c>
      <x:c r="K56" s="61" t="str">
        <x:v>明细规划</x:v>
      </x:c>
      <x:c r="L56" s="61" t="str">
        <x:v>主/日周月礼包!第63行</x:v>
      </x:c>
    </x:row>
    <x:row r="57" ht="42" customHeight="1">
      <x:c r="A57" s="61" t="str">
        <x:v>月礼包/神话符文/64</x:v>
      </x:c>
      <x:c r="B57" s="61" t="str">
        <x:v>钻石</x:v>
      </x:c>
      <x:c r="C57" s="61" t="n">
        <x:v>6480</x:v>
      </x:c>
      <x:c r="D57" s="62" t="n">
        <x:f>IF(ISNUMBER(C57),C57,"待核")</x:f>
        <x:v>6480</x:v>
      </x:c>
      <x:c r="E57" s="62" t="n">
        <x:v>16384</x:v>
      </x:c>
      <x:c r="F57" s="62" t="n">
        <x:f>IF(AND(ISNUMBER(D57),ISNUMBER(E57),D57&gt;0),E57/D57,"待核")</x:f>
        <x:v>2.528395061728395</x:v>
      </x:c>
      <x:c r="G57" s="63" t="n">
        <x:f>IF(AND(ISNUMBER(D57),ISNUMBER(E57),E57&gt;0),D57/E57*10,"待核")</x:f>
        <x:v>3.955078125</x:v>
      </x:c>
      <x:c r="H57" s="61" t="n">
        <x:v>1</x:v>
      </x:c>
      <x:c r="I57" s="61" t="str">
        <x:v>神话符文×1</x:v>
      </x:c>
      <x:c r="J57" s="61" t="n">
        <x:v>1</x:v>
      </x:c>
      <x:c r="K57" s="61" t="str">
        <x:v>明细规划</x:v>
      </x:c>
      <x:c r="L57" s="61" t="str">
        <x:v>主/日周月礼包!第64行</x:v>
      </x:c>
    </x:row>
    <x:row r="58" ht="42" customHeight="1">
      <x:c r="A58" s="61" t="str">
        <x:v>月礼包/转运石/65</x:v>
      </x:c>
      <x:c r="B58" s="61" t="str">
        <x:v>钻石</x:v>
      </x:c>
      <x:c r="C58" s="61" t="n">
        <x:v>1320</x:v>
      </x:c>
      <x:c r="D58" s="62" t="n">
        <x:f>IF(ISNUMBER(C58),C58,"待核")</x:f>
        <x:v>1320</x:v>
      </x:c>
      <x:c r="E58" s="62" t="n">
        <x:v>3300</x:v>
      </x:c>
      <x:c r="F58" s="62" t="n">
        <x:f>IF(AND(ISNUMBER(D58),ISNUMBER(E58),D58&gt;0),E58/D58,"待核")</x:f>
        <x:v>2.5</x:v>
      </x:c>
      <x:c r="G58" s="63" t="n">
        <x:f>IF(AND(ISNUMBER(D58),ISNUMBER(E58),E58&gt;0),D58/E58*10,"待核")</x:f>
        <x:v>4</x:v>
      </x:c>
      <x:c r="H58" s="61" t="n">
        <x:v>4</x:v>
      </x:c>
      <x:c r="I58" s="61" t="str">
        <x:v>转运石×10000</x:v>
      </x:c>
      <x:c r="J58" s="61" t="n">
        <x:v>6</x:v>
      </x:c>
      <x:c r="K58" s="61" t="str">
        <x:v>明细规划</x:v>
      </x:c>
      <x:c r="L58" s="61" t="str">
        <x:v>主/日周月礼包!第65行</x:v>
      </x:c>
    </x:row>
    <x:row r="59" ht="42" customHeight="1">
      <x:c r="A59" s="61" t="str">
        <x:v>月礼包/智械发条/66</x:v>
      </x:c>
      <x:c r="B59" s="61" t="str">
        <x:v>钻石</x:v>
      </x:c>
      <x:c r="C59" s="61" t="n">
        <x:v>450</x:v>
      </x:c>
      <x:c r="D59" s="62" t="n">
        <x:f>IF(ISNUMBER(C59),C59,"待核")</x:f>
        <x:v>450</x:v>
      </x:c>
      <x:c r="E59" s="62" t="n">
        <x:v>1500</x:v>
      </x:c>
      <x:c r="F59" s="62" t="n">
        <x:f>IF(AND(ISNUMBER(D59),ISNUMBER(E59),D59&gt;0),E59/D59,"待核")</x:f>
        <x:v>3.3333333333333335</x:v>
      </x:c>
      <x:c r="G59" s="63" t="n">
        <x:f>IF(AND(ISNUMBER(D59),ISNUMBER(E59),E59&gt;0),D59/E59*10,"待核")</x:f>
        <x:v>3</x:v>
      </x:c>
      <x:c r="H59" s="61" t="n">
        <x:v>3</x:v>
      </x:c>
      <x:c r="I59" s="61" t="str">
        <x:v>智械发条×10</x:v>
      </x:c>
      <x:c r="J59" s="61" t="n">
        <x:v>3</x:v>
      </x:c>
      <x:c r="K59" s="61" t="str">
        <x:v>明细规划</x:v>
      </x:c>
      <x:c r="L59" s="61" t="str">
        <x:v>主/日周月礼包!第66行</x:v>
      </x:c>
    </x:row>
    <x:row r="60" ht="42" customHeight="1">
      <x:c r="A60" s="61" t="str">
        <x:v>月礼包/智械发条/67</x:v>
      </x:c>
      <x:c r="B60" s="61" t="str">
        <x:v>钻石</x:v>
      </x:c>
      <x:c r="C60" s="61" t="n">
        <x:v>1200</x:v>
      </x:c>
      <x:c r="D60" s="62" t="n">
        <x:f>IF(ISNUMBER(C60),C60,"待核")</x:f>
        <x:v>1200</x:v>
      </x:c>
      <x:c r="E60" s="62" t="n">
        <x:v>3000</x:v>
      </x:c>
      <x:c r="F60" s="62" t="n">
        <x:f>IF(AND(ISNUMBER(D60),ISNUMBER(E60),D60&gt;0),E60/D60,"待核")</x:f>
        <x:v>2.5</x:v>
      </x:c>
      <x:c r="G60" s="63" t="n">
        <x:f>IF(AND(ISNUMBER(D60),ISNUMBER(E60),E60&gt;0),D60/E60*10,"待核")</x:f>
        <x:v>4</x:v>
      </x:c>
      <x:c r="H60" s="61" t="n">
        <x:v>4</x:v>
      </x:c>
      <x:c r="I60" s="61" t="str">
        <x:v>智械发条×20</x:v>
      </x:c>
      <x:c r="J60" s="61" t="n">
        <x:v>2</x:v>
      </x:c>
      <x:c r="K60" s="61" t="str">
        <x:v>明细规划</x:v>
      </x:c>
      <x:c r="L60" s="61" t="str">
        <x:v>主/日周月礼包!第67行</x:v>
      </x:c>
    </x:row>
    <x:row r="61" ht="42" customHeight="1">
      <x:c r="A61" s="61" t="str">
        <x:v>月礼包/精密齿轮/68</x:v>
      </x:c>
      <x:c r="B61" s="61" t="str">
        <x:v>钻石</x:v>
      </x:c>
      <x:c r="C61" s="61" t="n">
        <x:v>400</x:v>
      </x:c>
      <x:c r="D61" s="62" t="n">
        <x:f>IF(ISNUMBER(C61),C61,"待核")</x:f>
        <x:v>400</x:v>
      </x:c>
      <x:c r="E61" s="62" t="n">
        <x:v>1000</x:v>
      </x:c>
      <x:c r="F61" s="62" t="n">
        <x:f>IF(AND(ISNUMBER(D61),ISNUMBER(E61),D61&gt;0),E61/D61,"待核")</x:f>
        <x:v>2.5</x:v>
      </x:c>
      <x:c r="G61" s="63" t="n">
        <x:f>IF(AND(ISNUMBER(D61),ISNUMBER(E61),E61&gt;0),D61/E61*10,"待核")</x:f>
        <x:v>4</x:v>
      </x:c>
      <x:c r="H61" s="61" t="n">
        <x:v>4</x:v>
      </x:c>
      <x:c r="I61" s="61" t="str">
        <x:v>精密齿轮×1000</x:v>
      </x:c>
      <x:c r="J61" s="61" t="n">
        <x:v>5</x:v>
      </x:c>
      <x:c r="K61" s="61" t="str">
        <x:v>明细规划</x:v>
      </x:c>
      <x:c r="L61" s="61" t="str">
        <x:v>主/日周月礼包!第68行</x:v>
      </x:c>
    </x:row>
    <x:row r="62" ht="42" customHeight="1">
      <x:c r="A62" s="61" t="str">
        <x:v>月礼包/怦怦时刻/69</x:v>
      </x:c>
      <x:c r="B62" s="61" t="str">
        <x:v>钻石</x:v>
      </x:c>
      <x:c r="C62" s="61" t="n">
        <x:v>2400</x:v>
      </x:c>
      <x:c r="D62" s="62" t="n">
        <x:f>IF(ISNUMBER(C62),C62,"待核")</x:f>
        <x:v>2400</x:v>
      </x:c>
      <x:c r="E62" s="62" t="n">
        <x:v>23040000</x:v>
      </x:c>
      <x:c r="F62" s="62" t="n">
        <x:f>IF(AND(ISNUMBER(D62),ISNUMBER(E62),D62&gt;0),E62/D62,"待核")</x:f>
        <x:v>9600</x:v>
      </x:c>
      <x:c r="G62" s="63" t="n">
        <x:f>IF(AND(ISNUMBER(D62),ISNUMBER(E62),E62&gt;0),D62/E62*10,"待核")</x:f>
        <x:v>0.0010416666666666667</x:v>
      </x:c>
      <x:c r="H62" s="61" t="n">
        <x:v>5</x:v>
      </x:c>
      <x:c r="I62" s="61" t="str">
        <x:v>怦怦时刻×4800</x:v>
      </x:c>
      <x:c r="J62" s="61" t="n">
        <x:v>3</x:v>
      </x:c>
      <x:c r="K62" s="61" t="str">
        <x:v>明细规划；单价冲突,数量疑似倒置</x:v>
      </x:c>
      <x:c r="L62" s="61" t="str">
        <x:v>主/日周月礼包!第69行</x:v>
      </x:c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</x:row>
    <x:row r="65">
      <x:c r="A65" s="64" t="str">
        <x:v>奖励明细：数量 × 统一道具单价</x:v>
      </x:c>
      <x:c r="B65" s="64"/>
      <x:c r="C65" s="64"/>
      <x:c r="D65" s="64"/>
      <x:c r="E65" s="64"/>
      <x:c r="F65" s="64"/>
      <x:c r="G65" s="64"/>
      <x:c r="H65" s="64"/>
      <x:c r="I65" s="64"/>
      <x:c r="J65" s="64"/>
      <x:c r="K65" s="43"/>
      <x:c r="L65" s="43"/>
    </x:row>
    <x:row r="66" ht="42" customHeight="1">
      <x:c r="A66" s="60" t="str">
        <x:v>礼包</x:v>
      </x:c>
      <x:c r="B66" s="60" t="str">
        <x:v>标的物</x:v>
      </x:c>
      <x:c r="C66" s="60" t="str">
        <x:v>数量</x:v>
      </x:c>
      <x:c r="D66" s="60" t="str">
        <x:v>统一单价钻</x:v>
      </x:c>
      <x:c r="E66" s="60" t="str">
        <x:v>活动单价钻</x:v>
      </x:c>
      <x:c r="F66" s="60" t="str">
        <x:v>奖励价值钻</x:v>
      </x:c>
      <x:c r="G66" s="60" t="str">
        <x:v>估值依据</x:v>
      </x:c>
      <x:c r="H66" s="60" t="str">
        <x:v>差异/缺失</x:v>
      </x:c>
      <x:c r="I66" s="60" t="str">
        <x:v>来源</x:v>
      </x:c>
      <x:c r="J66" s="60" t="str">
        <x:v>备注</x:v>
      </x:c>
      <x:c r="K66" s="43"/>
      <x:c r="L66" s="43"/>
    </x:row>
    <x:row r="67" ht="42" customHeight="1">
      <x:c r="A67" s="61" t="str">
        <x:v>日礼包/体力/4</x:v>
      </x:c>
      <x:c r="B67" s="61" t="str">
        <x:v>体力</x:v>
      </x:c>
      <x:c r="C67" s="62" t="n">
        <x:v>10</x:v>
      </x:c>
      <x:c r="D67" s="62" t="n">
        <x:v>2</x:v>
      </x:c>
      <x:c r="E67" s="62" t="str"/>
      <x:c r="F67" s="62" t="n">
        <x:f>IF(AND(ISNUMBER(C67),ISNUMBER(D67)),C67*D67,"待补")</x:f>
        <x:v>20</x:v>
      </x:c>
      <x:c r="G67" s="61" t="str">
        <x:v>统一道具字典</x:v>
      </x:c>
      <x:c r="H67" s="61" t="str"/>
      <x:c r="I67" s="61" t="str">
        <x:v>主/日周月礼包!第4行</x:v>
      </x:c>
      <x:c r="J67" s="61" t="str">
        <x:v>统一字典优先</x:v>
      </x:c>
      <x:c r="K67" s="43"/>
      <x:c r="L67" s="43"/>
    </x:row>
    <x:row r="68" ht="42" customHeight="1">
      <x:c r="A68" s="61" t="str">
        <x:v>日礼包/体力/5</x:v>
      </x:c>
      <x:c r="B68" s="61" t="str">
        <x:v>体力</x:v>
      </x:c>
      <x:c r="C68" s="62" t="n">
        <x:v>10</x:v>
      </x:c>
      <x:c r="D68" s="62" t="n">
        <x:v>2</x:v>
      </x:c>
      <x:c r="E68" s="62" t="str"/>
      <x:c r="F68" s="62" t="n">
        <x:f>IF(AND(ISNUMBER(C68),ISNUMBER(D68)),C68*D68,"待补")</x:f>
        <x:v>20</x:v>
      </x:c>
      <x:c r="G68" s="61" t="str">
        <x:v>统一道具字典</x:v>
      </x:c>
      <x:c r="H68" s="61" t="str"/>
      <x:c r="I68" s="61" t="str">
        <x:v>主/日周月礼包!第5行</x:v>
      </x:c>
      <x:c r="J68" s="61" t="str">
        <x:v>统一字典优先</x:v>
      </x:c>
      <x:c r="K68" s="43"/>
      <x:c r="L68" s="43"/>
    </x:row>
    <x:row r="69" ht="42" customHeight="1">
      <x:c r="A69" s="61" t="str">
        <x:v>日礼包/体力/6</x:v>
      </x:c>
      <x:c r="B69" s="61" t="str">
        <x:v>体力</x:v>
      </x:c>
      <x:c r="C69" s="62" t="n">
        <x:v>60</x:v>
      </x:c>
      <x:c r="D69" s="62" t="n">
        <x:v>2</x:v>
      </x:c>
      <x:c r="E69" s="62" t="str"/>
      <x:c r="F69" s="62" t="n">
        <x:f>IF(AND(ISNUMBER(C69),ISNUMBER(D69)),C69*D69,"待补")</x:f>
        <x:v>120</x:v>
      </x:c>
      <x:c r="G69" s="61" t="str">
        <x:v>统一道具字典</x:v>
      </x:c>
      <x:c r="H69" s="61" t="str"/>
      <x:c r="I69" s="61" t="str">
        <x:v>主/日周月礼包!第6行</x:v>
      </x:c>
      <x:c r="J69" s="61" t="str">
        <x:v>统一字典优先</x:v>
      </x:c>
      <x:c r="K69" s="43"/>
      <x:c r="L69" s="43"/>
    </x:row>
    <x:row r="70" ht="42" customHeight="1">
      <x:c r="A70" s="61" t="str">
        <x:v>日礼包/金币/7</x:v>
      </x:c>
      <x:c r="B70" s="61" t="str">
        <x:v>金币</x:v>
      </x:c>
      <x:c r="C70" s="62" t="n">
        <x:v>5000</x:v>
      </x:c>
      <x:c r="D70" s="62" t="n">
        <x:v>0.05</x:v>
      </x:c>
      <x:c r="E70" s="62" t="str"/>
      <x:c r="F70" s="62" t="n">
        <x:f>IF(AND(ISNUMBER(C70),ISNUMBER(D70)),C70*D70,"待补")</x:f>
        <x:v>250</x:v>
      </x:c>
      <x:c r="G70" s="61" t="str">
        <x:v>统一道具字典</x:v>
      </x:c>
      <x:c r="H70" s="61" t="str"/>
      <x:c r="I70" s="61" t="str">
        <x:v>主/日周月礼包!第7行</x:v>
      </x:c>
      <x:c r="J70" s="61" t="str">
        <x:v>统一字典优先</x:v>
      </x:c>
      <x:c r="K70" s="43"/>
      <x:c r="L70" s="43"/>
    </x:row>
    <x:row r="71" ht="42" customHeight="1">
      <x:c r="A71" s="61" t="str">
        <x:v>日礼包/梦境招募器/8</x:v>
      </x:c>
      <x:c r="B71" s="61" t="str">
        <x:v>梦境招募器</x:v>
      </x:c>
      <x:c r="C71" s="62" t="n">
        <x:v>20</x:v>
      </x:c>
      <x:c r="D71" s="62" t="n">
        <x:v>30</x:v>
      </x:c>
      <x:c r="E71" s="62" t="str"/>
      <x:c r="F71" s="62" t="n">
        <x:f>IF(AND(ISNUMBER(C71),ISNUMBER(D71)),C71*D71,"待补")</x:f>
        <x:v>600</x:v>
      </x:c>
      <x:c r="G71" s="61" t="str">
        <x:v>统一道具字典</x:v>
      </x:c>
      <x:c r="H71" s="61" t="str"/>
      <x:c r="I71" s="61" t="str">
        <x:v>主/日周月礼包!第8行</x:v>
      </x:c>
      <x:c r="J71" s="61" t="str">
        <x:v>统一字典优先</x:v>
      </x:c>
      <x:c r="K71" s="43"/>
      <x:c r="L71" s="43"/>
    </x:row>
    <x:row r="72" ht="42" customHeight="1">
      <x:c r="A72" s="61" t="str">
        <x:v>日礼包/随机能量特饮/9</x:v>
      </x:c>
      <x:c r="B72" s="61" t="str">
        <x:v>随机能量特饮</x:v>
      </x:c>
      <x:c r="C72" s="62" t="n">
        <x:v>400</x:v>
      </x:c>
      <x:c r="D72" s="62" t="n">
        <x:v>1</x:v>
      </x:c>
      <x:c r="E72" s="62" t="str"/>
      <x:c r="F72" s="62" t="n">
        <x:f>IF(AND(ISNUMBER(C72),ISNUMBER(D72)),C72*D72,"待补")</x:f>
        <x:v>400</x:v>
      </x:c>
      <x:c r="G72" s="61" t="str">
        <x:v>统一道具字典</x:v>
      </x:c>
      <x:c r="H72" s="61" t="str"/>
      <x:c r="I72" s="61" t="str">
        <x:v>主/日周月礼包!第9行</x:v>
      </x:c>
      <x:c r="J72" s="61" t="str">
        <x:v>统一字典优先</x:v>
      </x:c>
      <x:c r="K72" s="43"/>
      <x:c r="L72" s="43"/>
    </x:row>
    <x:row r="73" ht="42" customHeight="1">
      <x:c r="A73" s="61" t="str">
        <x:v>日礼包/超能特饮/10</x:v>
      </x:c>
      <x:c r="B73" s="61" t="str">
        <x:v>超能特饮</x:v>
      </x:c>
      <x:c r="C73" s="62" t="n">
        <x:v>200</x:v>
      </x:c>
      <x:c r="D73" s="62" t="n">
        <x:v>2</x:v>
      </x:c>
      <x:c r="E73" s="62" t="str"/>
      <x:c r="F73" s="62" t="n">
        <x:f>IF(AND(ISNUMBER(C73),ISNUMBER(D73)),C73*D73,"待补")</x:f>
        <x:v>400</x:v>
      </x:c>
      <x:c r="G73" s="61" t="str">
        <x:v>统一道具字典</x:v>
      </x:c>
      <x:c r="H73" s="61" t="str"/>
      <x:c r="I73" s="61" t="str">
        <x:v>主/日周月礼包!第10行</x:v>
      </x:c>
      <x:c r="J73" s="61" t="str">
        <x:v>统一字典优先</x:v>
      </x:c>
      <x:c r="K73" s="43"/>
      <x:c r="L73" s="43"/>
    </x:row>
    <x:row r="74" ht="42" customHeight="1">
      <x:c r="A74" s="61" t="str">
        <x:v>日礼包/装备图纸/11</x:v>
      </x:c>
      <x:c r="B74" s="61" t="str">
        <x:v>装备图纸</x:v>
      </x:c>
      <x:c r="C74" s="62" t="n">
        <x:v>100</x:v>
      </x:c>
      <x:c r="D74" s="62" t="n">
        <x:v>3</x:v>
      </x:c>
      <x:c r="E74" s="62" t="str"/>
      <x:c r="F74" s="62" t="n">
        <x:f>IF(AND(ISNUMBER(C74),ISNUMBER(D74)),C74*D74,"待补")</x:f>
        <x:v>300</x:v>
      </x:c>
      <x:c r="G74" s="61" t="str">
        <x:v>统一道具字典</x:v>
      </x:c>
      <x:c r="H74" s="61" t="str"/>
      <x:c r="I74" s="61" t="str">
        <x:v>主/日周月礼包!第11行</x:v>
      </x:c>
      <x:c r="J74" s="61" t="str">
        <x:v>统一字典优先</x:v>
      </x:c>
      <x:c r="K74" s="43"/>
      <x:c r="L74" s="43"/>
    </x:row>
    <x:row r="75" ht="42" customHeight="1">
      <x:c r="A75" s="61" t="str">
        <x:v>日礼包/星辉秘契/12</x:v>
      </x:c>
      <x:c r="B75" s="61" t="str">
        <x:v>星辉秘契</x:v>
      </x:c>
      <x:c r="C75" s="62" t="n">
        <x:v>2</x:v>
      </x:c>
      <x:c r="D75" s="62" t="n">
        <x:v>280</x:v>
      </x:c>
      <x:c r="E75" s="62" t="str"/>
      <x:c r="F75" s="62" t="n">
        <x:f>IF(AND(ISNUMBER(C75),ISNUMBER(D75)),C75*D75,"待补")</x:f>
        <x:v>560</x:v>
      </x:c>
      <x:c r="G75" s="61" t="str">
        <x:v>统一道具字典</x:v>
      </x:c>
      <x:c r="H75" s="61" t="str"/>
      <x:c r="I75" s="61" t="str">
        <x:v>主/日周月礼包!第12行</x:v>
      </x:c>
      <x:c r="J75" s="61" t="str">
        <x:v>统一字典优先</x:v>
      </x:c>
      <x:c r="K75" s="43"/>
      <x:c r="L75" s="43"/>
    </x:row>
    <x:row r="76" ht="42" customHeight="1">
      <x:c r="A76" s="61" t="str">
        <x:v>日礼包/星辉秘契/13</x:v>
      </x:c>
      <x:c r="B76" s="61" t="str">
        <x:v>星辉秘契</x:v>
      </x:c>
      <x:c r="C76" s="62" t="n">
        <x:v>5</x:v>
      </x:c>
      <x:c r="D76" s="62" t="n">
        <x:v>280</x:v>
      </x:c>
      <x:c r="E76" s="62" t="str"/>
      <x:c r="F76" s="62" t="n">
        <x:f>IF(AND(ISNUMBER(C76),ISNUMBER(D76)),C76*D76,"待补")</x:f>
        <x:v>1400</x:v>
      </x:c>
      <x:c r="G76" s="61" t="str">
        <x:v>统一道具字典</x:v>
      </x:c>
      <x:c r="H76" s="61" t="str"/>
      <x:c r="I76" s="61" t="str">
        <x:v>主/日周月礼包!第13行</x:v>
      </x:c>
      <x:c r="J76" s="61" t="str">
        <x:v>统一字典优先</x:v>
      </x:c>
      <x:c r="K76" s="43"/>
      <x:c r="L76" s="43"/>
    </x:row>
    <x:row r="77" ht="42" customHeight="1">
      <x:c r="A77" s="61" t="str">
        <x:v>日礼包/符引结晶/14</x:v>
      </x:c>
      <x:c r="B77" s="61" t="str">
        <x:v>符引结晶</x:v>
      </x:c>
      <x:c r="C77" s="62" t="n">
        <x:v>50</x:v>
      </x:c>
      <x:c r="D77" s="62" t="n">
        <x:v>5</x:v>
      </x:c>
      <x:c r="E77" s="62" t="str"/>
      <x:c r="F77" s="62" t="n">
        <x:f>IF(AND(ISNUMBER(C77),ISNUMBER(D77)),C77*D77,"待补")</x:f>
        <x:v>250</x:v>
      </x:c>
      <x:c r="G77" s="61" t="str">
        <x:v>统一道具字典</x:v>
      </x:c>
      <x:c r="H77" s="61" t="str"/>
      <x:c r="I77" s="61" t="str">
        <x:v>主/日周月礼包!第14行</x:v>
      </x:c>
      <x:c r="J77" s="61" t="str">
        <x:v>统一字典优先</x:v>
      </x:c>
      <x:c r="K77" s="43"/>
      <x:c r="L77" s="43"/>
    </x:row>
    <x:row r="78" ht="42" customHeight="1">
      <x:c r="A78" s="61" t="str">
        <x:v>日礼包/织梦微尘/15</x:v>
      </x:c>
      <x:c r="B78" s="61" t="str">
        <x:v>织梦微尘</x:v>
      </x:c>
      <x:c r="C78" s="62" t="n">
        <x:v>50</x:v>
      </x:c>
      <x:c r="D78" s="62" t="n">
        <x:v>3</x:v>
      </x:c>
      <x:c r="E78" s="62" t="str"/>
      <x:c r="F78" s="62" t="n">
        <x:f>IF(AND(ISNUMBER(C78),ISNUMBER(D78)),C78*D78,"待补")</x:f>
        <x:v>150</x:v>
      </x:c>
      <x:c r="G78" s="61" t="str">
        <x:v>统一道具字典</x:v>
      </x:c>
      <x:c r="H78" s="61" t="str"/>
      <x:c r="I78" s="61" t="str">
        <x:v>主/日周月礼包!第15行</x:v>
      </x:c>
      <x:c r="J78" s="61" t="str">
        <x:v>统一字典优先</x:v>
      </x:c>
      <x:c r="K78" s="43"/>
      <x:c r="L78" s="43"/>
    </x:row>
    <x:row r="79" ht="42" customHeight="1">
      <x:c r="A79" s="61" t="str">
        <x:v>日礼包/锻造晶石/16</x:v>
      </x:c>
      <x:c r="B79" s="61" t="str">
        <x:v>锻造晶石</x:v>
      </x:c>
      <x:c r="C79" s="62" t="n">
        <x:v>500</x:v>
      </x:c>
      <x:c r="D79" s="62" t="n">
        <x:v>0.1</x:v>
      </x:c>
      <x:c r="E79" s="62" t="str"/>
      <x:c r="F79" s="62" t="n">
        <x:f>IF(AND(ISNUMBER(C79),ISNUMBER(D79)),C79*D79,"待补")</x:f>
        <x:v>50</x:v>
      </x:c>
      <x:c r="G79" s="61" t="str">
        <x:v>统一道具字典</x:v>
      </x:c>
      <x:c r="H79" s="61" t="str"/>
      <x:c r="I79" s="61" t="str">
        <x:v>主/日周月礼包!第16行</x:v>
      </x:c>
      <x:c r="J79" s="61" t="str">
        <x:v>统一字典优先</x:v>
      </x:c>
      <x:c r="K79" s="43"/>
      <x:c r="L79" s="43"/>
    </x:row>
    <x:row r="80" ht="42" customHeight="1">
      <x:c r="A80" s="61" t="str">
        <x:v>日礼包/幻梦晶核/17</x:v>
      </x:c>
      <x:c r="B80" s="61" t="str">
        <x:v>幻梦晶核</x:v>
      </x:c>
      <x:c r="C80" s="62" t="n">
        <x:v>6</x:v>
      </x:c>
      <x:c r="D80" s="62" t="n">
        <x:v>60</x:v>
      </x:c>
      <x:c r="E80" s="62" t="str"/>
      <x:c r="F80" s="62" t="n">
        <x:f>IF(AND(ISNUMBER(C80),ISNUMBER(D80)),C80*D80,"待补")</x:f>
        <x:v>360</x:v>
      </x:c>
      <x:c r="G80" s="61" t="str">
        <x:v>统一道具字典</x:v>
      </x:c>
      <x:c r="H80" s="61" t="str"/>
      <x:c r="I80" s="61" t="str">
        <x:v>主/日周月礼包!第17行</x:v>
      </x:c>
      <x:c r="J80" s="61" t="str">
        <x:v>统一字典优先</x:v>
      </x:c>
      <x:c r="K80" s="43"/>
      <x:c r="L80" s="43"/>
    </x:row>
    <x:row r="81" ht="42" customHeight="1">
      <x:c r="A81" s="61" t="str">
        <x:v>日礼包/转运石/18</x:v>
      </x:c>
      <x:c r="B81" s="61" t="str">
        <x:v>转运石</x:v>
      </x:c>
      <x:c r="C81" s="62" t="n">
        <x:v>1000</x:v>
      </x:c>
      <x:c r="D81" s="62" t="n">
        <x:v>0.33</x:v>
      </x:c>
      <x:c r="E81" s="62" t="str"/>
      <x:c r="F81" s="62" t="n">
        <x:f>IF(AND(ISNUMBER(C81),ISNUMBER(D81)),C81*D81,"待补")</x:f>
        <x:v>330</x:v>
      </x:c>
      <x:c r="G81" s="61" t="str">
        <x:v>统一道具字典</x:v>
      </x:c>
      <x:c r="H81" s="61" t="str"/>
      <x:c r="I81" s="61" t="str">
        <x:v>主/日周月礼包!第18行</x:v>
      </x:c>
      <x:c r="J81" s="61" t="str">
        <x:v>统一字典优先</x:v>
      </x:c>
      <x:c r="K81" s="43"/>
      <x:c r="L81" s="43"/>
    </x:row>
    <x:row r="82" ht="42" customHeight="1">
      <x:c r="A82" s="61" t="str">
        <x:v>日礼包/智械发条/19</x:v>
      </x:c>
      <x:c r="B82" s="61" t="str">
        <x:v>智械发条</x:v>
      </x:c>
      <x:c r="C82" s="62" t="n">
        <x:v>3</x:v>
      </x:c>
      <x:c r="D82" s="62" t="n">
        <x:v>150</x:v>
      </x:c>
      <x:c r="E82" s="62" t="str"/>
      <x:c r="F82" s="62" t="n">
        <x:f>IF(AND(ISNUMBER(C82),ISNUMBER(D82)),C82*D82,"待补")</x:f>
        <x:v>450</x:v>
      </x:c>
      <x:c r="G82" s="61" t="str">
        <x:v>统一道具字典</x:v>
      </x:c>
      <x:c r="H82" s="61" t="str"/>
      <x:c r="I82" s="61" t="str">
        <x:v>主/日周月礼包!第19行</x:v>
      </x:c>
      <x:c r="J82" s="61" t="str">
        <x:v>统一字典优先</x:v>
      </x:c>
      <x:c r="K82" s="43"/>
      <x:c r="L82" s="43"/>
    </x:row>
    <x:row r="83" ht="42" customHeight="1">
      <x:c r="A83" s="61" t="str">
        <x:v>周礼包/体力/28</x:v>
      </x:c>
      <x:c r="B83" s="61" t="str">
        <x:v>体力</x:v>
      </x:c>
      <x:c r="C83" s="62" t="n">
        <x:v>10</x:v>
      </x:c>
      <x:c r="D83" s="62" t="n">
        <x:v>2</x:v>
      </x:c>
      <x:c r="E83" s="62" t="str"/>
      <x:c r="F83" s="62" t="n">
        <x:f>IF(AND(ISNUMBER(C83),ISNUMBER(D83)),C83*D83,"待补")</x:f>
        <x:v>20</x:v>
      </x:c>
      <x:c r="G83" s="61" t="str">
        <x:v>统一道具字典</x:v>
      </x:c>
      <x:c r="H83" s="61" t="str"/>
      <x:c r="I83" s="61" t="str">
        <x:v>主/日周月礼包!第28行</x:v>
      </x:c>
      <x:c r="J83" s="61" t="str">
        <x:v>统一字典优先</x:v>
      </x:c>
      <x:c r="K83" s="43"/>
      <x:c r="L83" s="43"/>
    </x:row>
    <x:row r="84" ht="42" customHeight="1">
      <x:c r="A84" s="61" t="str">
        <x:v>周礼包/体力/29</x:v>
      </x:c>
      <x:c r="B84" s="61" t="str">
        <x:v>体力</x:v>
      </x:c>
      <x:c r="C84" s="62" t="n">
        <x:v>10</x:v>
      </x:c>
      <x:c r="D84" s="62" t="n">
        <x:v>2</x:v>
      </x:c>
      <x:c r="E84" s="62" t="str"/>
      <x:c r="F84" s="62" t="n">
        <x:f>IF(AND(ISNUMBER(C84),ISNUMBER(D84)),C84*D84,"待补")</x:f>
        <x:v>20</x:v>
      </x:c>
      <x:c r="G84" s="61" t="str">
        <x:v>统一道具字典</x:v>
      </x:c>
      <x:c r="H84" s="61" t="str"/>
      <x:c r="I84" s="61" t="str">
        <x:v>主/日周月礼包!第29行</x:v>
      </x:c>
      <x:c r="J84" s="61" t="str">
        <x:v>统一字典优先</x:v>
      </x:c>
      <x:c r="K84" s="43"/>
      <x:c r="L84" s="43"/>
    </x:row>
    <x:row r="85" ht="42" customHeight="1">
      <x:c r="A85" s="61" t="str">
        <x:v>周礼包/体力/30</x:v>
      </x:c>
      <x:c r="B85" s="61" t="str">
        <x:v>体力</x:v>
      </x:c>
      <x:c r="C85" s="62" t="n">
        <x:v>60</x:v>
      </x:c>
      <x:c r="D85" s="62" t="n">
        <x:v>2</x:v>
      </x:c>
      <x:c r="E85" s="62" t="str"/>
      <x:c r="F85" s="62" t="n">
        <x:f>IF(AND(ISNUMBER(C85),ISNUMBER(D85)),C85*D85,"待补")</x:f>
        <x:v>120</x:v>
      </x:c>
      <x:c r="G85" s="61" t="str">
        <x:v>统一道具字典</x:v>
      </x:c>
      <x:c r="H85" s="61" t="str"/>
      <x:c r="I85" s="61" t="str">
        <x:v>主/日周月礼包!第30行</x:v>
      </x:c>
      <x:c r="J85" s="61" t="str">
        <x:v>统一字典优先</x:v>
      </x:c>
      <x:c r="K85" s="43"/>
      <x:c r="L85" s="43"/>
    </x:row>
    <x:row r="86" ht="42" customHeight="1">
      <x:c r="A86" s="61" t="str">
        <x:v>周礼包/金币/31</x:v>
      </x:c>
      <x:c r="B86" s="61" t="str">
        <x:v>金币</x:v>
      </x:c>
      <x:c r="C86" s="62" t="n">
        <x:v>10000</x:v>
      </x:c>
      <x:c r="D86" s="62" t="n">
        <x:v>0.05</x:v>
      </x:c>
      <x:c r="E86" s="62" t="str"/>
      <x:c r="F86" s="62" t="n">
        <x:f>IF(AND(ISNUMBER(C86),ISNUMBER(D86)),C86*D86,"待补")</x:f>
        <x:v>500</x:v>
      </x:c>
      <x:c r="G86" s="61" t="str">
        <x:v>统一道具字典</x:v>
      </x:c>
      <x:c r="H86" s="61" t="str"/>
      <x:c r="I86" s="61" t="str">
        <x:v>主/日周月礼包!第31行</x:v>
      </x:c>
      <x:c r="J86" s="61" t="str">
        <x:v>统一字典优先</x:v>
      </x:c>
      <x:c r="K86" s="43"/>
      <x:c r="L86" s="43"/>
    </x:row>
    <x:row r="87" ht="42" customHeight="1">
      <x:c r="A87" s="61" t="str">
        <x:v>周礼包/梦境招募器/32</x:v>
      </x:c>
      <x:c r="B87" s="61" t="str">
        <x:v>梦境招募器</x:v>
      </x:c>
      <x:c r="C87" s="62" t="n">
        <x:v>50</x:v>
      </x:c>
      <x:c r="D87" s="62" t="n">
        <x:v>30</x:v>
      </x:c>
      <x:c r="E87" s="62" t="str"/>
      <x:c r="F87" s="62" t="n">
        <x:f>IF(AND(ISNUMBER(C87),ISNUMBER(D87)),C87*D87,"待补")</x:f>
        <x:v>1500</x:v>
      </x:c>
      <x:c r="G87" s="61" t="str">
        <x:v>统一道具字典</x:v>
      </x:c>
      <x:c r="H87" s="61" t="str"/>
      <x:c r="I87" s="61" t="str">
        <x:v>主/日周月礼包!第32行</x:v>
      </x:c>
      <x:c r="J87" s="61" t="str">
        <x:v>统一字典优先</x:v>
      </x:c>
      <x:c r="K87" s="43"/>
      <x:c r="L87" s="43"/>
    </x:row>
    <x:row r="88" ht="42" customHeight="1">
      <x:c r="A88" s="61" t="str">
        <x:v>周礼包/梦境招募器/33</x:v>
      </x:c>
      <x:c r="B88" s="61" t="str">
        <x:v>梦境招募器</x:v>
      </x:c>
      <x:c r="C88" s="62" t="n">
        <x:v>100</x:v>
      </x:c>
      <x:c r="D88" s="62" t="n">
        <x:v>30</x:v>
      </x:c>
      <x:c r="E88" s="62" t="str"/>
      <x:c r="F88" s="62" t="n">
        <x:f>IF(AND(ISNUMBER(C88),ISNUMBER(D88)),C88*D88,"待补")</x:f>
        <x:v>3000</x:v>
      </x:c>
      <x:c r="G88" s="61" t="str">
        <x:v>统一道具字典</x:v>
      </x:c>
      <x:c r="H88" s="61" t="str"/>
      <x:c r="I88" s="61" t="str">
        <x:v>主/日周月礼包!第33行</x:v>
      </x:c>
      <x:c r="J88" s="61" t="str">
        <x:v>统一字典优先</x:v>
      </x:c>
      <x:c r="K88" s="43"/>
      <x:c r="L88" s="43"/>
    </x:row>
    <x:row r="89" ht="42" customHeight="1">
      <x:c r="A89" s="61" t="str">
        <x:v>周礼包/超能特饮/34</x:v>
      </x:c>
      <x:c r="B89" s="61" t="str">
        <x:v>超能特饮</x:v>
      </x:c>
      <x:c r="C89" s="62" t="n">
        <x:v>400</x:v>
      </x:c>
      <x:c r="D89" s="62" t="n">
        <x:v>2</x:v>
      </x:c>
      <x:c r="E89" s="62" t="str"/>
      <x:c r="F89" s="62" t="n">
        <x:f>IF(AND(ISNUMBER(C89),ISNUMBER(D89)),C89*D89,"待补")</x:f>
        <x:v>800</x:v>
      </x:c>
      <x:c r="G89" s="61" t="str">
        <x:v>统一道具字典</x:v>
      </x:c>
      <x:c r="H89" s="61" t="str"/>
      <x:c r="I89" s="61" t="str">
        <x:v>主/日周月礼包!第34行</x:v>
      </x:c>
      <x:c r="J89" s="61" t="str">
        <x:v>统一字典优先</x:v>
      </x:c>
      <x:c r="K89" s="43"/>
      <x:c r="L89" s="43"/>
    </x:row>
    <x:row r="90" ht="42" customHeight="1">
      <x:c r="A90" s="61" t="str">
        <x:v>周礼包/装备图纸/35</x:v>
      </x:c>
      <x:c r="B90" s="61" t="str">
        <x:v>装备图纸</x:v>
      </x:c>
      <x:c r="C90" s="62" t="n">
        <x:v>200</x:v>
      </x:c>
      <x:c r="D90" s="62" t="n">
        <x:v>3</x:v>
      </x:c>
      <x:c r="E90" s="62" t="str"/>
      <x:c r="F90" s="62" t="n">
        <x:f>IF(AND(ISNUMBER(C90),ISNUMBER(D90)),C90*D90,"待补")</x:f>
        <x:v>600</x:v>
      </x:c>
      <x:c r="G90" s="61" t="str">
        <x:v>统一道具字典</x:v>
      </x:c>
      <x:c r="H90" s="61" t="str"/>
      <x:c r="I90" s="61" t="str">
        <x:v>主/日周月礼包!第35行</x:v>
      </x:c>
      <x:c r="J90" s="61" t="str">
        <x:v>统一字典优先</x:v>
      </x:c>
      <x:c r="K90" s="43"/>
      <x:c r="L90" s="43"/>
    </x:row>
    <x:row r="91" ht="42" customHeight="1">
      <x:c r="A91" s="61" t="str">
        <x:v>周礼包/星辉秘契/36</x:v>
      </x:c>
      <x:c r="B91" s="61" t="str">
        <x:v>星辉秘契</x:v>
      </x:c>
      <x:c r="C91" s="62" t="n">
        <x:v>10</x:v>
      </x:c>
      <x:c r="D91" s="62" t="n">
        <x:v>280</x:v>
      </x:c>
      <x:c r="E91" s="62" t="str"/>
      <x:c r="F91" s="62" t="n">
        <x:f>IF(AND(ISNUMBER(C91),ISNUMBER(D91)),C91*D91,"待补")</x:f>
        <x:v>2800</x:v>
      </x:c>
      <x:c r="G91" s="61" t="str">
        <x:v>统一道具字典</x:v>
      </x:c>
      <x:c r="H91" s="61" t="str"/>
      <x:c r="I91" s="61" t="str">
        <x:v>主/日周月礼包!第36行</x:v>
      </x:c>
      <x:c r="J91" s="61" t="str">
        <x:v>统一字典优先</x:v>
      </x:c>
      <x:c r="K91" s="43"/>
      <x:c r="L91" s="43"/>
    </x:row>
    <x:row r="92" ht="42" customHeight="1">
      <x:c r="A92" s="61" t="str">
        <x:v>周礼包/星辉秘契/37</x:v>
      </x:c>
      <x:c r="B92" s="61" t="str">
        <x:v>星辉秘契</x:v>
      </x:c>
      <x:c r="C92" s="62" t="n">
        <x:v>20</x:v>
      </x:c>
      <x:c r="D92" s="62" t="n">
        <x:v>280</x:v>
      </x:c>
      <x:c r="E92" s="62" t="str"/>
      <x:c r="F92" s="62" t="n">
        <x:f>IF(AND(ISNUMBER(C92),ISNUMBER(D92)),C92*D92,"待补")</x:f>
        <x:v>5600</x:v>
      </x:c>
      <x:c r="G92" s="61" t="str">
        <x:v>统一道具字典</x:v>
      </x:c>
      <x:c r="H92" s="61" t="str"/>
      <x:c r="I92" s="61" t="str">
        <x:v>主/日周月礼包!第37行</x:v>
      </x:c>
      <x:c r="J92" s="61" t="str">
        <x:v>统一字典优先</x:v>
      </x:c>
      <x:c r="K92" s="43"/>
      <x:c r="L92" s="43"/>
    </x:row>
    <x:row r="93" ht="42" customHeight="1">
      <x:c r="A93" s="61" t="str">
        <x:v>周礼包/符引结晶/38</x:v>
      </x:c>
      <x:c r="B93" s="61" t="str">
        <x:v>符引结晶</x:v>
      </x:c>
      <x:c r="C93" s="62" t="n">
        <x:v>100</x:v>
      </x:c>
      <x:c r="D93" s="62" t="n">
        <x:v>5</x:v>
      </x:c>
      <x:c r="E93" s="62" t="str"/>
      <x:c r="F93" s="62" t="n">
        <x:f>IF(AND(ISNUMBER(C93),ISNUMBER(D93)),C93*D93,"待补")</x:f>
        <x:v>500</x:v>
      </x:c>
      <x:c r="G93" s="61" t="str">
        <x:v>统一道具字典</x:v>
      </x:c>
      <x:c r="H93" s="61" t="str"/>
      <x:c r="I93" s="61" t="str">
        <x:v>主/日周月礼包!第38行</x:v>
      </x:c>
      <x:c r="J93" s="61" t="str">
        <x:v>统一字典优先</x:v>
      </x:c>
      <x:c r="K93" s="43"/>
      <x:c r="L93" s="43"/>
    </x:row>
    <x:row r="94" ht="42" customHeight="1">
      <x:c r="A94" s="61" t="str">
        <x:v>周礼包/幻梦晶核/39</x:v>
      </x:c>
      <x:c r="B94" s="61" t="str">
        <x:v>幻梦晶核</x:v>
      </x:c>
      <x:c r="C94" s="62" t="n">
        <x:v>12</x:v>
      </x:c>
      <x:c r="D94" s="62" t="n">
        <x:v>60</x:v>
      </x:c>
      <x:c r="E94" s="62" t="str"/>
      <x:c r="F94" s="62" t="n">
        <x:f>IF(AND(ISNUMBER(C94),ISNUMBER(D94)),C94*D94,"待补")</x:f>
        <x:v>720</x:v>
      </x:c>
      <x:c r="G94" s="61" t="str">
        <x:v>统一道具字典</x:v>
      </x:c>
      <x:c r="H94" s="61" t="str"/>
      <x:c r="I94" s="61" t="str">
        <x:v>主/日周月礼包!第39行</x:v>
      </x:c>
      <x:c r="J94" s="61" t="str">
        <x:v>统一字典优先</x:v>
      </x:c>
      <x:c r="K94" s="43"/>
      <x:c r="L94" s="43"/>
    </x:row>
    <x:row r="95" ht="42" customHeight="1">
      <x:c r="A95" s="61" t="str">
        <x:v>周礼包/织梦微尘/40</x:v>
      </x:c>
      <x:c r="B95" s="61" t="str">
        <x:v>织梦微尘</x:v>
      </x:c>
      <x:c r="C95" s="62" t="n">
        <x:v>200</x:v>
      </x:c>
      <x:c r="D95" s="62" t="n">
        <x:v>3</x:v>
      </x:c>
      <x:c r="E95" s="62" t="str"/>
      <x:c r="F95" s="62" t="n">
        <x:f>IF(AND(ISNUMBER(C95),ISNUMBER(D95)),C95*D95,"待补")</x:f>
        <x:v>600</x:v>
      </x:c>
      <x:c r="G95" s="61" t="str">
        <x:v>统一道具字典</x:v>
      </x:c>
      <x:c r="H95" s="61" t="str"/>
      <x:c r="I95" s="61" t="str">
        <x:v>主/日周月礼包!第40行</x:v>
      </x:c>
      <x:c r="J95" s="61" t="str">
        <x:v>统一字典优先</x:v>
      </x:c>
      <x:c r="K95" s="43"/>
      <x:c r="L95" s="43"/>
    </x:row>
    <x:row r="96" ht="42" customHeight="1">
      <x:c r="A96" s="61" t="str">
        <x:v>周礼包/加速沙漏/41</x:v>
      </x:c>
      <x:c r="B96" s="61" t="str">
        <x:v>加速沙漏</x:v>
      </x:c>
      <x:c r="C96" s="62" t="n">
        <x:v>50</x:v>
      </x:c>
      <x:c r="D96" s="62" t="n">
        <x:v>5</x:v>
      </x:c>
      <x:c r="E96" s="62" t="str"/>
      <x:c r="F96" s="62" t="n">
        <x:f>IF(AND(ISNUMBER(C96),ISNUMBER(D96)),C96*D96,"待补")</x:f>
        <x:v>250</x:v>
      </x:c>
      <x:c r="G96" s="61" t="str">
        <x:v>统一道具字典</x:v>
      </x:c>
      <x:c r="H96" s="61" t="str"/>
      <x:c r="I96" s="61" t="str">
        <x:v>主/日周月礼包!第41行</x:v>
      </x:c>
      <x:c r="J96" s="61" t="str">
        <x:v>统一字典优先</x:v>
      </x:c>
      <x:c r="K96" s="43"/>
      <x:c r="L96" s="43"/>
    </x:row>
    <x:row r="97" ht="42" customHeight="1">
      <x:c r="A97" s="61" t="str">
        <x:v>周礼包/梦境衣橱礼包/42</x:v>
      </x:c>
      <x:c r="B97" s="61" t="str">
        <x:v>梦境衣橱礼包</x:v>
      </x:c>
      <x:c r="C97" s="62" t="n">
        <x:v>1</x:v>
      </x:c>
      <x:c r="D97" s="62" t="str">
        <x:v>待补</x:v>
      </x:c>
      <x:c r="E97" s="62" t="str"/>
      <x:c r="F97" s="62" t="str">
        <x:f>IF(AND(ISNUMBER(C97),ISNUMBER(D97)),C97*D97,"待补")</x:f>
        <x:v>待补</x:v>
      </x:c>
      <x:c r="G97" s="61" t="str">
        <x:v>缺统一估值</x:v>
      </x:c>
      <x:c r="H97" s="61" t="str"/>
      <x:c r="I97" s="61" t="str">
        <x:v>主/日周月礼包!第42行</x:v>
      </x:c>
      <x:c r="J97" s="61" t="str">
        <x:v>统一字典优先</x:v>
      </x:c>
      <x:c r="K97" s="43"/>
      <x:c r="L97" s="43"/>
    </x:row>
    <x:row r="98" ht="42" customHeight="1">
      <x:c r="A98" s="61" t="str">
        <x:v>周礼包/转运石/43</x:v>
      </x:c>
      <x:c r="B98" s="61" t="str">
        <x:v>转运石</x:v>
      </x:c>
      <x:c r="C98" s="62" t="n">
        <x:v>3000</x:v>
      </x:c>
      <x:c r="D98" s="62" t="n">
        <x:v>0.33</x:v>
      </x:c>
      <x:c r="E98" s="62" t="str"/>
      <x:c r="F98" s="62" t="n">
        <x:f>IF(AND(ISNUMBER(C98),ISNUMBER(D98)),C98*D98,"待补")</x:f>
        <x:v>990</x:v>
      </x:c>
      <x:c r="G98" s="61" t="str">
        <x:v>统一道具字典</x:v>
      </x:c>
      <x:c r="H98" s="61" t="str"/>
      <x:c r="I98" s="61" t="str">
        <x:v>主/日周月礼包!第43行</x:v>
      </x:c>
      <x:c r="J98" s="61" t="str">
        <x:v>统一字典优先</x:v>
      </x:c>
      <x:c r="K98" s="43"/>
      <x:c r="L98" s="43"/>
    </x:row>
    <x:row r="99" ht="42" customHeight="1">
      <x:c r="A99" s="61" t="str">
        <x:v>周礼包/智械发条/44</x:v>
      </x:c>
      <x:c r="B99" s="61" t="str">
        <x:v>智械发条</x:v>
      </x:c>
      <x:c r="C99" s="62" t="n">
        <x:v>10</x:v>
      </x:c>
      <x:c r="D99" s="62" t="n">
        <x:v>150</x:v>
      </x:c>
      <x:c r="E99" s="62" t="str"/>
      <x:c r="F99" s="62" t="n">
        <x:f>IF(AND(ISNUMBER(C99),ISNUMBER(D99)),C99*D99,"待补")</x:f>
        <x:v>1500</x:v>
      </x:c>
      <x:c r="G99" s="61" t="str">
        <x:v>统一道具字典</x:v>
      </x:c>
      <x:c r="H99" s="61" t="str"/>
      <x:c r="I99" s="61" t="str">
        <x:v>主/日周月礼包!第44行</x:v>
      </x:c>
      <x:c r="J99" s="61" t="str">
        <x:v>统一字典优先</x:v>
      </x:c>
      <x:c r="K99" s="43"/>
      <x:c r="L99" s="43"/>
    </x:row>
    <x:row r="100" ht="42" customHeight="1">
      <x:c r="A100" s="61" t="str">
        <x:v>周礼包/精密齿轮/45</x:v>
      </x:c>
      <x:c r="B100" s="61" t="str">
        <x:v>精密齿轮</x:v>
      </x:c>
      <x:c r="C100" s="62" t="n">
        <x:v>300</x:v>
      </x:c>
      <x:c r="D100" s="62" t="n">
        <x:v>1</x:v>
      </x:c>
      <x:c r="E100" s="62" t="str"/>
      <x:c r="F100" s="62" t="n">
        <x:f>IF(AND(ISNUMBER(C100),ISNUMBER(D100)),C100*D100,"待补")</x:f>
        <x:v>300</x:v>
      </x:c>
      <x:c r="G100" s="61" t="str">
        <x:v>统一道具字典</x:v>
      </x:c>
      <x:c r="H100" s="61" t="str"/>
      <x:c r="I100" s="61" t="str">
        <x:v>主/日周月礼包!第45行</x:v>
      </x:c>
      <x:c r="J100" s="61" t="str">
        <x:v>统一字典优先</x:v>
      </x:c>
      <x:c r="K100" s="43"/>
      <x:c r="L100" s="43"/>
    </x:row>
    <x:row r="101" ht="42" customHeight="1">
      <x:c r="A101" s="61" t="str">
        <x:v>周礼包/随机史诗藏品/46</x:v>
      </x:c>
      <x:c r="B101" s="61" t="str">
        <x:v>随机史诗藏品</x:v>
      </x:c>
      <x:c r="C101" s="62" t="n">
        <x:v>1</x:v>
      </x:c>
      <x:c r="D101" s="62" t="n">
        <x:v>2400</x:v>
      </x:c>
      <x:c r="E101" s="62" t="n">
        <x:v>2400</x:v>
      </x:c>
      <x:c r="F101" s="62" t="n">
        <x:f>IF(AND(ISNUMBER(C101),ISNUMBER(D101)),C101*D101,"待补")</x:f>
        <x:v>2400</x:v>
      </x:c>
      <x:c r="G101" s="61" t="str">
        <x:v>统一道具字典</x:v>
      </x:c>
      <x:c r="H101" s="61" t="str"/>
      <x:c r="I101" s="61" t="str">
        <x:v>主/日周月礼包!第46行</x:v>
      </x:c>
      <x:c r="J101" s="61" t="str">
        <x:v>统一字典优先</x:v>
      </x:c>
      <x:c r="K101" s="43"/>
      <x:c r="L101" s="43"/>
    </x:row>
    <x:row r="102" ht="42" customHeight="1">
      <x:c r="A102" s="61" t="str">
        <x:v>周礼包/万象自选宝盒Ⅰ/47</x:v>
      </x:c>
      <x:c r="B102" s="61" t="str">
        <x:v>万象自选宝盒Ⅰ</x:v>
      </x:c>
      <x:c r="C102" s="62" t="n">
        <x:v>1</x:v>
      </x:c>
      <x:c r="D102" s="62" t="str">
        <x:v>待补</x:v>
      </x:c>
      <x:c r="E102" s="62" t="n">
        <x:v>6000</x:v>
      </x:c>
      <x:c r="F102" s="62" t="str">
        <x:f>IF(AND(ISNUMBER(C102),ISNUMBER(D102)),C102*D102,"待补")</x:f>
        <x:v>待补</x:v>
      </x:c>
      <x:c r="G102" s="61" t="str">
        <x:v>缺统一估值</x:v>
      </x:c>
      <x:c r="H102" s="61" t="str"/>
      <x:c r="I102" s="61" t="str">
        <x:v>主/日周月礼包!第47行</x:v>
      </x:c>
      <x:c r="J102" s="61" t="str">
        <x:v>统一字典优先</x:v>
      </x:c>
      <x:c r="K102" s="43"/>
      <x:c r="L102" s="43"/>
    </x:row>
    <x:row r="103" ht="42" customHeight="1">
      <x:c r="A103" s="61" t="str">
        <x:v>月礼包/体力/52</x:v>
      </x:c>
      <x:c r="B103" s="61" t="str">
        <x:v>体力</x:v>
      </x:c>
      <x:c r="C103" s="62" t="n">
        <x:v>10</x:v>
      </x:c>
      <x:c r="D103" s="62" t="n">
        <x:v>2</x:v>
      </x:c>
      <x:c r="E103" s="62" t="str"/>
      <x:c r="F103" s="62" t="n">
        <x:f>IF(AND(ISNUMBER(C103),ISNUMBER(D103)),C103*D103,"待补")</x:f>
        <x:v>20</x:v>
      </x:c>
      <x:c r="G103" s="61" t="str">
        <x:v>统一道具字典</x:v>
      </x:c>
      <x:c r="H103" s="61" t="str"/>
      <x:c r="I103" s="61" t="str">
        <x:v>主/日周月礼包!第52行</x:v>
      </x:c>
      <x:c r="J103" s="61" t="str">
        <x:v>统一字典优先</x:v>
      </x:c>
      <x:c r="K103" s="43"/>
      <x:c r="L103" s="43"/>
    </x:row>
    <x:row r="104" ht="42" customHeight="1">
      <x:c r="A104" s="61" t="str">
        <x:v>月礼包/体力/53</x:v>
      </x:c>
      <x:c r="B104" s="61" t="str">
        <x:v>体力</x:v>
      </x:c>
      <x:c r="C104" s="62" t="n">
        <x:v>10</x:v>
      </x:c>
      <x:c r="D104" s="62" t="n">
        <x:v>2</x:v>
      </x:c>
      <x:c r="E104" s="62" t="str"/>
      <x:c r="F104" s="62" t="n">
        <x:f>IF(AND(ISNUMBER(C104),ISNUMBER(D104)),C104*D104,"待补")</x:f>
        <x:v>20</x:v>
      </x:c>
      <x:c r="G104" s="61" t="str">
        <x:v>统一道具字典</x:v>
      </x:c>
      <x:c r="H104" s="61" t="str"/>
      <x:c r="I104" s="61" t="str">
        <x:v>主/日周月礼包!第53行</x:v>
      </x:c>
      <x:c r="J104" s="61" t="str">
        <x:v>统一字典优先</x:v>
      </x:c>
      <x:c r="K104" s="43"/>
      <x:c r="L104" s="43"/>
    </x:row>
    <x:row r="105" ht="42" customHeight="1">
      <x:c r="A105" s="61" t="str">
        <x:v>月礼包/梦境招募器/54</x:v>
      </x:c>
      <x:c r="B105" s="61" t="str">
        <x:v>梦境招募器</x:v>
      </x:c>
      <x:c r="C105" s="62" t="n">
        <x:v>50</x:v>
      </x:c>
      <x:c r="D105" s="62" t="n">
        <x:v>30</x:v>
      </x:c>
      <x:c r="E105" s="62" t="str"/>
      <x:c r="F105" s="62" t="n">
        <x:f>IF(AND(ISNUMBER(C105),ISNUMBER(D105)),C105*D105,"待补")</x:f>
        <x:v>1500</x:v>
      </x:c>
      <x:c r="G105" s="61" t="str">
        <x:v>统一道具字典</x:v>
      </x:c>
      <x:c r="H105" s="61" t="str"/>
      <x:c r="I105" s="61" t="str">
        <x:v>主/日周月礼包!第54行</x:v>
      </x:c>
      <x:c r="J105" s="61" t="str">
        <x:v>统一字典优先</x:v>
      </x:c>
      <x:c r="K105" s="43"/>
      <x:c r="L105" s="43"/>
    </x:row>
    <x:row r="106" ht="42" customHeight="1">
      <x:c r="A106" s="61" t="str">
        <x:v>月礼包/梦境招募器/55</x:v>
      </x:c>
      <x:c r="B106" s="61" t="str">
        <x:v>梦境招募器</x:v>
      </x:c>
      <x:c r="C106" s="62" t="n">
        <x:v>200</x:v>
      </x:c>
      <x:c r="D106" s="62" t="n">
        <x:v>30</x:v>
      </x:c>
      <x:c r="E106" s="62" t="str"/>
      <x:c r="F106" s="62" t="n">
        <x:f>IF(AND(ISNUMBER(C106),ISNUMBER(D106)),C106*D106,"待补")</x:f>
        <x:v>6000</x:v>
      </x:c>
      <x:c r="G106" s="61" t="str">
        <x:v>统一道具字典</x:v>
      </x:c>
      <x:c r="H106" s="61" t="str"/>
      <x:c r="I106" s="61" t="str">
        <x:v>主/日周月礼包!第55行</x:v>
      </x:c>
      <x:c r="J106" s="61" t="str">
        <x:v>统一字典优先</x:v>
      </x:c>
      <x:c r="K106" s="43"/>
      <x:c r="L106" s="43"/>
    </x:row>
    <x:row r="107" ht="42" customHeight="1">
      <x:c r="A107" s="61" t="str">
        <x:v>月礼包/超能特饮/56</x:v>
      </x:c>
      <x:c r="B107" s="61" t="str">
        <x:v>超能特饮</x:v>
      </x:c>
      <x:c r="C107" s="62" t="n">
        <x:v>1000</x:v>
      </x:c>
      <x:c r="D107" s="62" t="n">
        <x:v>2</x:v>
      </x:c>
      <x:c r="E107" s="62" t="str"/>
      <x:c r="F107" s="62" t="n">
        <x:f>IF(AND(ISNUMBER(C107),ISNUMBER(D107)),C107*D107,"待补")</x:f>
        <x:v>2000</x:v>
      </x:c>
      <x:c r="G107" s="61" t="str">
        <x:v>统一道具字典</x:v>
      </x:c>
      <x:c r="H107" s="61" t="str"/>
      <x:c r="I107" s="61" t="str">
        <x:v>主/日周月礼包!第56行</x:v>
      </x:c>
      <x:c r="J107" s="61" t="str">
        <x:v>统一字典优先</x:v>
      </x:c>
      <x:c r="K107" s="43"/>
      <x:c r="L107" s="43"/>
    </x:row>
    <x:row r="108" ht="42" customHeight="1">
      <x:c r="A108" s="61" t="str">
        <x:v>月礼包/装备图纸/57</x:v>
      </x:c>
      <x:c r="B108" s="61" t="str">
        <x:v>装备图纸</x:v>
      </x:c>
      <x:c r="C108" s="62" t="n">
        <x:v>400</x:v>
      </x:c>
      <x:c r="D108" s="62" t="n">
        <x:v>3</x:v>
      </x:c>
      <x:c r="E108" s="62" t="str"/>
      <x:c r="F108" s="62" t="n">
        <x:f>IF(AND(ISNUMBER(C108),ISNUMBER(D108)),C108*D108,"待补")</x:f>
        <x:v>1200</x:v>
      </x:c>
      <x:c r="G108" s="61" t="str">
        <x:v>统一道具字典</x:v>
      </x:c>
      <x:c r="H108" s="61" t="str"/>
      <x:c r="I108" s="61" t="str">
        <x:v>主/日周月礼包!第57行</x:v>
      </x:c>
      <x:c r="J108" s="61" t="str">
        <x:v>统一字典优先</x:v>
      </x:c>
      <x:c r="K108" s="43"/>
      <x:c r="L108" s="43"/>
    </x:row>
    <x:row r="109" ht="42" customHeight="1">
      <x:c r="A109" s="61" t="str">
        <x:v>月礼包/幻梦晶核/58</x:v>
      </x:c>
      <x:c r="B109" s="61" t="str">
        <x:v>幻梦晶核</x:v>
      </x:c>
      <x:c r="C109" s="62" t="n">
        <x:v>30</x:v>
      </x:c>
      <x:c r="D109" s="62" t="n">
        <x:v>60</x:v>
      </x:c>
      <x:c r="E109" s="62" t="str"/>
      <x:c r="F109" s="62" t="n">
        <x:f>IF(AND(ISNUMBER(C109),ISNUMBER(D109)),C109*D109,"待补")</x:f>
        <x:v>1800</x:v>
      </x:c>
      <x:c r="G109" s="61" t="str">
        <x:v>统一道具字典</x:v>
      </x:c>
      <x:c r="H109" s="61" t="str"/>
      <x:c r="I109" s="61" t="str">
        <x:v>主/日周月礼包!第58行</x:v>
      </x:c>
      <x:c r="J109" s="61" t="str">
        <x:v>统一字典优先</x:v>
      </x:c>
      <x:c r="K109" s="43"/>
      <x:c r="L109" s="43"/>
    </x:row>
    <x:row r="110" ht="42" customHeight="1">
      <x:c r="A110" s="61" t="str">
        <x:v>月礼包/幻梦晶核/59</x:v>
      </x:c>
      <x:c r="B110" s="61" t="str">
        <x:v>幻梦晶核</x:v>
      </x:c>
      <x:c r="C110" s="62" t="n">
        <x:v>130</x:v>
      </x:c>
      <x:c r="D110" s="62" t="n">
        <x:v>60</x:v>
      </x:c>
      <x:c r="E110" s="62" t="str"/>
      <x:c r="F110" s="62" t="n">
        <x:f>IF(AND(ISNUMBER(C110),ISNUMBER(D110)),C110*D110,"待补")</x:f>
        <x:v>7800</x:v>
      </x:c>
      <x:c r="G110" s="61" t="str">
        <x:v>统一道具字典</x:v>
      </x:c>
      <x:c r="H110" s="61" t="str"/>
      <x:c r="I110" s="61" t="str">
        <x:v>主/日周月礼包!第59行</x:v>
      </x:c>
      <x:c r="J110" s="61" t="str">
        <x:v>统一字典优先</x:v>
      </x:c>
      <x:c r="K110" s="43"/>
      <x:c r="L110" s="43"/>
    </x:row>
    <x:row r="111" ht="42" customHeight="1">
      <x:c r="A111" s="61" t="str">
        <x:v>月礼包/绮梦衣橱盒Ⅰ/60</x:v>
      </x:c>
      <x:c r="B111" s="61" t="str">
        <x:v>绮梦衣橱盒Ⅰ</x:v>
      </x:c>
      <x:c r="C111" s="62" t="n">
        <x:v>1</x:v>
      </x:c>
      <x:c r="D111" s="62" t="str">
        <x:v>待补</x:v>
      </x:c>
      <x:c r="E111" s="62" t="str"/>
      <x:c r="F111" s="62" t="str">
        <x:f>IF(AND(ISNUMBER(C111),ISNUMBER(D111)),C111*D111,"待补")</x:f>
        <x:v>待补</x:v>
      </x:c>
      <x:c r="G111" s="61" t="str">
        <x:v>缺统一估值</x:v>
      </x:c>
      <x:c r="H111" s="61" t="str"/>
      <x:c r="I111" s="61" t="str">
        <x:v>主/日周月礼包!第60行</x:v>
      </x:c>
      <x:c r="J111" s="61" t="str">
        <x:v>统一字典优先</x:v>
      </x:c>
      <x:c r="K111" s="43"/>
      <x:c r="L111" s="43"/>
    </x:row>
    <x:row r="112" ht="42" customHeight="1">
      <x:c r="A112" s="61" t="str">
        <x:v>月礼包/星辉秘契/61</x:v>
      </x:c>
      <x:c r="B112" s="61" t="str">
        <x:v>星辉秘契</x:v>
      </x:c>
      <x:c r="C112" s="62" t="n">
        <x:v>10</x:v>
      </x:c>
      <x:c r="D112" s="62" t="n">
        <x:v>280</x:v>
      </x:c>
      <x:c r="E112" s="62" t="str"/>
      <x:c r="F112" s="62" t="n">
        <x:f>IF(AND(ISNUMBER(C112),ISNUMBER(D112)),C112*D112,"待补")</x:f>
        <x:v>2800</x:v>
      </x:c>
      <x:c r="G112" s="61" t="str">
        <x:v>统一道具字典</x:v>
      </x:c>
      <x:c r="H112" s="61" t="str"/>
      <x:c r="I112" s="61" t="str">
        <x:v>主/日周月礼包!第61行</x:v>
      </x:c>
      <x:c r="J112" s="61" t="str">
        <x:v>统一字典优先</x:v>
      </x:c>
      <x:c r="K112" s="43"/>
      <x:c r="L112" s="43"/>
    </x:row>
    <x:row r="113" ht="42" customHeight="1">
      <x:c r="A113" s="61" t="str">
        <x:v>月礼包/星辉秘契/62</x:v>
      </x:c>
      <x:c r="B113" s="61" t="str">
        <x:v>星辉秘契</x:v>
      </x:c>
      <x:c r="C113" s="62" t="n">
        <x:v>40</x:v>
      </x:c>
      <x:c r="D113" s="62" t="n">
        <x:v>280</x:v>
      </x:c>
      <x:c r="E113" s="62" t="str"/>
      <x:c r="F113" s="62" t="n">
        <x:f>IF(AND(ISNUMBER(C113),ISNUMBER(D113)),C113*D113,"待补")</x:f>
        <x:v>11200</x:v>
      </x:c>
      <x:c r="G113" s="61" t="str">
        <x:v>统一道具字典</x:v>
      </x:c>
      <x:c r="H113" s="61" t="str"/>
      <x:c r="I113" s="61" t="str">
        <x:v>主/日周月礼包!第62行</x:v>
      </x:c>
      <x:c r="J113" s="61" t="str">
        <x:v>统一字典优先</x:v>
      </x:c>
      <x:c r="K113" s="43"/>
      <x:c r="L113" s="43"/>
    </x:row>
    <x:row r="114" ht="42" customHeight="1">
      <x:c r="A114" s="61" t="str">
        <x:v>月礼包/传说符文/63</x:v>
      </x:c>
      <x:c r="B114" s="61" t="str">
        <x:v>传说符文</x:v>
      </x:c>
      <x:c r="C114" s="62" t="n">
        <x:v>1</x:v>
      </x:c>
      <x:c r="D114" s="62" t="n">
        <x:v>4096</x:v>
      </x:c>
      <x:c r="E114" s="62" t="str"/>
      <x:c r="F114" s="62" t="n">
        <x:f>IF(AND(ISNUMBER(C114),ISNUMBER(D114)),C114*D114,"待补")</x:f>
        <x:v>4096</x:v>
      </x:c>
      <x:c r="G114" s="61" t="str">
        <x:v>统一道具字典</x:v>
      </x:c>
      <x:c r="H114" s="61" t="str"/>
      <x:c r="I114" s="61" t="str">
        <x:v>主/日周月礼包!第63行</x:v>
      </x:c>
      <x:c r="J114" s="61" t="str">
        <x:v>统一字典优先</x:v>
      </x:c>
      <x:c r="K114" s="43"/>
      <x:c r="L114" s="43"/>
    </x:row>
    <x:row r="115" ht="42" customHeight="1">
      <x:c r="A115" s="61" t="str">
        <x:v>月礼包/神话符文/64</x:v>
      </x:c>
      <x:c r="B115" s="61" t="str">
        <x:v>神话符文</x:v>
      </x:c>
      <x:c r="C115" s="62" t="n">
        <x:v>1</x:v>
      </x:c>
      <x:c r="D115" s="62" t="n">
        <x:v>16384</x:v>
      </x:c>
      <x:c r="E115" s="62" t="str"/>
      <x:c r="F115" s="62" t="n">
        <x:f>IF(AND(ISNUMBER(C115),ISNUMBER(D115)),C115*D115,"待补")</x:f>
        <x:v>16384</x:v>
      </x:c>
      <x:c r="G115" s="61" t="str">
        <x:v>统一道具字典</x:v>
      </x:c>
      <x:c r="H115" s="61" t="str"/>
      <x:c r="I115" s="61" t="str">
        <x:v>主/日周月礼包!第64行</x:v>
      </x:c>
      <x:c r="J115" s="61" t="str">
        <x:v>统一字典优先</x:v>
      </x:c>
      <x:c r="K115" s="43"/>
      <x:c r="L115" s="43"/>
    </x:row>
    <x:row r="116" ht="42" customHeight="1">
      <x:c r="A116" s="61" t="str">
        <x:v>月礼包/转运石/65</x:v>
      </x:c>
      <x:c r="B116" s="61" t="str">
        <x:v>转运石</x:v>
      </x:c>
      <x:c r="C116" s="62" t="n">
        <x:v>10000</x:v>
      </x:c>
      <x:c r="D116" s="62" t="n">
        <x:v>0.33</x:v>
      </x:c>
      <x:c r="E116" s="62" t="str"/>
      <x:c r="F116" s="62" t="n">
        <x:f>IF(AND(ISNUMBER(C116),ISNUMBER(D116)),C116*D116,"待补")</x:f>
        <x:v>3300</x:v>
      </x:c>
      <x:c r="G116" s="61" t="str">
        <x:v>统一道具字典</x:v>
      </x:c>
      <x:c r="H116" s="61" t="str"/>
      <x:c r="I116" s="61" t="str">
        <x:v>主/日周月礼包!第65行</x:v>
      </x:c>
      <x:c r="J116" s="61" t="str">
        <x:v>统一字典优先</x:v>
      </x:c>
      <x:c r="K116" s="43"/>
      <x:c r="L116" s="43"/>
    </x:row>
    <x:row r="117" ht="42" customHeight="1">
      <x:c r="A117" s="61" t="str">
        <x:v>月礼包/智械发条/66</x:v>
      </x:c>
      <x:c r="B117" s="61" t="str">
        <x:v>智械发条</x:v>
      </x:c>
      <x:c r="C117" s="62" t="n">
        <x:v>10</x:v>
      </x:c>
      <x:c r="D117" s="62" t="n">
        <x:v>150</x:v>
      </x:c>
      <x:c r="E117" s="62" t="str"/>
      <x:c r="F117" s="62" t="n">
        <x:f>IF(AND(ISNUMBER(C117),ISNUMBER(D117)),C117*D117,"待补")</x:f>
        <x:v>1500</x:v>
      </x:c>
      <x:c r="G117" s="61" t="str">
        <x:v>统一道具字典</x:v>
      </x:c>
      <x:c r="H117" s="61" t="str"/>
      <x:c r="I117" s="61" t="str">
        <x:v>主/日周月礼包!第66行</x:v>
      </x:c>
      <x:c r="J117" s="61" t="str">
        <x:v>统一字典优先</x:v>
      </x:c>
      <x:c r="K117" s="43"/>
      <x:c r="L117" s="43"/>
    </x:row>
    <x:row r="118" ht="42" customHeight="1">
      <x:c r="A118" s="61" t="str">
        <x:v>月礼包/智械发条/67</x:v>
      </x:c>
      <x:c r="B118" s="61" t="str">
        <x:v>智械发条</x:v>
      </x:c>
      <x:c r="C118" s="62" t="n">
        <x:v>20</x:v>
      </x:c>
      <x:c r="D118" s="62" t="n">
        <x:v>150</x:v>
      </x:c>
      <x:c r="E118" s="62" t="str"/>
      <x:c r="F118" s="62" t="n">
        <x:f>IF(AND(ISNUMBER(C118),ISNUMBER(D118)),C118*D118,"待补")</x:f>
        <x:v>3000</x:v>
      </x:c>
      <x:c r="G118" s="61" t="str">
        <x:v>统一道具字典</x:v>
      </x:c>
      <x:c r="H118" s="61" t="str"/>
      <x:c r="I118" s="61" t="str">
        <x:v>主/日周月礼包!第67行</x:v>
      </x:c>
      <x:c r="J118" s="61" t="str">
        <x:v>统一字典优先</x:v>
      </x:c>
      <x:c r="K118" s="43"/>
      <x:c r="L118" s="43"/>
    </x:row>
    <x:row r="119" ht="42" customHeight="1">
      <x:c r="A119" s="61" t="str">
        <x:v>月礼包/精密齿轮/68</x:v>
      </x:c>
      <x:c r="B119" s="61" t="str">
        <x:v>精密齿轮</x:v>
      </x:c>
      <x:c r="C119" s="62" t="n">
        <x:v>1000</x:v>
      </x:c>
      <x:c r="D119" s="62" t="n">
        <x:v>1</x:v>
      </x:c>
      <x:c r="E119" s="62" t="str"/>
      <x:c r="F119" s="62" t="n">
        <x:f>IF(AND(ISNUMBER(C119),ISNUMBER(D119)),C119*D119,"待补")</x:f>
        <x:v>1000</x:v>
      </x:c>
      <x:c r="G119" s="61" t="str">
        <x:v>统一道具字典</x:v>
      </x:c>
      <x:c r="H119" s="61" t="str"/>
      <x:c r="I119" s="61" t="str">
        <x:v>主/日周月礼包!第68行</x:v>
      </x:c>
      <x:c r="J119" s="61" t="str">
        <x:v>统一字典优先</x:v>
      </x:c>
      <x:c r="K119" s="43"/>
      <x:c r="L119" s="43"/>
    </x:row>
    <x:row r="120" ht="42" customHeight="1">
      <x:c r="A120" s="61" t="str">
        <x:v>月礼包/怦怦时刻/69</x:v>
      </x:c>
      <x:c r="B120" s="61" t="str">
        <x:v>怦怦时刻</x:v>
      </x:c>
      <x:c r="C120" s="62" t="n">
        <x:v>4800</x:v>
      </x:c>
      <x:c r="D120" s="62" t="n">
        <x:v>4800</x:v>
      </x:c>
      <x:c r="E120" s="62" t="n">
        <x:v>1</x:v>
      </x:c>
      <x:c r="F120" s="62" t="n">
        <x:f>IF(AND(ISNUMBER(C120),ISNUMBER(D120)),C120*D120,"待补")</x:f>
        <x:v>23040000</x:v>
      </x:c>
      <x:c r="G120" s="61" t="str">
        <x:v>统一道具字典</x:v>
      </x:c>
      <x:c r="H120" s="61" t="str">
        <x:v>活动单价1，统一字典4800</x:v>
      </x:c>
      <x:c r="I120" s="61" t="str">
        <x:v>主/日周月礼包!第69行</x:v>
      </x:c>
      <x:c r="J120" s="61" t="str">
        <x:v>统一字典优先</x:v>
      </x:c>
      <x:c r="K120" s="43"/>
      <x:c r="L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</x:row>
    <x:row r="123">
      <x:c r="A123" s="65" t="str">
        <x:v>活动节点与最终大奖判定</x:v>
      </x:c>
      <x:c r="B123" s="65"/>
      <x:c r="C123" s="65"/>
      <x:c r="D123" s="65"/>
      <x:c r="E123" s="65"/>
      <x:c r="F123" s="65"/>
      <x:c r="G123" s="43"/>
      <x:c r="H123" s="43"/>
      <x:c r="I123" s="43"/>
      <x:c r="J123" s="43"/>
      <x:c r="K123" s="43"/>
      <x:c r="L123" s="43"/>
    </x:row>
    <x:row r="124" ht="42" customHeight="1">
      <x:c r="A124" s="60" t="str">
        <x:v>轮次/节点</x:v>
      </x:c>
      <x:c r="B124" s="60" t="str">
        <x:v>节点类型</x:v>
      </x:c>
      <x:c r="C124" s="60" t="str">
        <x:v>阈值</x:v>
      </x:c>
      <x:c r="D124" s="60" t="str">
        <x:v>奖励</x:v>
      </x:c>
      <x:c r="E124" s="60" t="str">
        <x:v>到手成本判定</x:v>
      </x:c>
      <x:c r="F124" s="60" t="str">
        <x:v>来源</x:v>
      </x:c>
      <x:c r="G124" s="43"/>
      <x:c r="H124" s="43"/>
      <x:c r="I124" s="43"/>
      <x:c r="J124" s="43"/>
      <x:c r="K124" s="43"/>
      <x:c r="L124" s="43"/>
    </x:row>
  </x:sheetData>
  <x:mergeCells>
    <x:mergeCell ref="A1:L1"/>
    <x:mergeCell ref="A2:L2"/>
    <x:mergeCell ref="A65:J65"/>
    <x:mergeCell ref="A123:F1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《梦境护卫队》每日特惠充值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来源：主/特惠+充值!B9:I29｜宝箱名称/80钻单价冲突；调整后奖池与当前三档并列｜主方案优先，补充方案不覆盖主方案。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每日特惠充值</x:v>
      </x:c>
      <x:c r="C4" s="59"/>
      <x:c r="D4" s="57" t="str">
        <x:v>最终大奖条件说明</x:v>
      </x:c>
      <x:c r="E4" s="58" t="str">
        <x:v>该模块为日/周/月商品池</x:v>
      </x:c>
      <x:c r="F4" s="59"/>
      <x:c r="G4" s="57" t="str">
        <x:v>礼包数</x:v>
      </x:c>
      <x:c r="H4" s="58" t="n">
        <x:v>6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无单一终大奖；按单礼包到手价值比较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6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60" t="str">
        <x:v>礼包/档位</x:v>
      </x:c>
      <x:c r="B8" s="60" t="str">
        <x:v>支付币种</x:v>
      </x:c>
      <x:c r="C8" s="60" t="str">
        <x:v>标价</x:v>
      </x:c>
      <x:c r="D8" s="60" t="str">
        <x:v>成本折钻</x:v>
      </x:c>
      <x:c r="E8" s="60" t="str">
        <x:v>奖励价值钻</x:v>
      </x:c>
      <x:c r="F8" s="60" t="str">
        <x:v>价值倍率</x:v>
      </x:c>
      <x:c r="G8" s="60" t="str">
        <x:v>重算折数</x:v>
      </x:c>
      <x:c r="H8" s="60" t="str">
        <x:v>原标注折数</x:v>
      </x:c>
      <x:c r="I8" s="60" t="str">
        <x:v>主要到手标的物</x:v>
      </x:c>
      <x:c r="J8" s="60" t="str">
        <x:v>限购</x:v>
      </x:c>
      <x:c r="K8" s="60" t="str">
        <x:v>到手判断</x:v>
      </x:c>
      <x:c r="L8" s="60" t="str">
        <x:v>来源</x:v>
      </x:c>
    </x:row>
    <x:row r="9" ht="42" customHeight="1">
      <x:c r="A9" s="61" t="str">
        <x:v>每日特惠1元</x:v>
      </x:c>
      <x:c r="B9" s="61" t="str">
        <x:v>RMB</x:v>
      </x:c>
      <x:c r="C9" s="61" t="n">
        <x:v>1</x:v>
      </x:c>
      <x:c r="D9" s="62" t="n">
        <x:f>IF(ISNUMBER(C9*10),C9*10,"待核")</x:f>
        <x:v>10</x:v>
      </x:c>
      <x:c r="E9" s="62" t="n">
        <x:v>208</x:v>
      </x:c>
      <x:c r="F9" s="62" t="n">
        <x:f>IF(AND(ISNUMBER(D9),ISNUMBER(E9),D9&gt;0),E9/D9,"待核")</x:f>
        <x:v>20.8</x:v>
      </x:c>
      <x:c r="G9" s="63" t="n">
        <x:f>IF(AND(ISNUMBER(D9),ISNUMBER(E9),E9&gt;0),D9/E9*10,"待核")</x:f>
        <x:v>0.4807692307692308</x:v>
      </x:c>
      <x:c r="H9" s="61"/>
      <x:c r="I9" s="61" t="str">
        <x:v>体力×10；梦境招募器×5；梦境奇迹宝箱×1；心梦宝石×2</x:v>
      </x:c>
      <x:c r="J9" s="61" t="n">
        <x:v>1</x:v>
      </x:c>
      <x:c r="K9" s="61" t="str">
        <x:v>明细规划；单价冲突</x:v>
      </x:c>
      <x:c r="L9" s="61" t="str">
        <x:v>主/特惠+充值!B10:I13</x:v>
      </x:c>
    </x:row>
    <x:row r="10" ht="42" customHeight="1">
      <x:c r="A10" s="61" t="str">
        <x:v>每日特惠6元</x:v>
      </x:c>
      <x:c r="B10" s="61" t="str">
        <x:v>RMB</x:v>
      </x:c>
      <x:c r="C10" s="61" t="n">
        <x:v>6</x:v>
      </x:c>
      <x:c r="D10" s="62" t="n">
        <x:f>IF(ISNUMBER(C10*10),C10*10,"待核")</x:f>
        <x:v>60</x:v>
      </x:c>
      <x:c r="E10" s="62" t="n">
        <x:v>584</x:v>
      </x:c>
      <x:c r="F10" s="62" t="n">
        <x:f>IF(AND(ISNUMBER(D10),ISNUMBER(E10),D10&gt;0),E10/D10,"待核")</x:f>
        <x:v>9.733333333333333</x:v>
      </x:c>
      <x:c r="G10" s="63" t="n">
        <x:f>IF(AND(ISNUMBER(D10),ISNUMBER(E10),E10&gt;0),D10/E10*10,"待核")</x:f>
        <x:v>1.0273972602739725</x:v>
      </x:c>
      <x:c r="H10" s="61"/>
      <x:c r="I10" s="61" t="str">
        <x:v>体力×15；梦境招募器×15；梦境奇迹宝箱×2；心梦宝石×6</x:v>
      </x:c>
      <x:c r="J10" s="61" t="n">
        <x:v>1</x:v>
      </x:c>
      <x:c r="K10" s="61" t="str">
        <x:v>明细规划；单价冲突</x:v>
      </x:c>
      <x:c r="L10" s="61" t="str">
        <x:v>主/特惠+充值!B17:I20</x:v>
      </x:c>
    </x:row>
    <x:row r="11" ht="42" customHeight="1">
      <x:c r="A11" s="61" t="str">
        <x:v>每日特惠18元</x:v>
      </x:c>
      <x:c r="B11" s="61" t="str">
        <x:v>RMB</x:v>
      </x:c>
      <x:c r="C11" s="61" t="n">
        <x:v>18</x:v>
      </x:c>
      <x:c r="D11" s="62" t="n">
        <x:f>IF(ISNUMBER(C11*10),C11*10,"待核")</x:f>
        <x:v>180</x:v>
      </x:c>
      <x:c r="E11" s="62" t="n">
        <x:v>850</x:v>
      </x:c>
      <x:c r="F11" s="62" t="n">
        <x:f>IF(AND(ISNUMBER(D11),ISNUMBER(E11),D11&gt;0),E11/D11,"待核")</x:f>
        <x:v>4.722222222222222</x:v>
      </x:c>
      <x:c r="G11" s="63" t="n">
        <x:f>IF(AND(ISNUMBER(D11),ISNUMBER(E11),E11&gt;0),D11/E11*10,"待核")</x:f>
        <x:v>2.1176470588235294</x:v>
      </x:c>
      <x:c r="H11" s="61"/>
      <x:c r="I11" s="61" t="str">
        <x:v>体力×25；星辉秘契×2；梦境奇迹宝箱×3；心梦宝石×15</x:v>
      </x:c>
      <x:c r="J11" s="61" t="n">
        <x:v>1</x:v>
      </x:c>
      <x:c r="K11" s="61" t="str">
        <x:v>明细规划；单价冲突</x:v>
      </x:c>
      <x:c r="L11" s="61" t="str">
        <x:v>主/特惠+充值!B24:I27</x:v>
      </x:c>
    </x:row>
    <x:row r="12" ht="42" customHeight="1">
      <x:c r="A12" s="61" t="str">
        <x:v>推送礼包1/现列价格</x:v>
      </x:c>
      <x:c r="B12" s="61" t="str">
        <x:v>钻石</x:v>
      </x:c>
      <x:c r="C12" s="61" t="n">
        <x:v>388</x:v>
      </x:c>
      <x:c r="D12" s="62" t="n">
        <x:f>IF(ISNUMBER(C12),C12,"待核")</x:f>
        <x:v>388</x:v>
      </x:c>
      <x:c r="E12" s="62" t="n">
        <x:v>938</x:v>
      </x:c>
      <x:c r="F12" s="62" t="n">
        <x:f>IF(AND(ISNUMBER(D12),ISNUMBER(E12),D12&gt;0),E12/D12,"待核")</x:f>
        <x:v>2.417525773195876</x:v>
      </x:c>
      <x:c r="G12" s="63" t="n">
        <x:f>IF(AND(ISNUMBER(D12),ISNUMBER(E12),E12&gt;0),D12/E12*10,"待核")</x:f>
        <x:v>4.136460554371002</x:v>
      </x:c>
      <x:c r="H12" s="61"/>
      <x:c r="I12" s="61" t="str">
        <x:v>梦境招募器×25；星之初愿×2；随机能量特饮×88</x:v>
      </x:c>
      <x:c r="J12" s="61" t="n">
        <x:v>1</x:v>
      </x:c>
      <x:c r="K12" s="61" t="str">
        <x:v>与暂定价格并列</x:v>
      </x:c>
      <x:c r="L12" s="61" t="str">
        <x:v>主/特惠+充值!第90行</x:v>
      </x:c>
    </x:row>
    <x:row r="13" ht="42" customHeight="1">
      <x:c r="A13" s="61" t="str">
        <x:v>推送礼包2/现列价格</x:v>
      </x:c>
      <x:c r="B13" s="61" t="str">
        <x:v>钻石</x:v>
      </x:c>
      <x:c r="C13" s="61" t="n">
        <x:v>788</x:v>
      </x:c>
      <x:c r="D13" s="62" t="n">
        <x:f>IF(ISNUMBER(C13),C13,"待核")</x:f>
        <x:v>788</x:v>
      </x:c>
      <x:c r="E13" s="62" t="n">
        <x:v>1868</x:v>
      </x:c>
      <x:c r="F13" s="62" t="n">
        <x:f>IF(AND(ISNUMBER(D13),ISNUMBER(E13),D13&gt;0),E13/D13,"待核")</x:f>
        <x:v>2.3705583756345177</x:v>
      </x:c>
      <x:c r="G13" s="63" t="n">
        <x:f>IF(AND(ISNUMBER(D13),ISNUMBER(E13),E13&gt;0),D13/E13*10,"待核")</x:f>
        <x:v>4.218415417558886</x:v>
      </x:c>
      <x:c r="H13" s="61"/>
      <x:c r="I13" s="61" t="str">
        <x:v>梦境招募器×50；星之初愿×4；随机能量特饮×168</x:v>
      </x:c>
      <x:c r="J13" s="61" t="n">
        <x:v>2</x:v>
      </x:c>
      <x:c r="K13" s="61" t="str">
        <x:v>与暂定价格并列</x:v>
      </x:c>
      <x:c r="L13" s="61" t="str">
        <x:v>主/特惠+充值!第91行</x:v>
      </x:c>
    </x:row>
    <x:row r="14" ht="42" customHeight="1">
      <x:c r="A14" s="61" t="str">
        <x:v>推送礼包3/现列价格</x:v>
      </x:c>
      <x:c r="B14" s="61" t="str">
        <x:v>钻石</x:v>
      </x:c>
      <x:c r="C14" s="61" t="n">
        <x:v>1688</x:v>
      </x:c>
      <x:c r="D14" s="62" t="n">
        <x:f>IF(ISNUMBER(C14),C14,"待核")</x:f>
        <x:v>1688</x:v>
      </x:c>
      <x:c r="E14" s="62" t="n">
        <x:v>3848</x:v>
      </x:c>
      <x:c r="F14" s="62" t="n">
        <x:f>IF(AND(ISNUMBER(D14),ISNUMBER(E14),D14&gt;0),E14/D14,"待核")</x:f>
        <x:v>2.279620853080569</x:v>
      </x:c>
      <x:c r="G14" s="63" t="n">
        <x:f>IF(AND(ISNUMBER(D14),ISNUMBER(E14),E14&gt;0),D14/E14*10,"待核")</x:f>
        <x:v>4.386694386694387</x:v>
      </x:c>
      <x:c r="H14" s="61"/>
      <x:c r="I14" s="61" t="str">
        <x:v>梦境招募器×100；星辉秘契×2；随机能量特饮×288</x:v>
      </x:c>
      <x:c r="J14" s="61" t="n">
        <x:v>3</x:v>
      </x:c>
      <x:c r="K14" s="61" t="str">
        <x:v>与暂定价格并列</x:v>
      </x:c>
      <x:c r="L14" s="61" t="str">
        <x:v>主/特惠+充值!第92行</x:v>
      </x:c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</x:row>
    <x:row r="17">
      <x:c r="A17" s="64" t="str">
        <x:v>奖励明细：数量 × 统一道具单价</x:v>
      </x:c>
      <x:c r="B17" s="64"/>
      <x:c r="C17" s="64"/>
      <x:c r="D17" s="64"/>
      <x:c r="E17" s="64"/>
      <x:c r="F17" s="64"/>
      <x:c r="G17" s="64"/>
      <x:c r="H17" s="64"/>
      <x:c r="I17" s="64"/>
      <x:c r="J17" s="64"/>
      <x:c r="K17" s="43"/>
      <x:c r="L17" s="43"/>
    </x:row>
    <x:row r="18" ht="42" customHeight="1">
      <x:c r="A18" s="44" t="str">
        <x:v>礼包</x:v>
      </x:c>
      <x:c r="B18" s="44" t="str">
        <x:v>标的物</x:v>
      </x:c>
      <x:c r="C18" s="44" t="str">
        <x:v>数量</x:v>
      </x:c>
      <x:c r="D18" s="44" t="str">
        <x:v>统一单价钻</x:v>
      </x:c>
      <x:c r="E18" s="44" t="str">
        <x:v>活动单价钻</x:v>
      </x:c>
      <x:c r="F18" s="44" t="str">
        <x:v>奖励价值钻</x:v>
      </x:c>
      <x:c r="G18" s="44" t="str">
        <x:v>估值依据</x:v>
      </x:c>
      <x:c r="H18" s="44" t="str">
        <x:v>差异/缺失</x:v>
      </x:c>
      <x:c r="I18" s="44" t="str">
        <x:v>来源</x:v>
      </x:c>
      <x:c r="J18" s="44" t="str">
        <x:v>备注</x:v>
      </x:c>
      <x:c r="K18" s="43"/>
      <x:c r="L18" s="43"/>
    </x:row>
    <x:row r="19" ht="42" customHeight="1">
      <x:c r="A19" s="45" t="str">
        <x:v>每日特惠1元</x:v>
      </x:c>
      <x:c r="B19" s="45" t="str">
        <x:v>体力</x:v>
      </x:c>
      <x:c r="C19" s="67" t="n">
        <x:v>10</x:v>
      </x:c>
      <x:c r="D19" s="67" t="n">
        <x:v>2</x:v>
      </x:c>
      <x:c r="E19" s="67" t="str"/>
      <x:c r="F19" s="67" t="n">
        <x:f>IF(AND(ISNUMBER(C19),ISNUMBER(D19)),C19*D19,"待补")</x:f>
        <x:v>20</x:v>
      </x:c>
      <x:c r="G19" s="45" t="str">
        <x:v>统一道具字典</x:v>
      </x:c>
      <x:c r="H19" s="45" t="str"/>
      <x:c r="I19" s="45" t="str">
        <x:v>主/特惠+充值!B10:I13</x:v>
      </x:c>
      <x:c r="J19" s="45" t="str">
        <x:v>统一字典优先</x:v>
      </x:c>
      <x:c r="K19" s="43"/>
      <x:c r="L19" s="43"/>
    </x:row>
    <x:row r="20" ht="42" customHeight="1">
      <x:c r="A20" s="45" t="str">
        <x:v>每日特惠1元</x:v>
      </x:c>
      <x:c r="B20" s="45" t="str">
        <x:v>梦境招募器</x:v>
      </x:c>
      <x:c r="C20" s="67" t="n">
        <x:v>5</x:v>
      </x:c>
      <x:c r="D20" s="67" t="n">
        <x:v>30</x:v>
      </x:c>
      <x:c r="E20" s="67" t="str"/>
      <x:c r="F20" s="67" t="n">
        <x:f>IF(AND(ISNUMBER(C20),ISNUMBER(D20)),C20*D20,"待补")</x:f>
        <x:v>150</x:v>
      </x:c>
      <x:c r="G20" s="45" t="str">
        <x:v>统一道具字典</x:v>
      </x:c>
      <x:c r="H20" s="45" t="str"/>
      <x:c r="I20" s="45" t="str">
        <x:v>主/特惠+充值!B10:I13</x:v>
      </x:c>
      <x:c r="J20" s="45" t="str">
        <x:v>统一字典优先</x:v>
      </x:c>
      <x:c r="K20" s="43"/>
      <x:c r="L20" s="43"/>
    </x:row>
    <x:row r="21" ht="42" customHeight="1">
      <x:c r="A21" s="45" t="str">
        <x:v>每日特惠1元</x:v>
      </x:c>
      <x:c r="B21" s="45" t="str">
        <x:v>梦境奇迹宝箱</x:v>
      </x:c>
      <x:c r="C21" s="67" t="n">
        <x:v>1</x:v>
      </x:c>
      <x:c r="D21" s="67" t="n">
        <x:v>10</x:v>
      </x:c>
      <x:c r="E21" s="67" t="n">
        <x:v>80</x:v>
      </x:c>
      <x:c r="F21" s="67" t="n">
        <x:f>IF(AND(ISNUMBER(C21),ISNUMBER(D21)),C21*D21,"待补")</x:f>
        <x:v>10</x:v>
      </x:c>
      <x:c r="G21" s="45" t="str">
        <x:v>统一道具字典</x:v>
      </x:c>
      <x:c r="H21" s="45" t="str">
        <x:v>活动单价80，统一字典10</x:v>
      </x:c>
      <x:c r="I21" s="45" t="str">
        <x:v>主/特惠+充值!B10:I13</x:v>
      </x:c>
      <x:c r="J21" s="45" t="str">
        <x:v>统一字典优先</x:v>
      </x:c>
      <x:c r="K21" s="43"/>
      <x:c r="L21" s="43"/>
    </x:row>
    <x:row r="22" ht="42" customHeight="1">
      <x:c r="A22" s="45" t="str">
        <x:v>每日特惠1元</x:v>
      </x:c>
      <x:c r="B22" s="45" t="str">
        <x:v>心梦宝石</x:v>
      </x:c>
      <x:c r="C22" s="67" t="n">
        <x:v>2</x:v>
      </x:c>
      <x:c r="D22" s="67" t="n">
        <x:v>14</x:v>
      </x:c>
      <x:c r="E22" s="67" t="str"/>
      <x:c r="F22" s="67" t="n">
        <x:f>IF(AND(ISNUMBER(C22),ISNUMBER(D22)),C22*D22,"待补")</x:f>
        <x:v>28</x:v>
      </x:c>
      <x:c r="G22" s="45" t="str">
        <x:v>统一道具字典</x:v>
      </x:c>
      <x:c r="H22" s="45" t="str"/>
      <x:c r="I22" s="45" t="str">
        <x:v>主/特惠+充值!B10:I13</x:v>
      </x:c>
      <x:c r="J22" s="45" t="str">
        <x:v>统一字典优先</x:v>
      </x:c>
      <x:c r="K22" s="43"/>
      <x:c r="L22" s="43"/>
    </x:row>
    <x:row r="23" ht="42" customHeight="1">
      <x:c r="A23" s="45" t="str">
        <x:v>每日特惠6元</x:v>
      </x:c>
      <x:c r="B23" s="45" t="str">
        <x:v>体力</x:v>
      </x:c>
      <x:c r="C23" s="67" t="n">
        <x:v>15</x:v>
      </x:c>
      <x:c r="D23" s="67" t="n">
        <x:v>2</x:v>
      </x:c>
      <x:c r="E23" s="67" t="str"/>
      <x:c r="F23" s="67" t="n">
        <x:f>IF(AND(ISNUMBER(C23),ISNUMBER(D23)),C23*D23,"待补")</x:f>
        <x:v>30</x:v>
      </x:c>
      <x:c r="G23" s="45" t="str">
        <x:v>统一道具字典</x:v>
      </x:c>
      <x:c r="H23" s="45" t="str"/>
      <x:c r="I23" s="45" t="str">
        <x:v>主/特惠+充值!B17:I20</x:v>
      </x:c>
      <x:c r="J23" s="45" t="str">
        <x:v>统一字典优先</x:v>
      </x:c>
      <x:c r="K23" s="43"/>
      <x:c r="L23" s="43"/>
    </x:row>
    <x:row r="24" ht="42" customHeight="1">
      <x:c r="A24" s="45" t="str">
        <x:v>每日特惠6元</x:v>
      </x:c>
      <x:c r="B24" s="45" t="str">
        <x:v>梦境招募器</x:v>
      </x:c>
      <x:c r="C24" s="67" t="n">
        <x:v>15</x:v>
      </x:c>
      <x:c r="D24" s="67" t="n">
        <x:v>30</x:v>
      </x:c>
      <x:c r="E24" s="67" t="str"/>
      <x:c r="F24" s="67" t="n">
        <x:f>IF(AND(ISNUMBER(C24),ISNUMBER(D24)),C24*D24,"待补")</x:f>
        <x:v>450</x:v>
      </x:c>
      <x:c r="G24" s="45" t="str">
        <x:v>统一道具字典</x:v>
      </x:c>
      <x:c r="H24" s="45" t="str"/>
      <x:c r="I24" s="45" t="str">
        <x:v>主/特惠+充值!B17:I20</x:v>
      </x:c>
      <x:c r="J24" s="45" t="str">
        <x:v>统一字典优先</x:v>
      </x:c>
      <x:c r="K24" s="43"/>
      <x:c r="L24" s="43"/>
    </x:row>
    <x:row r="25" ht="42" customHeight="1">
      <x:c r="A25" s="45" t="str">
        <x:v>每日特惠6元</x:v>
      </x:c>
      <x:c r="B25" s="45" t="str">
        <x:v>梦境奇迹宝箱</x:v>
      </x:c>
      <x:c r="C25" s="67" t="n">
        <x:v>2</x:v>
      </x:c>
      <x:c r="D25" s="67" t="n">
        <x:v>10</x:v>
      </x:c>
      <x:c r="E25" s="67" t="n">
        <x:v>80</x:v>
      </x:c>
      <x:c r="F25" s="67" t="n">
        <x:f>IF(AND(ISNUMBER(C25),ISNUMBER(D25)),C25*D25,"待补")</x:f>
        <x:v>20</x:v>
      </x:c>
      <x:c r="G25" s="45" t="str">
        <x:v>统一道具字典</x:v>
      </x:c>
      <x:c r="H25" s="45" t="str">
        <x:v>活动单价80，统一字典10</x:v>
      </x:c>
      <x:c r="I25" s="45" t="str">
        <x:v>主/特惠+充值!B17:I20</x:v>
      </x:c>
      <x:c r="J25" s="45" t="str">
        <x:v>统一字典优先</x:v>
      </x:c>
      <x:c r="K25" s="43"/>
      <x:c r="L25" s="43"/>
    </x:row>
    <x:row r="26" ht="42" customHeight="1">
      <x:c r="A26" s="45" t="str">
        <x:v>每日特惠6元</x:v>
      </x:c>
      <x:c r="B26" s="45" t="str">
        <x:v>心梦宝石</x:v>
      </x:c>
      <x:c r="C26" s="67" t="n">
        <x:v>6</x:v>
      </x:c>
      <x:c r="D26" s="67" t="n">
        <x:v>14</x:v>
      </x:c>
      <x:c r="E26" s="67" t="str"/>
      <x:c r="F26" s="67" t="n">
        <x:f>IF(AND(ISNUMBER(C26),ISNUMBER(D26)),C26*D26,"待补")</x:f>
        <x:v>84</x:v>
      </x:c>
      <x:c r="G26" s="45" t="str">
        <x:v>统一道具字典</x:v>
      </x:c>
      <x:c r="H26" s="45" t="str"/>
      <x:c r="I26" s="45" t="str">
        <x:v>主/特惠+充值!B17:I20</x:v>
      </x:c>
      <x:c r="J26" s="45" t="str">
        <x:v>统一字典优先</x:v>
      </x:c>
      <x:c r="K26" s="43"/>
      <x:c r="L26" s="43"/>
    </x:row>
    <x:row r="27" ht="42" customHeight="1">
      <x:c r="A27" s="45" t="str">
        <x:v>每日特惠18元</x:v>
      </x:c>
      <x:c r="B27" s="45" t="str">
        <x:v>体力</x:v>
      </x:c>
      <x:c r="C27" s="67" t="n">
        <x:v>25</x:v>
      </x:c>
      <x:c r="D27" s="67" t="n">
        <x:v>2</x:v>
      </x:c>
      <x:c r="E27" s="67" t="str"/>
      <x:c r="F27" s="67" t="n">
        <x:f>IF(AND(ISNUMBER(C27),ISNUMBER(D27)),C27*D27,"待补")</x:f>
        <x:v>50</x:v>
      </x:c>
      <x:c r="G27" s="45" t="str">
        <x:v>统一道具字典</x:v>
      </x:c>
      <x:c r="H27" s="45" t="str"/>
      <x:c r="I27" s="45" t="str">
        <x:v>主/特惠+充值!B24:I27</x:v>
      </x:c>
      <x:c r="J27" s="45" t="str">
        <x:v>统一字典优先</x:v>
      </x:c>
      <x:c r="K27" s="43"/>
      <x:c r="L27" s="43"/>
    </x:row>
    <x:row r="28" ht="42" customHeight="1">
      <x:c r="A28" s="45" t="str">
        <x:v>每日特惠18元</x:v>
      </x:c>
      <x:c r="B28" s="45" t="str">
        <x:v>星辉秘契</x:v>
      </x:c>
      <x:c r="C28" s="67" t="n">
        <x:v>2</x:v>
      </x:c>
      <x:c r="D28" s="67" t="n">
        <x:v>280</x:v>
      </x:c>
      <x:c r="E28" s="67" t="str"/>
      <x:c r="F28" s="67" t="n">
        <x:f>IF(AND(ISNUMBER(C28),ISNUMBER(D28)),C28*D28,"待补")</x:f>
        <x:v>560</x:v>
      </x:c>
      <x:c r="G28" s="45" t="str">
        <x:v>统一道具字典</x:v>
      </x:c>
      <x:c r="H28" s="45" t="str"/>
      <x:c r="I28" s="45" t="str">
        <x:v>主/特惠+充值!B24:I27</x:v>
      </x:c>
      <x:c r="J28" s="45" t="str">
        <x:v>统一字典优先</x:v>
      </x:c>
      <x:c r="K28" s="43"/>
      <x:c r="L28" s="43"/>
    </x:row>
    <x:row r="29" ht="42" customHeight="1">
      <x:c r="A29" s="45" t="str">
        <x:v>每日特惠18元</x:v>
      </x:c>
      <x:c r="B29" s="45" t="str">
        <x:v>梦境奇迹宝箱</x:v>
      </x:c>
      <x:c r="C29" s="67" t="n">
        <x:v>3</x:v>
      </x:c>
      <x:c r="D29" s="67" t="n">
        <x:v>10</x:v>
      </x:c>
      <x:c r="E29" s="67" t="n">
        <x:v>80</x:v>
      </x:c>
      <x:c r="F29" s="67" t="n">
        <x:f>IF(AND(ISNUMBER(C29),ISNUMBER(D29)),C29*D29,"待补")</x:f>
        <x:v>30</x:v>
      </x:c>
      <x:c r="G29" s="45" t="str">
        <x:v>统一道具字典</x:v>
      </x:c>
      <x:c r="H29" s="45" t="str">
        <x:v>活动单价80，统一字典10</x:v>
      </x:c>
      <x:c r="I29" s="45" t="str">
        <x:v>主/特惠+充值!B24:I27</x:v>
      </x:c>
      <x:c r="J29" s="45" t="str">
        <x:v>统一字典优先</x:v>
      </x:c>
      <x:c r="K29" s="43"/>
      <x:c r="L29" s="43"/>
    </x:row>
    <x:row r="30" ht="42" customHeight="1">
      <x:c r="A30" s="45" t="str">
        <x:v>每日特惠18元</x:v>
      </x:c>
      <x:c r="B30" s="45" t="str">
        <x:v>心梦宝石</x:v>
      </x:c>
      <x:c r="C30" s="67" t="n">
        <x:v>15</x:v>
      </x:c>
      <x:c r="D30" s="67" t="n">
        <x:v>14</x:v>
      </x:c>
      <x:c r="E30" s="67" t="str"/>
      <x:c r="F30" s="67" t="n">
        <x:f>IF(AND(ISNUMBER(C30),ISNUMBER(D30)),C30*D30,"待补")</x:f>
        <x:v>210</x:v>
      </x:c>
      <x:c r="G30" s="45" t="str">
        <x:v>统一道具字典</x:v>
      </x:c>
      <x:c r="H30" s="45" t="str"/>
      <x:c r="I30" s="45" t="str">
        <x:v>主/特惠+充值!B24:I27</x:v>
      </x:c>
      <x:c r="J30" s="45" t="str">
        <x:v>统一字典优先</x:v>
      </x:c>
      <x:c r="K30" s="43"/>
      <x:c r="L30" s="43"/>
    </x:row>
    <x:row r="31" ht="42" customHeight="1">
      <x:c r="A31" s="45" t="str">
        <x:v>推送礼包1/现列价格</x:v>
      </x:c>
      <x:c r="B31" s="45" t="str">
        <x:v>梦境招募器</x:v>
      </x:c>
      <x:c r="C31" s="67" t="n">
        <x:v>25</x:v>
      </x:c>
      <x:c r="D31" s="67" t="n">
        <x:v>30</x:v>
      </x:c>
      <x:c r="E31" s="67" t="str"/>
      <x:c r="F31" s="67" t="n">
        <x:f>IF(AND(ISNUMBER(C31),ISNUMBER(D31)),C31*D31,"待补")</x:f>
        <x:v>750</x:v>
      </x:c>
      <x:c r="G31" s="45" t="str">
        <x:v>统一道具字典</x:v>
      </x:c>
      <x:c r="H31" s="45" t="str"/>
      <x:c r="I31" s="45" t="str">
        <x:v>主/特惠+充值!第90行</x:v>
      </x:c>
      <x:c r="J31" s="45" t="str">
        <x:v>统一字典优先</x:v>
      </x:c>
      <x:c r="K31" s="43"/>
      <x:c r="L31" s="43"/>
    </x:row>
    <x:row r="32" ht="42" customHeight="1">
      <x:c r="A32" s="45" t="str">
        <x:v>推送礼包1/现列价格</x:v>
      </x:c>
      <x:c r="B32" s="45" t="str">
        <x:v>星之初愿</x:v>
      </x:c>
      <x:c r="C32" s="67" t="n">
        <x:v>2</x:v>
      </x:c>
      <x:c r="D32" s="67" t="n">
        <x:v>50</x:v>
      </x:c>
      <x:c r="E32" s="67" t="str"/>
      <x:c r="F32" s="67" t="n">
        <x:f>IF(AND(ISNUMBER(C32),ISNUMBER(D32)),C32*D32,"待补")</x:f>
        <x:v>100</x:v>
      </x:c>
      <x:c r="G32" s="45" t="str">
        <x:v>统一道具字典</x:v>
      </x:c>
      <x:c r="H32" s="45" t="str"/>
      <x:c r="I32" s="45" t="str">
        <x:v>主/特惠+充值!第90行</x:v>
      </x:c>
      <x:c r="J32" s="45" t="str">
        <x:v>统一字典优先</x:v>
      </x:c>
      <x:c r="K32" s="43"/>
      <x:c r="L32" s="43"/>
    </x:row>
    <x:row r="33" ht="42" customHeight="1">
      <x:c r="A33" s="45" t="str">
        <x:v>推送礼包1/现列价格</x:v>
      </x:c>
      <x:c r="B33" s="45" t="str">
        <x:v>随机能量特饮</x:v>
      </x:c>
      <x:c r="C33" s="67" t="n">
        <x:v>88</x:v>
      </x:c>
      <x:c r="D33" s="67" t="n">
        <x:v>1</x:v>
      </x:c>
      <x:c r="E33" s="67" t="str"/>
      <x:c r="F33" s="67" t="n">
        <x:f>IF(AND(ISNUMBER(C33),ISNUMBER(D33)),C33*D33,"待补")</x:f>
        <x:v>88</x:v>
      </x:c>
      <x:c r="G33" s="45" t="str">
        <x:v>统一道具字典</x:v>
      </x:c>
      <x:c r="H33" s="45" t="str"/>
      <x:c r="I33" s="45" t="str">
        <x:v>主/特惠+充值!第90行</x:v>
      </x:c>
      <x:c r="J33" s="45" t="str">
        <x:v>统一字典优先</x:v>
      </x:c>
      <x:c r="K33" s="43"/>
      <x:c r="L33" s="43"/>
    </x:row>
    <x:row r="34" ht="42" customHeight="1">
      <x:c r="A34" s="45" t="str">
        <x:v>推送礼包2/现列价格</x:v>
      </x:c>
      <x:c r="B34" s="45" t="str">
        <x:v>梦境招募器</x:v>
      </x:c>
      <x:c r="C34" s="67" t="n">
        <x:v>50</x:v>
      </x:c>
      <x:c r="D34" s="67" t="n">
        <x:v>30</x:v>
      </x:c>
      <x:c r="E34" s="67" t="str"/>
      <x:c r="F34" s="67" t="n">
        <x:f>IF(AND(ISNUMBER(C34),ISNUMBER(D34)),C34*D34,"待补")</x:f>
        <x:v>1500</x:v>
      </x:c>
      <x:c r="G34" s="45" t="str">
        <x:v>统一道具字典</x:v>
      </x:c>
      <x:c r="H34" s="45" t="str"/>
      <x:c r="I34" s="45" t="str">
        <x:v>主/特惠+充值!第91行</x:v>
      </x:c>
      <x:c r="J34" s="45" t="str">
        <x:v>统一字典优先</x:v>
      </x:c>
      <x:c r="K34" s="43"/>
      <x:c r="L34" s="43"/>
    </x:row>
    <x:row r="35" ht="42" customHeight="1">
      <x:c r="A35" s="45" t="str">
        <x:v>推送礼包2/现列价格</x:v>
      </x:c>
      <x:c r="B35" s="45" t="str">
        <x:v>星之初愿</x:v>
      </x:c>
      <x:c r="C35" s="67" t="n">
        <x:v>4</x:v>
      </x:c>
      <x:c r="D35" s="67" t="n">
        <x:v>50</x:v>
      </x:c>
      <x:c r="E35" s="67" t="str"/>
      <x:c r="F35" s="67" t="n">
        <x:f>IF(AND(ISNUMBER(C35),ISNUMBER(D35)),C35*D35,"待补")</x:f>
        <x:v>200</x:v>
      </x:c>
      <x:c r="G35" s="45" t="str">
        <x:v>统一道具字典</x:v>
      </x:c>
      <x:c r="H35" s="45" t="str"/>
      <x:c r="I35" s="45" t="str">
        <x:v>主/特惠+充值!第91行</x:v>
      </x:c>
      <x:c r="J35" s="45" t="str">
        <x:v>统一字典优先</x:v>
      </x:c>
      <x:c r="K35" s="43"/>
      <x:c r="L35" s="43"/>
    </x:row>
    <x:row r="36" ht="42" customHeight="1">
      <x:c r="A36" s="45" t="str">
        <x:v>推送礼包2/现列价格</x:v>
      </x:c>
      <x:c r="B36" s="45" t="str">
        <x:v>随机能量特饮</x:v>
      </x:c>
      <x:c r="C36" s="67" t="n">
        <x:v>168</x:v>
      </x:c>
      <x:c r="D36" s="67" t="n">
        <x:v>1</x:v>
      </x:c>
      <x:c r="E36" s="67" t="str"/>
      <x:c r="F36" s="67" t="n">
        <x:f>IF(AND(ISNUMBER(C36),ISNUMBER(D36)),C36*D36,"待补")</x:f>
        <x:v>168</x:v>
      </x:c>
      <x:c r="G36" s="45" t="str">
        <x:v>统一道具字典</x:v>
      </x:c>
      <x:c r="H36" s="45" t="str"/>
      <x:c r="I36" s="45" t="str">
        <x:v>主/特惠+充值!第91行</x:v>
      </x:c>
      <x:c r="J36" s="45" t="str">
        <x:v>统一字典优先</x:v>
      </x:c>
      <x:c r="K36" s="43"/>
      <x:c r="L36" s="43"/>
    </x:row>
    <x:row r="37" ht="42" customHeight="1">
      <x:c r="A37" s="45" t="str">
        <x:v>推送礼包3/现列价格</x:v>
      </x:c>
      <x:c r="B37" s="45" t="str">
        <x:v>梦境招募器</x:v>
      </x:c>
      <x:c r="C37" s="67" t="n">
        <x:v>100</x:v>
      </x:c>
      <x:c r="D37" s="67" t="n">
        <x:v>30</x:v>
      </x:c>
      <x:c r="E37" s="67" t="str"/>
      <x:c r="F37" s="67" t="n">
        <x:f>IF(AND(ISNUMBER(C37),ISNUMBER(D37)),C37*D37,"待补")</x:f>
        <x:v>3000</x:v>
      </x:c>
      <x:c r="G37" s="45" t="str">
        <x:v>统一道具字典</x:v>
      </x:c>
      <x:c r="H37" s="45" t="str"/>
      <x:c r="I37" s="45" t="str">
        <x:v>主/特惠+充值!第92行</x:v>
      </x:c>
      <x:c r="J37" s="45" t="str">
        <x:v>统一字典优先</x:v>
      </x:c>
      <x:c r="K37" s="43"/>
      <x:c r="L37" s="43"/>
    </x:row>
    <x:row r="38" ht="42" customHeight="1">
      <x:c r="A38" s="45" t="str">
        <x:v>推送礼包3/现列价格</x:v>
      </x:c>
      <x:c r="B38" s="45" t="str">
        <x:v>星辉秘契</x:v>
      </x:c>
      <x:c r="C38" s="67" t="n">
        <x:v>2</x:v>
      </x:c>
      <x:c r="D38" s="67" t="n">
        <x:v>280</x:v>
      </x:c>
      <x:c r="E38" s="67" t="str"/>
      <x:c r="F38" s="67" t="n">
        <x:f>IF(AND(ISNUMBER(C38),ISNUMBER(D38)),C38*D38,"待补")</x:f>
        <x:v>560</x:v>
      </x:c>
      <x:c r="G38" s="45" t="str">
        <x:v>统一道具字典</x:v>
      </x:c>
      <x:c r="H38" s="45" t="str"/>
      <x:c r="I38" s="45" t="str">
        <x:v>主/特惠+充值!第92行</x:v>
      </x:c>
      <x:c r="J38" s="45" t="str">
        <x:v>统一字典优先</x:v>
      </x:c>
      <x:c r="K38" s="43"/>
      <x:c r="L38" s="43"/>
    </x:row>
    <x:row r="39" ht="42" customHeight="1">
      <x:c r="A39" s="45" t="str">
        <x:v>推送礼包3/现列价格</x:v>
      </x:c>
      <x:c r="B39" s="45" t="str">
        <x:v>随机能量特饮</x:v>
      </x:c>
      <x:c r="C39" s="67" t="n">
        <x:v>288</x:v>
      </x:c>
      <x:c r="D39" s="67" t="n">
        <x:v>1</x:v>
      </x:c>
      <x:c r="E39" s="67" t="str"/>
      <x:c r="F39" s="67" t="n">
        <x:f>IF(AND(ISNUMBER(C39),ISNUMBER(D39)),C39*D39,"待补")</x:f>
        <x:v>288</x:v>
      </x:c>
      <x:c r="G39" s="45" t="str">
        <x:v>统一道具字典</x:v>
      </x:c>
      <x:c r="H39" s="45" t="str"/>
      <x:c r="I39" s="45" t="str">
        <x:v>主/特惠+充值!第92行</x:v>
      </x:c>
      <x:c r="J39" s="45" t="str">
        <x:v>统一字典优先</x:v>
      </x:c>
      <x:c r="K39" s="43"/>
      <x:c r="L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</x:row>
    <x:row r="42">
      <x:c r="A42" s="65" t="str">
        <x:v>活动节点与最终大奖判定</x:v>
      </x:c>
      <x:c r="B42" s="65"/>
      <x:c r="C42" s="65"/>
      <x:c r="D42" s="65"/>
      <x:c r="E42" s="65"/>
      <x:c r="F42" s="65"/>
      <x:c r="G42" s="43"/>
      <x:c r="H42" s="43"/>
      <x:c r="I42" s="43"/>
      <x:c r="J42" s="43"/>
      <x:c r="K42" s="43"/>
      <x:c r="L42" s="43"/>
    </x:row>
    <x:row r="43" ht="42" customHeight="1">
      <x:c r="A43" s="44" t="str">
        <x:v>轮次/节点</x:v>
      </x:c>
      <x:c r="B43" s="44" t="str">
        <x:v>节点类型</x:v>
      </x:c>
      <x:c r="C43" s="44" t="str">
        <x:v>阈值</x:v>
      </x:c>
      <x:c r="D43" s="44" t="str">
        <x:v>奖励</x:v>
      </x:c>
      <x:c r="E43" s="44" t="str">
        <x:v>到手成本判定</x:v>
      </x:c>
      <x:c r="F43" s="44" t="str">
        <x:v>来源</x:v>
      </x:c>
      <x:c r="G43" s="43"/>
      <x:c r="H43" s="43"/>
      <x:c r="I43" s="43"/>
      <x:c r="J43" s="43"/>
      <x:c r="K43" s="43"/>
      <x:c r="L43" s="43"/>
    </x:row>
  </x:sheetData>
  <x:mergeCells>
    <x:mergeCell ref="A1:L1"/>
    <x:mergeCell ref="A2:L2"/>
    <x:mergeCell ref="A17:J17"/>
    <x:mergeCell ref="A42:F4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《梦境护卫队》招募冲刺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来源：主/冲刺活动!A1:AC209；路线图!B24:AE24｜进度、轮次、任务、排行分层；排名收益不计入必得折扣；跨服节奏另核｜主方案优先，补充方案不覆盖主方案。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招募冲刺</x:v>
      </x:c>
      <x:c r="C4" s="59"/>
      <x:c r="D4" s="57" t="str">
        <x:v>最终大奖条件说明</x:v>
      </x:c>
      <x:c r="E4" s="58" t="str">
        <x:v>阈值是累计消耗或活动积分，排行收益不是保证到手</x:v>
      </x:c>
      <x:c r="F4" s="59"/>
      <x:c r="G4" s="57" t="str">
        <x:v>礼包数</x:v>
      </x:c>
      <x:c r="H4" s="58" t="n">
        <x:v>9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轮次/排行最终奖励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9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44" t="str">
        <x:v>礼包/档位</x:v>
      </x:c>
      <x:c r="B8" s="44" t="str">
        <x:v>支付币种</x:v>
      </x:c>
      <x:c r="C8" s="44" t="str">
        <x:v>标价</x:v>
      </x:c>
      <x:c r="D8" s="44" t="str">
        <x:v>成本折钻</x:v>
      </x:c>
      <x:c r="E8" s="44" t="str">
        <x:v>奖励价值钻</x:v>
      </x:c>
      <x:c r="F8" s="44" t="str">
        <x:v>价值倍率</x:v>
      </x:c>
      <x:c r="G8" s="44" t="str">
        <x:v>重算折数</x:v>
      </x:c>
      <x:c r="H8" s="44" t="str">
        <x:v>原标注折数</x:v>
      </x:c>
      <x:c r="I8" s="44" t="str">
        <x:v>主要到手标的物</x:v>
      </x:c>
      <x:c r="J8" s="44" t="str">
        <x:v>限购</x:v>
      </x:c>
      <x:c r="K8" s="44" t="str">
        <x:v>到手判断</x:v>
      </x:c>
      <x:c r="L8" s="44" t="str">
        <x:v>来源</x:v>
      </x:c>
    </x:row>
    <x:row r="9" ht="42" customHeight="1">
      <x:c r="A9" s="45" t="str">
        <x:v>招募/每日免费礼包</x:v>
      </x:c>
      <x:c r="B9" s="45" t="str">
        <x:v>钻石</x:v>
      </x:c>
      <x:c r="C9" s="45" t="n">
        <x:v>0</x:v>
      </x:c>
      <x:c r="D9" s="67" t="n">
        <x:f>IF(ISNUMBER(C9),C9,"待核")</x:f>
        <x:v>0</x:v>
      </x:c>
      <x:c r="E9" s="67" t="n">
        <x:v>60</x:v>
      </x:c>
      <x:c r="F9" s="67" t="str">
        <x:f>IF(AND(ISNUMBER(D9),ISNUMBER(E9),D9&gt;0),E9/D9,"待核")</x:f>
        <x:v>待核</x:v>
      </x:c>
      <x:c r="G9" s="63" t="n">
        <x:f>IF(AND(ISNUMBER(D9),ISNUMBER(E9),E9&gt;0),D9/E9*10,"待核")</x:f>
        <x:v>0</x:v>
      </x:c>
      <x:c r="H9" s="45"/>
      <x:c r="I9" s="45" t="str">
        <x:v>梦境招募器×2</x:v>
      </x:c>
      <x:c r="J9" s="45" t="n">
        <x:v>1</x:v>
      </x:c>
      <x:c r="K9" s="45" t="str">
        <x:v>明细规划</x:v>
      </x:c>
      <x:c r="L9" s="45" t="str">
        <x:v>主/冲刺活动!第43行</x:v>
      </x:c>
    </x:row>
    <x:row r="10" ht="42" customHeight="1">
      <x:c r="A10" s="45" t="str">
        <x:v>招募/钻石礼包</x:v>
      </x:c>
      <x:c r="B10" s="45" t="str">
        <x:v>钻石</x:v>
      </x:c>
      <x:c r="C10" s="45" t="n">
        <x:v>268</x:v>
      </x:c>
      <x:c r="D10" s="67" t="n">
        <x:f>IF(ISNUMBER(C10),C10,"待核")</x:f>
        <x:v>268</x:v>
      </x:c>
      <x:c r="E10" s="67" t="n">
        <x:v>650</x:v>
      </x:c>
      <x:c r="F10" s="67" t="n">
        <x:f>IF(AND(ISNUMBER(D10),ISNUMBER(E10),D10&gt;0),E10/D10,"待核")</x:f>
        <x:v>2.425373134328358</x:v>
      </x:c>
      <x:c r="G10" s="63" t="n">
        <x:f>IF(AND(ISNUMBER(D10),ISNUMBER(E10),E10&gt;0),D10/E10*10,"待核")</x:f>
        <x:v>4.1230769230769235</x:v>
      </x:c>
      <x:c r="H10" s="45"/>
      <x:c r="I10" s="45" t="str">
        <x:v>梦境招募器×20；随机能量特饮×50</x:v>
      </x:c>
      <x:c r="J10" s="45" t="n">
        <x:v>3</x:v>
      </x:c>
      <x:c r="K10" s="45" t="str">
        <x:v>明细规划</x:v>
      </x:c>
      <x:c r="L10" s="45" t="str">
        <x:v>主/冲刺活动!第44行</x:v>
      </x:c>
    </x:row>
    <x:row r="11" ht="42" customHeight="1">
      <x:c r="A11" s="45" t="str">
        <x:v>招募/6元礼包</x:v>
      </x:c>
      <x:c r="B11" s="45" t="str">
        <x:v>RMB</x:v>
      </x:c>
      <x:c r="C11" s="45" t="n">
        <x:v>6</x:v>
      </x:c>
      <x:c r="D11" s="67" t="n">
        <x:f>IF(ISNUMBER(C11*10),C11*10,"待核")</x:f>
        <x:v>60</x:v>
      </x:c>
      <x:c r="E11" s="67" t="n">
        <x:v>610</x:v>
      </x:c>
      <x:c r="F11" s="67" t="n">
        <x:f>IF(AND(ISNUMBER(D11),ISNUMBER(E11),D11&gt;0),E11/D11,"待核")</x:f>
        <x:v>10.166666666666666</x:v>
      </x:c>
      <x:c r="G11" s="63" t="n">
        <x:f>IF(AND(ISNUMBER(D11),ISNUMBER(E11),E11&gt;0),D11/E11*10,"待核")</x:f>
        <x:v>0.9836065573770492</x:v>
      </x:c>
      <x:c r="H11" s="45"/>
      <x:c r="I11" s="45" t="str">
        <x:v>钻石×60；梦境招募器×15；随机能量特饮×100</x:v>
      </x:c>
      <x:c r="J11" s="45" t="n">
        <x:v>3</x:v>
      </x:c>
      <x:c r="K11" s="45" t="str">
        <x:v>明细规划</x:v>
      </x:c>
      <x:c r="L11" s="45" t="str">
        <x:v>主/冲刺活动!第45行</x:v>
      </x:c>
    </x:row>
    <x:row r="12" ht="42" customHeight="1">
      <x:c r="A12" s="45" t="str">
        <x:v>招募/钻石礼包</x:v>
      </x:c>
      <x:c r="B12" s="45" t="str">
        <x:v>钻石</x:v>
      </x:c>
      <x:c r="C12" s="45" t="n">
        <x:v>688</x:v>
      </x:c>
      <x:c r="D12" s="67" t="n">
        <x:f>IF(ISNUMBER(C12),C12,"待核")</x:f>
        <x:v>688</x:v>
      </x:c>
      <x:c r="E12" s="67" t="n">
        <x:v>1350</x:v>
      </x:c>
      <x:c r="F12" s="67" t="n">
        <x:f>IF(AND(ISNUMBER(D12),ISNUMBER(E12),D12&gt;0),E12/D12,"待核")</x:f>
        <x:v>1.9622093023255813</x:v>
      </x:c>
      <x:c r="G12" s="63" t="n">
        <x:f>IF(AND(ISNUMBER(D12),ISNUMBER(E12),E12&gt;0),D12/E12*10,"待核")</x:f>
        <x:v>5.0962962962962965</x:v>
      </x:c>
      <x:c r="H12" s="45"/>
      <x:c r="I12" s="45" t="str">
        <x:v>梦境招募器×40；随机能量特饮×150</x:v>
      </x:c>
      <x:c r="J12" s="45" t="n">
        <x:v>5</x:v>
      </x:c>
      <x:c r="K12" s="45" t="str">
        <x:v>明细规划</x:v>
      </x:c>
      <x:c r="L12" s="45" t="str">
        <x:v>主/冲刺活动!第46行</x:v>
      </x:c>
    </x:row>
    <x:row r="13" ht="42" customHeight="1">
      <x:c r="A13" s="45" t="str">
        <x:v>招募/30元礼包</x:v>
      </x:c>
      <x:c r="B13" s="45" t="str">
        <x:v>RMB</x:v>
      </x:c>
      <x:c r="C13" s="45" t="n">
        <x:v>30</x:v>
      </x:c>
      <x:c r="D13" s="67" t="n">
        <x:f>IF(ISNUMBER(C13*10),C13*10,"待核")</x:f>
        <x:v>300</x:v>
      </x:c>
      <x:c r="E13" s="67" t="n">
        <x:v>1800</x:v>
      </x:c>
      <x:c r="F13" s="67" t="n">
        <x:f>IF(AND(ISNUMBER(D13),ISNUMBER(E13),D13&gt;0),E13/D13,"待核")</x:f>
        <x:v>6</x:v>
      </x:c>
      <x:c r="G13" s="63" t="n">
        <x:f>IF(AND(ISNUMBER(D13),ISNUMBER(E13),E13&gt;0),D13/E13*10,"待核")</x:f>
        <x:v>1.6666666666666665</x:v>
      </x:c>
      <x:c r="H13" s="45"/>
      <x:c r="I13" s="45" t="str">
        <x:v>钻石×300；梦境招募器×50</x:v>
      </x:c>
      <x:c r="J13" s="45" t="n">
        <x:v>3</x:v>
      </x:c>
      <x:c r="K13" s="45" t="str">
        <x:v>明细规划</x:v>
      </x:c>
      <x:c r="L13" s="45" t="str">
        <x:v>主/冲刺活动!第47行</x:v>
      </x:c>
    </x:row>
    <x:row r="14" ht="42" customHeight="1">
      <x:c r="A14" s="45" t="str">
        <x:v>招募/钻石礼包</x:v>
      </x:c>
      <x:c r="B14" s="45" t="str">
        <x:v>钻石</x:v>
      </x:c>
      <x:c r="C14" s="45" t="n">
        <x:v>1588</x:v>
      </x:c>
      <x:c r="D14" s="67" t="n">
        <x:f>IF(ISNUMBER(C14),C14,"待核")</x:f>
        <x:v>1588</x:v>
      </x:c>
      <x:c r="E14" s="67" t="n">
        <x:v>2600</x:v>
      </x:c>
      <x:c r="F14" s="67" t="n">
        <x:f>IF(AND(ISNUMBER(D14),ISNUMBER(E14),D14&gt;0),E14/D14,"待核")</x:f>
        <x:v>1.63727959697733</x:v>
      </x:c>
      <x:c r="G14" s="63" t="n">
        <x:f>IF(AND(ISNUMBER(D14),ISNUMBER(E14),E14&gt;0),D14/E14*10,"待核")</x:f>
        <x:v>6.107692307692307</x:v>
      </x:c>
      <x:c r="H14" s="45"/>
      <x:c r="I14" s="45" t="str">
        <x:v>梦境招募器×80；随机能量特饮×200</x:v>
      </x:c>
      <x:c r="J14" s="45" t="n">
        <x:v>5</x:v>
      </x:c>
      <x:c r="K14" s="45" t="str">
        <x:v>明细规划</x:v>
      </x:c>
      <x:c r="L14" s="45" t="str">
        <x:v>主/冲刺活动!第48行</x:v>
      </x:c>
    </x:row>
    <x:row r="15" ht="42" customHeight="1">
      <x:c r="A15" s="45" t="str">
        <x:v>招募/钻石礼包</x:v>
      </x:c>
      <x:c r="B15" s="45" t="str">
        <x:v>钻石</x:v>
      </x:c>
      <x:c r="C15" s="45" t="n">
        <x:v>2288</x:v>
      </x:c>
      <x:c r="D15" s="67" t="n">
        <x:f>IF(ISNUMBER(C15),C15,"待核")</x:f>
        <x:v>2288</x:v>
      </x:c>
      <x:c r="E15" s="67" t="n">
        <x:v>3300</x:v>
      </x:c>
      <x:c r="F15" s="67" t="n">
        <x:f>IF(AND(ISNUMBER(D15),ISNUMBER(E15),D15&gt;0),E15/D15,"待核")</x:f>
        <x:v>1.4423076923076923</x:v>
      </x:c>
      <x:c r="G15" s="63" t="n">
        <x:f>IF(AND(ISNUMBER(D15),ISNUMBER(E15),E15&gt;0),D15/E15*10,"待核")</x:f>
        <x:v>6.933333333333334</x:v>
      </x:c>
      <x:c r="H15" s="45"/>
      <x:c r="I15" s="45" t="str">
        <x:v>梦境招募器×100；随机能量特饮×300</x:v>
      </x:c>
      <x:c r="J15" s="45" t="n">
        <x:v>5</x:v>
      </x:c>
      <x:c r="K15" s="45" t="str">
        <x:v>明细规划</x:v>
      </x:c>
      <x:c r="L15" s="45" t="str">
        <x:v>主/冲刺活动!第49行</x:v>
      </x:c>
    </x:row>
    <x:row r="16" ht="42" customHeight="1">
      <x:c r="A16" s="45" t="str">
        <x:v>招募/328元礼包</x:v>
      </x:c>
      <x:c r="B16" s="45" t="str">
        <x:v>RMB</x:v>
      </x:c>
      <x:c r="C16" s="45" t="n">
        <x:v>328</x:v>
      </x:c>
      <x:c r="D16" s="67" t="n">
        <x:f>IF(ISNUMBER(C16*10),C16*10,"待核")</x:f>
        <x:v>3280</x:v>
      </x:c>
      <x:c r="E16" s="67" t="n">
        <x:v>7780</x:v>
      </x:c>
      <x:c r="F16" s="67" t="n">
        <x:f>IF(AND(ISNUMBER(D16),ISNUMBER(E16),D16&gt;0),E16/D16,"待核")</x:f>
        <x:v>2.3719512195121952</x:v>
      </x:c>
      <x:c r="G16" s="63" t="n">
        <x:f>IF(AND(ISNUMBER(D16),ISNUMBER(E16),E16&gt;0),D16/E16*10,"待核")</x:f>
        <x:v>4.215938303341902</x:v>
      </x:c>
      <x:c r="H16" s="45"/>
      <x:c r="I16" s="45" t="str">
        <x:v>钻石×3280；梦境招募器×150</x:v>
      </x:c>
      <x:c r="J16" s="45" t="n">
        <x:v>3</x:v>
      </x:c>
      <x:c r="K16" s="45" t="str">
        <x:v>明细规划</x:v>
      </x:c>
      <x:c r="L16" s="45" t="str">
        <x:v>主/冲刺活动!第50行</x:v>
      </x:c>
    </x:row>
    <x:row r="17" ht="42" customHeight="1">
      <x:c r="A17" s="45" t="str">
        <x:v>招募/钻石礼包</x:v>
      </x:c>
      <x:c r="B17" s="45" t="str">
        <x:v>钻石</x:v>
      </x:c>
      <x:c r="C17" s="45" t="n">
        <x:v>4888</x:v>
      </x:c>
      <x:c r="D17" s="67" t="n">
        <x:f>IF(ISNUMBER(C17),C17,"待核")</x:f>
        <x:v>4888</x:v>
      </x:c>
      <x:c r="E17" s="67" t="n">
        <x:v>6500</x:v>
      </x:c>
      <x:c r="F17" s="67" t="n">
        <x:f>IF(AND(ISNUMBER(D17),ISNUMBER(E17),D17&gt;0),E17/D17,"待核")</x:f>
        <x:v>1.3297872340425532</x:v>
      </x:c>
      <x:c r="G17" s="63" t="n">
        <x:f>IF(AND(ISNUMBER(D17),ISNUMBER(E17),E17&gt;0),D17/E17*10,"待核")</x:f>
        <x:v>7.52</x:v>
      </x:c>
      <x:c r="H17" s="45"/>
      <x:c r="I17" s="45" t="str">
        <x:v>梦境招募器×200；随机能量特饮×500</x:v>
      </x:c>
      <x:c r="J17" s="45" t="n">
        <x:v>3</x:v>
      </x:c>
      <x:c r="K17" s="45" t="str">
        <x:v>明细规划</x:v>
      </x:c>
      <x:c r="L17" s="45" t="str">
        <x:v>主/冲刺活动!第51行</x:v>
      </x:c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</x:row>
    <x:row r="20">
      <x:c r="A20" s="64" t="str">
        <x:v>奖励明细：数量 × 统一道具单价</x:v>
      </x:c>
      <x:c r="B20" s="64"/>
      <x:c r="C20" s="64"/>
      <x:c r="D20" s="64"/>
      <x:c r="E20" s="64"/>
      <x:c r="F20" s="64"/>
      <x:c r="G20" s="64"/>
      <x:c r="H20" s="64"/>
      <x:c r="I20" s="64"/>
      <x:c r="J20" s="64"/>
      <x:c r="K20" s="43"/>
      <x:c r="L20" s="43"/>
    </x:row>
    <x:row r="21" ht="42" customHeight="1">
      <x:c r="A21" s="44" t="str">
        <x:v>礼包</x:v>
      </x:c>
      <x:c r="B21" s="44" t="str">
        <x:v>标的物</x:v>
      </x:c>
      <x:c r="C21" s="44" t="str">
        <x:v>数量</x:v>
      </x:c>
      <x:c r="D21" s="44" t="str">
        <x:v>统一单价钻</x:v>
      </x:c>
      <x:c r="E21" s="44" t="str">
        <x:v>活动单价钻</x:v>
      </x:c>
      <x:c r="F21" s="44" t="str">
        <x:v>奖励价值钻</x:v>
      </x:c>
      <x:c r="G21" s="44" t="str">
        <x:v>估值依据</x:v>
      </x:c>
      <x:c r="H21" s="44" t="str">
        <x:v>差异/缺失</x:v>
      </x:c>
      <x:c r="I21" s="44" t="str">
        <x:v>来源</x:v>
      </x:c>
      <x:c r="J21" s="44" t="str">
        <x:v>备注</x:v>
      </x:c>
      <x:c r="K21" s="43"/>
      <x:c r="L21" s="43"/>
    </x:row>
    <x:row r="22" ht="42" customHeight="1">
      <x:c r="A22" s="45" t="str">
        <x:v>招募/每日免费礼包</x:v>
      </x:c>
      <x:c r="B22" s="45" t="str">
        <x:v>梦境招募器</x:v>
      </x:c>
      <x:c r="C22" s="67" t="n">
        <x:v>2</x:v>
      </x:c>
      <x:c r="D22" s="67" t="n">
        <x:v>30</x:v>
      </x:c>
      <x:c r="E22" s="67" t="str"/>
      <x:c r="F22" s="67" t="n">
        <x:f>IF(AND(ISNUMBER(C22),ISNUMBER(D22)),C22*D22,"待补")</x:f>
        <x:v>60</x:v>
      </x:c>
      <x:c r="G22" s="45" t="str">
        <x:v>统一道具字典</x:v>
      </x:c>
      <x:c r="H22" s="45" t="str"/>
      <x:c r="I22" s="45" t="str">
        <x:v>主/冲刺活动!第43行</x:v>
      </x:c>
      <x:c r="J22" s="45" t="str">
        <x:v>统一字典优先</x:v>
      </x:c>
      <x:c r="K22" s="43"/>
      <x:c r="L22" s="43"/>
    </x:row>
    <x:row r="23" ht="42" customHeight="1">
      <x:c r="A23" s="45" t="str">
        <x:v>招募/钻石礼包</x:v>
      </x:c>
      <x:c r="B23" s="45" t="str">
        <x:v>梦境招募器</x:v>
      </x:c>
      <x:c r="C23" s="67" t="n">
        <x:v>20</x:v>
      </x:c>
      <x:c r="D23" s="67" t="n">
        <x:v>30</x:v>
      </x:c>
      <x:c r="E23" s="67" t="str"/>
      <x:c r="F23" s="67" t="n">
        <x:f>IF(AND(ISNUMBER(C23),ISNUMBER(D23)),C23*D23,"待补")</x:f>
        <x:v>600</x:v>
      </x:c>
      <x:c r="G23" s="45" t="str">
        <x:v>统一道具字典</x:v>
      </x:c>
      <x:c r="H23" s="45" t="str"/>
      <x:c r="I23" s="45" t="str">
        <x:v>主/冲刺活动!第44行</x:v>
      </x:c>
      <x:c r="J23" s="45" t="str">
        <x:v>统一字典优先</x:v>
      </x:c>
      <x:c r="K23" s="43"/>
      <x:c r="L23" s="43"/>
    </x:row>
    <x:row r="24" ht="42" customHeight="1">
      <x:c r="A24" s="45" t="str">
        <x:v>招募/钻石礼包</x:v>
      </x:c>
      <x:c r="B24" s="45" t="str">
        <x:v>随机能量特饮</x:v>
      </x:c>
      <x:c r="C24" s="67" t="n">
        <x:v>50</x:v>
      </x:c>
      <x:c r="D24" s="67" t="n">
        <x:v>1</x:v>
      </x:c>
      <x:c r="E24" s="67" t="str"/>
      <x:c r="F24" s="67" t="n">
        <x:f>IF(AND(ISNUMBER(C24),ISNUMBER(D24)),C24*D24,"待补")</x:f>
        <x:v>50</x:v>
      </x:c>
      <x:c r="G24" s="45" t="str">
        <x:v>统一道具字典</x:v>
      </x:c>
      <x:c r="H24" s="45" t="str"/>
      <x:c r="I24" s="45" t="str">
        <x:v>主/冲刺活动!第44行</x:v>
      </x:c>
      <x:c r="J24" s="45" t="str">
        <x:v>统一字典优先</x:v>
      </x:c>
      <x:c r="K24" s="43"/>
      <x:c r="L24" s="43"/>
    </x:row>
    <x:row r="25" ht="42" customHeight="1">
      <x:c r="A25" s="45" t="str">
        <x:v>招募/6元礼包</x:v>
      </x:c>
      <x:c r="B25" s="45" t="str">
        <x:v>钻石</x:v>
      </x:c>
      <x:c r="C25" s="67" t="n">
        <x:v>60</x:v>
      </x:c>
      <x:c r="D25" s="67" t="n">
        <x:v>1</x:v>
      </x:c>
      <x:c r="E25" s="67" t="str"/>
      <x:c r="F25" s="67" t="n">
        <x:f>IF(AND(ISNUMBER(C25),ISNUMBER(D25)),C25*D25,"待补")</x:f>
        <x:v>60</x:v>
      </x:c>
      <x:c r="G25" s="45" t="str">
        <x:v>统一道具字典</x:v>
      </x:c>
      <x:c r="H25" s="45" t="str"/>
      <x:c r="I25" s="45" t="str">
        <x:v>主/冲刺活动!第45行</x:v>
      </x:c>
      <x:c r="J25" s="45" t="str">
        <x:v>统一字典优先</x:v>
      </x:c>
      <x:c r="K25" s="43"/>
      <x:c r="L25" s="43"/>
    </x:row>
    <x:row r="26" ht="42" customHeight="1">
      <x:c r="A26" s="45" t="str">
        <x:v>招募/6元礼包</x:v>
      </x:c>
      <x:c r="B26" s="45" t="str">
        <x:v>梦境招募器</x:v>
      </x:c>
      <x:c r="C26" s="67" t="n">
        <x:v>15</x:v>
      </x:c>
      <x:c r="D26" s="67" t="n">
        <x:v>30</x:v>
      </x:c>
      <x:c r="E26" s="67" t="str"/>
      <x:c r="F26" s="67" t="n">
        <x:f>IF(AND(ISNUMBER(C26),ISNUMBER(D26)),C26*D26,"待补")</x:f>
        <x:v>450</x:v>
      </x:c>
      <x:c r="G26" s="45" t="str">
        <x:v>统一道具字典</x:v>
      </x:c>
      <x:c r="H26" s="45" t="str"/>
      <x:c r="I26" s="45" t="str">
        <x:v>主/冲刺活动!第45行</x:v>
      </x:c>
      <x:c r="J26" s="45" t="str">
        <x:v>统一字典优先</x:v>
      </x:c>
      <x:c r="K26" s="43"/>
      <x:c r="L26" s="43"/>
    </x:row>
    <x:row r="27" ht="42" customHeight="1">
      <x:c r="A27" s="45" t="str">
        <x:v>招募/6元礼包</x:v>
      </x:c>
      <x:c r="B27" s="45" t="str">
        <x:v>随机能量特饮</x:v>
      </x:c>
      <x:c r="C27" s="67" t="n">
        <x:v>100</x:v>
      </x:c>
      <x:c r="D27" s="67" t="n">
        <x:v>1</x:v>
      </x:c>
      <x:c r="E27" s="67" t="str"/>
      <x:c r="F27" s="67" t="n">
        <x:f>IF(AND(ISNUMBER(C27),ISNUMBER(D27)),C27*D27,"待补")</x:f>
        <x:v>100</x:v>
      </x:c>
      <x:c r="G27" s="45" t="str">
        <x:v>统一道具字典</x:v>
      </x:c>
      <x:c r="H27" s="45" t="str"/>
      <x:c r="I27" s="45" t="str">
        <x:v>主/冲刺活动!第45行</x:v>
      </x:c>
      <x:c r="J27" s="45" t="str">
        <x:v>统一字典优先</x:v>
      </x:c>
      <x:c r="K27" s="43"/>
      <x:c r="L27" s="43"/>
    </x:row>
    <x:row r="28" ht="42" customHeight="1">
      <x:c r="A28" s="45" t="str">
        <x:v>招募/钻石礼包</x:v>
      </x:c>
      <x:c r="B28" s="45" t="str">
        <x:v>梦境招募器</x:v>
      </x:c>
      <x:c r="C28" s="67" t="n">
        <x:v>40</x:v>
      </x:c>
      <x:c r="D28" s="67" t="n">
        <x:v>30</x:v>
      </x:c>
      <x:c r="E28" s="67" t="str"/>
      <x:c r="F28" s="67" t="n">
        <x:f>IF(AND(ISNUMBER(C28),ISNUMBER(D28)),C28*D28,"待补")</x:f>
        <x:v>1200</x:v>
      </x:c>
      <x:c r="G28" s="45" t="str">
        <x:v>统一道具字典</x:v>
      </x:c>
      <x:c r="H28" s="45" t="str"/>
      <x:c r="I28" s="45" t="str">
        <x:v>主/冲刺活动!第46行</x:v>
      </x:c>
      <x:c r="J28" s="45" t="str">
        <x:v>统一字典优先</x:v>
      </x:c>
      <x:c r="K28" s="43"/>
      <x:c r="L28" s="43"/>
    </x:row>
    <x:row r="29" ht="42" customHeight="1">
      <x:c r="A29" s="45" t="str">
        <x:v>招募/钻石礼包</x:v>
      </x:c>
      <x:c r="B29" s="45" t="str">
        <x:v>随机能量特饮</x:v>
      </x:c>
      <x:c r="C29" s="67" t="n">
        <x:v>150</x:v>
      </x:c>
      <x:c r="D29" s="67" t="n">
        <x:v>1</x:v>
      </x:c>
      <x:c r="E29" s="67" t="str"/>
      <x:c r="F29" s="67" t="n">
        <x:f>IF(AND(ISNUMBER(C29),ISNUMBER(D29)),C29*D29,"待补")</x:f>
        <x:v>150</x:v>
      </x:c>
      <x:c r="G29" s="45" t="str">
        <x:v>统一道具字典</x:v>
      </x:c>
      <x:c r="H29" s="45" t="str"/>
      <x:c r="I29" s="45" t="str">
        <x:v>主/冲刺活动!第46行</x:v>
      </x:c>
      <x:c r="J29" s="45" t="str">
        <x:v>统一字典优先</x:v>
      </x:c>
      <x:c r="K29" s="43"/>
      <x:c r="L29" s="43"/>
    </x:row>
    <x:row r="30" ht="42" customHeight="1">
      <x:c r="A30" s="45" t="str">
        <x:v>招募/30元礼包</x:v>
      </x:c>
      <x:c r="B30" s="45" t="str">
        <x:v>钻石</x:v>
      </x:c>
      <x:c r="C30" s="67" t="n">
        <x:v>300</x:v>
      </x:c>
      <x:c r="D30" s="67" t="n">
        <x:v>1</x:v>
      </x:c>
      <x:c r="E30" s="67" t="str"/>
      <x:c r="F30" s="67" t="n">
        <x:f>IF(AND(ISNUMBER(C30),ISNUMBER(D30)),C30*D30,"待补")</x:f>
        <x:v>300</x:v>
      </x:c>
      <x:c r="G30" s="45" t="str">
        <x:v>统一道具字典</x:v>
      </x:c>
      <x:c r="H30" s="45" t="str"/>
      <x:c r="I30" s="45" t="str">
        <x:v>主/冲刺活动!第47行</x:v>
      </x:c>
      <x:c r="J30" s="45" t="str">
        <x:v>统一字典优先</x:v>
      </x:c>
      <x:c r="K30" s="43"/>
      <x:c r="L30" s="43"/>
    </x:row>
    <x:row r="31" ht="42" customHeight="1">
      <x:c r="A31" s="45" t="str">
        <x:v>招募/30元礼包</x:v>
      </x:c>
      <x:c r="B31" s="45" t="str">
        <x:v>梦境招募器</x:v>
      </x:c>
      <x:c r="C31" s="67" t="n">
        <x:v>50</x:v>
      </x:c>
      <x:c r="D31" s="67" t="n">
        <x:v>30</x:v>
      </x:c>
      <x:c r="E31" s="67" t="str"/>
      <x:c r="F31" s="67" t="n">
        <x:f>IF(AND(ISNUMBER(C31),ISNUMBER(D31)),C31*D31,"待补")</x:f>
        <x:v>1500</x:v>
      </x:c>
      <x:c r="G31" s="45" t="str">
        <x:v>统一道具字典</x:v>
      </x:c>
      <x:c r="H31" s="45" t="str"/>
      <x:c r="I31" s="45" t="str">
        <x:v>主/冲刺活动!第47行</x:v>
      </x:c>
      <x:c r="J31" s="45" t="str">
        <x:v>统一字典优先</x:v>
      </x:c>
      <x:c r="K31" s="43"/>
      <x:c r="L31" s="43"/>
    </x:row>
    <x:row r="32" ht="42" customHeight="1">
      <x:c r="A32" s="45" t="str">
        <x:v>招募/钻石礼包</x:v>
      </x:c>
      <x:c r="B32" s="45" t="str">
        <x:v>梦境招募器</x:v>
      </x:c>
      <x:c r="C32" s="67" t="n">
        <x:v>80</x:v>
      </x:c>
      <x:c r="D32" s="67" t="n">
        <x:v>30</x:v>
      </x:c>
      <x:c r="E32" s="67" t="str"/>
      <x:c r="F32" s="67" t="n">
        <x:f>IF(AND(ISNUMBER(C32),ISNUMBER(D32)),C32*D32,"待补")</x:f>
        <x:v>2400</x:v>
      </x:c>
      <x:c r="G32" s="45" t="str">
        <x:v>统一道具字典</x:v>
      </x:c>
      <x:c r="H32" s="45" t="str"/>
      <x:c r="I32" s="45" t="str">
        <x:v>主/冲刺活动!第48行</x:v>
      </x:c>
      <x:c r="J32" s="45" t="str">
        <x:v>统一字典优先</x:v>
      </x:c>
      <x:c r="K32" s="43"/>
      <x:c r="L32" s="43"/>
    </x:row>
    <x:row r="33" ht="42" customHeight="1">
      <x:c r="A33" s="45" t="str">
        <x:v>招募/钻石礼包</x:v>
      </x:c>
      <x:c r="B33" s="45" t="str">
        <x:v>随机能量特饮</x:v>
      </x:c>
      <x:c r="C33" s="67" t="n">
        <x:v>200</x:v>
      </x:c>
      <x:c r="D33" s="67" t="n">
        <x:v>1</x:v>
      </x:c>
      <x:c r="E33" s="67" t="str"/>
      <x:c r="F33" s="67" t="n">
        <x:f>IF(AND(ISNUMBER(C33),ISNUMBER(D33)),C33*D33,"待补")</x:f>
        <x:v>200</x:v>
      </x:c>
      <x:c r="G33" s="45" t="str">
        <x:v>统一道具字典</x:v>
      </x:c>
      <x:c r="H33" s="45" t="str"/>
      <x:c r="I33" s="45" t="str">
        <x:v>主/冲刺活动!第48行</x:v>
      </x:c>
      <x:c r="J33" s="45" t="str">
        <x:v>统一字典优先</x:v>
      </x:c>
      <x:c r="K33" s="43"/>
      <x:c r="L33" s="43"/>
    </x:row>
    <x:row r="34" ht="42" customHeight="1">
      <x:c r="A34" s="45" t="str">
        <x:v>招募/钻石礼包</x:v>
      </x:c>
      <x:c r="B34" s="45" t="str">
        <x:v>梦境招募器</x:v>
      </x:c>
      <x:c r="C34" s="67" t="n">
        <x:v>100</x:v>
      </x:c>
      <x:c r="D34" s="67" t="n">
        <x:v>30</x:v>
      </x:c>
      <x:c r="E34" s="67" t="str"/>
      <x:c r="F34" s="67" t="n">
        <x:f>IF(AND(ISNUMBER(C34),ISNUMBER(D34)),C34*D34,"待补")</x:f>
        <x:v>3000</x:v>
      </x:c>
      <x:c r="G34" s="45" t="str">
        <x:v>统一道具字典</x:v>
      </x:c>
      <x:c r="H34" s="45" t="str"/>
      <x:c r="I34" s="45" t="str">
        <x:v>主/冲刺活动!第49行</x:v>
      </x:c>
      <x:c r="J34" s="45" t="str">
        <x:v>统一字典优先</x:v>
      </x:c>
      <x:c r="K34" s="43"/>
      <x:c r="L34" s="43"/>
    </x:row>
    <x:row r="35" ht="42" customHeight="1">
      <x:c r="A35" s="45" t="str">
        <x:v>招募/钻石礼包</x:v>
      </x:c>
      <x:c r="B35" s="45" t="str">
        <x:v>随机能量特饮</x:v>
      </x:c>
      <x:c r="C35" s="67" t="n">
        <x:v>300</x:v>
      </x:c>
      <x:c r="D35" s="67" t="n">
        <x:v>1</x:v>
      </x:c>
      <x:c r="E35" s="67" t="str"/>
      <x:c r="F35" s="67" t="n">
        <x:f>IF(AND(ISNUMBER(C35),ISNUMBER(D35)),C35*D35,"待补")</x:f>
        <x:v>300</x:v>
      </x:c>
      <x:c r="G35" s="45" t="str">
        <x:v>统一道具字典</x:v>
      </x:c>
      <x:c r="H35" s="45" t="str"/>
      <x:c r="I35" s="45" t="str">
        <x:v>主/冲刺活动!第49行</x:v>
      </x:c>
      <x:c r="J35" s="45" t="str">
        <x:v>统一字典优先</x:v>
      </x:c>
      <x:c r="K35" s="43"/>
      <x:c r="L35" s="43"/>
    </x:row>
    <x:row r="36" ht="42" customHeight="1">
      <x:c r="A36" s="45" t="str">
        <x:v>招募/328元礼包</x:v>
      </x:c>
      <x:c r="B36" s="45" t="str">
        <x:v>钻石</x:v>
      </x:c>
      <x:c r="C36" s="67" t="n">
        <x:v>3280</x:v>
      </x:c>
      <x:c r="D36" s="67" t="n">
        <x:v>1</x:v>
      </x:c>
      <x:c r="E36" s="67" t="str"/>
      <x:c r="F36" s="67" t="n">
        <x:f>IF(AND(ISNUMBER(C36),ISNUMBER(D36)),C36*D36,"待补")</x:f>
        <x:v>3280</x:v>
      </x:c>
      <x:c r="G36" s="45" t="str">
        <x:v>统一道具字典</x:v>
      </x:c>
      <x:c r="H36" s="45" t="str"/>
      <x:c r="I36" s="45" t="str">
        <x:v>主/冲刺活动!第50行</x:v>
      </x:c>
      <x:c r="J36" s="45" t="str">
        <x:v>统一字典优先</x:v>
      </x:c>
      <x:c r="K36" s="43"/>
      <x:c r="L36" s="43"/>
    </x:row>
    <x:row r="37" ht="42" customHeight="1">
      <x:c r="A37" s="45" t="str">
        <x:v>招募/328元礼包</x:v>
      </x:c>
      <x:c r="B37" s="45" t="str">
        <x:v>梦境招募器</x:v>
      </x:c>
      <x:c r="C37" s="67" t="n">
        <x:v>150</x:v>
      </x:c>
      <x:c r="D37" s="67" t="n">
        <x:v>30</x:v>
      </x:c>
      <x:c r="E37" s="67" t="str"/>
      <x:c r="F37" s="67" t="n">
        <x:f>IF(AND(ISNUMBER(C37),ISNUMBER(D37)),C37*D37,"待补")</x:f>
        <x:v>4500</x:v>
      </x:c>
      <x:c r="G37" s="45" t="str">
        <x:v>统一道具字典</x:v>
      </x:c>
      <x:c r="H37" s="45" t="str"/>
      <x:c r="I37" s="45" t="str">
        <x:v>主/冲刺活动!第50行</x:v>
      </x:c>
      <x:c r="J37" s="45" t="str">
        <x:v>统一字典优先</x:v>
      </x:c>
      <x:c r="K37" s="43"/>
      <x:c r="L37" s="43"/>
    </x:row>
    <x:row r="38" ht="42" customHeight="1">
      <x:c r="A38" s="45" t="str">
        <x:v>招募/钻石礼包</x:v>
      </x:c>
      <x:c r="B38" s="45" t="str">
        <x:v>梦境招募器</x:v>
      </x:c>
      <x:c r="C38" s="67" t="n">
        <x:v>200</x:v>
      </x:c>
      <x:c r="D38" s="67" t="n">
        <x:v>30</x:v>
      </x:c>
      <x:c r="E38" s="67" t="str"/>
      <x:c r="F38" s="67" t="n">
        <x:f>IF(AND(ISNUMBER(C38),ISNUMBER(D38)),C38*D38,"待补")</x:f>
        <x:v>6000</x:v>
      </x:c>
      <x:c r="G38" s="45" t="str">
        <x:v>统一道具字典</x:v>
      </x:c>
      <x:c r="H38" s="45" t="str"/>
      <x:c r="I38" s="45" t="str">
        <x:v>主/冲刺活动!第51行</x:v>
      </x:c>
      <x:c r="J38" s="45" t="str">
        <x:v>统一字典优先</x:v>
      </x:c>
      <x:c r="K38" s="43"/>
      <x:c r="L38" s="43"/>
    </x:row>
    <x:row r="39" ht="42" customHeight="1">
      <x:c r="A39" s="45" t="str">
        <x:v>招募/钻石礼包</x:v>
      </x:c>
      <x:c r="B39" s="45" t="str">
        <x:v>随机能量特饮</x:v>
      </x:c>
      <x:c r="C39" s="67" t="n">
        <x:v>500</x:v>
      </x:c>
      <x:c r="D39" s="67" t="n">
        <x:v>1</x:v>
      </x:c>
      <x:c r="E39" s="67" t="str"/>
      <x:c r="F39" s="67" t="n">
        <x:f>IF(AND(ISNUMBER(C39),ISNUMBER(D39)),C39*D39,"待补")</x:f>
        <x:v>500</x:v>
      </x:c>
      <x:c r="G39" s="45" t="str">
        <x:v>统一道具字典</x:v>
      </x:c>
      <x:c r="H39" s="45" t="str"/>
      <x:c r="I39" s="45" t="str">
        <x:v>主/冲刺活动!第51行</x:v>
      </x:c>
      <x:c r="J39" s="45" t="str">
        <x:v>统一字典优先</x:v>
      </x:c>
      <x:c r="K39" s="43"/>
      <x:c r="L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</x:row>
    <x:row r="42">
      <x:c r="A42" s="65" t="str">
        <x:v>活动节点与最终大奖判定</x:v>
      </x:c>
      <x:c r="B42" s="65"/>
      <x:c r="C42" s="65"/>
      <x:c r="D42" s="65"/>
      <x:c r="E42" s="65"/>
      <x:c r="F42" s="65"/>
      <x:c r="G42" s="43"/>
      <x:c r="H42" s="43"/>
      <x:c r="I42" s="43"/>
      <x:c r="J42" s="43"/>
      <x:c r="K42" s="43"/>
      <x:c r="L42" s="43"/>
    </x:row>
    <x:row r="43" ht="42" customHeight="1">
      <x:c r="A43" s="44" t="str">
        <x:v>轮次/节点</x:v>
      </x:c>
      <x:c r="B43" s="44" t="str">
        <x:v>节点类型</x:v>
      </x:c>
      <x:c r="C43" s="44" t="str">
        <x:v>阈值</x:v>
      </x:c>
      <x:c r="D43" s="44" t="str">
        <x:v>奖励</x:v>
      </x:c>
      <x:c r="E43" s="44" t="str">
        <x:v>到手成本判定</x:v>
      </x:c>
      <x:c r="F43" s="44" t="str">
        <x:v>来源</x:v>
      </x:c>
      <x:c r="G43" s="43"/>
      <x:c r="H43" s="43"/>
      <x:c r="I43" s="43"/>
      <x:c r="J43" s="43"/>
      <x:c r="K43" s="43"/>
      <x:c r="L43" s="43"/>
    </x:row>
    <x:row r="44" ht="42" customHeight="1">
      <x:c r="A44" s="45" t="str">
        <x:v>招募冲刺/第1轮</x:v>
      </x:c>
      <x:c r="B44" s="45" t="str">
        <x:v>进度奖励</x:v>
      </x:c>
      <x:c r="C44" s="45" t="n">
        <x:v>60</x:v>
      </x:c>
      <x:c r="D44" s="45" t="str">
        <x:v>梦境招募器 × 5；超能特饮 × 30</x:v>
      </x:c>
      <x:c r="E44" s="45" t="str">
        <x:v>阈值非现金成本；不可与同一资源返利重复计价</x:v>
      </x:c>
      <x:c r="F44" s="45" t="str">
        <x:v>主/冲刺活动!第5行</x:v>
      </x:c>
      <x:c r="G44" s="43"/>
      <x:c r="H44" s="43"/>
      <x:c r="I44" s="43"/>
      <x:c r="J44" s="43"/>
      <x:c r="K44" s="43"/>
      <x:c r="L44" s="43"/>
    </x:row>
    <x:row r="45" ht="42" customHeight="1">
      <x:c r="A45" s="45" t="str">
        <x:v>招募冲刺/第1轮</x:v>
      </x:c>
      <x:c r="B45" s="45" t="str">
        <x:v>进度奖励</x:v>
      </x:c>
      <x:c r="C45" s="45" t="n">
        <x:v>120</x:v>
      </x:c>
      <x:c r="D45" s="45" t="str">
        <x:v>梦境招募器 × 5；超能特饮 × 30</x:v>
      </x:c>
      <x:c r="E45" s="45" t="str">
        <x:v>阈值非现金成本；不可与同一资源返利重复计价</x:v>
      </x:c>
      <x:c r="F45" s="45" t="str">
        <x:v>主/冲刺活动!第6行</x:v>
      </x:c>
      <x:c r="G45" s="43"/>
      <x:c r="H45" s="43"/>
      <x:c r="I45" s="43"/>
      <x:c r="J45" s="43"/>
      <x:c r="K45" s="43"/>
      <x:c r="L45" s="43"/>
    </x:row>
    <x:row r="46" ht="42" customHeight="1">
      <x:c r="A46" s="45" t="str">
        <x:v>招募冲刺/第1轮</x:v>
      </x:c>
      <x:c r="B46" s="45" t="str">
        <x:v>进度奖励</x:v>
      </x:c>
      <x:c r="C46" s="45" t="n">
        <x:v>200</x:v>
      </x:c>
      <x:c r="D46" s="45" t="str">
        <x:v>梦境招募器 × 5；超能特饮 × 30</x:v>
      </x:c>
      <x:c r="E46" s="45" t="str">
        <x:v>阈值非现金成本；不可与同一资源返利重复计价</x:v>
      </x:c>
      <x:c r="F46" s="45" t="str">
        <x:v>主/冲刺活动!第7行</x:v>
      </x:c>
      <x:c r="G46" s="43"/>
      <x:c r="H46" s="43"/>
      <x:c r="I46" s="43"/>
      <x:c r="J46" s="43"/>
      <x:c r="K46" s="43"/>
      <x:c r="L46" s="43"/>
    </x:row>
    <x:row r="47" ht="42" customHeight="1">
      <x:c r="A47" s="45" t="str">
        <x:v>招募冲刺/第1轮</x:v>
      </x:c>
      <x:c r="B47" s="45" t="str">
        <x:v>进度奖励</x:v>
      </x:c>
      <x:c r="C47" s="45" t="n">
        <x:v>280</x:v>
      </x:c>
      <x:c r="D47" s="45" t="str">
        <x:v>梦境招募器 × 10；超能特饮 × 50</x:v>
      </x:c>
      <x:c r="E47" s="45" t="str">
        <x:v>阈值非现金成本；不可与同一资源返利重复计价</x:v>
      </x:c>
      <x:c r="F47" s="45" t="str">
        <x:v>主/冲刺活动!第8行</x:v>
      </x:c>
      <x:c r="G47" s="43"/>
      <x:c r="H47" s="43"/>
      <x:c r="I47" s="43"/>
      <x:c r="J47" s="43"/>
      <x:c r="K47" s="43"/>
      <x:c r="L47" s="43"/>
    </x:row>
    <x:row r="48" ht="42" customHeight="1">
      <x:c r="A48" s="45" t="str">
        <x:v>招募冲刺/第1轮</x:v>
      </x:c>
      <x:c r="B48" s="45" t="str">
        <x:v>进度奖励</x:v>
      </x:c>
      <x:c r="C48" s="45" t="n">
        <x:v>360</x:v>
      </x:c>
      <x:c r="D48" s="45" t="str">
        <x:v>梦境招募器 × 10；超能特饮 × 50</x:v>
      </x:c>
      <x:c r="E48" s="45" t="str">
        <x:v>阈值非现金成本；不可与同一资源返利重复计价</x:v>
      </x:c>
      <x:c r="F48" s="45" t="str">
        <x:v>主/冲刺活动!第9行</x:v>
      </x:c>
      <x:c r="G48" s="43"/>
      <x:c r="H48" s="43"/>
      <x:c r="I48" s="43"/>
      <x:c r="J48" s="43"/>
      <x:c r="K48" s="43"/>
      <x:c r="L48" s="43"/>
    </x:row>
    <x:row r="49" ht="42" customHeight="1">
      <x:c r="A49" s="45" t="str">
        <x:v>招募冲刺/第1轮</x:v>
      </x:c>
      <x:c r="B49" s="45" t="str">
        <x:v>进度奖励</x:v>
      </x:c>
      <x:c r="C49" s="45" t="n">
        <x:v>500</x:v>
      </x:c>
      <x:c r="D49" s="45" t="str">
        <x:v>梦境招募器 × 10；超能特饮 × 50</x:v>
      </x:c>
      <x:c r="E49" s="45" t="str">
        <x:v>阈值非现金成本；不可与同一资源返利重复计价</x:v>
      </x:c>
      <x:c r="F49" s="45" t="str">
        <x:v>主/冲刺活动!第10行</x:v>
      </x:c>
      <x:c r="G49" s="43"/>
      <x:c r="H49" s="43"/>
      <x:c r="I49" s="43"/>
      <x:c r="J49" s="43"/>
      <x:c r="K49" s="43"/>
      <x:c r="L49" s="43"/>
    </x:row>
    <x:row r="50" ht="42" customHeight="1">
      <x:c r="A50" s="45" t="str">
        <x:v>招募冲刺/第2轮</x:v>
      </x:c>
      <x:c r="B50" s="45" t="str">
        <x:v>进度奖励</x:v>
      </x:c>
      <x:c r="C50" s="45" t="n">
        <x:v>80</x:v>
      </x:c>
      <x:c r="D50" s="45" t="str">
        <x:v>梦境招募器 × 5；超能特饮 × 50</x:v>
      </x:c>
      <x:c r="E50" s="45" t="str">
        <x:v>阈值非现金成本；不可与同一资源返利重复计价</x:v>
      </x:c>
      <x:c r="F50" s="45" t="str">
        <x:v>主/冲刺活动!第14行</x:v>
      </x:c>
      <x:c r="G50" s="43"/>
      <x:c r="H50" s="43"/>
      <x:c r="I50" s="43"/>
      <x:c r="J50" s="43"/>
      <x:c r="K50" s="43"/>
      <x:c r="L50" s="43"/>
    </x:row>
    <x:row r="51" ht="42" customHeight="1">
      <x:c r="A51" s="45" t="str">
        <x:v>招募冲刺/第2轮</x:v>
      </x:c>
      <x:c r="B51" s="45" t="str">
        <x:v>进度奖励</x:v>
      </x:c>
      <x:c r="C51" s="45" t="n">
        <x:v>160</x:v>
      </x:c>
      <x:c r="D51" s="45" t="str">
        <x:v>梦境招募器 × 5；超能特饮 × 50</x:v>
      </x:c>
      <x:c r="E51" s="45" t="str">
        <x:v>阈值非现金成本；不可与同一资源返利重复计价</x:v>
      </x:c>
      <x:c r="F51" s="45" t="str">
        <x:v>主/冲刺活动!第15行</x:v>
      </x:c>
      <x:c r="G51" s="43"/>
      <x:c r="H51" s="43"/>
      <x:c r="I51" s="43"/>
      <x:c r="J51" s="43"/>
      <x:c r="K51" s="43"/>
      <x:c r="L51" s="43"/>
    </x:row>
    <x:row r="52" ht="42" customHeight="1">
      <x:c r="A52" s="45" t="str">
        <x:v>招募冲刺/第2轮</x:v>
      </x:c>
      <x:c r="B52" s="45" t="str">
        <x:v>进度奖励</x:v>
      </x:c>
      <x:c r="C52" s="45" t="n">
        <x:v>260</x:v>
      </x:c>
      <x:c r="D52" s="45" t="str">
        <x:v>梦境招募器 × 5；超能特饮 × 50</x:v>
      </x:c>
      <x:c r="E52" s="45" t="str">
        <x:v>阈值非现金成本；不可与同一资源返利重复计价</x:v>
      </x:c>
      <x:c r="F52" s="45" t="str">
        <x:v>主/冲刺活动!第16行</x:v>
      </x:c>
      <x:c r="G52" s="43"/>
      <x:c r="H52" s="43"/>
      <x:c r="I52" s="43"/>
      <x:c r="J52" s="43"/>
      <x:c r="K52" s="43"/>
      <x:c r="L52" s="43"/>
    </x:row>
    <x:row r="53" ht="42" customHeight="1">
      <x:c r="A53" s="45" t="str">
        <x:v>招募冲刺/第2轮</x:v>
      </x:c>
      <x:c r="B53" s="45" t="str">
        <x:v>进度奖励</x:v>
      </x:c>
      <x:c r="C53" s="45" t="n">
        <x:v>380</x:v>
      </x:c>
      <x:c r="D53" s="45" t="str">
        <x:v>梦境招募器 × 10；超能特饮 × 80</x:v>
      </x:c>
      <x:c r="E53" s="45" t="str">
        <x:v>阈值非现金成本；不可与同一资源返利重复计价</x:v>
      </x:c>
      <x:c r="F53" s="45" t="str">
        <x:v>主/冲刺活动!第17行</x:v>
      </x:c>
      <x:c r="G53" s="43"/>
      <x:c r="H53" s="43"/>
      <x:c r="I53" s="43"/>
      <x:c r="J53" s="43"/>
      <x:c r="K53" s="43"/>
      <x:c r="L53" s="43"/>
    </x:row>
    <x:row r="54" ht="42" customHeight="1">
      <x:c r="A54" s="45" t="str">
        <x:v>招募冲刺/第2轮</x:v>
      </x:c>
      <x:c r="B54" s="45" t="str">
        <x:v>进度奖励</x:v>
      </x:c>
      <x:c r="C54" s="45" t="n">
        <x:v>520</x:v>
      </x:c>
      <x:c r="D54" s="45" t="str">
        <x:v>梦境招募器 × 10；超能特饮 × 80</x:v>
      </x:c>
      <x:c r="E54" s="45" t="str">
        <x:v>阈值非现金成本；不可与同一资源返利重复计价</x:v>
      </x:c>
      <x:c r="F54" s="45" t="str">
        <x:v>主/冲刺活动!第18行</x:v>
      </x:c>
      <x:c r="G54" s="43"/>
      <x:c r="H54" s="43"/>
      <x:c r="I54" s="43"/>
      <x:c r="J54" s="43"/>
      <x:c r="K54" s="43"/>
      <x:c r="L54" s="43"/>
    </x:row>
    <x:row r="55" ht="42" customHeight="1">
      <x:c r="A55" s="45" t="str">
        <x:v>招募冲刺/第2轮</x:v>
      </x:c>
      <x:c r="B55" s="45" t="str">
        <x:v>进度奖励</x:v>
      </x:c>
      <x:c r="C55" s="45" t="n">
        <x:v>700</x:v>
      </x:c>
      <x:c r="D55" s="45" t="str">
        <x:v>梦境招募器 × 10；超能特饮 × 80</x:v>
      </x:c>
      <x:c r="E55" s="45" t="str">
        <x:v>阈值非现金成本；不可与同一资源返利重复计价</x:v>
      </x:c>
      <x:c r="F55" s="45" t="str">
        <x:v>主/冲刺活动!第19行</x:v>
      </x:c>
      <x:c r="G55" s="43"/>
      <x:c r="H55" s="43"/>
      <x:c r="I55" s="43"/>
      <x:c r="J55" s="43"/>
      <x:c r="K55" s="43"/>
      <x:c r="L55" s="43"/>
    </x:row>
    <x:row r="56" ht="42" customHeight="1">
      <x:c r="A56" s="45" t="str">
        <x:v>招募冲刺/第3轮</x:v>
      </x:c>
      <x:c r="B56" s="45" t="str">
        <x:v>进度奖励</x:v>
      </x:c>
      <x:c r="C56" s="45" t="n">
        <x:v>120</x:v>
      </x:c>
      <x:c r="D56" s="45" t="str">
        <x:v>梦境招募器 × 10；超能特饮 × 80</x:v>
      </x:c>
      <x:c r="E56" s="45" t="str">
        <x:v>阈值非现金成本；不可与同一资源返利重复计价</x:v>
      </x:c>
      <x:c r="F56" s="45" t="str">
        <x:v>主/冲刺活动!第23行</x:v>
      </x:c>
      <x:c r="G56" s="43"/>
      <x:c r="H56" s="43"/>
      <x:c r="I56" s="43"/>
      <x:c r="J56" s="43"/>
      <x:c r="K56" s="43"/>
      <x:c r="L56" s="43"/>
    </x:row>
    <x:row r="57" ht="42" customHeight="1">
      <x:c r="A57" s="45" t="str">
        <x:v>招募冲刺/第3轮</x:v>
      </x:c>
      <x:c r="B57" s="45" t="str">
        <x:v>进度奖励</x:v>
      </x:c>
      <x:c r="C57" s="45" t="n">
        <x:v>240</x:v>
      </x:c>
      <x:c r="D57" s="45" t="str">
        <x:v>梦境招募器 × 10；超能特饮 × 80</x:v>
      </x:c>
      <x:c r="E57" s="45" t="str">
        <x:v>阈值非现金成本；不可与同一资源返利重复计价</x:v>
      </x:c>
      <x:c r="F57" s="45" t="str">
        <x:v>主/冲刺活动!第24行</x:v>
      </x:c>
      <x:c r="G57" s="43"/>
      <x:c r="H57" s="43"/>
      <x:c r="I57" s="43"/>
      <x:c r="J57" s="43"/>
      <x:c r="K57" s="43"/>
      <x:c r="L57" s="43"/>
    </x:row>
    <x:row r="58" ht="42" customHeight="1">
      <x:c r="A58" s="45" t="str">
        <x:v>招募冲刺/第3轮</x:v>
      </x:c>
      <x:c r="B58" s="45" t="str">
        <x:v>进度奖励</x:v>
      </x:c>
      <x:c r="C58" s="45" t="n">
        <x:v>360</x:v>
      </x:c>
      <x:c r="D58" s="45" t="str">
        <x:v>梦境招募器 × 10；超能特饮 × 80</x:v>
      </x:c>
      <x:c r="E58" s="45" t="str">
        <x:v>阈值非现金成本；不可与同一资源返利重复计价</x:v>
      </x:c>
      <x:c r="F58" s="45" t="str">
        <x:v>主/冲刺活动!第25行</x:v>
      </x:c>
      <x:c r="G58" s="43"/>
      <x:c r="H58" s="43"/>
      <x:c r="I58" s="43"/>
      <x:c r="J58" s="43"/>
      <x:c r="K58" s="43"/>
      <x:c r="L58" s="43"/>
    </x:row>
    <x:row r="59" ht="42" customHeight="1">
      <x:c r="A59" s="45" t="str">
        <x:v>招募冲刺/第3轮</x:v>
      </x:c>
      <x:c r="B59" s="45" t="str">
        <x:v>进度奖励</x:v>
      </x:c>
      <x:c r="C59" s="45" t="n">
        <x:v>560</x:v>
      </x:c>
      <x:c r="D59" s="45" t="str">
        <x:v>梦境招募器 × 15；超能特饮 × 100</x:v>
      </x:c>
      <x:c r="E59" s="45" t="str">
        <x:v>阈值非现金成本；不可与同一资源返利重复计价</x:v>
      </x:c>
      <x:c r="F59" s="45" t="str">
        <x:v>主/冲刺活动!第26行</x:v>
      </x:c>
      <x:c r="G59" s="43"/>
      <x:c r="H59" s="43"/>
      <x:c r="I59" s="43"/>
      <x:c r="J59" s="43"/>
      <x:c r="K59" s="43"/>
      <x:c r="L59" s="43"/>
    </x:row>
    <x:row r="60" ht="42" customHeight="1">
      <x:c r="A60" s="45" t="str">
        <x:v>招募冲刺/第3轮</x:v>
      </x:c>
      <x:c r="B60" s="45" t="str">
        <x:v>进度奖励</x:v>
      </x:c>
      <x:c r="C60" s="45" t="n">
        <x:v>800</x:v>
      </x:c>
      <x:c r="D60" s="45" t="str">
        <x:v>梦境招募器 × 15；超能特饮 × 100</x:v>
      </x:c>
      <x:c r="E60" s="45" t="str">
        <x:v>阈值非现金成本；不可与同一资源返利重复计价</x:v>
      </x:c>
      <x:c r="F60" s="45" t="str">
        <x:v>主/冲刺活动!第27行</x:v>
      </x:c>
      <x:c r="G60" s="43"/>
      <x:c r="H60" s="43"/>
      <x:c r="I60" s="43"/>
      <x:c r="J60" s="43"/>
      <x:c r="K60" s="43"/>
      <x:c r="L60" s="43"/>
    </x:row>
    <x:row r="61" ht="42" customHeight="1">
      <x:c r="A61" s="45" t="str">
        <x:v>招募冲刺/第3轮</x:v>
      </x:c>
      <x:c r="B61" s="45" t="str">
        <x:v>进度奖励</x:v>
      </x:c>
      <x:c r="C61" s="45" t="n">
        <x:v>1200</x:v>
      </x:c>
      <x:c r="D61" s="45" t="str">
        <x:v>梦境招募器 × 15；超能特饮 × 100</x:v>
      </x:c>
      <x:c r="E61" s="45" t="str">
        <x:v>阈值非现金成本；不可与同一资源返利重复计价</x:v>
      </x:c>
      <x:c r="F61" s="45" t="str">
        <x:v>主/冲刺活动!第28行</x:v>
      </x:c>
      <x:c r="G61" s="43"/>
      <x:c r="H61" s="43"/>
      <x:c r="I61" s="43"/>
      <x:c r="J61" s="43"/>
      <x:c r="K61" s="43"/>
      <x:c r="L61" s="43"/>
    </x:row>
    <x:row r="62" ht="42" customHeight="1">
      <x:c r="A62" s="45" t="str">
        <x:v>招募冲刺/第4轮</x:v>
      </x:c>
      <x:c r="B62" s="45" t="str">
        <x:v>进度奖励</x:v>
      </x:c>
      <x:c r="C62" s="45" t="n">
        <x:v>160</x:v>
      </x:c>
      <x:c r="D62" s="45" t="str">
        <x:v>梦境招募器 × 15；超能特饮 × 100</x:v>
      </x:c>
      <x:c r="E62" s="45" t="str">
        <x:v>阈值非现金成本；不可与同一资源返利重复计价</x:v>
      </x:c>
      <x:c r="F62" s="45" t="str">
        <x:v>主/冲刺活动!第32行</x:v>
      </x:c>
      <x:c r="G62" s="43"/>
      <x:c r="H62" s="43"/>
      <x:c r="I62" s="43"/>
      <x:c r="J62" s="43"/>
      <x:c r="K62" s="43"/>
      <x:c r="L62" s="43"/>
    </x:row>
    <x:row r="63" ht="42" customHeight="1">
      <x:c r="A63" s="45" t="str">
        <x:v>招募冲刺/第4轮</x:v>
      </x:c>
      <x:c r="B63" s="45" t="str">
        <x:v>进度奖励</x:v>
      </x:c>
      <x:c r="C63" s="45" t="n">
        <x:v>300</x:v>
      </x:c>
      <x:c r="D63" s="45" t="str">
        <x:v>梦境招募器 × 15；超能特饮 × 100</x:v>
      </x:c>
      <x:c r="E63" s="45" t="str">
        <x:v>阈值非现金成本；不可与同一资源返利重复计价</x:v>
      </x:c>
      <x:c r="F63" s="45" t="str">
        <x:v>主/冲刺活动!第33行</x:v>
      </x:c>
      <x:c r="G63" s="43"/>
      <x:c r="H63" s="43"/>
      <x:c r="I63" s="43"/>
      <x:c r="J63" s="43"/>
      <x:c r="K63" s="43"/>
      <x:c r="L63" s="43"/>
    </x:row>
    <x:row r="64" ht="42" customHeight="1">
      <x:c r="A64" s="45" t="str">
        <x:v>招募冲刺/第4轮</x:v>
      </x:c>
      <x:c r="B64" s="45" t="str">
        <x:v>进度奖励</x:v>
      </x:c>
      <x:c r="C64" s="45" t="n">
        <x:v>500</x:v>
      </x:c>
      <x:c r="D64" s="45" t="str">
        <x:v>梦境招募器 × 15；超能特饮 × 100</x:v>
      </x:c>
      <x:c r="E64" s="45" t="str">
        <x:v>阈值非现金成本；不可与同一资源返利重复计价</x:v>
      </x:c>
      <x:c r="F64" s="45" t="str">
        <x:v>主/冲刺活动!第34行</x:v>
      </x:c>
      <x:c r="G64" s="43"/>
      <x:c r="H64" s="43"/>
      <x:c r="I64" s="43"/>
      <x:c r="J64" s="43"/>
      <x:c r="K64" s="43"/>
      <x:c r="L64" s="43"/>
    </x:row>
    <x:row r="65" ht="42" customHeight="1">
      <x:c r="A65" s="45" t="str">
        <x:v>招募冲刺/第4轮</x:v>
      </x:c>
      <x:c r="B65" s="45" t="str">
        <x:v>进度奖励</x:v>
      </x:c>
      <x:c r="C65" s="45" t="n">
        <x:v>800</x:v>
      </x:c>
      <x:c r="D65" s="45" t="str">
        <x:v>梦境招募器 × 20；超能特饮 × 120</x:v>
      </x:c>
      <x:c r="E65" s="45" t="str">
        <x:v>阈值非现金成本；不可与同一资源返利重复计价</x:v>
      </x:c>
      <x:c r="F65" s="45" t="str">
        <x:v>主/冲刺活动!第35行</x:v>
      </x:c>
      <x:c r="G65" s="43"/>
      <x:c r="H65" s="43"/>
      <x:c r="I65" s="43"/>
      <x:c r="J65" s="43"/>
      <x:c r="K65" s="43"/>
      <x:c r="L65" s="43"/>
    </x:row>
    <x:row r="66" ht="42" customHeight="1">
      <x:c r="A66" s="45" t="str">
        <x:v>招募冲刺/第4轮</x:v>
      </x:c>
      <x:c r="B66" s="45" t="str">
        <x:v>进度奖励</x:v>
      </x:c>
      <x:c r="C66" s="45" t="n">
        <x:v>1200</x:v>
      </x:c>
      <x:c r="D66" s="45" t="str">
        <x:v>梦境招募器 × 20；超能特饮 × 120</x:v>
      </x:c>
      <x:c r="E66" s="45" t="str">
        <x:v>阈值非现金成本；不可与同一资源返利重复计价</x:v>
      </x:c>
      <x:c r="F66" s="45" t="str">
        <x:v>主/冲刺活动!第36行</x:v>
      </x:c>
      <x:c r="G66" s="43"/>
      <x:c r="H66" s="43"/>
      <x:c r="I66" s="43"/>
      <x:c r="J66" s="43"/>
      <x:c r="K66" s="43"/>
      <x:c r="L66" s="43"/>
    </x:row>
    <x:row r="67" ht="42" customHeight="1">
      <x:c r="A67" s="45" t="str">
        <x:v>招募冲刺/第4轮</x:v>
      </x:c>
      <x:c r="B67" s="45" t="str">
        <x:v>进度奖励</x:v>
      </x:c>
      <x:c r="C67" s="45" t="n">
        <x:v>1600</x:v>
      </x:c>
      <x:c r="D67" s="45" t="str">
        <x:v>梦境招募器 × 20；超能特饮 × 120</x:v>
      </x:c>
      <x:c r="E67" s="45" t="str">
        <x:v>阈值非现金成本；不可与同一资源返利重复计价</x:v>
      </x:c>
      <x:c r="F67" s="45" t="str">
        <x:v>主/冲刺活动!第37行</x:v>
      </x:c>
      <x:c r="G67" s="43"/>
      <x:c r="H67" s="43"/>
      <x:c r="I67" s="43"/>
      <x:c r="J67" s="43"/>
      <x:c r="K67" s="43"/>
      <x:c r="L67" s="43"/>
    </x:row>
    <x:row r="68" ht="42" customHeight="1">
      <x:c r="A68" s="45" t="str">
        <x:v>招募狂欢/第1轮</x:v>
      </x:c>
      <x:c r="B68" s="45" t="str">
        <x:v>进度奖励</x:v>
      </x:c>
      <x:c r="C68" s="45" t="n">
        <x:v>60</x:v>
      </x:c>
      <x:c r="D68" s="45" t="str">
        <x:v>梦境招募器 × 5；随机能量特饮 × 30</x:v>
      </x:c>
      <x:c r="E68" s="45" t="str">
        <x:v>阈值非现金成本；不可与同一资源返利重复计价</x:v>
      </x:c>
      <x:c r="F68" s="45" t="str">
        <x:v>主/招募狂欢!第13行</x:v>
      </x:c>
      <x:c r="G68" s="43"/>
      <x:c r="H68" s="43"/>
      <x:c r="I68" s="43"/>
      <x:c r="J68" s="43"/>
      <x:c r="K68" s="43"/>
      <x:c r="L68" s="43"/>
    </x:row>
    <x:row r="69" ht="42" customHeight="1">
      <x:c r="A69" s="45" t="str">
        <x:v>招募狂欢/第1轮</x:v>
      </x:c>
      <x:c r="B69" s="45" t="str">
        <x:v>进度奖励</x:v>
      </x:c>
      <x:c r="C69" s="45" t="n">
        <x:v>120</x:v>
      </x:c>
      <x:c r="D69" s="45" t="str">
        <x:v>梦境招募器 × 5；随机能量特饮 × 30</x:v>
      </x:c>
      <x:c r="E69" s="45" t="str">
        <x:v>阈值非现金成本；不可与同一资源返利重复计价</x:v>
      </x:c>
      <x:c r="F69" s="45" t="str">
        <x:v>主/招募狂欢!第14行</x:v>
      </x:c>
      <x:c r="G69" s="43"/>
      <x:c r="H69" s="43"/>
      <x:c r="I69" s="43"/>
      <x:c r="J69" s="43"/>
      <x:c r="K69" s="43"/>
      <x:c r="L69" s="43"/>
    </x:row>
    <x:row r="70" ht="42" customHeight="1">
      <x:c r="A70" s="45" t="str">
        <x:v>招募狂欢/第1轮</x:v>
      </x:c>
      <x:c r="B70" s="45" t="str">
        <x:v>进度奖励</x:v>
      </x:c>
      <x:c r="C70" s="45" t="n">
        <x:v>200</x:v>
      </x:c>
      <x:c r="D70" s="45" t="str">
        <x:v>梦境招募器 × 5；随机能量特饮 × 30</x:v>
      </x:c>
      <x:c r="E70" s="45" t="str">
        <x:v>阈值非现金成本；不可与同一资源返利重复计价</x:v>
      </x:c>
      <x:c r="F70" s="45" t="str">
        <x:v>主/招募狂欢!第15行</x:v>
      </x:c>
      <x:c r="G70" s="43"/>
      <x:c r="H70" s="43"/>
      <x:c r="I70" s="43"/>
      <x:c r="J70" s="43"/>
      <x:c r="K70" s="43"/>
      <x:c r="L70" s="43"/>
    </x:row>
    <x:row r="71" ht="42" customHeight="1">
      <x:c r="A71" s="45" t="str">
        <x:v>招募狂欢/第1轮</x:v>
      </x:c>
      <x:c r="B71" s="45" t="str">
        <x:v>进度奖励</x:v>
      </x:c>
      <x:c r="C71" s="45" t="n">
        <x:v>300</x:v>
      </x:c>
      <x:c r="D71" s="45" t="str">
        <x:v>梦境招募器 × 10；随机能量特饮 × 50</x:v>
      </x:c>
      <x:c r="E71" s="45" t="str">
        <x:v>阈值非现金成本；不可与同一资源返利重复计价</x:v>
      </x:c>
      <x:c r="F71" s="45" t="str">
        <x:v>主/招募狂欢!第16行</x:v>
      </x:c>
      <x:c r="G71" s="43"/>
      <x:c r="H71" s="43"/>
      <x:c r="I71" s="43"/>
      <x:c r="J71" s="43"/>
      <x:c r="K71" s="43"/>
      <x:c r="L71" s="43"/>
    </x:row>
    <x:row r="72" ht="42" customHeight="1">
      <x:c r="A72" s="45" t="str">
        <x:v>招募狂欢/第1轮</x:v>
      </x:c>
      <x:c r="B72" s="45" t="str">
        <x:v>进度奖励</x:v>
      </x:c>
      <x:c r="C72" s="45" t="n">
        <x:v>420</x:v>
      </x:c>
      <x:c r="D72" s="45" t="str">
        <x:v>梦境招募器 × 10；随机能量特饮 × 50</x:v>
      </x:c>
      <x:c r="E72" s="45" t="str">
        <x:v>阈值非现金成本；不可与同一资源返利重复计价</x:v>
      </x:c>
      <x:c r="F72" s="45" t="str">
        <x:v>主/招募狂欢!第17行</x:v>
      </x:c>
      <x:c r="G72" s="43"/>
      <x:c r="H72" s="43"/>
      <x:c r="I72" s="43"/>
      <x:c r="J72" s="43"/>
      <x:c r="K72" s="43"/>
      <x:c r="L72" s="43"/>
    </x:row>
    <x:row r="73" ht="42" customHeight="1">
      <x:c r="A73" s="45" t="str">
        <x:v>招募狂欢/第1轮</x:v>
      </x:c>
      <x:c r="B73" s="45" t="str">
        <x:v>进度奖励</x:v>
      </x:c>
      <x:c r="C73" s="45" t="n">
        <x:v>600</x:v>
      </x:c>
      <x:c r="D73" s="45" t="str">
        <x:v>梦境招募器 × 10；随机能量特饮 × 50</x:v>
      </x:c>
      <x:c r="E73" s="45" t="str">
        <x:v>阈值非现金成本；不可与同一资源返利重复计价</x:v>
      </x:c>
      <x:c r="F73" s="45" t="str">
        <x:v>主/招募狂欢!第18行</x:v>
      </x:c>
      <x:c r="G73" s="43"/>
      <x:c r="H73" s="43"/>
      <x:c r="I73" s="43"/>
      <x:c r="J73" s="43"/>
      <x:c r="K73" s="43"/>
      <x:c r="L73" s="43"/>
    </x:row>
    <x:row r="74" ht="42" customHeight="1">
      <x:c r="A74" s="45" t="str">
        <x:v>招募狂欢/第2轮</x:v>
      </x:c>
      <x:c r="B74" s="45" t="str">
        <x:v>进度奖励</x:v>
      </x:c>
      <x:c r="C74" s="45" t="n">
        <x:v>60</x:v>
      </x:c>
      <x:c r="D74" s="45" t="str">
        <x:v>梦境招募器 × 5；随机能量特饮 × 50</x:v>
      </x:c>
      <x:c r="E74" s="45" t="str">
        <x:v>阈值非现金成本；不可与同一资源返利重复计价</x:v>
      </x:c>
      <x:c r="F74" s="45" t="str">
        <x:v>主/招募狂欢!第22行</x:v>
      </x:c>
      <x:c r="G74" s="43"/>
      <x:c r="H74" s="43"/>
      <x:c r="I74" s="43"/>
      <x:c r="J74" s="43"/>
      <x:c r="K74" s="43"/>
      <x:c r="L74" s="43"/>
    </x:row>
    <x:row r="75" ht="42" customHeight="1">
      <x:c r="A75" s="45" t="str">
        <x:v>招募狂欢/第2轮</x:v>
      </x:c>
      <x:c r="B75" s="45" t="str">
        <x:v>进度奖励</x:v>
      </x:c>
      <x:c r="C75" s="45" t="n">
        <x:v>120</x:v>
      </x:c>
      <x:c r="D75" s="45" t="str">
        <x:v>梦境招募器 × 5；随机能量特饮 × 50</x:v>
      </x:c>
      <x:c r="E75" s="45" t="str">
        <x:v>阈值非现金成本；不可与同一资源返利重复计价</x:v>
      </x:c>
      <x:c r="F75" s="45" t="str">
        <x:v>主/招募狂欢!第23行</x:v>
      </x:c>
      <x:c r="G75" s="43"/>
      <x:c r="H75" s="43"/>
      <x:c r="I75" s="43"/>
      <x:c r="J75" s="43"/>
      <x:c r="K75" s="43"/>
      <x:c r="L75" s="43"/>
    </x:row>
    <x:row r="76" ht="42" customHeight="1">
      <x:c r="A76" s="45" t="str">
        <x:v>招募狂欢/第2轮</x:v>
      </x:c>
      <x:c r="B76" s="45" t="str">
        <x:v>进度奖励</x:v>
      </x:c>
      <x:c r="C76" s="45" t="n">
        <x:v>200</x:v>
      </x:c>
      <x:c r="D76" s="45" t="str">
        <x:v>梦境招募器 × 5；随机能量特饮 × 50</x:v>
      </x:c>
      <x:c r="E76" s="45" t="str">
        <x:v>阈值非现金成本；不可与同一资源返利重复计价</x:v>
      </x:c>
      <x:c r="F76" s="45" t="str">
        <x:v>主/招募狂欢!第24行</x:v>
      </x:c>
      <x:c r="G76" s="43"/>
      <x:c r="H76" s="43"/>
      <x:c r="I76" s="43"/>
      <x:c r="J76" s="43"/>
      <x:c r="K76" s="43"/>
      <x:c r="L76" s="43"/>
    </x:row>
    <x:row r="77" ht="42" customHeight="1">
      <x:c r="A77" s="45" t="str">
        <x:v>招募狂欢/第2轮</x:v>
      </x:c>
      <x:c r="B77" s="45" t="str">
        <x:v>进度奖励</x:v>
      </x:c>
      <x:c r="C77" s="45" t="n">
        <x:v>300</x:v>
      </x:c>
      <x:c r="D77" s="45" t="str">
        <x:v>梦境招募器 × 10；随机能量特饮 × 80</x:v>
      </x:c>
      <x:c r="E77" s="45" t="str">
        <x:v>阈值非现金成本；不可与同一资源返利重复计价</x:v>
      </x:c>
      <x:c r="F77" s="45" t="str">
        <x:v>主/招募狂欢!第25行</x:v>
      </x:c>
      <x:c r="G77" s="43"/>
      <x:c r="H77" s="43"/>
      <x:c r="I77" s="43"/>
      <x:c r="J77" s="43"/>
      <x:c r="K77" s="43"/>
      <x:c r="L77" s="43"/>
    </x:row>
    <x:row r="78" ht="42" customHeight="1">
      <x:c r="A78" s="45" t="str">
        <x:v>招募狂欢/第2轮</x:v>
      </x:c>
      <x:c r="B78" s="45" t="str">
        <x:v>进度奖励</x:v>
      </x:c>
      <x:c r="C78" s="45" t="n">
        <x:v>420</x:v>
      </x:c>
      <x:c r="D78" s="45" t="str">
        <x:v>梦境招募器 × 10；随机能量特饮 × 80</x:v>
      </x:c>
      <x:c r="E78" s="45" t="str">
        <x:v>阈值非现金成本；不可与同一资源返利重复计价</x:v>
      </x:c>
      <x:c r="F78" s="45" t="str">
        <x:v>主/招募狂欢!第26行</x:v>
      </x:c>
      <x:c r="G78" s="43"/>
      <x:c r="H78" s="43"/>
      <x:c r="I78" s="43"/>
      <x:c r="J78" s="43"/>
      <x:c r="K78" s="43"/>
      <x:c r="L78" s="43"/>
    </x:row>
    <x:row r="79" ht="42" customHeight="1">
      <x:c r="A79" s="45" t="str">
        <x:v>招募狂欢/第2轮</x:v>
      </x:c>
      <x:c r="B79" s="45" t="str">
        <x:v>进度奖励</x:v>
      </x:c>
      <x:c r="C79" s="45" t="n">
        <x:v>600</x:v>
      </x:c>
      <x:c r="D79" s="45" t="str">
        <x:v>梦境招募器 × 10；随机能量特饮 × 80</x:v>
      </x:c>
      <x:c r="E79" s="45" t="str">
        <x:v>阈值非现金成本；不可与同一资源返利重复计价</x:v>
      </x:c>
      <x:c r="F79" s="45" t="str">
        <x:v>主/招募狂欢!第27行</x:v>
      </x:c>
      <x:c r="G79" s="43"/>
      <x:c r="H79" s="43"/>
      <x:c r="I79" s="43"/>
      <x:c r="J79" s="43"/>
      <x:c r="K79" s="43"/>
      <x:c r="L79" s="43"/>
    </x:row>
    <x:row r="80" ht="42" customHeight="1">
      <x:c r="A80" s="45" t="str">
        <x:v>招募狂欢/第3轮</x:v>
      </x:c>
      <x:c r="B80" s="45" t="str">
        <x:v>进度奖励</x:v>
      </x:c>
      <x:c r="C80" s="45" t="n">
        <x:v>80</x:v>
      </x:c>
      <x:c r="D80" s="45" t="str">
        <x:v>梦境招募器 × 5；随机能量特饮 × 80</x:v>
      </x:c>
      <x:c r="E80" s="45" t="str">
        <x:v>阈值非现金成本；不可与同一资源返利重复计价</x:v>
      </x:c>
      <x:c r="F80" s="45" t="str">
        <x:v>主/招募狂欢!第31行</x:v>
      </x:c>
      <x:c r="G80" s="43"/>
      <x:c r="H80" s="43"/>
      <x:c r="I80" s="43"/>
      <x:c r="J80" s="43"/>
      <x:c r="K80" s="43"/>
      <x:c r="L80" s="43"/>
    </x:row>
    <x:row r="81" ht="42" customHeight="1">
      <x:c r="A81" s="45" t="str">
        <x:v>招募狂欢/第3轮</x:v>
      </x:c>
      <x:c r="B81" s="45" t="str">
        <x:v>进度奖励</x:v>
      </x:c>
      <x:c r="C81" s="45" t="n">
        <x:v>160</x:v>
      </x:c>
      <x:c r="D81" s="45" t="str">
        <x:v>梦境招募器 × 5；随机能量特饮 × 80</x:v>
      </x:c>
      <x:c r="E81" s="45" t="str">
        <x:v>阈值非现金成本；不可与同一资源返利重复计价</x:v>
      </x:c>
      <x:c r="F81" s="45" t="str">
        <x:v>主/招募狂欢!第32行</x:v>
      </x:c>
      <x:c r="G81" s="43"/>
      <x:c r="H81" s="43"/>
      <x:c r="I81" s="43"/>
      <x:c r="J81" s="43"/>
      <x:c r="K81" s="43"/>
      <x:c r="L81" s="43"/>
    </x:row>
    <x:row r="82" ht="42" customHeight="1">
      <x:c r="A82" s="45" t="str">
        <x:v>招募狂欢/第3轮</x:v>
      </x:c>
      <x:c r="B82" s="45" t="str">
        <x:v>进度奖励</x:v>
      </x:c>
      <x:c r="C82" s="45" t="n">
        <x:v>260</x:v>
      </x:c>
      <x:c r="D82" s="45" t="str">
        <x:v>梦境招募器 × 5；随机能量特饮 × 80</x:v>
      </x:c>
      <x:c r="E82" s="45" t="str">
        <x:v>阈值非现金成本；不可与同一资源返利重复计价</x:v>
      </x:c>
      <x:c r="F82" s="45" t="str">
        <x:v>主/招募狂欢!第33行</x:v>
      </x:c>
      <x:c r="G82" s="43"/>
      <x:c r="H82" s="43"/>
      <x:c r="I82" s="43"/>
      <x:c r="J82" s="43"/>
      <x:c r="K82" s="43"/>
      <x:c r="L82" s="43"/>
    </x:row>
    <x:row r="83" ht="42" customHeight="1">
      <x:c r="A83" s="45" t="str">
        <x:v>招募狂欢/第3轮</x:v>
      </x:c>
      <x:c r="B83" s="45" t="str">
        <x:v>进度奖励</x:v>
      </x:c>
      <x:c r="C83" s="45" t="n">
        <x:v>400</x:v>
      </x:c>
      <x:c r="D83" s="45" t="str">
        <x:v>梦境招募器 × 10；随机能量特饮 × 100</x:v>
      </x:c>
      <x:c r="E83" s="45" t="str">
        <x:v>阈值非现金成本；不可与同一资源返利重复计价</x:v>
      </x:c>
      <x:c r="F83" s="45" t="str">
        <x:v>主/招募狂欢!第34行</x:v>
      </x:c>
      <x:c r="G83" s="43"/>
      <x:c r="H83" s="43"/>
      <x:c r="I83" s="43"/>
      <x:c r="J83" s="43"/>
      <x:c r="K83" s="43"/>
      <x:c r="L83" s="43"/>
    </x:row>
    <x:row r="84" ht="42" customHeight="1">
      <x:c r="A84" s="45" t="str">
        <x:v>招募狂欢/第3轮</x:v>
      </x:c>
      <x:c r="B84" s="45" t="str">
        <x:v>进度奖励</x:v>
      </x:c>
      <x:c r="C84" s="45" t="n">
        <x:v>580</x:v>
      </x:c>
      <x:c r="D84" s="45" t="str">
        <x:v>梦境招募器 × 10；随机能量特饮 × 100</x:v>
      </x:c>
      <x:c r="E84" s="45" t="str">
        <x:v>阈值非现金成本；不可与同一资源返利重复计价</x:v>
      </x:c>
      <x:c r="F84" s="45" t="str">
        <x:v>主/招募狂欢!第35行</x:v>
      </x:c>
      <x:c r="G84" s="43"/>
      <x:c r="H84" s="43"/>
      <x:c r="I84" s="43"/>
      <x:c r="J84" s="43"/>
      <x:c r="K84" s="43"/>
      <x:c r="L84" s="43"/>
    </x:row>
    <x:row r="85" ht="42" customHeight="1">
      <x:c r="A85" s="45" t="str">
        <x:v>招募狂欢/第3轮</x:v>
      </x:c>
      <x:c r="B85" s="45" t="str">
        <x:v>进度奖励</x:v>
      </x:c>
      <x:c r="C85" s="45" t="n">
        <x:v>800</x:v>
      </x:c>
      <x:c r="D85" s="45" t="str">
        <x:v>梦境招募器 × 10；随机能量特饮 × 100</x:v>
      </x:c>
      <x:c r="E85" s="45" t="str">
        <x:v>阈值非现金成本；不可与同一资源返利重复计价</x:v>
      </x:c>
      <x:c r="F85" s="45" t="str">
        <x:v>主/招募狂欢!第36行</x:v>
      </x:c>
      <x:c r="G85" s="43"/>
      <x:c r="H85" s="43"/>
      <x:c r="I85" s="43"/>
      <x:c r="J85" s="43"/>
      <x:c r="K85" s="43"/>
      <x:c r="L85" s="43"/>
    </x:row>
    <x:row r="86" ht="42" customHeight="1">
      <x:c r="A86" s="45" t="str">
        <x:v>招募狂欢/第4轮</x:v>
      </x:c>
      <x:c r="B86" s="45" t="str">
        <x:v>进度奖励</x:v>
      </x:c>
      <x:c r="C86" s="45" t="n">
        <x:v>120</x:v>
      </x:c>
      <x:c r="D86" s="45" t="str">
        <x:v>梦境招募器 × 5；随机能量特饮 × 100</x:v>
      </x:c>
      <x:c r="E86" s="45" t="str">
        <x:v>阈值非现金成本；不可与同一资源返利重复计价</x:v>
      </x:c>
      <x:c r="F86" s="45" t="str">
        <x:v>主/招募狂欢!第40行</x:v>
      </x:c>
      <x:c r="G86" s="43"/>
      <x:c r="H86" s="43"/>
      <x:c r="I86" s="43"/>
      <x:c r="J86" s="43"/>
      <x:c r="K86" s="43"/>
      <x:c r="L86" s="43"/>
    </x:row>
    <x:row r="87" ht="42" customHeight="1">
      <x:c r="A87" s="45" t="str">
        <x:v>招募狂欢/第4轮</x:v>
      </x:c>
      <x:c r="B87" s="45" t="str">
        <x:v>进度奖励</x:v>
      </x:c>
      <x:c r="C87" s="45" t="n">
        <x:v>240</x:v>
      </x:c>
      <x:c r="D87" s="45" t="str">
        <x:v>梦境招募器 × 5；随机能量特饮 × 100</x:v>
      </x:c>
      <x:c r="E87" s="45" t="str">
        <x:v>阈值非现金成本；不可与同一资源返利重复计价</x:v>
      </x:c>
      <x:c r="F87" s="45" t="str">
        <x:v>主/招募狂欢!第41行</x:v>
      </x:c>
      <x:c r="G87" s="43"/>
      <x:c r="H87" s="43"/>
      <x:c r="I87" s="43"/>
      <x:c r="J87" s="43"/>
      <x:c r="K87" s="43"/>
      <x:c r="L87" s="43"/>
    </x:row>
    <x:row r="88" ht="42" customHeight="1">
      <x:c r="A88" s="45" t="str">
        <x:v>招募狂欢/第4轮</x:v>
      </x:c>
      <x:c r="B88" s="45" t="str">
        <x:v>进度奖励</x:v>
      </x:c>
      <x:c r="C88" s="45" t="n">
        <x:v>400</x:v>
      </x:c>
      <x:c r="D88" s="45" t="str">
        <x:v>梦境招募器 × 5；随机能量特饮 × 100</x:v>
      </x:c>
      <x:c r="E88" s="45" t="str">
        <x:v>阈值非现金成本；不可与同一资源返利重复计价</x:v>
      </x:c>
      <x:c r="F88" s="45" t="str">
        <x:v>主/招募狂欢!第42行</x:v>
      </x:c>
      <x:c r="G88" s="43"/>
      <x:c r="H88" s="43"/>
      <x:c r="I88" s="43"/>
      <x:c r="J88" s="43"/>
      <x:c r="K88" s="43"/>
      <x:c r="L88" s="43"/>
    </x:row>
    <x:row r="89" ht="42" customHeight="1">
      <x:c r="A89" s="45" t="str">
        <x:v>招募狂欢/第4轮</x:v>
      </x:c>
      <x:c r="B89" s="45" t="str">
        <x:v>进度奖励</x:v>
      </x:c>
      <x:c r="C89" s="45" t="n">
        <x:v>600</x:v>
      </x:c>
      <x:c r="D89" s="45" t="str">
        <x:v>梦境招募器 × 10；随机能量特饮 × 120</x:v>
      </x:c>
      <x:c r="E89" s="45" t="str">
        <x:v>阈值非现金成本；不可与同一资源返利重复计价</x:v>
      </x:c>
      <x:c r="F89" s="45" t="str">
        <x:v>主/招募狂欢!第43行</x:v>
      </x:c>
      <x:c r="G89" s="43"/>
      <x:c r="H89" s="43"/>
      <x:c r="I89" s="43"/>
      <x:c r="J89" s="43"/>
      <x:c r="K89" s="43"/>
      <x:c r="L89" s="43"/>
    </x:row>
    <x:row r="90" ht="42" customHeight="1">
      <x:c r="A90" s="45" t="str">
        <x:v>招募狂欢/第4轮</x:v>
      </x:c>
      <x:c r="B90" s="45" t="str">
        <x:v>进度奖励</x:v>
      </x:c>
      <x:c r="C90" s="45" t="n">
        <x:v>800</x:v>
      </x:c>
      <x:c r="D90" s="45" t="str">
        <x:v>梦境招募器 × 10；随机能量特饮 × 120</x:v>
      </x:c>
      <x:c r="E90" s="45" t="str">
        <x:v>阈值非现金成本；不可与同一资源返利重复计价</x:v>
      </x:c>
      <x:c r="F90" s="45" t="str">
        <x:v>主/招募狂欢!第44行</x:v>
      </x:c>
      <x:c r="G90" s="43"/>
      <x:c r="H90" s="43"/>
      <x:c r="I90" s="43"/>
      <x:c r="J90" s="43"/>
      <x:c r="K90" s="43"/>
      <x:c r="L90" s="43"/>
    </x:row>
    <x:row r="91" ht="42" customHeight="1">
      <x:c r="A91" s="45" t="str">
        <x:v>招募狂欢/第4轮</x:v>
      </x:c>
      <x:c r="B91" s="45" t="str">
        <x:v>进度奖励</x:v>
      </x:c>
      <x:c r="C91" s="45" t="n">
        <x:v>1200</x:v>
      </x:c>
      <x:c r="D91" s="45" t="str">
        <x:v>梦境招募器 × 10；随机能量特饮 × 120</x:v>
      </x:c>
      <x:c r="E91" s="45" t="str">
        <x:v>阈值非现金成本；不可与同一资源返利重复计价</x:v>
      </x:c>
      <x:c r="F91" s="45" t="str">
        <x:v>主/招募狂欢!第45行</x:v>
      </x:c>
      <x:c r="G91" s="43"/>
      <x:c r="H91" s="43"/>
      <x:c r="I91" s="43"/>
      <x:c r="J91" s="43"/>
      <x:c r="K91" s="43"/>
      <x:c r="L91" s="43"/>
    </x:row>
  </x:sheetData>
  <x:mergeCells>
    <x:mergeCell ref="A1:L1"/>
    <x:mergeCell ref="A2:L2"/>
    <x:mergeCell ref="A20:J20"/>
    <x:mergeCell ref="A42:F4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《梦境护卫队》符文冲刺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来源：主/冲刺活动!A1:AC209；路线图!B24:AE24｜进度、轮次、任务、排行分层；排名收益不计入必得折扣；跨服节奏另核｜主方案优先，补充方案不覆盖主方案。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符文冲刺</x:v>
      </x:c>
      <x:c r="C4" s="59"/>
      <x:c r="D4" s="57" t="str">
        <x:v>最终大奖条件说明</x:v>
      </x:c>
      <x:c r="E4" s="58" t="str">
        <x:v>阈值是累计消耗或活动积分，排行收益不是保证到手</x:v>
      </x:c>
      <x:c r="F4" s="59"/>
      <x:c r="G4" s="57" t="str">
        <x:v>礼包数</x:v>
      </x:c>
      <x:c r="H4" s="58" t="n">
        <x:v>9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轮次/排行最终奖励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9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44" t="str">
        <x:v>礼包/档位</x:v>
      </x:c>
      <x:c r="B8" s="44" t="str">
        <x:v>支付币种</x:v>
      </x:c>
      <x:c r="C8" s="44" t="str">
        <x:v>标价</x:v>
      </x:c>
      <x:c r="D8" s="44" t="str">
        <x:v>成本折钻</x:v>
      </x:c>
      <x:c r="E8" s="44" t="str">
        <x:v>奖励价值钻</x:v>
      </x:c>
      <x:c r="F8" s="44" t="str">
        <x:v>价值倍率</x:v>
      </x:c>
      <x:c r="G8" s="44" t="str">
        <x:v>重算折数</x:v>
      </x:c>
      <x:c r="H8" s="44" t="str">
        <x:v>原标注折数</x:v>
      </x:c>
      <x:c r="I8" s="44" t="str">
        <x:v>主要到手标的物</x:v>
      </x:c>
      <x:c r="J8" s="44" t="str">
        <x:v>限购</x:v>
      </x:c>
      <x:c r="K8" s="44" t="str">
        <x:v>到手判断</x:v>
      </x:c>
      <x:c r="L8" s="44" t="str">
        <x:v>来源</x:v>
      </x:c>
    </x:row>
    <x:row r="9" ht="42" customHeight="1">
      <x:c r="A9" s="45" t="str">
        <x:v>符文/每日免费礼包</x:v>
      </x:c>
      <x:c r="B9" s="45" t="str">
        <x:v>钻石</x:v>
      </x:c>
      <x:c r="C9" s="45" t="n">
        <x:v>0</x:v>
      </x:c>
      <x:c r="D9" s="67" t="n">
        <x:f>IF(ISNUMBER(C9),C9,"待核")</x:f>
        <x:v>0</x:v>
      </x:c>
      <x:c r="E9" s="67" t="n">
        <x:v>100</x:v>
      </x:c>
      <x:c r="F9" s="67" t="str">
        <x:f>IF(AND(ISNUMBER(D9),ISNUMBER(E9),D9&gt;0),E9/D9,"待核")</x:f>
        <x:v>待核</x:v>
      </x:c>
      <x:c r="G9" s="63" t="n">
        <x:f>IF(AND(ISNUMBER(D9),ISNUMBER(E9),E9&gt;0),D9/E9*10,"待核")</x:f>
        <x:v>0</x:v>
      </x:c>
      <x:c r="H9" s="45"/>
      <x:c r="I9" s="45" t="str">
        <x:v>星之初愿×2</x:v>
      </x:c>
      <x:c r="J9" s="45" t="n">
        <x:v>1</x:v>
      </x:c>
      <x:c r="K9" s="45" t="str">
        <x:v>明细规划</x:v>
      </x:c>
      <x:c r="L9" s="45" t="str">
        <x:v>主/冲刺活动!第115行</x:v>
      </x:c>
    </x:row>
    <x:row r="10" ht="42" customHeight="1">
      <x:c r="A10" s="45" t="str">
        <x:v>符文/钻石礼包</x:v>
      </x:c>
      <x:c r="B10" s="45" t="str">
        <x:v>钻石</x:v>
      </x:c>
      <x:c r="C10" s="45" t="n">
        <x:v>168</x:v>
      </x:c>
      <x:c r="D10" s="67" t="n">
        <x:f>IF(ISNUMBER(C10),C10,"待核")</x:f>
        <x:v>168</x:v>
      </x:c>
      <x:c r="E10" s="67" t="n">
        <x:v>610</x:v>
      </x:c>
      <x:c r="F10" s="67" t="n">
        <x:f>IF(AND(ISNUMBER(D10),ISNUMBER(E10),D10&gt;0),E10/D10,"待核")</x:f>
        <x:v>3.630952380952381</x:v>
      </x:c>
      <x:c r="G10" s="63" t="n">
        <x:f>IF(AND(ISNUMBER(D10),ISNUMBER(E10),E10&gt;0),D10/E10*10,"待核")</x:f>
        <x:v>2.754098360655738</x:v>
      </x:c>
      <x:c r="H10" s="45"/>
      <x:c r="I10" s="45" t="str">
        <x:v>星辉秘契×2；星之初愿×1</x:v>
      </x:c>
      <x:c r="J10" s="45" t="n">
        <x:v>3</x:v>
      </x:c>
      <x:c r="K10" s="45" t="str">
        <x:v>明细规划</x:v>
      </x:c>
      <x:c r="L10" s="45" t="str">
        <x:v>主/冲刺活动!第116行</x:v>
      </x:c>
    </x:row>
    <x:row r="11" ht="42" customHeight="1">
      <x:c r="A11" s="45" t="str">
        <x:v>符文/6元礼包</x:v>
      </x:c>
      <x:c r="B11" s="45" t="str">
        <x:v>RMB</x:v>
      </x:c>
      <x:c r="C11" s="45" t="n">
        <x:v>6</x:v>
      </x:c>
      <x:c r="D11" s="67" t="n">
        <x:f>IF(ISNUMBER(C11*10),C11*10,"待核")</x:f>
        <x:v>60</x:v>
      </x:c>
      <x:c r="E11" s="67" t="n">
        <x:v>620</x:v>
      </x:c>
      <x:c r="F11" s="67" t="n">
        <x:f>IF(AND(ISNUMBER(D11),ISNUMBER(E11),D11&gt;0),E11/D11,"待核")</x:f>
        <x:v>10.333333333333334</x:v>
      </x:c>
      <x:c r="G11" s="63" t="n">
        <x:f>IF(AND(ISNUMBER(D11),ISNUMBER(E11),E11&gt;0),D11/E11*10,"待核")</x:f>
        <x:v>0.967741935483871</x:v>
      </x:c>
      <x:c r="H11" s="45"/>
      <x:c r="I11" s="45" t="str">
        <x:v>钻石×60；星辉秘契×2</x:v>
      </x:c>
      <x:c r="J11" s="45" t="n">
        <x:v>3</x:v>
      </x:c>
      <x:c r="K11" s="45" t="str">
        <x:v>明细规划</x:v>
      </x:c>
      <x:c r="L11" s="45" t="str">
        <x:v>主/冲刺活动!第117行</x:v>
      </x:c>
    </x:row>
    <x:row r="12" ht="42" customHeight="1">
      <x:c r="A12" s="45" t="str">
        <x:v>符文/钻石礼包</x:v>
      </x:c>
      <x:c r="B12" s="45" t="str">
        <x:v>钻石</x:v>
      </x:c>
      <x:c r="C12" s="45" t="n">
        <x:v>888</x:v>
      </x:c>
      <x:c r="D12" s="67" t="n">
        <x:f>IF(ISNUMBER(C12),C12,"待核")</x:f>
        <x:v>888</x:v>
      </x:c>
      <x:c r="E12" s="67" t="n">
        <x:v>2240</x:v>
      </x:c>
      <x:c r="F12" s="67" t="n">
        <x:f>IF(AND(ISNUMBER(D12),ISNUMBER(E12),D12&gt;0),E12/D12,"待核")</x:f>
        <x:v>2.5225225225225225</x:v>
      </x:c>
      <x:c r="G12" s="63" t="n">
        <x:f>IF(AND(ISNUMBER(D12),ISNUMBER(E12),E12&gt;0),D12/E12*10,"待核")</x:f>
        <x:v>3.964285714285714</x:v>
      </x:c>
      <x:c r="H12" s="45"/>
      <x:c r="I12" s="45" t="str">
        <x:v>星辉秘契×8</x:v>
      </x:c>
      <x:c r="J12" s="45" t="n">
        <x:v>3</x:v>
      </x:c>
      <x:c r="K12" s="45" t="str">
        <x:v>明细规划</x:v>
      </x:c>
      <x:c r="L12" s="45" t="str">
        <x:v>主/冲刺活动!第118行</x:v>
      </x:c>
    </x:row>
    <x:row r="13" ht="42" customHeight="1">
      <x:c r="A13" s="45" t="str">
        <x:v>符文/30元礼包</x:v>
      </x:c>
      <x:c r="B13" s="45" t="str">
        <x:v>RMB</x:v>
      </x:c>
      <x:c r="C13" s="45" t="n">
        <x:v>30</x:v>
      </x:c>
      <x:c r="D13" s="67" t="n">
        <x:f>IF(ISNUMBER(C13*10),C13*10,"待核")</x:f>
        <x:v>300</x:v>
      </x:c>
      <x:c r="E13" s="67" t="n">
        <x:v>1700</x:v>
      </x:c>
      <x:c r="F13" s="67" t="n">
        <x:f>IF(AND(ISNUMBER(D13),ISNUMBER(E13),D13&gt;0),E13/D13,"待核")</x:f>
        <x:v>5.666666666666667</x:v>
      </x:c>
      <x:c r="G13" s="63" t="n">
        <x:f>IF(AND(ISNUMBER(D13),ISNUMBER(E13),E13&gt;0),D13/E13*10,"待核")</x:f>
        <x:v>1.7647058823529413</x:v>
      </x:c>
      <x:c r="H13" s="45"/>
      <x:c r="I13" s="45" t="str">
        <x:v>钻石×300；星辉秘契×5</x:v>
      </x:c>
      <x:c r="J13" s="45" t="n">
        <x:v>3</x:v>
      </x:c>
      <x:c r="K13" s="45" t="str">
        <x:v>明细规划</x:v>
      </x:c>
      <x:c r="L13" s="45" t="str">
        <x:v>主/冲刺活动!第119行</x:v>
      </x:c>
    </x:row>
    <x:row r="14" ht="42" customHeight="1">
      <x:c r="A14" s="45" t="str">
        <x:v>符文/钻石礼包</x:v>
      </x:c>
      <x:c r="B14" s="45" t="str">
        <x:v>钻石</x:v>
      </x:c>
      <x:c r="C14" s="45" t="n">
        <x:v>1888</x:v>
      </x:c>
      <x:c r="D14" s="67" t="n">
        <x:f>IF(ISNUMBER(C14),C14,"待核")</x:f>
        <x:v>1888</x:v>
      </x:c>
      <x:c r="E14" s="67" t="n">
        <x:v>4080</x:v>
      </x:c>
      <x:c r="F14" s="67" t="n">
        <x:f>IF(AND(ISNUMBER(D14),ISNUMBER(E14),D14&gt;0),E14/D14,"待核")</x:f>
        <x:v>2.1610169491525424</x:v>
      </x:c>
      <x:c r="G14" s="63" t="n">
        <x:f>IF(AND(ISNUMBER(D14),ISNUMBER(E14),E14&gt;0),D14/E14*10,"待核")</x:f>
        <x:v>4.627450980392157</x:v>
      </x:c>
      <x:c r="H14" s="45"/>
      <x:c r="I14" s="45" t="str">
        <x:v>星辉秘契×12；幻梦晶核×12</x:v>
      </x:c>
      <x:c r="J14" s="45" t="n">
        <x:v>5</x:v>
      </x:c>
      <x:c r="K14" s="45" t="str">
        <x:v>明细规划</x:v>
      </x:c>
      <x:c r="L14" s="45" t="str">
        <x:v>主/冲刺活动!第120行</x:v>
      </x:c>
    </x:row>
    <x:row r="15" ht="42" customHeight="1">
      <x:c r="A15" s="45" t="str">
        <x:v>符文/钻石礼包</x:v>
      </x:c>
      <x:c r="B15" s="45" t="str">
        <x:v>钻石</x:v>
      </x:c>
      <x:c r="C15" s="45" t="n">
        <x:v>3188</x:v>
      </x:c>
      <x:c r="D15" s="67" t="n">
        <x:f>IF(ISNUMBER(C15),C15,"待核")</x:f>
        <x:v>3188</x:v>
      </x:c>
      <x:c r="E15" s="67" t="n">
        <x:v>5920</x:v>
      </x:c>
      <x:c r="F15" s="67" t="n">
        <x:f>IF(AND(ISNUMBER(D15),ISNUMBER(E15),D15&gt;0),E15/D15,"待核")</x:f>
        <x:v>1.8569636135508156</x:v>
      </x:c>
      <x:c r="G15" s="63" t="n">
        <x:f>IF(AND(ISNUMBER(D15),ISNUMBER(E15),E15&gt;0),D15/E15*10,"待核")</x:f>
        <x:v>5.385135135135135</x:v>
      </x:c>
      <x:c r="H15" s="45"/>
      <x:c r="I15" s="45" t="str">
        <x:v>星辉秘契×16；幻梦晶核×24</x:v>
      </x:c>
      <x:c r="J15" s="45" t="n">
        <x:v>5</x:v>
      </x:c>
      <x:c r="K15" s="45" t="str">
        <x:v>明细规划</x:v>
      </x:c>
      <x:c r="L15" s="45" t="str">
        <x:v>主/冲刺活动!第121行</x:v>
      </x:c>
    </x:row>
    <x:row r="16" ht="42" customHeight="1">
      <x:c r="A16" s="45" t="str">
        <x:v>符文/328元礼包</x:v>
      </x:c>
      <x:c r="B16" s="45" t="str">
        <x:v>RMB</x:v>
      </x:c>
      <x:c r="C16" s="45" t="n">
        <x:v>328</x:v>
      </x:c>
      <x:c r="D16" s="67" t="n">
        <x:f>IF(ISNUMBER(C16*10),C16*10,"待核")</x:f>
        <x:v>3280</x:v>
      </x:c>
      <x:c r="E16" s="67" t="n">
        <x:v>8320</x:v>
      </x:c>
      <x:c r="F16" s="67" t="n">
        <x:f>IF(AND(ISNUMBER(D16),ISNUMBER(E16),D16&gt;0),E16/D16,"待核")</x:f>
        <x:v>2.5365853658536586</x:v>
      </x:c>
      <x:c r="G16" s="63" t="n">
        <x:f>IF(AND(ISNUMBER(D16),ISNUMBER(E16),E16&gt;0),D16/E16*10,"待核")</x:f>
        <x:v>3.942307692307692</x:v>
      </x:c>
      <x:c r="H16" s="45"/>
      <x:c r="I16" s="45" t="str">
        <x:v>钻石×3280；星辉秘契×18</x:v>
      </x:c>
      <x:c r="J16" s="45" t="n">
        <x:v>3</x:v>
      </x:c>
      <x:c r="K16" s="45" t="str">
        <x:v>明细规划</x:v>
      </x:c>
      <x:c r="L16" s="45" t="str">
        <x:v>主/冲刺活动!第122行</x:v>
      </x:c>
    </x:row>
    <x:row r="17" ht="42" customHeight="1">
      <x:c r="A17" s="45" t="str">
        <x:v>符文/钻石礼包</x:v>
      </x:c>
      <x:c r="B17" s="45" t="str">
        <x:v>钻石</x:v>
      </x:c>
      <x:c r="C17" s="45" t="n">
        <x:v>5888</x:v>
      </x:c>
      <x:c r="D17" s="67" t="n">
        <x:f>IF(ISNUMBER(C17),C17,"待核")</x:f>
        <x:v>5888</x:v>
      </x:c>
      <x:c r="E17" s="67" t="n">
        <x:v>10560</x:v>
      </x:c>
      <x:c r="F17" s="67" t="n">
        <x:f>IF(AND(ISNUMBER(D17),ISNUMBER(E17),D17&gt;0),E17/D17,"待核")</x:f>
        <x:v>1.7934782608695652</x:v>
      </x:c>
      <x:c r="G17" s="63" t="n">
        <x:f>IF(AND(ISNUMBER(D17),ISNUMBER(E17),E17&gt;0),D17/E17*10,"待核")</x:f>
        <x:v>5.575757575757576</x:v>
      </x:c>
      <x:c r="H17" s="45"/>
      <x:c r="I17" s="45" t="str">
        <x:v>星辉秘契×30；幻梦晶核×36</x:v>
      </x:c>
      <x:c r="J17" s="45" t="n">
        <x:v>5</x:v>
      </x:c>
      <x:c r="K17" s="45" t="str">
        <x:v>明细规划</x:v>
      </x:c>
      <x:c r="L17" s="45" t="str">
        <x:v>主/冲刺活动!第123行</x:v>
      </x:c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</x:row>
    <x:row r="20">
      <x:c r="A20" s="64" t="str">
        <x:v>奖励明细：数量 × 统一道具单价</x:v>
      </x:c>
      <x:c r="B20" s="64"/>
      <x:c r="C20" s="64"/>
      <x:c r="D20" s="64"/>
      <x:c r="E20" s="64"/>
      <x:c r="F20" s="64"/>
      <x:c r="G20" s="64"/>
      <x:c r="H20" s="64"/>
      <x:c r="I20" s="64"/>
      <x:c r="J20" s="64"/>
      <x:c r="K20" s="43"/>
      <x:c r="L20" s="43"/>
    </x:row>
    <x:row r="21" ht="42" customHeight="1">
      <x:c r="A21" s="44" t="str">
        <x:v>礼包</x:v>
      </x:c>
      <x:c r="B21" s="44" t="str">
        <x:v>标的物</x:v>
      </x:c>
      <x:c r="C21" s="44" t="str">
        <x:v>数量</x:v>
      </x:c>
      <x:c r="D21" s="44" t="str">
        <x:v>统一单价钻</x:v>
      </x:c>
      <x:c r="E21" s="44" t="str">
        <x:v>活动单价钻</x:v>
      </x:c>
      <x:c r="F21" s="44" t="str">
        <x:v>奖励价值钻</x:v>
      </x:c>
      <x:c r="G21" s="44" t="str">
        <x:v>估值依据</x:v>
      </x:c>
      <x:c r="H21" s="44" t="str">
        <x:v>差异/缺失</x:v>
      </x:c>
      <x:c r="I21" s="44" t="str">
        <x:v>来源</x:v>
      </x:c>
      <x:c r="J21" s="44" t="str">
        <x:v>备注</x:v>
      </x:c>
      <x:c r="K21" s="43"/>
      <x:c r="L21" s="43"/>
    </x:row>
    <x:row r="22" ht="42" customHeight="1">
      <x:c r="A22" s="45" t="str">
        <x:v>符文/每日免费礼包</x:v>
      </x:c>
      <x:c r="B22" s="45" t="str">
        <x:v>星之初愿</x:v>
      </x:c>
      <x:c r="C22" s="67" t="n">
        <x:v>2</x:v>
      </x:c>
      <x:c r="D22" s="67" t="n">
        <x:v>50</x:v>
      </x:c>
      <x:c r="E22" s="67" t="str"/>
      <x:c r="F22" s="67" t="n">
        <x:f>IF(AND(ISNUMBER(C22),ISNUMBER(D22)),C22*D22,"待补")</x:f>
        <x:v>100</x:v>
      </x:c>
      <x:c r="G22" s="45" t="str">
        <x:v>统一道具字典</x:v>
      </x:c>
      <x:c r="H22" s="45" t="str"/>
      <x:c r="I22" s="45" t="str">
        <x:v>主/冲刺活动!第115行</x:v>
      </x:c>
      <x:c r="J22" s="45" t="str">
        <x:v>统一字典优先</x:v>
      </x:c>
      <x:c r="K22" s="43"/>
      <x:c r="L22" s="43"/>
    </x:row>
    <x:row r="23" ht="42" customHeight="1">
      <x:c r="A23" s="45" t="str">
        <x:v>符文/钻石礼包</x:v>
      </x:c>
      <x:c r="B23" s="45" t="str">
        <x:v>星辉秘契</x:v>
      </x:c>
      <x:c r="C23" s="67" t="n">
        <x:v>2</x:v>
      </x:c>
      <x:c r="D23" s="67" t="n">
        <x:v>280</x:v>
      </x:c>
      <x:c r="E23" s="67" t="str"/>
      <x:c r="F23" s="67" t="n">
        <x:f>IF(AND(ISNUMBER(C23),ISNUMBER(D23)),C23*D23,"待补")</x:f>
        <x:v>560</x:v>
      </x:c>
      <x:c r="G23" s="45" t="str">
        <x:v>统一道具字典</x:v>
      </x:c>
      <x:c r="H23" s="45" t="str"/>
      <x:c r="I23" s="45" t="str">
        <x:v>主/冲刺活动!第116行</x:v>
      </x:c>
      <x:c r="J23" s="45" t="str">
        <x:v>统一字典优先</x:v>
      </x:c>
      <x:c r="K23" s="43"/>
      <x:c r="L23" s="43"/>
    </x:row>
    <x:row r="24" ht="42" customHeight="1">
      <x:c r="A24" s="45" t="str">
        <x:v>符文/钻石礼包</x:v>
      </x:c>
      <x:c r="B24" s="45" t="str">
        <x:v>星之初愿</x:v>
      </x:c>
      <x:c r="C24" s="67" t="n">
        <x:v>1</x:v>
      </x:c>
      <x:c r="D24" s="67" t="n">
        <x:v>50</x:v>
      </x:c>
      <x:c r="E24" s="67" t="str"/>
      <x:c r="F24" s="67" t="n">
        <x:f>IF(AND(ISNUMBER(C24),ISNUMBER(D24)),C24*D24,"待补")</x:f>
        <x:v>50</x:v>
      </x:c>
      <x:c r="G24" s="45" t="str">
        <x:v>统一道具字典</x:v>
      </x:c>
      <x:c r="H24" s="45" t="str"/>
      <x:c r="I24" s="45" t="str">
        <x:v>主/冲刺活动!第116行</x:v>
      </x:c>
      <x:c r="J24" s="45" t="str">
        <x:v>统一字典优先</x:v>
      </x:c>
      <x:c r="K24" s="43"/>
      <x:c r="L24" s="43"/>
    </x:row>
    <x:row r="25" ht="42" customHeight="1">
      <x:c r="A25" s="45" t="str">
        <x:v>符文/6元礼包</x:v>
      </x:c>
      <x:c r="B25" s="45" t="str">
        <x:v>钻石</x:v>
      </x:c>
      <x:c r="C25" s="67" t="n">
        <x:v>60</x:v>
      </x:c>
      <x:c r="D25" s="67" t="n">
        <x:v>1</x:v>
      </x:c>
      <x:c r="E25" s="67" t="str"/>
      <x:c r="F25" s="67" t="n">
        <x:f>IF(AND(ISNUMBER(C25),ISNUMBER(D25)),C25*D25,"待补")</x:f>
        <x:v>60</x:v>
      </x:c>
      <x:c r="G25" s="45" t="str">
        <x:v>统一道具字典</x:v>
      </x:c>
      <x:c r="H25" s="45" t="str"/>
      <x:c r="I25" s="45" t="str">
        <x:v>主/冲刺活动!第117行</x:v>
      </x:c>
      <x:c r="J25" s="45" t="str">
        <x:v>统一字典优先</x:v>
      </x:c>
      <x:c r="K25" s="43"/>
      <x:c r="L25" s="43"/>
    </x:row>
    <x:row r="26" ht="42" customHeight="1">
      <x:c r="A26" s="45" t="str">
        <x:v>符文/6元礼包</x:v>
      </x:c>
      <x:c r="B26" s="45" t="str">
        <x:v>星辉秘契</x:v>
      </x:c>
      <x:c r="C26" s="67" t="n">
        <x:v>2</x:v>
      </x:c>
      <x:c r="D26" s="67" t="n">
        <x:v>280</x:v>
      </x:c>
      <x:c r="E26" s="67" t="str"/>
      <x:c r="F26" s="67" t="n">
        <x:f>IF(AND(ISNUMBER(C26),ISNUMBER(D26)),C26*D26,"待补")</x:f>
        <x:v>560</x:v>
      </x:c>
      <x:c r="G26" s="45" t="str">
        <x:v>统一道具字典</x:v>
      </x:c>
      <x:c r="H26" s="45" t="str"/>
      <x:c r="I26" s="45" t="str">
        <x:v>主/冲刺活动!第117行</x:v>
      </x:c>
      <x:c r="J26" s="45" t="str">
        <x:v>统一字典优先</x:v>
      </x:c>
      <x:c r="K26" s="43"/>
      <x:c r="L26" s="43"/>
    </x:row>
    <x:row r="27" ht="42" customHeight="1">
      <x:c r="A27" s="45" t="str">
        <x:v>符文/钻石礼包</x:v>
      </x:c>
      <x:c r="B27" s="45" t="str">
        <x:v>星辉秘契</x:v>
      </x:c>
      <x:c r="C27" s="67" t="n">
        <x:v>8</x:v>
      </x:c>
      <x:c r="D27" s="67" t="n">
        <x:v>280</x:v>
      </x:c>
      <x:c r="E27" s="67" t="str"/>
      <x:c r="F27" s="67" t="n">
        <x:f>IF(AND(ISNUMBER(C27),ISNUMBER(D27)),C27*D27,"待补")</x:f>
        <x:v>2240</x:v>
      </x:c>
      <x:c r="G27" s="45" t="str">
        <x:v>统一道具字典</x:v>
      </x:c>
      <x:c r="H27" s="45" t="str"/>
      <x:c r="I27" s="45" t="str">
        <x:v>主/冲刺活动!第118行</x:v>
      </x:c>
      <x:c r="J27" s="45" t="str">
        <x:v>统一字典优先</x:v>
      </x:c>
      <x:c r="K27" s="43"/>
      <x:c r="L27" s="43"/>
    </x:row>
    <x:row r="28" ht="42" customHeight="1">
      <x:c r="A28" s="45" t="str">
        <x:v>符文/30元礼包</x:v>
      </x:c>
      <x:c r="B28" s="45" t="str">
        <x:v>钻石</x:v>
      </x:c>
      <x:c r="C28" s="67" t="n">
        <x:v>300</x:v>
      </x:c>
      <x:c r="D28" s="67" t="n">
        <x:v>1</x:v>
      </x:c>
      <x:c r="E28" s="67" t="str"/>
      <x:c r="F28" s="67" t="n">
        <x:f>IF(AND(ISNUMBER(C28),ISNUMBER(D28)),C28*D28,"待补")</x:f>
        <x:v>300</x:v>
      </x:c>
      <x:c r="G28" s="45" t="str">
        <x:v>统一道具字典</x:v>
      </x:c>
      <x:c r="H28" s="45" t="str"/>
      <x:c r="I28" s="45" t="str">
        <x:v>主/冲刺活动!第119行</x:v>
      </x:c>
      <x:c r="J28" s="45" t="str">
        <x:v>统一字典优先</x:v>
      </x:c>
      <x:c r="K28" s="43"/>
      <x:c r="L28" s="43"/>
    </x:row>
    <x:row r="29" ht="42" customHeight="1">
      <x:c r="A29" s="45" t="str">
        <x:v>符文/30元礼包</x:v>
      </x:c>
      <x:c r="B29" s="45" t="str">
        <x:v>星辉秘契</x:v>
      </x:c>
      <x:c r="C29" s="67" t="n">
        <x:v>5</x:v>
      </x:c>
      <x:c r="D29" s="67" t="n">
        <x:v>280</x:v>
      </x:c>
      <x:c r="E29" s="67" t="str"/>
      <x:c r="F29" s="67" t="n">
        <x:f>IF(AND(ISNUMBER(C29),ISNUMBER(D29)),C29*D29,"待补")</x:f>
        <x:v>1400</x:v>
      </x:c>
      <x:c r="G29" s="45" t="str">
        <x:v>统一道具字典</x:v>
      </x:c>
      <x:c r="H29" s="45" t="str"/>
      <x:c r="I29" s="45" t="str">
        <x:v>主/冲刺活动!第119行</x:v>
      </x:c>
      <x:c r="J29" s="45" t="str">
        <x:v>统一字典优先</x:v>
      </x:c>
      <x:c r="K29" s="43"/>
      <x:c r="L29" s="43"/>
    </x:row>
    <x:row r="30" ht="42" customHeight="1">
      <x:c r="A30" s="45" t="str">
        <x:v>符文/钻石礼包</x:v>
      </x:c>
      <x:c r="B30" s="45" t="str">
        <x:v>星辉秘契</x:v>
      </x:c>
      <x:c r="C30" s="67" t="n">
        <x:v>12</x:v>
      </x:c>
      <x:c r="D30" s="67" t="n">
        <x:v>280</x:v>
      </x:c>
      <x:c r="E30" s="67" t="str"/>
      <x:c r="F30" s="67" t="n">
        <x:f>IF(AND(ISNUMBER(C30),ISNUMBER(D30)),C30*D30,"待补")</x:f>
        <x:v>3360</x:v>
      </x:c>
      <x:c r="G30" s="45" t="str">
        <x:v>统一道具字典</x:v>
      </x:c>
      <x:c r="H30" s="45" t="str"/>
      <x:c r="I30" s="45" t="str">
        <x:v>主/冲刺活动!第120行</x:v>
      </x:c>
      <x:c r="J30" s="45" t="str">
        <x:v>统一字典优先</x:v>
      </x:c>
      <x:c r="K30" s="43"/>
      <x:c r="L30" s="43"/>
    </x:row>
    <x:row r="31" ht="42" customHeight="1">
      <x:c r="A31" s="45" t="str">
        <x:v>符文/钻石礼包</x:v>
      </x:c>
      <x:c r="B31" s="45" t="str">
        <x:v>幻梦晶核</x:v>
      </x:c>
      <x:c r="C31" s="67" t="n">
        <x:v>12</x:v>
      </x:c>
      <x:c r="D31" s="67" t="n">
        <x:v>60</x:v>
      </x:c>
      <x:c r="E31" s="67" t="str"/>
      <x:c r="F31" s="67" t="n">
        <x:f>IF(AND(ISNUMBER(C31),ISNUMBER(D31)),C31*D31,"待补")</x:f>
        <x:v>720</x:v>
      </x:c>
      <x:c r="G31" s="45" t="str">
        <x:v>统一道具字典</x:v>
      </x:c>
      <x:c r="H31" s="45" t="str"/>
      <x:c r="I31" s="45" t="str">
        <x:v>主/冲刺活动!第120行</x:v>
      </x:c>
      <x:c r="J31" s="45" t="str">
        <x:v>统一字典优先</x:v>
      </x:c>
      <x:c r="K31" s="43"/>
      <x:c r="L31" s="43"/>
    </x:row>
    <x:row r="32" ht="42" customHeight="1">
      <x:c r="A32" s="45" t="str">
        <x:v>符文/钻石礼包</x:v>
      </x:c>
      <x:c r="B32" s="45" t="str">
        <x:v>星辉秘契</x:v>
      </x:c>
      <x:c r="C32" s="67" t="n">
        <x:v>16</x:v>
      </x:c>
      <x:c r="D32" s="67" t="n">
        <x:v>280</x:v>
      </x:c>
      <x:c r="E32" s="67" t="str"/>
      <x:c r="F32" s="67" t="n">
        <x:f>IF(AND(ISNUMBER(C32),ISNUMBER(D32)),C32*D32,"待补")</x:f>
        <x:v>4480</x:v>
      </x:c>
      <x:c r="G32" s="45" t="str">
        <x:v>统一道具字典</x:v>
      </x:c>
      <x:c r="H32" s="45" t="str"/>
      <x:c r="I32" s="45" t="str">
        <x:v>主/冲刺活动!第121行</x:v>
      </x:c>
      <x:c r="J32" s="45" t="str">
        <x:v>统一字典优先</x:v>
      </x:c>
      <x:c r="K32" s="43"/>
      <x:c r="L32" s="43"/>
    </x:row>
    <x:row r="33" ht="42" customHeight="1">
      <x:c r="A33" s="45" t="str">
        <x:v>符文/钻石礼包</x:v>
      </x:c>
      <x:c r="B33" s="45" t="str">
        <x:v>幻梦晶核</x:v>
      </x:c>
      <x:c r="C33" s="67" t="n">
        <x:v>24</x:v>
      </x:c>
      <x:c r="D33" s="67" t="n">
        <x:v>60</x:v>
      </x:c>
      <x:c r="E33" s="67" t="str"/>
      <x:c r="F33" s="67" t="n">
        <x:f>IF(AND(ISNUMBER(C33),ISNUMBER(D33)),C33*D33,"待补")</x:f>
        <x:v>1440</x:v>
      </x:c>
      <x:c r="G33" s="45" t="str">
        <x:v>统一道具字典</x:v>
      </x:c>
      <x:c r="H33" s="45" t="str"/>
      <x:c r="I33" s="45" t="str">
        <x:v>主/冲刺活动!第121行</x:v>
      </x:c>
      <x:c r="J33" s="45" t="str">
        <x:v>统一字典优先</x:v>
      </x:c>
      <x:c r="K33" s="43"/>
      <x:c r="L33" s="43"/>
    </x:row>
    <x:row r="34" ht="42" customHeight="1">
      <x:c r="A34" s="45" t="str">
        <x:v>符文/328元礼包</x:v>
      </x:c>
      <x:c r="B34" s="45" t="str">
        <x:v>钻石</x:v>
      </x:c>
      <x:c r="C34" s="67" t="n">
        <x:v>3280</x:v>
      </x:c>
      <x:c r="D34" s="67" t="n">
        <x:v>1</x:v>
      </x:c>
      <x:c r="E34" s="67" t="str"/>
      <x:c r="F34" s="67" t="n">
        <x:f>IF(AND(ISNUMBER(C34),ISNUMBER(D34)),C34*D34,"待补")</x:f>
        <x:v>3280</x:v>
      </x:c>
      <x:c r="G34" s="45" t="str">
        <x:v>统一道具字典</x:v>
      </x:c>
      <x:c r="H34" s="45" t="str"/>
      <x:c r="I34" s="45" t="str">
        <x:v>主/冲刺活动!第122行</x:v>
      </x:c>
      <x:c r="J34" s="45" t="str">
        <x:v>统一字典优先</x:v>
      </x:c>
      <x:c r="K34" s="43"/>
      <x:c r="L34" s="43"/>
    </x:row>
    <x:row r="35" ht="42" customHeight="1">
      <x:c r="A35" s="45" t="str">
        <x:v>符文/328元礼包</x:v>
      </x:c>
      <x:c r="B35" s="45" t="str">
        <x:v>星辉秘契</x:v>
      </x:c>
      <x:c r="C35" s="67" t="n">
        <x:v>18</x:v>
      </x:c>
      <x:c r="D35" s="67" t="n">
        <x:v>280</x:v>
      </x:c>
      <x:c r="E35" s="67" t="str"/>
      <x:c r="F35" s="67" t="n">
        <x:f>IF(AND(ISNUMBER(C35),ISNUMBER(D35)),C35*D35,"待补")</x:f>
        <x:v>5040</x:v>
      </x:c>
      <x:c r="G35" s="45" t="str">
        <x:v>统一道具字典</x:v>
      </x:c>
      <x:c r="H35" s="45" t="str"/>
      <x:c r="I35" s="45" t="str">
        <x:v>主/冲刺活动!第122行</x:v>
      </x:c>
      <x:c r="J35" s="45" t="str">
        <x:v>统一字典优先</x:v>
      </x:c>
      <x:c r="K35" s="43"/>
      <x:c r="L35" s="43"/>
    </x:row>
    <x:row r="36" ht="42" customHeight="1">
      <x:c r="A36" s="45" t="str">
        <x:v>符文/钻石礼包</x:v>
      </x:c>
      <x:c r="B36" s="45" t="str">
        <x:v>星辉秘契</x:v>
      </x:c>
      <x:c r="C36" s="67" t="n">
        <x:v>30</x:v>
      </x:c>
      <x:c r="D36" s="67" t="n">
        <x:v>280</x:v>
      </x:c>
      <x:c r="E36" s="67" t="str"/>
      <x:c r="F36" s="67" t="n">
        <x:f>IF(AND(ISNUMBER(C36),ISNUMBER(D36)),C36*D36,"待补")</x:f>
        <x:v>8400</x:v>
      </x:c>
      <x:c r="G36" s="45" t="str">
        <x:v>统一道具字典</x:v>
      </x:c>
      <x:c r="H36" s="45" t="str"/>
      <x:c r="I36" s="45" t="str">
        <x:v>主/冲刺活动!第123行</x:v>
      </x:c>
      <x:c r="J36" s="45" t="str">
        <x:v>统一字典优先</x:v>
      </x:c>
      <x:c r="K36" s="43"/>
      <x:c r="L36" s="43"/>
    </x:row>
    <x:row r="37" ht="42" customHeight="1">
      <x:c r="A37" s="45" t="str">
        <x:v>符文/钻石礼包</x:v>
      </x:c>
      <x:c r="B37" s="45" t="str">
        <x:v>幻梦晶核</x:v>
      </x:c>
      <x:c r="C37" s="67" t="n">
        <x:v>36</x:v>
      </x:c>
      <x:c r="D37" s="67" t="n">
        <x:v>60</x:v>
      </x:c>
      <x:c r="E37" s="67" t="str"/>
      <x:c r="F37" s="67" t="n">
        <x:f>IF(AND(ISNUMBER(C37),ISNUMBER(D37)),C37*D37,"待补")</x:f>
        <x:v>2160</x:v>
      </x:c>
      <x:c r="G37" s="45" t="str">
        <x:v>统一道具字典</x:v>
      </x:c>
      <x:c r="H37" s="45" t="str"/>
      <x:c r="I37" s="45" t="str">
        <x:v>主/冲刺活动!第123行</x:v>
      </x:c>
      <x:c r="J37" s="45" t="str">
        <x:v>统一字典优先</x:v>
      </x:c>
      <x:c r="K37" s="43"/>
      <x:c r="L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</x:row>
    <x:row r="40">
      <x:c r="A40" s="65" t="str">
        <x:v>活动节点与最终大奖判定</x:v>
      </x:c>
      <x:c r="B40" s="65"/>
      <x:c r="C40" s="65"/>
      <x:c r="D40" s="65"/>
      <x:c r="E40" s="65"/>
      <x:c r="F40" s="65"/>
      <x:c r="G40" s="43"/>
      <x:c r="H40" s="43"/>
      <x:c r="I40" s="43"/>
      <x:c r="J40" s="43"/>
      <x:c r="K40" s="43"/>
      <x:c r="L40" s="43"/>
    </x:row>
    <x:row r="41" ht="42" customHeight="1">
      <x:c r="A41" s="44" t="str">
        <x:v>轮次/节点</x:v>
      </x:c>
      <x:c r="B41" s="44" t="str">
        <x:v>节点类型</x:v>
      </x:c>
      <x:c r="C41" s="44" t="str">
        <x:v>阈值</x:v>
      </x:c>
      <x:c r="D41" s="44" t="str">
        <x:v>奖励</x:v>
      </x:c>
      <x:c r="E41" s="44" t="str">
        <x:v>到手成本判定</x:v>
      </x:c>
      <x:c r="F41" s="44" t="str">
        <x:v>来源</x:v>
      </x:c>
      <x:c r="G41" s="43"/>
      <x:c r="H41" s="43"/>
      <x:c r="I41" s="43"/>
      <x:c r="J41" s="43"/>
      <x:c r="K41" s="43"/>
      <x:c r="L41" s="43"/>
    </x:row>
    <x:row r="42" ht="42" customHeight="1">
      <x:c r="A42" s="45" t="str">
        <x:v>符文冲刺/第1轮</x:v>
      </x:c>
      <x:c r="B42" s="45" t="str">
        <x:v>进度奖励</x:v>
      </x:c>
      <x:c r="C42" s="45" t="n">
        <x:v>30</x:v>
      </x:c>
      <x:c r="D42" s="45" t="str">
        <x:v>星辉秘契 × 1；金币 × 1000</x:v>
      </x:c>
      <x:c r="E42" s="45" t="str">
        <x:v>阈值非现金成本；不可与同一资源返利重复计价</x:v>
      </x:c>
      <x:c r="F42" s="45" t="str">
        <x:v>主/冲刺活动!第77行</x:v>
      </x:c>
      <x:c r="G42" s="43"/>
      <x:c r="H42" s="43"/>
      <x:c r="I42" s="43"/>
      <x:c r="J42" s="43"/>
      <x:c r="K42" s="43"/>
      <x:c r="L42" s="43"/>
    </x:row>
    <x:row r="43" ht="42" customHeight="1">
      <x:c r="A43" s="45" t="str">
        <x:v>符文冲刺/第1轮</x:v>
      </x:c>
      <x:c r="B43" s="45" t="str">
        <x:v>进度奖励</x:v>
      </x:c>
      <x:c r="C43" s="45" t="n">
        <x:v>60</x:v>
      </x:c>
      <x:c r="D43" s="45" t="str">
        <x:v>星辉秘契 × 1；金币 × 1000</x:v>
      </x:c>
      <x:c r="E43" s="45" t="str">
        <x:v>阈值非现金成本；不可与同一资源返利重复计价</x:v>
      </x:c>
      <x:c r="F43" s="45" t="str">
        <x:v>主/冲刺活动!第78行</x:v>
      </x:c>
      <x:c r="G43" s="43"/>
      <x:c r="H43" s="43"/>
      <x:c r="I43" s="43"/>
      <x:c r="J43" s="43"/>
      <x:c r="K43" s="43"/>
      <x:c r="L43" s="43"/>
    </x:row>
    <x:row r="44" ht="42" customHeight="1">
      <x:c r="A44" s="45" t="str">
        <x:v>符文冲刺/第1轮</x:v>
      </x:c>
      <x:c r="B44" s="45" t="str">
        <x:v>进度奖励</x:v>
      </x:c>
      <x:c r="C44" s="45" t="n">
        <x:v>100</x:v>
      </x:c>
      <x:c r="D44" s="45" t="str">
        <x:v>星辉秘契 × 1；金币 × 1000</x:v>
      </x:c>
      <x:c r="E44" s="45" t="str">
        <x:v>阈值非现金成本；不可与同一资源返利重复计价</x:v>
      </x:c>
      <x:c r="F44" s="45" t="str">
        <x:v>主/冲刺活动!第79行</x:v>
      </x:c>
      <x:c r="G44" s="43"/>
      <x:c r="H44" s="43"/>
      <x:c r="I44" s="43"/>
      <x:c r="J44" s="43"/>
      <x:c r="K44" s="43"/>
      <x:c r="L44" s="43"/>
    </x:row>
    <x:row r="45" ht="42" customHeight="1">
      <x:c r="A45" s="45" t="str">
        <x:v>符文冲刺/第1轮</x:v>
      </x:c>
      <x:c r="B45" s="45" t="str">
        <x:v>进度奖励</x:v>
      </x:c>
      <x:c r="C45" s="45" t="n">
        <x:v>160</x:v>
      </x:c>
      <x:c r="D45" s="45" t="str">
        <x:v>星辉秘契 × 2；金币 × 2000</x:v>
      </x:c>
      <x:c r="E45" s="45" t="str">
        <x:v>阈值非现金成本；不可与同一资源返利重复计价</x:v>
      </x:c>
      <x:c r="F45" s="45" t="str">
        <x:v>主/冲刺活动!第80行</x:v>
      </x:c>
      <x:c r="G45" s="43"/>
      <x:c r="H45" s="43"/>
      <x:c r="I45" s="43"/>
      <x:c r="J45" s="43"/>
      <x:c r="K45" s="43"/>
      <x:c r="L45" s="43"/>
    </x:row>
    <x:row r="46" ht="42" customHeight="1">
      <x:c r="A46" s="45" t="str">
        <x:v>符文冲刺/第1轮</x:v>
      </x:c>
      <x:c r="B46" s="45" t="str">
        <x:v>进度奖励</x:v>
      </x:c>
      <x:c r="C46" s="45" t="n">
        <x:v>220</x:v>
      </x:c>
      <x:c r="D46" s="45" t="str">
        <x:v>星辉秘契 × 2；金币 × 2000</x:v>
      </x:c>
      <x:c r="E46" s="45" t="str">
        <x:v>阈值非现金成本；不可与同一资源返利重复计价</x:v>
      </x:c>
      <x:c r="F46" s="45" t="str">
        <x:v>主/冲刺活动!第81行</x:v>
      </x:c>
      <x:c r="G46" s="43"/>
      <x:c r="H46" s="43"/>
      <x:c r="I46" s="43"/>
      <x:c r="J46" s="43"/>
      <x:c r="K46" s="43"/>
      <x:c r="L46" s="43"/>
    </x:row>
    <x:row r="47" ht="42" customHeight="1">
      <x:c r="A47" s="45" t="str">
        <x:v>符文冲刺/第1轮</x:v>
      </x:c>
      <x:c r="B47" s="45" t="str">
        <x:v>进度奖励</x:v>
      </x:c>
      <x:c r="C47" s="45" t="n">
        <x:v>300</x:v>
      </x:c>
      <x:c r="D47" s="45" t="str">
        <x:v>星辉秘契 × 2；金币 × 2000</x:v>
      </x:c>
      <x:c r="E47" s="45" t="str">
        <x:v>阈值非现金成本；不可与同一资源返利重复计价</x:v>
      </x:c>
      <x:c r="F47" s="45" t="str">
        <x:v>主/冲刺活动!第82行</x:v>
      </x:c>
      <x:c r="G47" s="43"/>
      <x:c r="H47" s="43"/>
      <x:c r="I47" s="43"/>
      <x:c r="J47" s="43"/>
      <x:c r="K47" s="43"/>
      <x:c r="L47" s="43"/>
    </x:row>
    <x:row r="48" ht="42" customHeight="1">
      <x:c r="A48" s="45" t="str">
        <x:v>符文冲刺/第2轮</x:v>
      </x:c>
      <x:c r="B48" s="45" t="str">
        <x:v>进度奖励</x:v>
      </x:c>
      <x:c r="C48" s="45" t="n">
        <x:v>60</x:v>
      </x:c>
      <x:c r="D48" s="45" t="str">
        <x:v>星辉秘契 × 1；金币 × 1000</x:v>
      </x:c>
      <x:c r="E48" s="45" t="str">
        <x:v>阈值非现金成本；不可与同一资源返利重复计价</x:v>
      </x:c>
      <x:c r="F48" s="45" t="str">
        <x:v>主/冲刺活动!第86行</x:v>
      </x:c>
      <x:c r="G48" s="43"/>
      <x:c r="H48" s="43"/>
      <x:c r="I48" s="43"/>
      <x:c r="J48" s="43"/>
      <x:c r="K48" s="43"/>
      <x:c r="L48" s="43"/>
    </x:row>
    <x:row r="49" ht="42" customHeight="1">
      <x:c r="A49" s="45" t="str">
        <x:v>符文冲刺/第2轮</x:v>
      </x:c>
      <x:c r="B49" s="45" t="str">
        <x:v>进度奖励</x:v>
      </x:c>
      <x:c r="C49" s="45" t="n">
        <x:v>120</x:v>
      </x:c>
      <x:c r="D49" s="45" t="str">
        <x:v>星辉秘契 × 1；金币 × 1000</x:v>
      </x:c>
      <x:c r="E49" s="45" t="str">
        <x:v>阈值非现金成本；不可与同一资源返利重复计价</x:v>
      </x:c>
      <x:c r="F49" s="45" t="str">
        <x:v>主/冲刺活动!第87行</x:v>
      </x:c>
      <x:c r="G49" s="43"/>
      <x:c r="H49" s="43"/>
      <x:c r="I49" s="43"/>
      <x:c r="J49" s="43"/>
      <x:c r="K49" s="43"/>
      <x:c r="L49" s="43"/>
    </x:row>
    <x:row r="50" ht="42" customHeight="1">
      <x:c r="A50" s="45" t="str">
        <x:v>符文冲刺/第2轮</x:v>
      </x:c>
      <x:c r="B50" s="45" t="str">
        <x:v>进度奖励</x:v>
      </x:c>
      <x:c r="C50" s="45" t="n">
        <x:v>200</x:v>
      </x:c>
      <x:c r="D50" s="45" t="str">
        <x:v>星辉秘契 × 1；金币 × 1000</x:v>
      </x:c>
      <x:c r="E50" s="45" t="str">
        <x:v>阈值非现金成本；不可与同一资源返利重复计价</x:v>
      </x:c>
      <x:c r="F50" s="45" t="str">
        <x:v>主/冲刺活动!第88行</x:v>
      </x:c>
      <x:c r="G50" s="43"/>
      <x:c r="H50" s="43"/>
      <x:c r="I50" s="43"/>
      <x:c r="J50" s="43"/>
      <x:c r="K50" s="43"/>
      <x:c r="L50" s="43"/>
    </x:row>
    <x:row r="51" ht="42" customHeight="1">
      <x:c r="A51" s="45" t="str">
        <x:v>符文冲刺/第2轮</x:v>
      </x:c>
      <x:c r="B51" s="45" t="str">
        <x:v>进度奖励</x:v>
      </x:c>
      <x:c r="C51" s="45" t="n">
        <x:v>300</x:v>
      </x:c>
      <x:c r="D51" s="45" t="str">
        <x:v>星辉秘契 × 2；金币 × 2000</x:v>
      </x:c>
      <x:c r="E51" s="45" t="str">
        <x:v>阈值非现金成本；不可与同一资源返利重复计价</x:v>
      </x:c>
      <x:c r="F51" s="45" t="str">
        <x:v>主/冲刺活动!第89行</x:v>
      </x:c>
      <x:c r="G51" s="43"/>
      <x:c r="H51" s="43"/>
      <x:c r="I51" s="43"/>
      <x:c r="J51" s="43"/>
      <x:c r="K51" s="43"/>
      <x:c r="L51" s="43"/>
    </x:row>
    <x:row r="52" ht="42" customHeight="1">
      <x:c r="A52" s="45" t="str">
        <x:v>符文冲刺/第2轮</x:v>
      </x:c>
      <x:c r="B52" s="45" t="str">
        <x:v>进度奖励</x:v>
      </x:c>
      <x:c r="C52" s="45" t="n">
        <x:v>400</x:v>
      </x:c>
      <x:c r="D52" s="45" t="str">
        <x:v>星辉秘契 × 2；金币 × 2000</x:v>
      </x:c>
      <x:c r="E52" s="45" t="str">
        <x:v>阈值非现金成本；不可与同一资源返利重复计价</x:v>
      </x:c>
      <x:c r="F52" s="45" t="str">
        <x:v>主/冲刺活动!第90行</x:v>
      </x:c>
      <x:c r="G52" s="43"/>
      <x:c r="H52" s="43"/>
      <x:c r="I52" s="43"/>
      <x:c r="J52" s="43"/>
      <x:c r="K52" s="43"/>
      <x:c r="L52" s="43"/>
    </x:row>
    <x:row r="53" ht="42" customHeight="1">
      <x:c r="A53" s="45" t="str">
        <x:v>符文冲刺/第2轮</x:v>
      </x:c>
      <x:c r="B53" s="45" t="str">
        <x:v>进度奖励</x:v>
      </x:c>
      <x:c r="C53" s="45" t="n">
        <x:v>500</x:v>
      </x:c>
      <x:c r="D53" s="45" t="str">
        <x:v>星辉秘契 × 2；金币 × 2000</x:v>
      </x:c>
      <x:c r="E53" s="45" t="str">
        <x:v>阈值非现金成本；不可与同一资源返利重复计价</x:v>
      </x:c>
      <x:c r="F53" s="45" t="str">
        <x:v>主/冲刺活动!第91行</x:v>
      </x:c>
      <x:c r="G53" s="43"/>
      <x:c r="H53" s="43"/>
      <x:c r="I53" s="43"/>
      <x:c r="J53" s="43"/>
      <x:c r="K53" s="43"/>
      <x:c r="L53" s="43"/>
    </x:row>
    <x:row r="54" ht="42" customHeight="1">
      <x:c r="A54" s="45" t="str">
        <x:v>符文冲刺/第3轮</x:v>
      </x:c>
      <x:c r="B54" s="45" t="str">
        <x:v>进度奖励</x:v>
      </x:c>
      <x:c r="C54" s="45" t="n">
        <x:v>100</x:v>
      </x:c>
      <x:c r="D54" s="45" t="str">
        <x:v>星辉秘契 × 2；金币 × 1000</x:v>
      </x:c>
      <x:c r="E54" s="45" t="str">
        <x:v>阈值非现金成本；不可与同一资源返利重复计价</x:v>
      </x:c>
      <x:c r="F54" s="45" t="str">
        <x:v>主/冲刺活动!第95行</x:v>
      </x:c>
      <x:c r="G54" s="43"/>
      <x:c r="H54" s="43"/>
      <x:c r="I54" s="43"/>
      <x:c r="J54" s="43"/>
      <x:c r="K54" s="43"/>
      <x:c r="L54" s="43"/>
    </x:row>
    <x:row r="55" ht="42" customHeight="1">
      <x:c r="A55" s="45" t="str">
        <x:v>符文冲刺/第3轮</x:v>
      </x:c>
      <x:c r="B55" s="45" t="str">
        <x:v>进度奖励</x:v>
      </x:c>
      <x:c r="C55" s="45" t="n">
        <x:v>200</x:v>
      </x:c>
      <x:c r="D55" s="45" t="str">
        <x:v>星辉秘契 × 2；金币 × 1000</x:v>
      </x:c>
      <x:c r="E55" s="45" t="str">
        <x:v>阈值非现金成本；不可与同一资源返利重复计价</x:v>
      </x:c>
      <x:c r="F55" s="45" t="str">
        <x:v>主/冲刺活动!第96行</x:v>
      </x:c>
      <x:c r="G55" s="43"/>
      <x:c r="H55" s="43"/>
      <x:c r="I55" s="43"/>
      <x:c r="J55" s="43"/>
      <x:c r="K55" s="43"/>
      <x:c r="L55" s="43"/>
    </x:row>
    <x:row r="56" ht="42" customHeight="1">
      <x:c r="A56" s="45" t="str">
        <x:v>符文冲刺/第3轮</x:v>
      </x:c>
      <x:c r="B56" s="45" t="str">
        <x:v>进度奖励</x:v>
      </x:c>
      <x:c r="C56" s="45" t="n">
        <x:v>320</x:v>
      </x:c>
      <x:c r="D56" s="45" t="str">
        <x:v>星辉秘契 × 2；金币 × 1000</x:v>
      </x:c>
      <x:c r="E56" s="45" t="str">
        <x:v>阈值非现金成本；不可与同一资源返利重复计价</x:v>
      </x:c>
      <x:c r="F56" s="45" t="str">
        <x:v>主/冲刺活动!第97行</x:v>
      </x:c>
      <x:c r="G56" s="43"/>
      <x:c r="H56" s="43"/>
      <x:c r="I56" s="43"/>
      <x:c r="J56" s="43"/>
      <x:c r="K56" s="43"/>
      <x:c r="L56" s="43"/>
    </x:row>
    <x:row r="57" ht="42" customHeight="1">
      <x:c r="A57" s="45" t="str">
        <x:v>符文冲刺/第3轮</x:v>
      </x:c>
      <x:c r="B57" s="45" t="str">
        <x:v>进度奖励</x:v>
      </x:c>
      <x:c r="C57" s="45" t="n">
        <x:v>450</x:v>
      </x:c>
      <x:c r="D57" s="45" t="str">
        <x:v>星辉秘契 × 3；金币 × 2000</x:v>
      </x:c>
      <x:c r="E57" s="45" t="str">
        <x:v>阈值非现金成本；不可与同一资源返利重复计价</x:v>
      </x:c>
      <x:c r="F57" s="45" t="str">
        <x:v>主/冲刺活动!第98行</x:v>
      </x:c>
      <x:c r="G57" s="43"/>
      <x:c r="H57" s="43"/>
      <x:c r="I57" s="43"/>
      <x:c r="J57" s="43"/>
      <x:c r="K57" s="43"/>
      <x:c r="L57" s="43"/>
    </x:row>
    <x:row r="58" ht="42" customHeight="1">
      <x:c r="A58" s="45" t="str">
        <x:v>符文冲刺/第3轮</x:v>
      </x:c>
      <x:c r="B58" s="45" t="str">
        <x:v>进度奖励</x:v>
      </x:c>
      <x:c r="C58" s="45" t="n">
        <x:v>560</x:v>
      </x:c>
      <x:c r="D58" s="45" t="str">
        <x:v>星辉秘契 × 3；金币 × 2000</x:v>
      </x:c>
      <x:c r="E58" s="45" t="str">
        <x:v>阈值非现金成本；不可与同一资源返利重复计价</x:v>
      </x:c>
      <x:c r="F58" s="45" t="str">
        <x:v>主/冲刺活动!第99行</x:v>
      </x:c>
      <x:c r="G58" s="43"/>
      <x:c r="H58" s="43"/>
      <x:c r="I58" s="43"/>
      <x:c r="J58" s="43"/>
      <x:c r="K58" s="43"/>
      <x:c r="L58" s="43"/>
    </x:row>
    <x:row r="59" ht="42" customHeight="1">
      <x:c r="A59" s="45" t="str">
        <x:v>符文冲刺/第3轮</x:v>
      </x:c>
      <x:c r="B59" s="45" t="str">
        <x:v>进度奖励</x:v>
      </x:c>
      <x:c r="C59" s="45" t="n">
        <x:v>700</x:v>
      </x:c>
      <x:c r="D59" s="45" t="str">
        <x:v>星辉秘契 × 3；金币 × 2000</x:v>
      </x:c>
      <x:c r="E59" s="45" t="str">
        <x:v>阈值非现金成本；不可与同一资源返利重复计价</x:v>
      </x:c>
      <x:c r="F59" s="45" t="str">
        <x:v>主/冲刺活动!第100行</x:v>
      </x:c>
      <x:c r="G59" s="43"/>
      <x:c r="H59" s="43"/>
      <x:c r="I59" s="43"/>
      <x:c r="J59" s="43"/>
      <x:c r="K59" s="43"/>
      <x:c r="L59" s="43"/>
    </x:row>
    <x:row r="60" ht="42" customHeight="1">
      <x:c r="A60" s="45" t="str">
        <x:v>符文冲刺/第4轮</x:v>
      </x:c>
      <x:c r="B60" s="45" t="str">
        <x:v>进度奖励</x:v>
      </x:c>
      <x:c r="C60" s="45" t="n">
        <x:v>120</x:v>
      </x:c>
      <x:c r="D60" s="45" t="str">
        <x:v>星辉秘契 × 2；金币 × 1000</x:v>
      </x:c>
      <x:c r="E60" s="45" t="str">
        <x:v>阈值非现金成本；不可与同一资源返利重复计价</x:v>
      </x:c>
      <x:c r="F60" s="45" t="str">
        <x:v>主/冲刺活动!第104行</x:v>
      </x:c>
      <x:c r="G60" s="43"/>
      <x:c r="H60" s="43"/>
      <x:c r="I60" s="43"/>
      <x:c r="J60" s="43"/>
      <x:c r="K60" s="43"/>
      <x:c r="L60" s="43"/>
    </x:row>
    <x:row r="61" ht="42" customHeight="1">
      <x:c r="A61" s="45" t="str">
        <x:v>符文冲刺/第4轮</x:v>
      </x:c>
      <x:c r="B61" s="45" t="str">
        <x:v>进度奖励</x:v>
      </x:c>
      <x:c r="C61" s="45" t="n">
        <x:v>240</x:v>
      </x:c>
      <x:c r="D61" s="45" t="str">
        <x:v>星辉秘契 × 2；金币 × 1000</x:v>
      </x:c>
      <x:c r="E61" s="45" t="str">
        <x:v>阈值非现金成本；不可与同一资源返利重复计价</x:v>
      </x:c>
      <x:c r="F61" s="45" t="str">
        <x:v>主/冲刺活动!第105行</x:v>
      </x:c>
      <x:c r="G61" s="43"/>
      <x:c r="H61" s="43"/>
      <x:c r="I61" s="43"/>
      <x:c r="J61" s="43"/>
      <x:c r="K61" s="43"/>
      <x:c r="L61" s="43"/>
    </x:row>
    <x:row r="62" ht="42" customHeight="1">
      <x:c r="A62" s="45" t="str">
        <x:v>符文冲刺/第4轮</x:v>
      </x:c>
      <x:c r="B62" s="45" t="str">
        <x:v>进度奖励</x:v>
      </x:c>
      <x:c r="C62" s="45" t="n">
        <x:v>380</x:v>
      </x:c>
      <x:c r="D62" s="45" t="str">
        <x:v>星辉秘契 × 2；金币 × 1000</x:v>
      </x:c>
      <x:c r="E62" s="45" t="str">
        <x:v>阈值非现金成本；不可与同一资源返利重复计价</x:v>
      </x:c>
      <x:c r="F62" s="45" t="str">
        <x:v>主/冲刺活动!第106行</x:v>
      </x:c>
      <x:c r="G62" s="43"/>
      <x:c r="H62" s="43"/>
      <x:c r="I62" s="43"/>
      <x:c r="J62" s="43"/>
      <x:c r="K62" s="43"/>
      <x:c r="L62" s="43"/>
    </x:row>
    <x:row r="63" ht="42" customHeight="1">
      <x:c r="A63" s="45" t="str">
        <x:v>符文冲刺/第4轮</x:v>
      </x:c>
      <x:c r="B63" s="45" t="str">
        <x:v>进度奖励</x:v>
      </x:c>
      <x:c r="C63" s="45" t="n">
        <x:v>560</x:v>
      </x:c>
      <x:c r="D63" s="45" t="str">
        <x:v>星辉秘契 × 3；金币 × 2000</x:v>
      </x:c>
      <x:c r="E63" s="45" t="str">
        <x:v>阈值非现金成本；不可与同一资源返利重复计价</x:v>
      </x:c>
      <x:c r="F63" s="45" t="str">
        <x:v>主/冲刺活动!第107行</x:v>
      </x:c>
      <x:c r="G63" s="43"/>
      <x:c r="H63" s="43"/>
      <x:c r="I63" s="43"/>
      <x:c r="J63" s="43"/>
      <x:c r="K63" s="43"/>
      <x:c r="L63" s="43"/>
    </x:row>
    <x:row r="64" ht="42" customHeight="1">
      <x:c r="A64" s="45" t="str">
        <x:v>符文冲刺/第4轮</x:v>
      </x:c>
      <x:c r="B64" s="45" t="str">
        <x:v>进度奖励</x:v>
      </x:c>
      <x:c r="C64" s="45" t="n">
        <x:v>780</x:v>
      </x:c>
      <x:c r="D64" s="45" t="str">
        <x:v>星辉秘契 × 3；金币 × 2000</x:v>
      </x:c>
      <x:c r="E64" s="45" t="str">
        <x:v>阈值非现金成本；不可与同一资源返利重复计价</x:v>
      </x:c>
      <x:c r="F64" s="45" t="str">
        <x:v>主/冲刺活动!第108行</x:v>
      </x:c>
      <x:c r="G64" s="43"/>
      <x:c r="H64" s="43"/>
      <x:c r="I64" s="43"/>
      <x:c r="J64" s="43"/>
      <x:c r="K64" s="43"/>
      <x:c r="L64" s="43"/>
    </x:row>
    <x:row r="65" ht="42" customHeight="1">
      <x:c r="A65" s="45" t="str">
        <x:v>符文冲刺/第4轮</x:v>
      </x:c>
      <x:c r="B65" s="45" t="str">
        <x:v>进度奖励</x:v>
      </x:c>
      <x:c r="C65" s="45" t="n">
        <x:v>1000</x:v>
      </x:c>
      <x:c r="D65" s="45" t="str">
        <x:v>星辉秘契 × 3；金币 × 2000</x:v>
      </x:c>
      <x:c r="E65" s="45" t="str">
        <x:v>阈值非现金成本；不可与同一资源返利重复计价</x:v>
      </x:c>
      <x:c r="F65" s="45" t="str">
        <x:v>主/冲刺活动!第109行</x:v>
      </x:c>
      <x:c r="G65" s="43"/>
      <x:c r="H65" s="43"/>
      <x:c r="I65" s="43"/>
      <x:c r="J65" s="43"/>
      <x:c r="K65" s="43"/>
      <x:c r="L65" s="43"/>
    </x:row>
  </x:sheetData>
  <x:mergeCells>
    <x:mergeCell ref="A1:L1"/>
    <x:mergeCell ref="A2:L2"/>
    <x:mergeCell ref="A20:J20"/>
    <x:mergeCell ref="A40:F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《梦境护卫队》秘宝冲刺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来源：主/冲刺活动!A1:AC209；路线图!B24:AE24｜进度、轮次、任务、排行分层；排名收益不计入必得折扣；跨服节奏另核｜主方案优先，补充方案不覆盖主方案。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秘宝冲刺</x:v>
      </x:c>
      <x:c r="C4" s="59"/>
      <x:c r="D4" s="57" t="str">
        <x:v>最终大奖条件说明</x:v>
      </x:c>
      <x:c r="E4" s="58" t="str">
        <x:v>阈值是累计消耗或活动积分，排行收益不是保证到手</x:v>
      </x:c>
      <x:c r="F4" s="59"/>
      <x:c r="G4" s="57" t="str">
        <x:v>礼包数</x:v>
      </x:c>
      <x:c r="H4" s="58" t="n">
        <x:v>9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轮次/排行最终奖励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9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44" t="str">
        <x:v>礼包/档位</x:v>
      </x:c>
      <x:c r="B8" s="44" t="str">
        <x:v>支付币种</x:v>
      </x:c>
      <x:c r="C8" s="44" t="str">
        <x:v>标价</x:v>
      </x:c>
      <x:c r="D8" s="44" t="str">
        <x:v>成本折钻</x:v>
      </x:c>
      <x:c r="E8" s="44" t="str">
        <x:v>奖励价值钻</x:v>
      </x:c>
      <x:c r="F8" s="44" t="str">
        <x:v>价值倍率</x:v>
      </x:c>
      <x:c r="G8" s="44" t="str">
        <x:v>重算折数</x:v>
      </x:c>
      <x:c r="H8" s="44" t="str">
        <x:v>原标注折数</x:v>
      </x:c>
      <x:c r="I8" s="44" t="str">
        <x:v>主要到手标的物</x:v>
      </x:c>
      <x:c r="J8" s="44" t="str">
        <x:v>限购</x:v>
      </x:c>
      <x:c r="K8" s="44" t="str">
        <x:v>到手判断</x:v>
      </x:c>
      <x:c r="L8" s="44" t="str">
        <x:v>来源</x:v>
      </x:c>
    </x:row>
    <x:row r="9" ht="42" customHeight="1">
      <x:c r="A9" s="45" t="str">
        <x:v>秘宝/每日免费礼包</x:v>
      </x:c>
      <x:c r="B9" s="45" t="str">
        <x:v>钻石</x:v>
      </x:c>
      <x:c r="C9" s="45" t="n">
        <x:v>0</x:v>
      </x:c>
      <x:c r="D9" s="67" t="n">
        <x:f>IF(ISNUMBER(C9),C9,"待核")</x:f>
        <x:v>0</x:v>
      </x:c>
      <x:c r="E9" s="67" t="n">
        <x:v>90</x:v>
      </x:c>
      <x:c r="F9" s="67" t="str">
        <x:f>IF(AND(ISNUMBER(D9),ISNUMBER(E9),D9&gt;0),E9/D9,"待核")</x:f>
        <x:v>待核</x:v>
      </x:c>
      <x:c r="G9" s="63" t="n">
        <x:f>IF(AND(ISNUMBER(D9),ISNUMBER(E9),E9&gt;0),D9/E9*10,"待核")</x:f>
        <x:v>0</x:v>
      </x:c>
      <x:c r="H9" s="45"/>
      <x:c r="I9" s="45" t="str">
        <x:v>欧气补给袋×1</x:v>
      </x:c>
      <x:c r="J9" s="45" t="n">
        <x:v>1</x:v>
      </x:c>
      <x:c r="K9" s="45" t="str">
        <x:v>明细规划</x:v>
      </x:c>
      <x:c r="L9" s="45" t="str">
        <x:v>主/冲刺活动!第185行</x:v>
      </x:c>
    </x:row>
    <x:row r="10" ht="42" customHeight="1">
      <x:c r="A10" s="45" t="str">
        <x:v>秘宝/钻石礼包</x:v>
      </x:c>
      <x:c r="B10" s="45" t="str">
        <x:v>钻石</x:v>
      </x:c>
      <x:c r="C10" s="45" t="n">
        <x:v>168</x:v>
      </x:c>
      <x:c r="D10" s="67" t="n">
        <x:f>IF(ISNUMBER(C10),C10,"待核")</x:f>
        <x:v>168</x:v>
      </x:c>
      <x:c r="E10" s="67" t="n">
        <x:v>960</x:v>
      </x:c>
      <x:c r="F10" s="67" t="n">
        <x:f>IF(AND(ISNUMBER(D10),ISNUMBER(E10),D10&gt;0),E10/D10,"待核")</x:f>
        <x:v>5.714285714285714</x:v>
      </x:c>
      <x:c r="G10" s="63" t="n">
        <x:f>IF(AND(ISNUMBER(D10),ISNUMBER(E10),E10&gt;0),D10/E10*10,"待核")</x:f>
        <x:v>1.75</x:v>
      </x:c>
      <x:c r="H10" s="45"/>
      <x:c r="I10" s="45" t="str">
        <x:v>转运石×2000；欧气补给箱×1</x:v>
      </x:c>
      <x:c r="J10" s="45" t="n">
        <x:v>3</x:v>
      </x:c>
      <x:c r="K10" s="45" t="str">
        <x:v>明细规划</x:v>
      </x:c>
      <x:c r="L10" s="45" t="str">
        <x:v>主/冲刺活动!第186行</x:v>
      </x:c>
    </x:row>
    <x:row r="11" ht="42" customHeight="1">
      <x:c r="A11" s="45" t="str">
        <x:v>秘宝/6元礼包</x:v>
      </x:c>
      <x:c r="B11" s="45" t="str">
        <x:v>RMB</x:v>
      </x:c>
      <x:c r="C11" s="45" t="n">
        <x:v>6</x:v>
      </x:c>
      <x:c r="D11" s="67" t="n">
        <x:f>IF(ISNUMBER(C11*10),C11*10,"待核")</x:f>
        <x:v>60</x:v>
      </x:c>
      <x:c r="E11" s="67" t="n">
        <x:v>690</x:v>
      </x:c>
      <x:c r="F11" s="67" t="n">
        <x:f>IF(AND(ISNUMBER(D11),ISNUMBER(E11),D11&gt;0),E11/D11,"待核")</x:f>
        <x:v>11.5</x:v>
      </x:c>
      <x:c r="G11" s="63" t="n">
        <x:f>IF(AND(ISNUMBER(D11),ISNUMBER(E11),E11&gt;0),D11/E11*10,"待核")</x:f>
        <x:v>0.8695652173913043</x:v>
      </x:c>
      <x:c r="H11" s="45"/>
      <x:c r="I11" s="45" t="str">
        <x:v>钻石×60；转运石×1000；欧气补给箱×1</x:v>
      </x:c>
      <x:c r="J11" s="45" t="n">
        <x:v>3</x:v>
      </x:c>
      <x:c r="K11" s="45" t="str">
        <x:v>明细规划</x:v>
      </x:c>
      <x:c r="L11" s="45" t="str">
        <x:v>主/冲刺活动!第187行</x:v>
      </x:c>
    </x:row>
    <x:row r="12" ht="42" customHeight="1">
      <x:c r="A12" s="45" t="str">
        <x:v>秘宝/钻石礼包</x:v>
      </x:c>
      <x:c r="B12" s="45" t="str">
        <x:v>钻石</x:v>
      </x:c>
      <x:c r="C12" s="45" t="n">
        <x:v>528</x:v>
      </x:c>
      <x:c r="D12" s="67" t="n">
        <x:f>IF(ISNUMBER(C12),C12,"待核")</x:f>
        <x:v>528</x:v>
      </x:c>
      <x:c r="E12" s="67" t="n">
        <x:v>1920</x:v>
      </x:c>
      <x:c r="F12" s="67" t="n">
        <x:f>IF(AND(ISNUMBER(D12),ISNUMBER(E12),D12&gt;0),E12/D12,"待核")</x:f>
        <x:v>3.6363636363636362</x:v>
      </x:c>
      <x:c r="G12" s="63" t="n">
        <x:f>IF(AND(ISNUMBER(D12),ISNUMBER(E12),E12&gt;0),D12/E12*10,"待核")</x:f>
        <x:v>2.75</x:v>
      </x:c>
      <x:c r="H12" s="45"/>
      <x:c r="I12" s="45" t="str">
        <x:v>转运石×4000；欧气补给箱×2</x:v>
      </x:c>
      <x:c r="J12" s="45" t="n">
        <x:v>3</x:v>
      </x:c>
      <x:c r="K12" s="45" t="str">
        <x:v>明细规划</x:v>
      </x:c>
      <x:c r="L12" s="45" t="str">
        <x:v>主/冲刺活动!第188行</x:v>
      </x:c>
    </x:row>
    <x:row r="13" ht="42" customHeight="1">
      <x:c r="A13" s="45" t="str">
        <x:v>秘宝/30元礼包</x:v>
      </x:c>
      <x:c r="B13" s="45" t="str">
        <x:v>RMB</x:v>
      </x:c>
      <x:c r="C13" s="45" t="n">
        <x:v>30</x:v>
      </x:c>
      <x:c r="D13" s="67" t="n">
        <x:f>IF(ISNUMBER(C13*10),C13*10,"待核")</x:f>
        <x:v>300</x:v>
      </x:c>
      <x:c r="E13" s="67" t="n">
        <x:v>1807.5</x:v>
      </x:c>
      <x:c r="F13" s="67" t="n">
        <x:f>IF(AND(ISNUMBER(D13),ISNUMBER(E13),D13&gt;0),E13/D13,"待核")</x:f>
        <x:v>6.025</x:v>
      </x:c>
      <x:c r="G13" s="63" t="n">
        <x:f>IF(AND(ISNUMBER(D13),ISNUMBER(E13),E13&gt;0),D13/E13*10,"待核")</x:f>
        <x:v>1.6597510373443982</x:v>
      </x:c>
      <x:c r="H13" s="45"/>
      <x:c r="I13" s="45" t="str">
        <x:v>钻石×300；转运石×2750；欧气补给箱×2</x:v>
      </x:c>
      <x:c r="J13" s="45" t="n">
        <x:v>3</x:v>
      </x:c>
      <x:c r="K13" s="45" t="str">
        <x:v>明细规划</x:v>
      </x:c>
      <x:c r="L13" s="45" t="str">
        <x:v>主/冲刺活动!第189行</x:v>
      </x:c>
    </x:row>
    <x:row r="14" ht="42" customHeight="1">
      <x:c r="A14" s="45" t="str">
        <x:v>秘宝/钻石礼包</x:v>
      </x:c>
      <x:c r="B14" s="45" t="str">
        <x:v>钻石</x:v>
      </x:c>
      <x:c r="C14" s="45" t="n">
        <x:v>1388</x:v>
      </x:c>
      <x:c r="D14" s="67" t="n">
        <x:f>IF(ISNUMBER(C14),C14,"待核")</x:f>
        <x:v>1388</x:v>
      </x:c>
      <x:c r="E14" s="67" t="n">
        <x:v>4860</x:v>
      </x:c>
      <x:c r="F14" s="67" t="n">
        <x:f>IF(AND(ISNUMBER(D14),ISNUMBER(E14),D14&gt;0),E14/D14,"待核")</x:f>
        <x:v>3.5014409221902016</x:v>
      </x:c>
      <x:c r="G14" s="63" t="n">
        <x:f>IF(AND(ISNUMBER(D14),ISNUMBER(E14),E14&gt;0),D14/E14*10,"待核")</x:f>
        <x:v>2.8559670781893005</x:v>
      </x:c>
      <x:c r="H14" s="45"/>
      <x:c r="I14" s="45" t="str">
        <x:v>转运石×12000；欧气补给箱×3</x:v>
      </x:c>
      <x:c r="J14" s="45" t="n">
        <x:v>5</x:v>
      </x:c>
      <x:c r="K14" s="45" t="str">
        <x:v>明细规划</x:v>
      </x:c>
      <x:c r="L14" s="45" t="str">
        <x:v>主/冲刺活动!第190行</x:v>
      </x:c>
    </x:row>
    <x:row r="15" ht="42" customHeight="1">
      <x:c r="A15" s="45" t="str">
        <x:v>秘宝/钻石礼包</x:v>
      </x:c>
      <x:c r="B15" s="45" t="str">
        <x:v>钻石</x:v>
      </x:c>
      <x:c r="C15" s="45" t="n">
        <x:v>2988</x:v>
      </x:c>
      <x:c r="D15" s="67" t="n">
        <x:f>IF(ISNUMBER(C15),C15,"待核")</x:f>
        <x:v>2988</x:v>
      </x:c>
      <x:c r="E15" s="67" t="n">
        <x:v>7800</x:v>
      </x:c>
      <x:c r="F15" s="67" t="n">
        <x:f>IF(AND(ISNUMBER(D15),ISNUMBER(E15),D15&gt;0),E15/D15,"待核")</x:f>
        <x:v>2.610441767068273</x:v>
      </x:c>
      <x:c r="G15" s="63" t="n">
        <x:f>IF(AND(ISNUMBER(D15),ISNUMBER(E15),E15&gt;0),D15/E15*10,"待核")</x:f>
        <x:v>3.830769230769231</x:v>
      </x:c>
      <x:c r="H15" s="45"/>
      <x:c r="I15" s="45" t="str">
        <x:v>转运石×20000；欧气补给箱×4</x:v>
      </x:c>
      <x:c r="J15" s="45" t="n">
        <x:v>5</x:v>
      </x:c>
      <x:c r="K15" s="45" t="str">
        <x:v>明细规划</x:v>
      </x:c>
      <x:c r="L15" s="45" t="str">
        <x:v>主/冲刺活动!第191行</x:v>
      </x:c>
    </x:row>
    <x:row r="16" ht="42" customHeight="1">
      <x:c r="A16" s="45" t="str">
        <x:v>秘宝/328元礼包</x:v>
      </x:c>
      <x:c r="B16" s="45" t="str">
        <x:v>RMB</x:v>
      </x:c>
      <x:c r="C16" s="45" t="n">
        <x:v>328</x:v>
      </x:c>
      <x:c r="D16" s="67" t="n">
        <x:f>IF(ISNUMBER(C16*10),C16*10,"待核")</x:f>
        <x:v>3280</x:v>
      </x:c>
      <x:c r="E16" s="67" t="n">
        <x:v>11380</x:v>
      </x:c>
      <x:c r="F16" s="67" t="n">
        <x:f>IF(AND(ISNUMBER(D16),ISNUMBER(E16),D16&gt;0),E16/D16,"待核")</x:f>
        <x:v>3.4695121951219514</x:v>
      </x:c>
      <x:c r="G16" s="63" t="n">
        <x:f>IF(AND(ISNUMBER(D16),ISNUMBER(E16),E16&gt;0),D16/E16*10,"待核")</x:f>
        <x:v>2.8822495606326886</x:v>
      </x:c>
      <x:c r="H16" s="45"/>
      <x:c r="I16" s="45" t="str">
        <x:v>钻石×3280；转运石×20000；欧气补给箱×5</x:v>
      </x:c>
      <x:c r="J16" s="45" t="n">
        <x:v>3</x:v>
      </x:c>
      <x:c r="K16" s="45" t="str">
        <x:v>明细规划</x:v>
      </x:c>
      <x:c r="L16" s="45" t="str">
        <x:v>主/冲刺活动!第192行</x:v>
      </x:c>
    </x:row>
    <x:row r="17" ht="42" customHeight="1">
      <x:c r="A17" s="45" t="str">
        <x:v>秘宝/钻石礼包</x:v>
      </x:c>
      <x:c r="B17" s="45" t="str">
        <x:v>钻石</x:v>
      </x:c>
      <x:c r="C17" s="45" t="n">
        <x:v>5488</x:v>
      </x:c>
      <x:c r="D17" s="67" t="n">
        <x:f>IF(ISNUMBER(C17),C17,"待核")</x:f>
        <x:v>5488</x:v>
      </x:c>
      <x:c r="E17" s="67" t="n">
        <x:v>11400</x:v>
      </x:c>
      <x:c r="F17" s="67" t="n">
        <x:f>IF(AND(ISNUMBER(D17),ISNUMBER(E17),D17&gt;0),E17/D17,"待核")</x:f>
        <x:v>2.077259475218659</x:v>
      </x:c>
      <x:c r="G17" s="63" t="n">
        <x:f>IF(AND(ISNUMBER(D17),ISNUMBER(E17),E17&gt;0),D17/E17*10,"待核")</x:f>
        <x:v>4.814035087719298</x:v>
      </x:c>
      <x:c r="H17" s="45"/>
      <x:c r="I17" s="45" t="str">
        <x:v>转运石×30000；欧气补给箱×5</x:v>
      </x:c>
      <x:c r="J17" s="45" t="n">
        <x:v>5</x:v>
      </x:c>
      <x:c r="K17" s="45" t="str">
        <x:v>明细规划</x:v>
      </x:c>
      <x:c r="L17" s="45" t="str">
        <x:v>主/冲刺活动!第193行</x:v>
      </x:c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</x:row>
    <x:row r="20">
      <x:c r="A20" s="64" t="str">
        <x:v>奖励明细：数量 × 统一道具单价</x:v>
      </x:c>
      <x:c r="B20" s="64"/>
      <x:c r="C20" s="64"/>
      <x:c r="D20" s="64"/>
      <x:c r="E20" s="64"/>
      <x:c r="F20" s="64"/>
      <x:c r="G20" s="64"/>
      <x:c r="H20" s="64"/>
      <x:c r="I20" s="64"/>
      <x:c r="J20" s="64"/>
      <x:c r="K20" s="43"/>
      <x:c r="L20" s="43"/>
    </x:row>
    <x:row r="21" ht="42" customHeight="1">
      <x:c r="A21" s="44" t="str">
        <x:v>礼包</x:v>
      </x:c>
      <x:c r="B21" s="44" t="str">
        <x:v>标的物</x:v>
      </x:c>
      <x:c r="C21" s="44" t="str">
        <x:v>数量</x:v>
      </x:c>
      <x:c r="D21" s="44" t="str">
        <x:v>统一单价钻</x:v>
      </x:c>
      <x:c r="E21" s="44" t="str">
        <x:v>活动单价钻</x:v>
      </x:c>
      <x:c r="F21" s="44" t="str">
        <x:v>奖励价值钻</x:v>
      </x:c>
      <x:c r="G21" s="44" t="str">
        <x:v>估值依据</x:v>
      </x:c>
      <x:c r="H21" s="44" t="str">
        <x:v>差异/缺失</x:v>
      </x:c>
      <x:c r="I21" s="44" t="str">
        <x:v>来源</x:v>
      </x:c>
      <x:c r="J21" s="44" t="str">
        <x:v>备注</x:v>
      </x:c>
      <x:c r="K21" s="43"/>
      <x:c r="L21" s="43"/>
    </x:row>
    <x:row r="22" ht="42" customHeight="1">
      <x:c r="A22" s="45" t="str">
        <x:v>秘宝/每日免费礼包</x:v>
      </x:c>
      <x:c r="B22" s="45" t="str">
        <x:v>欧气补给袋</x:v>
      </x:c>
      <x:c r="C22" s="67" t="n">
        <x:v>1</x:v>
      </x:c>
      <x:c r="D22" s="67" t="n">
        <x:v>90</x:v>
      </x:c>
      <x:c r="E22" s="67" t="str"/>
      <x:c r="F22" s="67" t="n">
        <x:f>IF(AND(ISNUMBER(C22),ISNUMBER(D22)),C22*D22,"待补")</x:f>
        <x:v>90</x:v>
      </x:c>
      <x:c r="G22" s="45" t="str">
        <x:v>统一道具字典</x:v>
      </x:c>
      <x:c r="H22" s="45" t="str"/>
      <x:c r="I22" s="45" t="str">
        <x:v>主/冲刺活动!第185行</x:v>
      </x:c>
      <x:c r="J22" s="45" t="str">
        <x:v>统一字典优先</x:v>
      </x:c>
      <x:c r="K22" s="43"/>
      <x:c r="L22" s="43"/>
    </x:row>
    <x:row r="23" ht="42" customHeight="1">
      <x:c r="A23" s="45" t="str">
        <x:v>秘宝/钻石礼包</x:v>
      </x:c>
      <x:c r="B23" s="45" t="str">
        <x:v>转运石</x:v>
      </x:c>
      <x:c r="C23" s="67" t="n">
        <x:v>2000</x:v>
      </x:c>
      <x:c r="D23" s="67" t="n">
        <x:v>0.33</x:v>
      </x:c>
      <x:c r="E23" s="67" t="str"/>
      <x:c r="F23" s="67" t="n">
        <x:f>IF(AND(ISNUMBER(C23),ISNUMBER(D23)),C23*D23,"待补")</x:f>
        <x:v>660</x:v>
      </x:c>
      <x:c r="G23" s="45" t="str">
        <x:v>统一道具字典</x:v>
      </x:c>
      <x:c r="H23" s="45" t="str"/>
      <x:c r="I23" s="45" t="str">
        <x:v>主/冲刺活动!第186行</x:v>
      </x:c>
      <x:c r="J23" s="45" t="str">
        <x:v>统一字典优先</x:v>
      </x:c>
      <x:c r="K23" s="43"/>
      <x:c r="L23" s="43"/>
    </x:row>
    <x:row r="24" ht="42" customHeight="1">
      <x:c r="A24" s="45" t="str">
        <x:v>秘宝/钻石礼包</x:v>
      </x:c>
      <x:c r="B24" s="45" t="str">
        <x:v>欧气补给箱</x:v>
      </x:c>
      <x:c r="C24" s="67" t="n">
        <x:v>1</x:v>
      </x:c>
      <x:c r="D24" s="67" t="n">
        <x:v>300</x:v>
      </x:c>
      <x:c r="E24" s="67" t="str"/>
      <x:c r="F24" s="67" t="n">
        <x:f>IF(AND(ISNUMBER(C24),ISNUMBER(D24)),C24*D24,"待补")</x:f>
        <x:v>300</x:v>
      </x:c>
      <x:c r="G24" s="45" t="str">
        <x:v>统一道具字典</x:v>
      </x:c>
      <x:c r="H24" s="45" t="str"/>
      <x:c r="I24" s="45" t="str">
        <x:v>主/冲刺活动!第186行</x:v>
      </x:c>
      <x:c r="J24" s="45" t="str">
        <x:v>统一字典优先</x:v>
      </x:c>
      <x:c r="K24" s="43"/>
      <x:c r="L24" s="43"/>
    </x:row>
    <x:row r="25" ht="42" customHeight="1">
      <x:c r="A25" s="45" t="str">
        <x:v>秘宝/6元礼包</x:v>
      </x:c>
      <x:c r="B25" s="45" t="str">
        <x:v>钻石</x:v>
      </x:c>
      <x:c r="C25" s="67" t="n">
        <x:v>60</x:v>
      </x:c>
      <x:c r="D25" s="67" t="n">
        <x:v>1</x:v>
      </x:c>
      <x:c r="E25" s="67" t="str"/>
      <x:c r="F25" s="67" t="n">
        <x:f>IF(AND(ISNUMBER(C25),ISNUMBER(D25)),C25*D25,"待补")</x:f>
        <x:v>60</x:v>
      </x:c>
      <x:c r="G25" s="45" t="str">
        <x:v>统一道具字典</x:v>
      </x:c>
      <x:c r="H25" s="45" t="str"/>
      <x:c r="I25" s="45" t="str">
        <x:v>主/冲刺活动!第187行</x:v>
      </x:c>
      <x:c r="J25" s="45" t="str">
        <x:v>统一字典优先</x:v>
      </x:c>
      <x:c r="K25" s="43"/>
      <x:c r="L25" s="43"/>
    </x:row>
    <x:row r="26" ht="42" customHeight="1">
      <x:c r="A26" s="45" t="str">
        <x:v>秘宝/6元礼包</x:v>
      </x:c>
      <x:c r="B26" s="45" t="str">
        <x:v>转运石</x:v>
      </x:c>
      <x:c r="C26" s="67" t="n">
        <x:v>1000</x:v>
      </x:c>
      <x:c r="D26" s="67" t="n">
        <x:v>0.33</x:v>
      </x:c>
      <x:c r="E26" s="67" t="str"/>
      <x:c r="F26" s="67" t="n">
        <x:f>IF(AND(ISNUMBER(C26),ISNUMBER(D26)),C26*D26,"待补")</x:f>
        <x:v>330</x:v>
      </x:c>
      <x:c r="G26" s="45" t="str">
        <x:v>统一道具字典</x:v>
      </x:c>
      <x:c r="H26" s="45" t="str"/>
      <x:c r="I26" s="45" t="str">
        <x:v>主/冲刺活动!第187行</x:v>
      </x:c>
      <x:c r="J26" s="45" t="str">
        <x:v>统一字典优先</x:v>
      </x:c>
      <x:c r="K26" s="43"/>
      <x:c r="L26" s="43"/>
    </x:row>
    <x:row r="27" ht="42" customHeight="1">
      <x:c r="A27" s="45" t="str">
        <x:v>秘宝/6元礼包</x:v>
      </x:c>
      <x:c r="B27" s="45" t="str">
        <x:v>欧气补给箱</x:v>
      </x:c>
      <x:c r="C27" s="67" t="n">
        <x:v>1</x:v>
      </x:c>
      <x:c r="D27" s="67" t="n">
        <x:v>300</x:v>
      </x:c>
      <x:c r="E27" s="67" t="str"/>
      <x:c r="F27" s="67" t="n">
        <x:f>IF(AND(ISNUMBER(C27),ISNUMBER(D27)),C27*D27,"待补")</x:f>
        <x:v>300</x:v>
      </x:c>
      <x:c r="G27" s="45" t="str">
        <x:v>统一道具字典</x:v>
      </x:c>
      <x:c r="H27" s="45" t="str"/>
      <x:c r="I27" s="45" t="str">
        <x:v>主/冲刺活动!第187行</x:v>
      </x:c>
      <x:c r="J27" s="45" t="str">
        <x:v>统一字典优先</x:v>
      </x:c>
      <x:c r="K27" s="43"/>
      <x:c r="L27" s="43"/>
    </x:row>
    <x:row r="28" ht="42" customHeight="1">
      <x:c r="A28" s="45" t="str">
        <x:v>秘宝/钻石礼包</x:v>
      </x:c>
      <x:c r="B28" s="45" t="str">
        <x:v>转运石</x:v>
      </x:c>
      <x:c r="C28" s="67" t="n">
        <x:v>4000</x:v>
      </x:c>
      <x:c r="D28" s="67" t="n">
        <x:v>0.33</x:v>
      </x:c>
      <x:c r="E28" s="67" t="str"/>
      <x:c r="F28" s="67" t="n">
        <x:f>IF(AND(ISNUMBER(C28),ISNUMBER(D28)),C28*D28,"待补")</x:f>
        <x:v>1320</x:v>
      </x:c>
      <x:c r="G28" s="45" t="str">
        <x:v>统一道具字典</x:v>
      </x:c>
      <x:c r="H28" s="45" t="str"/>
      <x:c r="I28" s="45" t="str">
        <x:v>主/冲刺活动!第188行</x:v>
      </x:c>
      <x:c r="J28" s="45" t="str">
        <x:v>统一字典优先</x:v>
      </x:c>
      <x:c r="K28" s="43"/>
      <x:c r="L28" s="43"/>
    </x:row>
    <x:row r="29" ht="42" customHeight="1">
      <x:c r="A29" s="45" t="str">
        <x:v>秘宝/钻石礼包</x:v>
      </x:c>
      <x:c r="B29" s="45" t="str">
        <x:v>欧气补给箱</x:v>
      </x:c>
      <x:c r="C29" s="67" t="n">
        <x:v>2</x:v>
      </x:c>
      <x:c r="D29" s="67" t="n">
        <x:v>300</x:v>
      </x:c>
      <x:c r="E29" s="67" t="str"/>
      <x:c r="F29" s="67" t="n">
        <x:f>IF(AND(ISNUMBER(C29),ISNUMBER(D29)),C29*D29,"待补")</x:f>
        <x:v>600</x:v>
      </x:c>
      <x:c r="G29" s="45" t="str">
        <x:v>统一道具字典</x:v>
      </x:c>
      <x:c r="H29" s="45" t="str"/>
      <x:c r="I29" s="45" t="str">
        <x:v>主/冲刺活动!第188行</x:v>
      </x:c>
      <x:c r="J29" s="45" t="str">
        <x:v>统一字典优先</x:v>
      </x:c>
      <x:c r="K29" s="43"/>
      <x:c r="L29" s="43"/>
    </x:row>
    <x:row r="30" ht="42" customHeight="1">
      <x:c r="A30" s="45" t="str">
        <x:v>秘宝/30元礼包</x:v>
      </x:c>
      <x:c r="B30" s="45" t="str">
        <x:v>钻石</x:v>
      </x:c>
      <x:c r="C30" s="67" t="n">
        <x:v>300</x:v>
      </x:c>
      <x:c r="D30" s="67" t="n">
        <x:v>1</x:v>
      </x:c>
      <x:c r="E30" s="67" t="str"/>
      <x:c r="F30" s="67" t="n">
        <x:f>IF(AND(ISNUMBER(C30),ISNUMBER(D30)),C30*D30,"待补")</x:f>
        <x:v>300</x:v>
      </x:c>
      <x:c r="G30" s="45" t="str">
        <x:v>统一道具字典</x:v>
      </x:c>
      <x:c r="H30" s="45" t="str"/>
      <x:c r="I30" s="45" t="str">
        <x:v>主/冲刺活动!第189行</x:v>
      </x:c>
      <x:c r="J30" s="45" t="str">
        <x:v>统一字典优先</x:v>
      </x:c>
      <x:c r="K30" s="43"/>
      <x:c r="L30" s="43"/>
    </x:row>
    <x:row r="31" ht="42" customHeight="1">
      <x:c r="A31" s="45" t="str">
        <x:v>秘宝/30元礼包</x:v>
      </x:c>
      <x:c r="B31" s="45" t="str">
        <x:v>转运石</x:v>
      </x:c>
      <x:c r="C31" s="67" t="n">
        <x:v>2750</x:v>
      </x:c>
      <x:c r="D31" s="67" t="n">
        <x:v>0.33</x:v>
      </x:c>
      <x:c r="E31" s="67" t="str"/>
      <x:c r="F31" s="67" t="n">
        <x:f>IF(AND(ISNUMBER(C31),ISNUMBER(D31)),C31*D31,"待补")</x:f>
        <x:v>907.5</x:v>
      </x:c>
      <x:c r="G31" s="45" t="str">
        <x:v>统一道具字典</x:v>
      </x:c>
      <x:c r="H31" s="45" t="str"/>
      <x:c r="I31" s="45" t="str">
        <x:v>主/冲刺活动!第189行</x:v>
      </x:c>
      <x:c r="J31" s="45" t="str">
        <x:v>统一字典优先</x:v>
      </x:c>
      <x:c r="K31" s="43"/>
      <x:c r="L31" s="43"/>
    </x:row>
    <x:row r="32" ht="42" customHeight="1">
      <x:c r="A32" s="45" t="str">
        <x:v>秘宝/30元礼包</x:v>
      </x:c>
      <x:c r="B32" s="45" t="str">
        <x:v>欧气补给箱</x:v>
      </x:c>
      <x:c r="C32" s="67" t="n">
        <x:v>2</x:v>
      </x:c>
      <x:c r="D32" s="67" t="n">
        <x:v>300</x:v>
      </x:c>
      <x:c r="E32" s="67" t="str"/>
      <x:c r="F32" s="67" t="n">
        <x:f>IF(AND(ISNUMBER(C32),ISNUMBER(D32)),C32*D32,"待补")</x:f>
        <x:v>600</x:v>
      </x:c>
      <x:c r="G32" s="45" t="str">
        <x:v>统一道具字典</x:v>
      </x:c>
      <x:c r="H32" s="45" t="str"/>
      <x:c r="I32" s="45" t="str">
        <x:v>主/冲刺活动!第189行</x:v>
      </x:c>
      <x:c r="J32" s="45" t="str">
        <x:v>统一字典优先</x:v>
      </x:c>
      <x:c r="K32" s="43"/>
      <x:c r="L32" s="43"/>
    </x:row>
    <x:row r="33" ht="42" customHeight="1">
      <x:c r="A33" s="45" t="str">
        <x:v>秘宝/钻石礼包</x:v>
      </x:c>
      <x:c r="B33" s="45" t="str">
        <x:v>转运石</x:v>
      </x:c>
      <x:c r="C33" s="67" t="n">
        <x:v>12000</x:v>
      </x:c>
      <x:c r="D33" s="67" t="n">
        <x:v>0.33</x:v>
      </x:c>
      <x:c r="E33" s="67" t="str"/>
      <x:c r="F33" s="67" t="n">
        <x:f>IF(AND(ISNUMBER(C33),ISNUMBER(D33)),C33*D33,"待补")</x:f>
        <x:v>3960</x:v>
      </x:c>
      <x:c r="G33" s="45" t="str">
        <x:v>统一道具字典</x:v>
      </x:c>
      <x:c r="H33" s="45" t="str"/>
      <x:c r="I33" s="45" t="str">
        <x:v>主/冲刺活动!第190行</x:v>
      </x:c>
      <x:c r="J33" s="45" t="str">
        <x:v>统一字典优先</x:v>
      </x:c>
      <x:c r="K33" s="43"/>
      <x:c r="L33" s="43"/>
    </x:row>
    <x:row r="34" ht="42" customHeight="1">
      <x:c r="A34" s="45" t="str">
        <x:v>秘宝/钻石礼包</x:v>
      </x:c>
      <x:c r="B34" s="45" t="str">
        <x:v>欧气补给箱</x:v>
      </x:c>
      <x:c r="C34" s="67" t="n">
        <x:v>3</x:v>
      </x:c>
      <x:c r="D34" s="67" t="n">
        <x:v>300</x:v>
      </x:c>
      <x:c r="E34" s="67" t="str"/>
      <x:c r="F34" s="67" t="n">
        <x:f>IF(AND(ISNUMBER(C34),ISNUMBER(D34)),C34*D34,"待补")</x:f>
        <x:v>900</x:v>
      </x:c>
      <x:c r="G34" s="45" t="str">
        <x:v>统一道具字典</x:v>
      </x:c>
      <x:c r="H34" s="45" t="str"/>
      <x:c r="I34" s="45" t="str">
        <x:v>主/冲刺活动!第190行</x:v>
      </x:c>
      <x:c r="J34" s="45" t="str">
        <x:v>统一字典优先</x:v>
      </x:c>
      <x:c r="K34" s="43"/>
      <x:c r="L34" s="43"/>
    </x:row>
    <x:row r="35" ht="42" customHeight="1">
      <x:c r="A35" s="45" t="str">
        <x:v>秘宝/钻石礼包</x:v>
      </x:c>
      <x:c r="B35" s="45" t="str">
        <x:v>转运石</x:v>
      </x:c>
      <x:c r="C35" s="67" t="n">
        <x:v>20000</x:v>
      </x:c>
      <x:c r="D35" s="67" t="n">
        <x:v>0.33</x:v>
      </x:c>
      <x:c r="E35" s="67" t="str"/>
      <x:c r="F35" s="67" t="n">
        <x:f>IF(AND(ISNUMBER(C35),ISNUMBER(D35)),C35*D35,"待补")</x:f>
        <x:v>6600</x:v>
      </x:c>
      <x:c r="G35" s="45" t="str">
        <x:v>统一道具字典</x:v>
      </x:c>
      <x:c r="H35" s="45" t="str"/>
      <x:c r="I35" s="45" t="str">
        <x:v>主/冲刺活动!第191行</x:v>
      </x:c>
      <x:c r="J35" s="45" t="str">
        <x:v>统一字典优先</x:v>
      </x:c>
      <x:c r="K35" s="43"/>
      <x:c r="L35" s="43"/>
    </x:row>
    <x:row r="36" ht="42" customHeight="1">
      <x:c r="A36" s="45" t="str">
        <x:v>秘宝/钻石礼包</x:v>
      </x:c>
      <x:c r="B36" s="45" t="str">
        <x:v>欧气补给箱</x:v>
      </x:c>
      <x:c r="C36" s="67" t="n">
        <x:v>4</x:v>
      </x:c>
      <x:c r="D36" s="67" t="n">
        <x:v>300</x:v>
      </x:c>
      <x:c r="E36" s="67" t="str"/>
      <x:c r="F36" s="67" t="n">
        <x:f>IF(AND(ISNUMBER(C36),ISNUMBER(D36)),C36*D36,"待补")</x:f>
        <x:v>1200</x:v>
      </x:c>
      <x:c r="G36" s="45" t="str">
        <x:v>统一道具字典</x:v>
      </x:c>
      <x:c r="H36" s="45" t="str"/>
      <x:c r="I36" s="45" t="str">
        <x:v>主/冲刺活动!第191行</x:v>
      </x:c>
      <x:c r="J36" s="45" t="str">
        <x:v>统一字典优先</x:v>
      </x:c>
      <x:c r="K36" s="43"/>
      <x:c r="L36" s="43"/>
    </x:row>
    <x:row r="37" ht="42" customHeight="1">
      <x:c r="A37" s="45" t="str">
        <x:v>秘宝/328元礼包</x:v>
      </x:c>
      <x:c r="B37" s="45" t="str">
        <x:v>钻石</x:v>
      </x:c>
      <x:c r="C37" s="67" t="n">
        <x:v>3280</x:v>
      </x:c>
      <x:c r="D37" s="67" t="n">
        <x:v>1</x:v>
      </x:c>
      <x:c r="E37" s="67" t="str"/>
      <x:c r="F37" s="67" t="n">
        <x:f>IF(AND(ISNUMBER(C37),ISNUMBER(D37)),C37*D37,"待补")</x:f>
        <x:v>3280</x:v>
      </x:c>
      <x:c r="G37" s="45" t="str">
        <x:v>统一道具字典</x:v>
      </x:c>
      <x:c r="H37" s="45" t="str"/>
      <x:c r="I37" s="45" t="str">
        <x:v>主/冲刺活动!第192行</x:v>
      </x:c>
      <x:c r="J37" s="45" t="str">
        <x:v>统一字典优先</x:v>
      </x:c>
      <x:c r="K37" s="43"/>
      <x:c r="L37" s="43"/>
    </x:row>
    <x:row r="38" ht="42" customHeight="1">
      <x:c r="A38" s="45" t="str">
        <x:v>秘宝/328元礼包</x:v>
      </x:c>
      <x:c r="B38" s="45" t="str">
        <x:v>转运石</x:v>
      </x:c>
      <x:c r="C38" s="67" t="n">
        <x:v>20000</x:v>
      </x:c>
      <x:c r="D38" s="67" t="n">
        <x:v>0.33</x:v>
      </x:c>
      <x:c r="E38" s="67" t="str"/>
      <x:c r="F38" s="67" t="n">
        <x:f>IF(AND(ISNUMBER(C38),ISNUMBER(D38)),C38*D38,"待补")</x:f>
        <x:v>6600</x:v>
      </x:c>
      <x:c r="G38" s="45" t="str">
        <x:v>统一道具字典</x:v>
      </x:c>
      <x:c r="H38" s="45" t="str"/>
      <x:c r="I38" s="45" t="str">
        <x:v>主/冲刺活动!第192行</x:v>
      </x:c>
      <x:c r="J38" s="45" t="str">
        <x:v>统一字典优先</x:v>
      </x:c>
      <x:c r="K38" s="43"/>
      <x:c r="L38" s="43"/>
    </x:row>
    <x:row r="39" ht="42" customHeight="1">
      <x:c r="A39" s="45" t="str">
        <x:v>秘宝/328元礼包</x:v>
      </x:c>
      <x:c r="B39" s="45" t="str">
        <x:v>欧气补给箱</x:v>
      </x:c>
      <x:c r="C39" s="67" t="n">
        <x:v>5</x:v>
      </x:c>
      <x:c r="D39" s="67" t="n">
        <x:v>300</x:v>
      </x:c>
      <x:c r="E39" s="67" t="str"/>
      <x:c r="F39" s="67" t="n">
        <x:f>IF(AND(ISNUMBER(C39),ISNUMBER(D39)),C39*D39,"待补")</x:f>
        <x:v>1500</x:v>
      </x:c>
      <x:c r="G39" s="45" t="str">
        <x:v>统一道具字典</x:v>
      </x:c>
      <x:c r="H39" s="45" t="str"/>
      <x:c r="I39" s="45" t="str">
        <x:v>主/冲刺活动!第192行</x:v>
      </x:c>
      <x:c r="J39" s="45" t="str">
        <x:v>统一字典优先</x:v>
      </x:c>
      <x:c r="K39" s="43"/>
      <x:c r="L39" s="43"/>
    </x:row>
    <x:row r="40" ht="42" customHeight="1">
      <x:c r="A40" s="45" t="str">
        <x:v>秘宝/钻石礼包</x:v>
      </x:c>
      <x:c r="B40" s="45" t="str">
        <x:v>转运石</x:v>
      </x:c>
      <x:c r="C40" s="67" t="n">
        <x:v>30000</x:v>
      </x:c>
      <x:c r="D40" s="67" t="n">
        <x:v>0.33</x:v>
      </x:c>
      <x:c r="E40" s="67" t="str"/>
      <x:c r="F40" s="67" t="n">
        <x:f>IF(AND(ISNUMBER(C40),ISNUMBER(D40)),C40*D40,"待补")</x:f>
        <x:v>9900</x:v>
      </x:c>
      <x:c r="G40" s="45" t="str">
        <x:v>统一道具字典</x:v>
      </x:c>
      <x:c r="H40" s="45" t="str"/>
      <x:c r="I40" s="45" t="str">
        <x:v>主/冲刺活动!第193行</x:v>
      </x:c>
      <x:c r="J40" s="45" t="str">
        <x:v>统一字典优先</x:v>
      </x:c>
      <x:c r="K40" s="43"/>
      <x:c r="L40" s="43"/>
    </x:row>
    <x:row r="41" ht="42" customHeight="1">
      <x:c r="A41" s="45" t="str">
        <x:v>秘宝/钻石礼包</x:v>
      </x:c>
      <x:c r="B41" s="45" t="str">
        <x:v>欧气补给箱</x:v>
      </x:c>
      <x:c r="C41" s="67" t="n">
        <x:v>5</x:v>
      </x:c>
      <x:c r="D41" s="67" t="n">
        <x:v>300</x:v>
      </x:c>
      <x:c r="E41" s="67" t="str"/>
      <x:c r="F41" s="67" t="n">
        <x:f>IF(AND(ISNUMBER(C41),ISNUMBER(D41)),C41*D41,"待补")</x:f>
        <x:v>1500</x:v>
      </x:c>
      <x:c r="G41" s="45" t="str">
        <x:v>统一道具字典</x:v>
      </x:c>
      <x:c r="H41" s="45" t="str"/>
      <x:c r="I41" s="45" t="str">
        <x:v>主/冲刺活动!第193行</x:v>
      </x:c>
      <x:c r="J41" s="45" t="str">
        <x:v>统一字典优先</x:v>
      </x:c>
      <x:c r="K41" s="43"/>
      <x:c r="L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</x:row>
    <x:row r="44">
      <x:c r="A44" s="65" t="str">
        <x:v>活动节点与最终大奖判定</x:v>
      </x:c>
      <x:c r="B44" s="65"/>
      <x:c r="C44" s="65"/>
      <x:c r="D44" s="65"/>
      <x:c r="E44" s="65"/>
      <x:c r="F44" s="65"/>
      <x:c r="G44" s="43"/>
      <x:c r="H44" s="43"/>
      <x:c r="I44" s="43"/>
      <x:c r="J44" s="43"/>
      <x:c r="K44" s="43"/>
      <x:c r="L44" s="43"/>
    </x:row>
    <x:row r="45" ht="42" customHeight="1">
      <x:c r="A45" s="44" t="str">
        <x:v>轮次/节点</x:v>
      </x:c>
      <x:c r="B45" s="44" t="str">
        <x:v>节点类型</x:v>
      </x:c>
      <x:c r="C45" s="44" t="str">
        <x:v>阈值</x:v>
      </x:c>
      <x:c r="D45" s="44" t="str">
        <x:v>奖励</x:v>
      </x:c>
      <x:c r="E45" s="44" t="str">
        <x:v>到手成本判定</x:v>
      </x:c>
      <x:c r="F45" s="44" t="str">
        <x:v>来源</x:v>
      </x:c>
      <x:c r="G45" s="43"/>
      <x:c r="H45" s="43"/>
      <x:c r="I45" s="43"/>
      <x:c r="J45" s="43"/>
      <x:c r="K45" s="43"/>
      <x:c r="L45" s="43"/>
    </x:row>
    <x:row r="46" ht="42" customHeight="1">
      <x:c r="A46" s="45" t="str">
        <x:v>秘宝冲刺/第1轮</x:v>
      </x:c>
      <x:c r="B46" s="45" t="str">
        <x:v>进度奖励</x:v>
      </x:c>
      <x:c r="C46" s="45" t="n">
        <x:v>2000</x:v>
      </x:c>
      <x:c r="D46" s="45" t="str">
        <x:v>转运石 × 450；欧气补给袋 × 2</x:v>
      </x:c>
      <x:c r="E46" s="45" t="str">
        <x:v>阈值非现金成本；不可与同一资源返利重复计价</x:v>
      </x:c>
      <x:c r="F46" s="45" t="str">
        <x:v>主/冲刺活动!第147行</x:v>
      </x:c>
      <x:c r="G46" s="43"/>
      <x:c r="H46" s="43"/>
      <x:c r="I46" s="43"/>
      <x:c r="J46" s="43"/>
      <x:c r="K46" s="43"/>
      <x:c r="L46" s="43"/>
    </x:row>
    <x:row r="47" ht="42" customHeight="1">
      <x:c r="A47" s="45" t="str">
        <x:v>秘宝冲刺/第1轮</x:v>
      </x:c>
      <x:c r="B47" s="45" t="str">
        <x:v>进度奖励</x:v>
      </x:c>
      <x:c r="C47" s="45" t="n">
        <x:v>6000</x:v>
      </x:c>
      <x:c r="D47" s="45" t="str">
        <x:v>转运石 × 450；欧气补给袋 × 2</x:v>
      </x:c>
      <x:c r="E47" s="45" t="str">
        <x:v>阈值非现金成本；不可与同一资源返利重复计价</x:v>
      </x:c>
      <x:c r="F47" s="45" t="str">
        <x:v>主/冲刺活动!第148行</x:v>
      </x:c>
      <x:c r="G47" s="43"/>
      <x:c r="H47" s="43"/>
      <x:c r="I47" s="43"/>
      <x:c r="J47" s="43"/>
      <x:c r="K47" s="43"/>
      <x:c r="L47" s="43"/>
    </x:row>
    <x:row r="48" ht="42" customHeight="1">
      <x:c r="A48" s="45" t="str">
        <x:v>秘宝冲刺/第1轮</x:v>
      </x:c>
      <x:c r="B48" s="45" t="str">
        <x:v>进度奖励</x:v>
      </x:c>
      <x:c r="C48" s="45" t="n">
        <x:v>9000</x:v>
      </x:c>
      <x:c r="D48" s="45" t="str">
        <x:v>转运石 × 450；欧气补给袋 × 2</x:v>
      </x:c>
      <x:c r="E48" s="45" t="str">
        <x:v>阈值非现金成本；不可与同一资源返利重复计价</x:v>
      </x:c>
      <x:c r="F48" s="45" t="str">
        <x:v>主/冲刺活动!第149行</x:v>
      </x:c>
      <x:c r="G48" s="43"/>
      <x:c r="H48" s="43"/>
      <x:c r="I48" s="43"/>
      <x:c r="J48" s="43"/>
      <x:c r="K48" s="43"/>
      <x:c r="L48" s="43"/>
    </x:row>
    <x:row r="49" ht="42" customHeight="1">
      <x:c r="A49" s="45" t="str">
        <x:v>秘宝冲刺/第1轮</x:v>
      </x:c>
      <x:c r="B49" s="45" t="str">
        <x:v>进度奖励</x:v>
      </x:c>
      <x:c r="C49" s="45" t="n">
        <x:v>12000</x:v>
      </x:c>
      <x:c r="D49" s="45" t="str">
        <x:v>转运石 × 600；欧气补给袋 × 2</x:v>
      </x:c>
      <x:c r="E49" s="45" t="str">
        <x:v>阈值非现金成本；不可与同一资源返利重复计价</x:v>
      </x:c>
      <x:c r="F49" s="45" t="str">
        <x:v>主/冲刺活动!第150行</x:v>
      </x:c>
      <x:c r="G49" s="43"/>
      <x:c r="H49" s="43"/>
      <x:c r="I49" s="43"/>
      <x:c r="J49" s="43"/>
      <x:c r="K49" s="43"/>
      <x:c r="L49" s="43"/>
    </x:row>
    <x:row r="50" ht="42" customHeight="1">
      <x:c r="A50" s="45" t="str">
        <x:v>秘宝冲刺/第1轮</x:v>
      </x:c>
      <x:c r="B50" s="45" t="str">
        <x:v>进度奖励</x:v>
      </x:c>
      <x:c r="C50" s="45" t="n">
        <x:v>16000</x:v>
      </x:c>
      <x:c r="D50" s="45" t="str">
        <x:v>转运石 × 600；欧气补给袋 × 2</x:v>
      </x:c>
      <x:c r="E50" s="45" t="str">
        <x:v>阈值非现金成本；不可与同一资源返利重复计价</x:v>
      </x:c>
      <x:c r="F50" s="45" t="str">
        <x:v>主/冲刺活动!第151行</x:v>
      </x:c>
      <x:c r="G50" s="43"/>
      <x:c r="H50" s="43"/>
      <x:c r="I50" s="43"/>
      <x:c r="J50" s="43"/>
      <x:c r="K50" s="43"/>
      <x:c r="L50" s="43"/>
    </x:row>
    <x:row r="51" ht="42" customHeight="1">
      <x:c r="A51" s="45" t="str">
        <x:v>秘宝冲刺/第1轮</x:v>
      </x:c>
      <x:c r="B51" s="45" t="str">
        <x:v>进度奖励</x:v>
      </x:c>
      <x:c r="C51" s="45" t="n">
        <x:v>20000</x:v>
      </x:c>
      <x:c r="D51" s="45" t="str">
        <x:v>转运石 × 600；欧气补给袋 × 2</x:v>
      </x:c>
      <x:c r="E51" s="45" t="str">
        <x:v>阈值非现金成本；不可与同一资源返利重复计价</x:v>
      </x:c>
      <x:c r="F51" s="45" t="str">
        <x:v>主/冲刺活动!第152行</x:v>
      </x:c>
      <x:c r="G51" s="43"/>
      <x:c r="H51" s="43"/>
      <x:c r="I51" s="43"/>
      <x:c r="J51" s="43"/>
      <x:c r="K51" s="43"/>
      <x:c r="L51" s="43"/>
    </x:row>
    <x:row r="52" ht="42" customHeight="1">
      <x:c r="A52" s="45" t="str">
        <x:v>秘宝冲刺/第2轮</x:v>
      </x:c>
      <x:c r="B52" s="45" t="str">
        <x:v>进度奖励</x:v>
      </x:c>
      <x:c r="C52" s="45" t="n">
        <x:v>4000</x:v>
      </x:c>
      <x:c r="D52" s="45" t="str">
        <x:v>转运石 × 450；欧气补给袋 × 2</x:v>
      </x:c>
      <x:c r="E52" s="45" t="str">
        <x:v>阈值非现金成本；不可与同一资源返利重复计价</x:v>
      </x:c>
      <x:c r="F52" s="45" t="str">
        <x:v>主/冲刺活动!第156行</x:v>
      </x:c>
      <x:c r="G52" s="43"/>
      <x:c r="H52" s="43"/>
      <x:c r="I52" s="43"/>
      <x:c r="J52" s="43"/>
      <x:c r="K52" s="43"/>
      <x:c r="L52" s="43"/>
    </x:row>
    <x:row r="53" ht="42" customHeight="1">
      <x:c r="A53" s="45" t="str">
        <x:v>秘宝冲刺/第2轮</x:v>
      </x:c>
      <x:c r="B53" s="45" t="str">
        <x:v>进度奖励</x:v>
      </x:c>
      <x:c r="C53" s="45" t="n">
        <x:v>10000</x:v>
      </x:c>
      <x:c r="D53" s="45" t="str">
        <x:v>转运石 × 450；欧气补给袋 × 2</x:v>
      </x:c>
      <x:c r="E53" s="45" t="str">
        <x:v>阈值非现金成本；不可与同一资源返利重复计价</x:v>
      </x:c>
      <x:c r="F53" s="45" t="str">
        <x:v>主/冲刺活动!第157行</x:v>
      </x:c>
      <x:c r="G53" s="43"/>
      <x:c r="H53" s="43"/>
      <x:c r="I53" s="43"/>
      <x:c r="J53" s="43"/>
      <x:c r="K53" s="43"/>
      <x:c r="L53" s="43"/>
    </x:row>
    <x:row r="54" ht="42" customHeight="1">
      <x:c r="A54" s="45" t="str">
        <x:v>秘宝冲刺/第2轮</x:v>
      </x:c>
      <x:c r="B54" s="45" t="str">
        <x:v>进度奖励</x:v>
      </x:c>
      <x:c r="C54" s="45" t="n">
        <x:v>16000</x:v>
      </x:c>
      <x:c r="D54" s="45" t="str">
        <x:v>转运石 × 450；欧气补给袋 × 2</x:v>
      </x:c>
      <x:c r="E54" s="45" t="str">
        <x:v>阈值非现金成本；不可与同一资源返利重复计价</x:v>
      </x:c>
      <x:c r="F54" s="45" t="str">
        <x:v>主/冲刺活动!第158行</x:v>
      </x:c>
      <x:c r="G54" s="43"/>
      <x:c r="H54" s="43"/>
      <x:c r="I54" s="43"/>
      <x:c r="J54" s="43"/>
      <x:c r="K54" s="43"/>
      <x:c r="L54" s="43"/>
    </x:row>
    <x:row r="55" ht="42" customHeight="1">
      <x:c r="A55" s="45" t="str">
        <x:v>秘宝冲刺/第2轮</x:v>
      </x:c>
      <x:c r="B55" s="45" t="str">
        <x:v>进度奖励</x:v>
      </x:c>
      <x:c r="C55" s="45" t="n">
        <x:v>23000</x:v>
      </x:c>
      <x:c r="D55" s="45" t="str">
        <x:v>转运石 × 600；欧气补给袋 × 2</x:v>
      </x:c>
      <x:c r="E55" s="45" t="str">
        <x:v>阈值非现金成本；不可与同一资源返利重复计价</x:v>
      </x:c>
      <x:c r="F55" s="45" t="str">
        <x:v>主/冲刺活动!第159行</x:v>
      </x:c>
      <x:c r="G55" s="43"/>
      <x:c r="H55" s="43"/>
      <x:c r="I55" s="43"/>
      <x:c r="J55" s="43"/>
      <x:c r="K55" s="43"/>
      <x:c r="L55" s="43"/>
    </x:row>
    <x:row r="56" ht="42" customHeight="1">
      <x:c r="A56" s="45" t="str">
        <x:v>秘宝冲刺/第2轮</x:v>
      </x:c>
      <x:c r="B56" s="45" t="str">
        <x:v>进度奖励</x:v>
      </x:c>
      <x:c r="C56" s="45" t="n">
        <x:v>30000</x:v>
      </x:c>
      <x:c r="D56" s="45" t="str">
        <x:v>转运石 × 600；欧气补给袋 × 2</x:v>
      </x:c>
      <x:c r="E56" s="45" t="str">
        <x:v>阈值非现金成本；不可与同一资源返利重复计价</x:v>
      </x:c>
      <x:c r="F56" s="45" t="str">
        <x:v>主/冲刺活动!第160行</x:v>
      </x:c>
      <x:c r="G56" s="43"/>
      <x:c r="H56" s="43"/>
      <x:c r="I56" s="43"/>
      <x:c r="J56" s="43"/>
      <x:c r="K56" s="43"/>
      <x:c r="L56" s="43"/>
    </x:row>
    <x:row r="57" ht="42" customHeight="1">
      <x:c r="A57" s="45" t="str">
        <x:v>秘宝冲刺/第2轮</x:v>
      </x:c>
      <x:c r="B57" s="45" t="str">
        <x:v>进度奖励</x:v>
      </x:c>
      <x:c r="C57" s="45" t="n">
        <x:v>40000</x:v>
      </x:c>
      <x:c r="D57" s="45" t="str">
        <x:v>转运石 × 600；欧气补给袋 × 2</x:v>
      </x:c>
      <x:c r="E57" s="45" t="str">
        <x:v>阈值非现金成本；不可与同一资源返利重复计价</x:v>
      </x:c>
      <x:c r="F57" s="45" t="str">
        <x:v>主/冲刺活动!第161行</x:v>
      </x:c>
      <x:c r="G57" s="43"/>
      <x:c r="H57" s="43"/>
      <x:c r="I57" s="43"/>
      <x:c r="J57" s="43"/>
      <x:c r="K57" s="43"/>
      <x:c r="L57" s="43"/>
    </x:row>
    <x:row r="58" ht="42" customHeight="1">
      <x:c r="A58" s="45" t="str">
        <x:v>秘宝冲刺/第3轮</x:v>
      </x:c>
      <x:c r="B58" s="45" t="str">
        <x:v>进度奖励</x:v>
      </x:c>
      <x:c r="C58" s="45" t="n">
        <x:v>6000</x:v>
      </x:c>
      <x:c r="D58" s="45" t="str">
        <x:v>转运石 × 600；欧气补给袋 × 2</x:v>
      </x:c>
      <x:c r="E58" s="45" t="str">
        <x:v>阈值非现金成本；不可与同一资源返利重复计价</x:v>
      </x:c>
      <x:c r="F58" s="45" t="str">
        <x:v>主/冲刺活动!第165行</x:v>
      </x:c>
      <x:c r="G58" s="43"/>
      <x:c r="H58" s="43"/>
      <x:c r="I58" s="43"/>
      <x:c r="J58" s="43"/>
      <x:c r="K58" s="43"/>
      <x:c r="L58" s="43"/>
    </x:row>
    <x:row r="59" ht="42" customHeight="1">
      <x:c r="A59" s="45" t="str">
        <x:v>秘宝冲刺/第3轮</x:v>
      </x:c>
      <x:c r="B59" s="45" t="str">
        <x:v>进度奖励</x:v>
      </x:c>
      <x:c r="C59" s="45" t="n">
        <x:v>14000</x:v>
      </x:c>
      <x:c r="D59" s="45" t="str">
        <x:v>转运石 × 600；欧气补给袋 × 2</x:v>
      </x:c>
      <x:c r="E59" s="45" t="str">
        <x:v>阈值非现金成本；不可与同一资源返利重复计价</x:v>
      </x:c>
      <x:c r="F59" s="45" t="str">
        <x:v>主/冲刺活动!第166行</x:v>
      </x:c>
      <x:c r="G59" s="43"/>
      <x:c r="H59" s="43"/>
      <x:c r="I59" s="43"/>
      <x:c r="J59" s="43"/>
      <x:c r="K59" s="43"/>
      <x:c r="L59" s="43"/>
    </x:row>
    <x:row r="60" ht="42" customHeight="1">
      <x:c r="A60" s="45" t="str">
        <x:v>秘宝冲刺/第3轮</x:v>
      </x:c>
      <x:c r="B60" s="45" t="str">
        <x:v>进度奖励</x:v>
      </x:c>
      <x:c r="C60" s="45" t="n">
        <x:v>22000</x:v>
      </x:c>
      <x:c r="D60" s="45" t="str">
        <x:v>转运石 × 600；欧气补给袋 × 2</x:v>
      </x:c>
      <x:c r="E60" s="45" t="str">
        <x:v>阈值非现金成本；不可与同一资源返利重复计价</x:v>
      </x:c>
      <x:c r="F60" s="45" t="str">
        <x:v>主/冲刺活动!第167行</x:v>
      </x:c>
      <x:c r="G60" s="43"/>
      <x:c r="H60" s="43"/>
      <x:c r="I60" s="43"/>
      <x:c r="J60" s="43"/>
      <x:c r="K60" s="43"/>
      <x:c r="L60" s="43"/>
    </x:row>
    <x:row r="61" ht="42" customHeight="1">
      <x:c r="A61" s="45" t="str">
        <x:v>秘宝冲刺/第3轮</x:v>
      </x:c>
      <x:c r="B61" s="45" t="str">
        <x:v>进度奖励</x:v>
      </x:c>
      <x:c r="C61" s="45" t="n">
        <x:v>34000</x:v>
      </x:c>
      <x:c r="D61" s="45" t="str">
        <x:v>转运石 × 900；欧气补给袋 × 3</x:v>
      </x:c>
      <x:c r="E61" s="45" t="str">
        <x:v>阈值非现金成本；不可与同一资源返利重复计价</x:v>
      </x:c>
      <x:c r="F61" s="45" t="str">
        <x:v>主/冲刺活动!第168行</x:v>
      </x:c>
      <x:c r="G61" s="43"/>
      <x:c r="H61" s="43"/>
      <x:c r="I61" s="43"/>
      <x:c r="J61" s="43"/>
      <x:c r="K61" s="43"/>
      <x:c r="L61" s="43"/>
    </x:row>
    <x:row r="62" ht="42" customHeight="1">
      <x:c r="A62" s="45" t="str">
        <x:v>秘宝冲刺/第3轮</x:v>
      </x:c>
      <x:c r="B62" s="45" t="str">
        <x:v>进度奖励</x:v>
      </x:c>
      <x:c r="C62" s="45" t="n">
        <x:v>48000</x:v>
      </x:c>
      <x:c r="D62" s="45" t="str">
        <x:v>转运石 × 900；欧气补给袋 × 3</x:v>
      </x:c>
      <x:c r="E62" s="45" t="str">
        <x:v>阈值非现金成本；不可与同一资源返利重复计价</x:v>
      </x:c>
      <x:c r="F62" s="45" t="str">
        <x:v>主/冲刺活动!第169行</x:v>
      </x:c>
      <x:c r="G62" s="43"/>
      <x:c r="H62" s="43"/>
      <x:c r="I62" s="43"/>
      <x:c r="J62" s="43"/>
      <x:c r="K62" s="43"/>
      <x:c r="L62" s="43"/>
    </x:row>
    <x:row r="63" ht="42" customHeight="1">
      <x:c r="A63" s="45" t="str">
        <x:v>秘宝冲刺/第3轮</x:v>
      </x:c>
      <x:c r="B63" s="45" t="str">
        <x:v>进度奖励</x:v>
      </x:c>
      <x:c r="C63" s="45" t="n">
        <x:v>60000</x:v>
      </x:c>
      <x:c r="D63" s="45" t="str">
        <x:v>转运石 × 900；欧气补给袋 × 3</x:v>
      </x:c>
      <x:c r="E63" s="45" t="str">
        <x:v>阈值非现金成本；不可与同一资源返利重复计价</x:v>
      </x:c>
      <x:c r="F63" s="45" t="str">
        <x:v>主/冲刺活动!第170行</x:v>
      </x:c>
      <x:c r="G63" s="43"/>
      <x:c r="H63" s="43"/>
      <x:c r="I63" s="43"/>
      <x:c r="J63" s="43"/>
      <x:c r="K63" s="43"/>
      <x:c r="L63" s="43"/>
    </x:row>
    <x:row r="64" ht="42" customHeight="1">
      <x:c r="A64" s="45" t="str">
        <x:v>秘宝冲刺/第4轮</x:v>
      </x:c>
      <x:c r="B64" s="45" t="str">
        <x:v>进度奖励</x:v>
      </x:c>
      <x:c r="C64" s="45" t="n">
        <x:v>8000</x:v>
      </x:c>
      <x:c r="D64" s="45" t="str">
        <x:v>转运石 × 600；欧气补给袋 × 2</x:v>
      </x:c>
      <x:c r="E64" s="45" t="str">
        <x:v>阈值非现金成本；不可与同一资源返利重复计价</x:v>
      </x:c>
      <x:c r="F64" s="45" t="str">
        <x:v>主/冲刺活动!第174行</x:v>
      </x:c>
      <x:c r="G64" s="43"/>
      <x:c r="H64" s="43"/>
      <x:c r="I64" s="43"/>
      <x:c r="J64" s="43"/>
      <x:c r="K64" s="43"/>
      <x:c r="L64" s="43"/>
    </x:row>
    <x:row r="65" ht="42" customHeight="1">
      <x:c r="A65" s="45" t="str">
        <x:v>秘宝冲刺/第4轮</x:v>
      </x:c>
      <x:c r="B65" s="45" t="str">
        <x:v>进度奖励</x:v>
      </x:c>
      <x:c r="C65" s="45" t="n">
        <x:v>20000</x:v>
      </x:c>
      <x:c r="D65" s="45" t="str">
        <x:v>转运石 × 600；欧气补给袋 × 2</x:v>
      </x:c>
      <x:c r="E65" s="45" t="str">
        <x:v>阈值非现金成本；不可与同一资源返利重复计价</x:v>
      </x:c>
      <x:c r="F65" s="45" t="str">
        <x:v>主/冲刺活动!第175行</x:v>
      </x:c>
      <x:c r="G65" s="43"/>
      <x:c r="H65" s="43"/>
      <x:c r="I65" s="43"/>
      <x:c r="J65" s="43"/>
      <x:c r="K65" s="43"/>
      <x:c r="L65" s="43"/>
    </x:row>
    <x:row r="66" ht="42" customHeight="1">
      <x:c r="A66" s="45" t="str">
        <x:v>秘宝冲刺/第4轮</x:v>
      </x:c>
      <x:c r="B66" s="45" t="str">
        <x:v>进度奖励</x:v>
      </x:c>
      <x:c r="C66" s="45" t="n">
        <x:v>32000</x:v>
      </x:c>
      <x:c r="D66" s="45" t="str">
        <x:v>转运石 × 600；欧气补给袋 × 2</x:v>
      </x:c>
      <x:c r="E66" s="45" t="str">
        <x:v>阈值非现金成本；不可与同一资源返利重复计价</x:v>
      </x:c>
      <x:c r="F66" s="45" t="str">
        <x:v>主/冲刺活动!第176行</x:v>
      </x:c>
      <x:c r="G66" s="43"/>
      <x:c r="H66" s="43"/>
      <x:c r="I66" s="43"/>
      <x:c r="J66" s="43"/>
      <x:c r="K66" s="43"/>
      <x:c r="L66" s="43"/>
    </x:row>
    <x:row r="67" ht="42" customHeight="1">
      <x:c r="A67" s="45" t="str">
        <x:v>秘宝冲刺/第4轮</x:v>
      </x:c>
      <x:c r="B67" s="45" t="str">
        <x:v>进度奖励</x:v>
      </x:c>
      <x:c r="C67" s="45" t="n">
        <x:v>58000</x:v>
      </x:c>
      <x:c r="D67" s="45" t="str">
        <x:v>转运石 × 900；欧气补给袋 × 3</x:v>
      </x:c>
      <x:c r="E67" s="45" t="str">
        <x:v>阈值非现金成本；不可与同一资源返利重复计价</x:v>
      </x:c>
      <x:c r="F67" s="45" t="str">
        <x:v>主/冲刺活动!第177行</x:v>
      </x:c>
      <x:c r="G67" s="43"/>
      <x:c r="H67" s="43"/>
      <x:c r="I67" s="43"/>
      <x:c r="J67" s="43"/>
      <x:c r="K67" s="43"/>
      <x:c r="L67" s="43"/>
    </x:row>
    <x:row r="68" ht="42" customHeight="1">
      <x:c r="A68" s="45" t="str">
        <x:v>秘宝冲刺/第4轮</x:v>
      </x:c>
      <x:c r="B68" s="45" t="str">
        <x:v>进度奖励</x:v>
      </x:c>
      <x:c r="C68" s="45" t="n">
        <x:v>92000</x:v>
      </x:c>
      <x:c r="D68" s="45" t="str">
        <x:v>转运石 × 900；欧气补给袋 × 3</x:v>
      </x:c>
      <x:c r="E68" s="45" t="str">
        <x:v>阈值非现金成本；不可与同一资源返利重复计价</x:v>
      </x:c>
      <x:c r="F68" s="45" t="str">
        <x:v>主/冲刺活动!第178行</x:v>
      </x:c>
      <x:c r="G68" s="43"/>
      <x:c r="H68" s="43"/>
      <x:c r="I68" s="43"/>
      <x:c r="J68" s="43"/>
      <x:c r="K68" s="43"/>
      <x:c r="L68" s="43"/>
    </x:row>
    <x:row r="69" ht="42" customHeight="1">
      <x:c r="A69" s="45" t="str">
        <x:v>秘宝冲刺/第4轮</x:v>
      </x:c>
      <x:c r="B69" s="45" t="str">
        <x:v>进度奖励</x:v>
      </x:c>
      <x:c r="C69" s="45" t="n">
        <x:v>120000</x:v>
      </x:c>
      <x:c r="D69" s="45" t="str">
        <x:v>转运石 × 900；欧气补给袋 × 3</x:v>
      </x:c>
      <x:c r="E69" s="45" t="str">
        <x:v>阈值非现金成本；不可与同一资源返利重复计价</x:v>
      </x:c>
      <x:c r="F69" s="45" t="str">
        <x:v>主/冲刺活动!第179行</x:v>
      </x:c>
      <x:c r="G69" s="43"/>
      <x:c r="H69" s="43"/>
      <x:c r="I69" s="43"/>
      <x:c r="J69" s="43"/>
      <x:c r="K69" s="43"/>
      <x:c r="L69" s="43"/>
    </x:row>
  </x:sheetData>
  <x:mergeCells>
    <x:mergeCell ref="A1:L1"/>
    <x:mergeCell ref="A2:L2"/>
    <x:mergeCell ref="A20:J20"/>
    <x:mergeCell ref="A44:F4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《梦境护卫队》招募狂欢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来源：主/招募狂欢!A1:N45；优化总内容!A18:I19｜详细四轮600/600/800/1200；思路改首轮400、第四轮去掉未统一；红卡狂欢D8—14仅总览｜主方案优先，补充方案不覆盖主方案。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招募狂欢</x:v>
      </x:c>
      <x:c r="C4" s="59"/>
      <x:c r="D4" s="57" t="str">
        <x:v>最终大奖条件说明</x:v>
      </x:c>
      <x:c r="E4" s="58" t="str">
        <x:v>阈值是招募累计，未换算成现金成本</x:v>
      </x:c>
      <x:c r="F4" s="59"/>
      <x:c r="G4" s="57" t="str">
        <x:v>礼包数</x:v>
      </x:c>
      <x:c r="H4" s="58" t="n">
        <x:v>0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招募狂欢最终轮奖励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0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60" t="str">
        <x:v>礼包/档位</x:v>
      </x:c>
      <x:c r="B8" s="60" t="str">
        <x:v>支付币种</x:v>
      </x:c>
      <x:c r="C8" s="60" t="str">
        <x:v>标价</x:v>
      </x:c>
      <x:c r="D8" s="60" t="str">
        <x:v>成本折钻</x:v>
      </x:c>
      <x:c r="E8" s="60" t="str">
        <x:v>奖励价值钻</x:v>
      </x:c>
      <x:c r="F8" s="60" t="str">
        <x:v>价值倍率</x:v>
      </x:c>
      <x:c r="G8" s="60" t="str">
        <x:v>重算折数</x:v>
      </x:c>
      <x:c r="H8" s="60" t="str">
        <x:v>原标注折数</x:v>
      </x:c>
      <x:c r="I8" s="60" t="str">
        <x:v>主要到手标的物</x:v>
      </x:c>
      <x:c r="J8" s="60" t="str">
        <x:v>限购</x:v>
      </x:c>
      <x:c r="K8" s="60" t="str">
        <x:v>到手判断</x:v>
      </x:c>
      <x:c r="L8" s="60" t="str">
        <x:v>来源</x:v>
      </x:c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</x:row>
    <x:row r="12">
      <x:c r="A12" s="64" t="str">
        <x:v>奖励明细：数量 × 统一道具单价</x:v>
      </x:c>
      <x:c r="B12" s="64"/>
      <x:c r="C12" s="64"/>
      <x:c r="D12" s="64"/>
      <x:c r="E12" s="64"/>
      <x:c r="F12" s="64"/>
      <x:c r="G12" s="64"/>
      <x:c r="H12" s="64"/>
      <x:c r="I12" s="64"/>
      <x:c r="J12" s="64"/>
      <x:c r="K12" s="43"/>
      <x:c r="L12" s="43"/>
    </x:row>
    <x:row r="13" ht="42" customHeight="1">
      <x:c r="A13" s="44" t="str">
        <x:v>礼包</x:v>
      </x:c>
      <x:c r="B13" s="44" t="str">
        <x:v>标的物</x:v>
      </x:c>
      <x:c r="C13" s="44" t="str">
        <x:v>数量</x:v>
      </x:c>
      <x:c r="D13" s="44" t="str">
        <x:v>统一单价钻</x:v>
      </x:c>
      <x:c r="E13" s="44" t="str">
        <x:v>活动单价钻</x:v>
      </x:c>
      <x:c r="F13" s="44" t="str">
        <x:v>奖励价值钻</x:v>
      </x:c>
      <x:c r="G13" s="44" t="str">
        <x:v>估值依据</x:v>
      </x:c>
      <x:c r="H13" s="44" t="str">
        <x:v>差异/缺失</x:v>
      </x:c>
      <x:c r="I13" s="44" t="str">
        <x:v>来源</x:v>
      </x:c>
      <x:c r="J13" s="44" t="str">
        <x:v>备注</x:v>
      </x:c>
      <x:c r="K13" s="43"/>
      <x:c r="L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</x:row>
    <x:row r="16">
      <x:c r="A16" s="65" t="str">
        <x:v>活动节点与最终大奖判定</x:v>
      </x:c>
      <x:c r="B16" s="65"/>
      <x:c r="C16" s="65"/>
      <x:c r="D16" s="65"/>
      <x:c r="E16" s="65"/>
      <x:c r="F16" s="65"/>
      <x:c r="G16" s="43"/>
      <x:c r="H16" s="43"/>
      <x:c r="I16" s="43"/>
      <x:c r="J16" s="43"/>
      <x:c r="K16" s="43"/>
      <x:c r="L16" s="43"/>
    </x:row>
    <x:row r="17" ht="42" customHeight="1">
      <x:c r="A17" s="44" t="str">
        <x:v>轮次/节点</x:v>
      </x:c>
      <x:c r="B17" s="44" t="str">
        <x:v>节点类型</x:v>
      </x:c>
      <x:c r="C17" s="44" t="str">
        <x:v>阈值</x:v>
      </x:c>
      <x:c r="D17" s="44" t="str">
        <x:v>奖励</x:v>
      </x:c>
      <x:c r="E17" s="44" t="str">
        <x:v>到手成本判定</x:v>
      </x:c>
      <x:c r="F17" s="44" t="str">
        <x:v>来源</x:v>
      </x:c>
      <x:c r="G17" s="43"/>
      <x:c r="H17" s="43"/>
      <x:c r="I17" s="43"/>
      <x:c r="J17" s="43"/>
      <x:c r="K17" s="43"/>
      <x:c r="L17" s="43"/>
    </x:row>
    <x:row r="18" ht="42" customHeight="1">
      <x:c r="A18" s="45" t="str">
        <x:v>招募狂欢/第1轮</x:v>
      </x:c>
      <x:c r="B18" s="45" t="str">
        <x:v>进度奖励</x:v>
      </x:c>
      <x:c r="C18" s="45" t="n">
        <x:v>60</x:v>
      </x:c>
      <x:c r="D18" s="45" t="str">
        <x:v>梦境招募器 × 5；随机能量特饮 × 30</x:v>
      </x:c>
      <x:c r="E18" s="45" t="str">
        <x:v>阈值非现金成本；不可与同一资源返利重复计价</x:v>
      </x:c>
      <x:c r="F18" s="45" t="str">
        <x:v>主/招募狂欢!第13行</x:v>
      </x:c>
      <x:c r="G18" s="43"/>
      <x:c r="H18" s="43"/>
      <x:c r="I18" s="43"/>
      <x:c r="J18" s="43"/>
      <x:c r="K18" s="43"/>
      <x:c r="L18" s="43"/>
    </x:row>
    <x:row r="19" ht="42" customHeight="1">
      <x:c r="A19" s="45" t="str">
        <x:v>招募狂欢/第1轮</x:v>
      </x:c>
      <x:c r="B19" s="45" t="str">
        <x:v>进度奖励</x:v>
      </x:c>
      <x:c r="C19" s="45" t="n">
        <x:v>120</x:v>
      </x:c>
      <x:c r="D19" s="45" t="str">
        <x:v>梦境招募器 × 5；随机能量特饮 × 30</x:v>
      </x:c>
      <x:c r="E19" s="45" t="str">
        <x:v>阈值非现金成本；不可与同一资源返利重复计价</x:v>
      </x:c>
      <x:c r="F19" s="45" t="str">
        <x:v>主/招募狂欢!第14行</x:v>
      </x:c>
      <x:c r="G19" s="43"/>
      <x:c r="H19" s="43"/>
      <x:c r="I19" s="43"/>
      <x:c r="J19" s="43"/>
      <x:c r="K19" s="43"/>
      <x:c r="L19" s="43"/>
    </x:row>
    <x:row r="20" ht="42" customHeight="1">
      <x:c r="A20" s="45" t="str">
        <x:v>招募狂欢/第1轮</x:v>
      </x:c>
      <x:c r="B20" s="45" t="str">
        <x:v>进度奖励</x:v>
      </x:c>
      <x:c r="C20" s="45" t="n">
        <x:v>200</x:v>
      </x:c>
      <x:c r="D20" s="45" t="str">
        <x:v>梦境招募器 × 5；随机能量特饮 × 30</x:v>
      </x:c>
      <x:c r="E20" s="45" t="str">
        <x:v>阈值非现金成本；不可与同一资源返利重复计价</x:v>
      </x:c>
      <x:c r="F20" s="45" t="str">
        <x:v>主/招募狂欢!第15行</x:v>
      </x:c>
      <x:c r="G20" s="43"/>
      <x:c r="H20" s="43"/>
      <x:c r="I20" s="43"/>
      <x:c r="J20" s="43"/>
      <x:c r="K20" s="43"/>
      <x:c r="L20" s="43"/>
    </x:row>
    <x:row r="21" ht="42" customHeight="1">
      <x:c r="A21" s="45" t="str">
        <x:v>招募狂欢/第1轮</x:v>
      </x:c>
      <x:c r="B21" s="45" t="str">
        <x:v>进度奖励</x:v>
      </x:c>
      <x:c r="C21" s="45" t="n">
        <x:v>300</x:v>
      </x:c>
      <x:c r="D21" s="45" t="str">
        <x:v>梦境招募器 × 10；随机能量特饮 × 50</x:v>
      </x:c>
      <x:c r="E21" s="45" t="str">
        <x:v>阈值非现金成本；不可与同一资源返利重复计价</x:v>
      </x:c>
      <x:c r="F21" s="45" t="str">
        <x:v>主/招募狂欢!第16行</x:v>
      </x:c>
      <x:c r="G21" s="43"/>
      <x:c r="H21" s="43"/>
      <x:c r="I21" s="43"/>
      <x:c r="J21" s="43"/>
      <x:c r="K21" s="43"/>
      <x:c r="L21" s="43"/>
    </x:row>
    <x:row r="22" ht="42" customHeight="1">
      <x:c r="A22" s="45" t="str">
        <x:v>招募狂欢/第1轮</x:v>
      </x:c>
      <x:c r="B22" s="45" t="str">
        <x:v>进度奖励</x:v>
      </x:c>
      <x:c r="C22" s="45" t="n">
        <x:v>420</x:v>
      </x:c>
      <x:c r="D22" s="45" t="str">
        <x:v>梦境招募器 × 10；随机能量特饮 × 50</x:v>
      </x:c>
      <x:c r="E22" s="45" t="str">
        <x:v>阈值非现金成本；不可与同一资源返利重复计价</x:v>
      </x:c>
      <x:c r="F22" s="45" t="str">
        <x:v>主/招募狂欢!第17行</x:v>
      </x:c>
      <x:c r="G22" s="43"/>
      <x:c r="H22" s="43"/>
      <x:c r="I22" s="43"/>
      <x:c r="J22" s="43"/>
      <x:c r="K22" s="43"/>
      <x:c r="L22" s="43"/>
    </x:row>
    <x:row r="23" ht="42" customHeight="1">
      <x:c r="A23" s="45" t="str">
        <x:v>招募狂欢/第1轮</x:v>
      </x:c>
      <x:c r="B23" s="45" t="str">
        <x:v>进度奖励</x:v>
      </x:c>
      <x:c r="C23" s="45" t="n">
        <x:v>600</x:v>
      </x:c>
      <x:c r="D23" s="45" t="str">
        <x:v>梦境招募器 × 10；随机能量特饮 × 50</x:v>
      </x:c>
      <x:c r="E23" s="45" t="str">
        <x:v>阈值非现金成本；不可与同一资源返利重复计价</x:v>
      </x:c>
      <x:c r="F23" s="45" t="str">
        <x:v>主/招募狂欢!第18行</x:v>
      </x:c>
      <x:c r="G23" s="43"/>
      <x:c r="H23" s="43"/>
      <x:c r="I23" s="43"/>
      <x:c r="J23" s="43"/>
      <x:c r="K23" s="43"/>
      <x:c r="L23" s="43"/>
    </x:row>
    <x:row r="24" ht="42" customHeight="1">
      <x:c r="A24" s="45" t="str">
        <x:v>招募狂欢/第2轮</x:v>
      </x:c>
      <x:c r="B24" s="45" t="str">
        <x:v>进度奖励</x:v>
      </x:c>
      <x:c r="C24" s="45" t="n">
        <x:v>60</x:v>
      </x:c>
      <x:c r="D24" s="45" t="str">
        <x:v>梦境招募器 × 5；随机能量特饮 × 50</x:v>
      </x:c>
      <x:c r="E24" s="45" t="str">
        <x:v>阈值非现金成本；不可与同一资源返利重复计价</x:v>
      </x:c>
      <x:c r="F24" s="45" t="str">
        <x:v>主/招募狂欢!第22行</x:v>
      </x:c>
      <x:c r="G24" s="43"/>
      <x:c r="H24" s="43"/>
      <x:c r="I24" s="43"/>
      <x:c r="J24" s="43"/>
      <x:c r="K24" s="43"/>
      <x:c r="L24" s="43"/>
    </x:row>
    <x:row r="25" ht="42" customHeight="1">
      <x:c r="A25" s="45" t="str">
        <x:v>招募狂欢/第2轮</x:v>
      </x:c>
      <x:c r="B25" s="45" t="str">
        <x:v>进度奖励</x:v>
      </x:c>
      <x:c r="C25" s="45" t="n">
        <x:v>120</x:v>
      </x:c>
      <x:c r="D25" s="45" t="str">
        <x:v>梦境招募器 × 5；随机能量特饮 × 50</x:v>
      </x:c>
      <x:c r="E25" s="45" t="str">
        <x:v>阈值非现金成本；不可与同一资源返利重复计价</x:v>
      </x:c>
      <x:c r="F25" s="45" t="str">
        <x:v>主/招募狂欢!第23行</x:v>
      </x:c>
      <x:c r="G25" s="43"/>
      <x:c r="H25" s="43"/>
      <x:c r="I25" s="43"/>
      <x:c r="J25" s="43"/>
      <x:c r="K25" s="43"/>
      <x:c r="L25" s="43"/>
    </x:row>
    <x:row r="26" ht="42" customHeight="1">
      <x:c r="A26" s="45" t="str">
        <x:v>招募狂欢/第2轮</x:v>
      </x:c>
      <x:c r="B26" s="45" t="str">
        <x:v>进度奖励</x:v>
      </x:c>
      <x:c r="C26" s="45" t="n">
        <x:v>200</x:v>
      </x:c>
      <x:c r="D26" s="45" t="str">
        <x:v>梦境招募器 × 5；随机能量特饮 × 50</x:v>
      </x:c>
      <x:c r="E26" s="45" t="str">
        <x:v>阈值非现金成本；不可与同一资源返利重复计价</x:v>
      </x:c>
      <x:c r="F26" s="45" t="str">
        <x:v>主/招募狂欢!第24行</x:v>
      </x:c>
      <x:c r="G26" s="43"/>
      <x:c r="H26" s="43"/>
      <x:c r="I26" s="43"/>
      <x:c r="J26" s="43"/>
      <x:c r="K26" s="43"/>
      <x:c r="L26" s="43"/>
    </x:row>
    <x:row r="27" ht="42" customHeight="1">
      <x:c r="A27" s="45" t="str">
        <x:v>招募狂欢/第2轮</x:v>
      </x:c>
      <x:c r="B27" s="45" t="str">
        <x:v>进度奖励</x:v>
      </x:c>
      <x:c r="C27" s="45" t="n">
        <x:v>300</x:v>
      </x:c>
      <x:c r="D27" s="45" t="str">
        <x:v>梦境招募器 × 10；随机能量特饮 × 80</x:v>
      </x:c>
      <x:c r="E27" s="45" t="str">
        <x:v>阈值非现金成本；不可与同一资源返利重复计价</x:v>
      </x:c>
      <x:c r="F27" s="45" t="str">
        <x:v>主/招募狂欢!第25行</x:v>
      </x:c>
      <x:c r="G27" s="43"/>
      <x:c r="H27" s="43"/>
      <x:c r="I27" s="43"/>
      <x:c r="J27" s="43"/>
      <x:c r="K27" s="43"/>
      <x:c r="L27" s="43"/>
    </x:row>
    <x:row r="28" ht="42" customHeight="1">
      <x:c r="A28" s="45" t="str">
        <x:v>招募狂欢/第2轮</x:v>
      </x:c>
      <x:c r="B28" s="45" t="str">
        <x:v>进度奖励</x:v>
      </x:c>
      <x:c r="C28" s="45" t="n">
        <x:v>420</x:v>
      </x:c>
      <x:c r="D28" s="45" t="str">
        <x:v>梦境招募器 × 10；随机能量特饮 × 80</x:v>
      </x:c>
      <x:c r="E28" s="45" t="str">
        <x:v>阈值非现金成本；不可与同一资源返利重复计价</x:v>
      </x:c>
      <x:c r="F28" s="45" t="str">
        <x:v>主/招募狂欢!第26行</x:v>
      </x:c>
      <x:c r="G28" s="43"/>
      <x:c r="H28" s="43"/>
      <x:c r="I28" s="43"/>
      <x:c r="J28" s="43"/>
      <x:c r="K28" s="43"/>
      <x:c r="L28" s="43"/>
    </x:row>
    <x:row r="29" ht="42" customHeight="1">
      <x:c r="A29" s="45" t="str">
        <x:v>招募狂欢/第2轮</x:v>
      </x:c>
      <x:c r="B29" s="45" t="str">
        <x:v>进度奖励</x:v>
      </x:c>
      <x:c r="C29" s="45" t="n">
        <x:v>600</x:v>
      </x:c>
      <x:c r="D29" s="45" t="str">
        <x:v>梦境招募器 × 10；随机能量特饮 × 80</x:v>
      </x:c>
      <x:c r="E29" s="45" t="str">
        <x:v>阈值非现金成本；不可与同一资源返利重复计价</x:v>
      </x:c>
      <x:c r="F29" s="45" t="str">
        <x:v>主/招募狂欢!第27行</x:v>
      </x:c>
      <x:c r="G29" s="43"/>
      <x:c r="H29" s="43"/>
      <x:c r="I29" s="43"/>
      <x:c r="J29" s="43"/>
      <x:c r="K29" s="43"/>
      <x:c r="L29" s="43"/>
    </x:row>
    <x:row r="30" ht="42" customHeight="1">
      <x:c r="A30" s="45" t="str">
        <x:v>招募狂欢/第3轮</x:v>
      </x:c>
      <x:c r="B30" s="45" t="str">
        <x:v>进度奖励</x:v>
      </x:c>
      <x:c r="C30" s="45" t="n">
        <x:v>80</x:v>
      </x:c>
      <x:c r="D30" s="45" t="str">
        <x:v>梦境招募器 × 5；随机能量特饮 × 80</x:v>
      </x:c>
      <x:c r="E30" s="45" t="str">
        <x:v>阈值非现金成本；不可与同一资源返利重复计价</x:v>
      </x:c>
      <x:c r="F30" s="45" t="str">
        <x:v>主/招募狂欢!第31行</x:v>
      </x:c>
      <x:c r="G30" s="43"/>
      <x:c r="H30" s="43"/>
      <x:c r="I30" s="43"/>
      <x:c r="J30" s="43"/>
      <x:c r="K30" s="43"/>
      <x:c r="L30" s="43"/>
    </x:row>
    <x:row r="31" ht="42" customHeight="1">
      <x:c r="A31" s="45" t="str">
        <x:v>招募狂欢/第3轮</x:v>
      </x:c>
      <x:c r="B31" s="45" t="str">
        <x:v>进度奖励</x:v>
      </x:c>
      <x:c r="C31" s="45" t="n">
        <x:v>160</x:v>
      </x:c>
      <x:c r="D31" s="45" t="str">
        <x:v>梦境招募器 × 5；随机能量特饮 × 80</x:v>
      </x:c>
      <x:c r="E31" s="45" t="str">
        <x:v>阈值非现金成本；不可与同一资源返利重复计价</x:v>
      </x:c>
      <x:c r="F31" s="45" t="str">
        <x:v>主/招募狂欢!第32行</x:v>
      </x:c>
      <x:c r="G31" s="43"/>
      <x:c r="H31" s="43"/>
      <x:c r="I31" s="43"/>
      <x:c r="J31" s="43"/>
      <x:c r="K31" s="43"/>
      <x:c r="L31" s="43"/>
    </x:row>
    <x:row r="32" ht="42" customHeight="1">
      <x:c r="A32" s="45" t="str">
        <x:v>招募狂欢/第3轮</x:v>
      </x:c>
      <x:c r="B32" s="45" t="str">
        <x:v>进度奖励</x:v>
      </x:c>
      <x:c r="C32" s="45" t="n">
        <x:v>260</x:v>
      </x:c>
      <x:c r="D32" s="45" t="str">
        <x:v>梦境招募器 × 5；随机能量特饮 × 80</x:v>
      </x:c>
      <x:c r="E32" s="45" t="str">
        <x:v>阈值非现金成本；不可与同一资源返利重复计价</x:v>
      </x:c>
      <x:c r="F32" s="45" t="str">
        <x:v>主/招募狂欢!第33行</x:v>
      </x:c>
      <x:c r="G32" s="43"/>
      <x:c r="H32" s="43"/>
      <x:c r="I32" s="43"/>
      <x:c r="J32" s="43"/>
      <x:c r="K32" s="43"/>
      <x:c r="L32" s="43"/>
    </x:row>
    <x:row r="33" ht="42" customHeight="1">
      <x:c r="A33" s="45" t="str">
        <x:v>招募狂欢/第3轮</x:v>
      </x:c>
      <x:c r="B33" s="45" t="str">
        <x:v>进度奖励</x:v>
      </x:c>
      <x:c r="C33" s="45" t="n">
        <x:v>400</x:v>
      </x:c>
      <x:c r="D33" s="45" t="str">
        <x:v>梦境招募器 × 10；随机能量特饮 × 100</x:v>
      </x:c>
      <x:c r="E33" s="45" t="str">
        <x:v>阈值非现金成本；不可与同一资源返利重复计价</x:v>
      </x:c>
      <x:c r="F33" s="45" t="str">
        <x:v>主/招募狂欢!第34行</x:v>
      </x:c>
      <x:c r="G33" s="43"/>
      <x:c r="H33" s="43"/>
      <x:c r="I33" s="43"/>
      <x:c r="J33" s="43"/>
      <x:c r="K33" s="43"/>
      <x:c r="L33" s="43"/>
    </x:row>
    <x:row r="34" ht="42" customHeight="1">
      <x:c r="A34" s="45" t="str">
        <x:v>招募狂欢/第3轮</x:v>
      </x:c>
      <x:c r="B34" s="45" t="str">
        <x:v>进度奖励</x:v>
      </x:c>
      <x:c r="C34" s="45" t="n">
        <x:v>580</x:v>
      </x:c>
      <x:c r="D34" s="45" t="str">
        <x:v>梦境招募器 × 10；随机能量特饮 × 100</x:v>
      </x:c>
      <x:c r="E34" s="45" t="str">
        <x:v>阈值非现金成本；不可与同一资源返利重复计价</x:v>
      </x:c>
      <x:c r="F34" s="45" t="str">
        <x:v>主/招募狂欢!第35行</x:v>
      </x:c>
      <x:c r="G34" s="43"/>
      <x:c r="H34" s="43"/>
      <x:c r="I34" s="43"/>
      <x:c r="J34" s="43"/>
      <x:c r="K34" s="43"/>
      <x:c r="L34" s="43"/>
    </x:row>
    <x:row r="35" ht="42" customHeight="1">
      <x:c r="A35" s="45" t="str">
        <x:v>招募狂欢/第3轮</x:v>
      </x:c>
      <x:c r="B35" s="45" t="str">
        <x:v>进度奖励</x:v>
      </x:c>
      <x:c r="C35" s="45" t="n">
        <x:v>800</x:v>
      </x:c>
      <x:c r="D35" s="45" t="str">
        <x:v>梦境招募器 × 10；随机能量特饮 × 100</x:v>
      </x:c>
      <x:c r="E35" s="45" t="str">
        <x:v>阈值非现金成本；不可与同一资源返利重复计价</x:v>
      </x:c>
      <x:c r="F35" s="45" t="str">
        <x:v>主/招募狂欢!第36行</x:v>
      </x:c>
      <x:c r="G35" s="43"/>
      <x:c r="H35" s="43"/>
      <x:c r="I35" s="43"/>
      <x:c r="J35" s="43"/>
      <x:c r="K35" s="43"/>
      <x:c r="L35" s="43"/>
    </x:row>
    <x:row r="36" ht="42" customHeight="1">
      <x:c r="A36" s="45" t="str">
        <x:v>招募狂欢/第4轮</x:v>
      </x:c>
      <x:c r="B36" s="45" t="str">
        <x:v>进度奖励</x:v>
      </x:c>
      <x:c r="C36" s="45" t="n">
        <x:v>120</x:v>
      </x:c>
      <x:c r="D36" s="45" t="str">
        <x:v>梦境招募器 × 5；随机能量特饮 × 100</x:v>
      </x:c>
      <x:c r="E36" s="45" t="str">
        <x:v>阈值非现金成本；不可与同一资源返利重复计价</x:v>
      </x:c>
      <x:c r="F36" s="45" t="str">
        <x:v>主/招募狂欢!第40行</x:v>
      </x:c>
      <x:c r="G36" s="43"/>
      <x:c r="H36" s="43"/>
      <x:c r="I36" s="43"/>
      <x:c r="J36" s="43"/>
      <x:c r="K36" s="43"/>
      <x:c r="L36" s="43"/>
    </x:row>
    <x:row r="37" ht="42" customHeight="1">
      <x:c r="A37" s="45" t="str">
        <x:v>招募狂欢/第4轮</x:v>
      </x:c>
      <x:c r="B37" s="45" t="str">
        <x:v>进度奖励</x:v>
      </x:c>
      <x:c r="C37" s="45" t="n">
        <x:v>240</x:v>
      </x:c>
      <x:c r="D37" s="45" t="str">
        <x:v>梦境招募器 × 5；随机能量特饮 × 100</x:v>
      </x:c>
      <x:c r="E37" s="45" t="str">
        <x:v>阈值非现金成本；不可与同一资源返利重复计价</x:v>
      </x:c>
      <x:c r="F37" s="45" t="str">
        <x:v>主/招募狂欢!第41行</x:v>
      </x:c>
      <x:c r="G37" s="43"/>
      <x:c r="H37" s="43"/>
      <x:c r="I37" s="43"/>
      <x:c r="J37" s="43"/>
      <x:c r="K37" s="43"/>
      <x:c r="L37" s="43"/>
    </x:row>
    <x:row r="38" ht="42" customHeight="1">
      <x:c r="A38" s="45" t="str">
        <x:v>招募狂欢/第4轮</x:v>
      </x:c>
      <x:c r="B38" s="45" t="str">
        <x:v>进度奖励</x:v>
      </x:c>
      <x:c r="C38" s="45" t="n">
        <x:v>400</x:v>
      </x:c>
      <x:c r="D38" s="45" t="str">
        <x:v>梦境招募器 × 5；随机能量特饮 × 100</x:v>
      </x:c>
      <x:c r="E38" s="45" t="str">
        <x:v>阈值非现金成本；不可与同一资源返利重复计价</x:v>
      </x:c>
      <x:c r="F38" s="45" t="str">
        <x:v>主/招募狂欢!第42行</x:v>
      </x:c>
      <x:c r="G38" s="43"/>
      <x:c r="H38" s="43"/>
      <x:c r="I38" s="43"/>
      <x:c r="J38" s="43"/>
      <x:c r="K38" s="43"/>
      <x:c r="L38" s="43"/>
    </x:row>
    <x:row r="39" ht="42" customHeight="1">
      <x:c r="A39" s="45" t="str">
        <x:v>招募狂欢/第4轮</x:v>
      </x:c>
      <x:c r="B39" s="45" t="str">
        <x:v>进度奖励</x:v>
      </x:c>
      <x:c r="C39" s="45" t="n">
        <x:v>600</x:v>
      </x:c>
      <x:c r="D39" s="45" t="str">
        <x:v>梦境招募器 × 10；随机能量特饮 × 120</x:v>
      </x:c>
      <x:c r="E39" s="45" t="str">
        <x:v>阈值非现金成本；不可与同一资源返利重复计价</x:v>
      </x:c>
      <x:c r="F39" s="45" t="str">
        <x:v>主/招募狂欢!第43行</x:v>
      </x:c>
      <x:c r="G39" s="43"/>
      <x:c r="H39" s="43"/>
      <x:c r="I39" s="43"/>
      <x:c r="J39" s="43"/>
      <x:c r="K39" s="43"/>
      <x:c r="L39" s="43"/>
    </x:row>
    <x:row r="40" ht="42" customHeight="1">
      <x:c r="A40" s="45" t="str">
        <x:v>招募狂欢/第4轮</x:v>
      </x:c>
      <x:c r="B40" s="45" t="str">
        <x:v>进度奖励</x:v>
      </x:c>
      <x:c r="C40" s="45" t="n">
        <x:v>800</x:v>
      </x:c>
      <x:c r="D40" s="45" t="str">
        <x:v>梦境招募器 × 10；随机能量特饮 × 120</x:v>
      </x:c>
      <x:c r="E40" s="45" t="str">
        <x:v>阈值非现金成本；不可与同一资源返利重复计价</x:v>
      </x:c>
      <x:c r="F40" s="45" t="str">
        <x:v>主/招募狂欢!第44行</x:v>
      </x:c>
      <x:c r="G40" s="43"/>
      <x:c r="H40" s="43"/>
      <x:c r="I40" s="43"/>
      <x:c r="J40" s="43"/>
      <x:c r="K40" s="43"/>
      <x:c r="L40" s="43"/>
    </x:row>
    <x:row r="41" ht="42" customHeight="1">
      <x:c r="A41" s="45" t="str">
        <x:v>招募狂欢/第4轮</x:v>
      </x:c>
      <x:c r="B41" s="45" t="str">
        <x:v>进度奖励</x:v>
      </x:c>
      <x:c r="C41" s="45" t="n">
        <x:v>1200</x:v>
      </x:c>
      <x:c r="D41" s="45" t="str">
        <x:v>梦境招募器 × 10；随机能量特饮 × 120</x:v>
      </x:c>
      <x:c r="E41" s="45" t="str">
        <x:v>阈值非现金成本；不可与同一资源返利重复计价</x:v>
      </x:c>
      <x:c r="F41" s="45" t="str">
        <x:v>主/招募狂欢!第45行</x:v>
      </x:c>
      <x:c r="G41" s="43"/>
      <x:c r="H41" s="43"/>
      <x:c r="I41" s="43"/>
      <x:c r="J41" s="43"/>
      <x:c r="K41" s="43"/>
      <x:c r="L41" s="43"/>
    </x:row>
  </x:sheetData>
  <x:mergeCells>
    <x:mergeCell ref="A1:L1"/>
    <x:mergeCell ref="A2:L2"/>
    <x:mergeCell ref="A12:J12"/>
    <x:mergeCell ref="A16:F1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《梦境护卫队》橙卡试炼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来源：主/橙卡试炼活动!A2:S14｜免费和付费奖励独立；专属符文单价及17级第三奖励待核｜主方案优先，补充方案不覆盖主方案。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橙卡试炼</x:v>
      </x:c>
      <x:c r="C4" s="59"/>
      <x:c r="D4" s="57" t="str">
        <x:v>最终大奖条件说明</x:v>
      </x:c>
      <x:c r="E4" s="58" t="str">
        <x:v>按最终付费档/通关档直接计价</x:v>
      </x:c>
      <x:c r="F4" s="59"/>
      <x:c r="G4" s="57" t="str">
        <x:v>礼包数</x:v>
      </x:c>
      <x:c r="H4" s="58" t="n">
        <x:v>7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幻梦晶核×80；星辉秘契×30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4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n">
        <x:v>4388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44" t="str">
        <x:v>礼包/档位</x:v>
      </x:c>
      <x:c r="B8" s="44" t="str">
        <x:v>支付币种</x:v>
      </x:c>
      <x:c r="C8" s="44" t="str">
        <x:v>标价</x:v>
      </x:c>
      <x:c r="D8" s="44" t="str">
        <x:v>成本折钻</x:v>
      </x:c>
      <x:c r="E8" s="44" t="str">
        <x:v>奖励价值钻</x:v>
      </x:c>
      <x:c r="F8" s="44" t="str">
        <x:v>价值倍率</x:v>
      </x:c>
      <x:c r="G8" s="44" t="str">
        <x:v>重算折数</x:v>
      </x:c>
      <x:c r="H8" s="44" t="str">
        <x:v>原标注折数</x:v>
      </x:c>
      <x:c r="I8" s="44" t="str">
        <x:v>主要到手标的物</x:v>
      </x:c>
      <x:c r="J8" s="44" t="str">
        <x:v>限购</x:v>
      </x:c>
      <x:c r="K8" s="44" t="str">
        <x:v>到手判断</x:v>
      </x:c>
      <x:c r="L8" s="44" t="str">
        <x:v>来源</x:v>
      </x:c>
    </x:row>
    <x:row r="9" ht="42" customHeight="1">
      <x:c r="A9" s="45" t="str">
        <x:v>等级1付费奖励</x:v>
      </x:c>
      <x:c r="B9" s="45" t="str">
        <x:v>钻石</x:v>
      </x:c>
      <x:c r="C9" s="45" t="n">
        <x:v>688</x:v>
      </x:c>
      <x:c r="D9" s="67" t="n">
        <x:f>IF(ISNUMBER(C9),C9,"待核")</x:f>
        <x:v>688</x:v>
      </x:c>
      <x:c r="E9" s="67" t="n">
        <x:v>1600</x:v>
      </x:c>
      <x:c r="F9" s="67" t="n">
        <x:f>IF(AND(ISNUMBER(D9),ISNUMBER(E9),D9&gt;0),E9/D9,"待核")</x:f>
        <x:v>2.3255813953488373</x:v>
      </x:c>
      <x:c r="G9" s="63" t="n">
        <x:f>IF(AND(ISNUMBER(D9),ISNUMBER(E9),E9&gt;0),D9/E9*10,"待核")</x:f>
        <x:v>4.3</x:v>
      </x:c>
      <x:c r="H9" s="45"/>
      <x:c r="I9" s="45" t="str">
        <x:v>超能特饮×50；梦境招募器×50</x:v>
      </x:c>
      <x:c r="J9" s="45" t="n">
        <x:v>1</x:v>
      </x:c>
      <x:c r="K9" s="45" t="str">
        <x:v>明细规划</x:v>
      </x:c>
      <x:c r="L9" s="45" t="str">
        <x:v>主/橙卡试炼活动!第8行</x:v>
      </x:c>
    </x:row>
    <x:row r="10" ht="42" customHeight="1">
      <x:c r="A10" s="45" t="str">
        <x:v>等级5付费奖励</x:v>
      </x:c>
      <x:c r="B10" s="45" t="str">
        <x:v>钻石</x:v>
      </x:c>
      <x:c r="C10" s="45" t="n">
        <x:v>1688</x:v>
      </x:c>
      <x:c r="D10" s="67" t="n">
        <x:f>IF(ISNUMBER(C10),C10,"待核")</x:f>
        <x:v>1688</x:v>
      </x:c>
      <x:c r="E10" s="67" t="n">
        <x:v>3440</x:v>
      </x:c>
      <x:c r="F10" s="67" t="n">
        <x:f>IF(AND(ISNUMBER(D10),ISNUMBER(E10),D10&gt;0),E10/D10,"待核")</x:f>
        <x:v>2.037914691943128</x:v>
      </x:c>
      <x:c r="G10" s="63" t="n">
        <x:f>IF(AND(ISNUMBER(D10),ISNUMBER(E10),E10&gt;0),D10/E10*10,"待核")</x:f>
        <x:v>4.906976744186046</x:v>
      </x:c>
      <x:c r="H10" s="45"/>
      <x:c r="I10" s="45" t="str">
        <x:v>自选传说梦灵×1；梦境招募器×100；超能特饮×100</x:v>
      </x:c>
      <x:c r="J10" s="45" t="n">
        <x:v>1</x:v>
      </x:c>
      <x:c r="K10" s="45" t="str">
        <x:v>明细规划</x:v>
      </x:c>
      <x:c r="L10" s="45" t="str">
        <x:v>主/橙卡试炼活动!第9行</x:v>
      </x:c>
    </x:row>
    <x:row r="11" ht="42" customHeight="1">
      <x:c r="A11" s="45" t="str">
        <x:v>等级10付费奖励</x:v>
      </x:c>
      <x:c r="B11" s="45" t="str">
        <x:v>钻石</x:v>
      </x:c>
      <x:c r="C11" s="45" t="n">
        <x:v>2388</x:v>
      </x:c>
      <x:c r="D11" s="67" t="n">
        <x:f>IF(ISNUMBER(C11),C11,"待核")</x:f>
        <x:v>2388</x:v>
      </x:c>
      <x:c r="E11" s="67" t="str">
        <x:v>缺完整估值</x:v>
      </x:c>
      <x:c r="F11" s="67" t="str">
        <x:f>IF(AND(ISNUMBER(D11),ISNUMBER(E11),D11&gt;0),E11/D11,"待核")</x:f>
        <x:v>待核</x:v>
      </x:c>
      <x:c r="G11" s="63" t="str">
        <x:f>IF(AND(ISNUMBER(D11),ISNUMBER(E11),E11&gt;0),D11/E11*10,"待核")</x:f>
        <x:v>待核</x:v>
      </x:c>
      <x:c r="H11" s="45"/>
      <x:c r="I11" s="45" t="str">
        <x:v>自选传说梦灵×2；梦境招募器×150；传说梦灵随机珍稀符文×1</x:v>
      </x:c>
      <x:c r="J11" s="45" t="n">
        <x:v>1</x:v>
      </x:c>
      <x:c r="K11" s="45" t="str">
        <x:v>明细规划；估值缺失</x:v>
      </x:c>
      <x:c r="L11" s="45" t="str">
        <x:v>主/橙卡试炼活动!第10行</x:v>
      </x:c>
    </x:row>
    <x:row r="12" ht="42" customHeight="1">
      <x:c r="A12" s="45" t="str">
        <x:v>等级12付费奖励</x:v>
      </x:c>
      <x:c r="B12" s="45" t="str">
        <x:v>钻石</x:v>
      </x:c>
      <x:c r="C12" s="45" t="n">
        <x:v>2688</x:v>
      </x:c>
      <x:c r="D12" s="67" t="n">
        <x:f>IF(ISNUMBER(C12),C12,"待核")</x:f>
        <x:v>2688</x:v>
      </x:c>
      <x:c r="E12" s="67" t="str">
        <x:v>缺完整估值</x:v>
      </x:c>
      <x:c r="F12" s="67" t="str">
        <x:f>IF(AND(ISNUMBER(D12),ISNUMBER(E12),D12&gt;0),E12/D12,"待核")</x:f>
        <x:v>待核</x:v>
      </x:c>
      <x:c r="G12" s="63" t="str">
        <x:f>IF(AND(ISNUMBER(D12),ISNUMBER(E12),E12&gt;0),D12/E12*10,"待核")</x:f>
        <x:v>待核</x:v>
      </x:c>
      <x:c r="H12" s="45"/>
      <x:c r="I12" s="45" t="str">
        <x:v>自选传说梦灵×2；星辉秘契×5；传说梦灵随机稀世符文×1</x:v>
      </x:c>
      <x:c r="J12" s="45" t="n">
        <x:v>1</x:v>
      </x:c>
      <x:c r="K12" s="45" t="str">
        <x:v>明细规划；估值缺失</x:v>
      </x:c>
      <x:c r="L12" s="45" t="str">
        <x:v>主/橙卡试炼活动!第11行</x:v>
      </x:c>
    </x:row>
    <x:row r="13" ht="42" customHeight="1">
      <x:c r="A13" s="45" t="str">
        <x:v>等级15付费奖励</x:v>
      </x:c>
      <x:c r="B13" s="45" t="str">
        <x:v>钻石</x:v>
      </x:c>
      <x:c r="C13" s="45" t="n">
        <x:v>3088</x:v>
      </x:c>
      <x:c r="D13" s="67" t="n">
        <x:f>IF(ISNUMBER(C13),C13,"待核")</x:f>
        <x:v>3088</x:v>
      </x:c>
      <x:c r="E13" s="67" t="n">
        <x:v>3880</x:v>
      </x:c>
      <x:c r="F13" s="67" t="n">
        <x:f>IF(AND(ISNUMBER(D13),ISNUMBER(E13),D13&gt;0),E13/D13,"待核")</x:f>
        <x:v>1.2564766839378239</x:v>
      </x:c>
      <x:c r="G13" s="63" t="n">
        <x:f>IF(AND(ISNUMBER(D13),ISNUMBER(E13),E13&gt;0),D13/E13*10,"待核")</x:f>
        <x:v>7.958762886597937</x:v>
      </x:c>
      <x:c r="H13" s="45"/>
      <x:c r="I13" s="45" t="str">
        <x:v>随机神话梦灵×1；星辉秘契×10；超能特饮×300</x:v>
      </x:c>
      <x:c r="J13" s="45" t="n">
        <x:v>1</x:v>
      </x:c>
      <x:c r="K13" s="45" t="str">
        <x:v>明细规划；单价冲突</x:v>
      </x:c>
      <x:c r="L13" s="45" t="str">
        <x:v>主/橙卡试炼活动!第12行</x:v>
      </x:c>
    </x:row>
    <x:row r="14" ht="42" customHeight="1">
      <x:c r="A14" s="45" t="str">
        <x:v>等级17付费奖励</x:v>
      </x:c>
      <x:c r="B14" s="45" t="str">
        <x:v>钻石</x:v>
      </x:c>
      <x:c r="C14" s="45" t="n">
        <x:v>3288</x:v>
      </x:c>
      <x:c r="D14" s="67" t="n">
        <x:f>IF(ISNUMBER(C14),C14,"待核")</x:f>
        <x:v>3288</x:v>
      </x:c>
      <x:c r="E14" s="67" t="str">
        <x:v>缺完整估值</x:v>
      </x:c>
      <x:c r="F14" s="67" t="str">
        <x:f>IF(AND(ISNUMBER(D14),ISNUMBER(E14),D14&gt;0),E14/D14,"待核")</x:f>
        <x:v>待核</x:v>
      </x:c>
      <x:c r="G14" s="63" t="str">
        <x:f>IF(AND(ISNUMBER(D14),ISNUMBER(E14),E14&gt;0),D14/E14*10,"待核")</x:f>
        <x:v>待核</x:v>
      </x:c>
      <x:c r="H14" s="45"/>
      <x:c r="I14" s="45" t="str">
        <x:v>幻梦晶核×50；星辉秘契×20；【奖励名称缺失】×1</x:v>
      </x:c>
      <x:c r="J14" s="45" t="n">
        <x:v>1</x:v>
      </x:c>
      <x:c r="K14" s="45" t="str">
        <x:v>明细规划；估值缺失</x:v>
      </x:c>
      <x:c r="L14" s="45" t="str">
        <x:v>主/橙卡试炼活动!第13行</x:v>
      </x:c>
    </x:row>
    <x:row r="15" ht="42" customHeight="1">
      <x:c r="A15" s="45" t="str">
        <x:v>等级20付费奖励</x:v>
      </x:c>
      <x:c r="B15" s="45" t="str">
        <x:v>钻石</x:v>
      </x:c>
      <x:c r="C15" s="45" t="n">
        <x:v>4388</x:v>
      </x:c>
      <x:c r="D15" s="67" t="n">
        <x:f>IF(ISNUMBER(C15),C15,"待核")</x:f>
        <x:v>4388</x:v>
      </x:c>
      <x:c r="E15" s="67" t="n">
        <x:v>13200</x:v>
      </x:c>
      <x:c r="F15" s="67" t="n">
        <x:f>IF(AND(ISNUMBER(D15),ISNUMBER(E15),D15&gt;0),E15/D15,"待核")</x:f>
        <x:v>3.00820419325433</x:v>
      </x:c>
      <x:c r="G15" s="63" t="n">
        <x:f>IF(AND(ISNUMBER(D15),ISNUMBER(E15),E15&gt;0),D15/E15*10,"待核")</x:f>
        <x:v>3.324242424242424</x:v>
      </x:c>
      <x:c r="H15" s="45"/>
      <x:c r="I15" s="45" t="str">
        <x:v>幻梦晶核×80；星辉秘契×30</x:v>
      </x:c>
      <x:c r="J15" s="45" t="n">
        <x:v>1</x:v>
      </x:c>
      <x:c r="K15" s="45" t="str">
        <x:v>明细规划</x:v>
      </x:c>
      <x:c r="L15" s="45" t="str">
        <x:v>主/橙卡试炼活动!第14行</x:v>
      </x:c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</x:row>
    <x:row r="18">
      <x:c r="A18" s="64" t="str">
        <x:v>奖励明细：数量 × 统一道具单价</x:v>
      </x:c>
      <x:c r="B18" s="64"/>
      <x:c r="C18" s="64"/>
      <x:c r="D18" s="64"/>
      <x:c r="E18" s="64"/>
      <x:c r="F18" s="64"/>
      <x:c r="G18" s="64"/>
      <x:c r="H18" s="64"/>
      <x:c r="I18" s="64"/>
      <x:c r="J18" s="64"/>
      <x:c r="K18" s="43"/>
      <x:c r="L18" s="43"/>
    </x:row>
    <x:row r="19" ht="42" customHeight="1">
      <x:c r="A19" s="60" t="str">
        <x:v>礼包</x:v>
      </x:c>
      <x:c r="B19" s="60" t="str">
        <x:v>标的物</x:v>
      </x:c>
      <x:c r="C19" s="60" t="str">
        <x:v>数量</x:v>
      </x:c>
      <x:c r="D19" s="60" t="str">
        <x:v>统一单价钻</x:v>
      </x:c>
      <x:c r="E19" s="60" t="str">
        <x:v>活动单价钻</x:v>
      </x:c>
      <x:c r="F19" s="60" t="str">
        <x:v>奖励价值钻</x:v>
      </x:c>
      <x:c r="G19" s="60" t="str">
        <x:v>估值依据</x:v>
      </x:c>
      <x:c r="H19" s="60" t="str">
        <x:v>差异/缺失</x:v>
      </x:c>
      <x:c r="I19" s="60" t="str">
        <x:v>来源</x:v>
      </x:c>
      <x:c r="J19" s="60" t="str">
        <x:v>备注</x:v>
      </x:c>
      <x:c r="K19" s="43"/>
      <x:c r="L19" s="43"/>
    </x:row>
    <x:row r="20" ht="42" customHeight="1">
      <x:c r="A20" s="61" t="str">
        <x:v>等级1付费奖励</x:v>
      </x:c>
      <x:c r="B20" s="61" t="str">
        <x:v>超能特饮</x:v>
      </x:c>
      <x:c r="C20" s="62" t="n">
        <x:v>50</x:v>
      </x:c>
      <x:c r="D20" s="62" t="n">
        <x:v>2</x:v>
      </x:c>
      <x:c r="E20" s="62" t="str"/>
      <x:c r="F20" s="62" t="n">
        <x:f>IF(AND(ISNUMBER(C20),ISNUMBER(D20)),C20*D20,"待补")</x:f>
        <x:v>100</x:v>
      </x:c>
      <x:c r="G20" s="61" t="str">
        <x:v>统一道具字典</x:v>
      </x:c>
      <x:c r="H20" s="61" t="str"/>
      <x:c r="I20" s="61" t="str">
        <x:v>主/橙卡试炼活动!第8行</x:v>
      </x:c>
      <x:c r="J20" s="61" t="str">
        <x:v>统一字典优先</x:v>
      </x:c>
      <x:c r="K20" s="43"/>
      <x:c r="L20" s="43"/>
    </x:row>
    <x:row r="21" ht="42" customHeight="1">
      <x:c r="A21" s="61" t="str">
        <x:v>等级1付费奖励</x:v>
      </x:c>
      <x:c r="B21" s="61" t="str">
        <x:v>梦境招募器</x:v>
      </x:c>
      <x:c r="C21" s="62" t="n">
        <x:v>50</x:v>
      </x:c>
      <x:c r="D21" s="62" t="n">
        <x:v>30</x:v>
      </x:c>
      <x:c r="E21" s="62" t="str"/>
      <x:c r="F21" s="62" t="n">
        <x:f>IF(AND(ISNUMBER(C21),ISNUMBER(D21)),C21*D21,"待补")</x:f>
        <x:v>1500</x:v>
      </x:c>
      <x:c r="G21" s="61" t="str">
        <x:v>统一道具字典</x:v>
      </x:c>
      <x:c r="H21" s="61" t="str"/>
      <x:c r="I21" s="61" t="str">
        <x:v>主/橙卡试炼活动!第8行</x:v>
      </x:c>
      <x:c r="J21" s="61" t="str">
        <x:v>统一字典优先</x:v>
      </x:c>
      <x:c r="K21" s="43"/>
      <x:c r="L21" s="43"/>
    </x:row>
    <x:row r="22" ht="42" customHeight="1">
      <x:c r="A22" s="61" t="str">
        <x:v>等级5付费奖励</x:v>
      </x:c>
      <x:c r="B22" s="61" t="str">
        <x:v>自选传说梦灵</x:v>
      </x:c>
      <x:c r="C22" s="62" t="n">
        <x:v>1</x:v>
      </x:c>
      <x:c r="D22" s="62" t="n">
        <x:v>240</x:v>
      </x:c>
      <x:c r="E22" s="62" t="str"/>
      <x:c r="F22" s="62" t="n">
        <x:f>IF(AND(ISNUMBER(C22),ISNUMBER(D22)),C22*D22,"待补")</x:f>
        <x:v>240</x:v>
      </x:c>
      <x:c r="G22" s="61" t="str">
        <x:v>统一道具字典</x:v>
      </x:c>
      <x:c r="H22" s="61" t="str"/>
      <x:c r="I22" s="61" t="str">
        <x:v>主/橙卡试炼活动!第9行</x:v>
      </x:c>
      <x:c r="J22" s="61" t="str">
        <x:v>统一字典优先</x:v>
      </x:c>
      <x:c r="K22" s="43"/>
      <x:c r="L22" s="43"/>
    </x:row>
    <x:row r="23" ht="42" customHeight="1">
      <x:c r="A23" s="61" t="str">
        <x:v>等级5付费奖励</x:v>
      </x:c>
      <x:c r="B23" s="61" t="str">
        <x:v>梦境招募器</x:v>
      </x:c>
      <x:c r="C23" s="62" t="n">
        <x:v>100</x:v>
      </x:c>
      <x:c r="D23" s="62" t="n">
        <x:v>30</x:v>
      </x:c>
      <x:c r="E23" s="62" t="str"/>
      <x:c r="F23" s="62" t="n">
        <x:f>IF(AND(ISNUMBER(C23),ISNUMBER(D23)),C23*D23,"待补")</x:f>
        <x:v>3000</x:v>
      </x:c>
      <x:c r="G23" s="61" t="str">
        <x:v>统一道具字典</x:v>
      </x:c>
      <x:c r="H23" s="61" t="str"/>
      <x:c r="I23" s="61" t="str">
        <x:v>主/橙卡试炼活动!第9行</x:v>
      </x:c>
      <x:c r="J23" s="61" t="str">
        <x:v>统一字典优先</x:v>
      </x:c>
      <x:c r="K23" s="43"/>
      <x:c r="L23" s="43"/>
    </x:row>
    <x:row r="24" ht="42" customHeight="1">
      <x:c r="A24" s="61" t="str">
        <x:v>等级5付费奖励</x:v>
      </x:c>
      <x:c r="B24" s="61" t="str">
        <x:v>超能特饮</x:v>
      </x:c>
      <x:c r="C24" s="62" t="n">
        <x:v>100</x:v>
      </x:c>
      <x:c r="D24" s="62" t="n">
        <x:v>2</x:v>
      </x:c>
      <x:c r="E24" s="62" t="str"/>
      <x:c r="F24" s="62" t="n">
        <x:f>IF(AND(ISNUMBER(C24),ISNUMBER(D24)),C24*D24,"待补")</x:f>
        <x:v>200</x:v>
      </x:c>
      <x:c r="G24" s="61" t="str">
        <x:v>统一道具字典</x:v>
      </x:c>
      <x:c r="H24" s="61" t="str"/>
      <x:c r="I24" s="61" t="str">
        <x:v>主/橙卡试炼活动!第9行</x:v>
      </x:c>
      <x:c r="J24" s="61" t="str">
        <x:v>统一字典优先</x:v>
      </x:c>
      <x:c r="K24" s="43"/>
      <x:c r="L24" s="43"/>
    </x:row>
    <x:row r="25" ht="42" customHeight="1">
      <x:c r="A25" s="61" t="str">
        <x:v>等级10付费奖励</x:v>
      </x:c>
      <x:c r="B25" s="61" t="str">
        <x:v>自选传说梦灵</x:v>
      </x:c>
      <x:c r="C25" s="62" t="n">
        <x:v>2</x:v>
      </x:c>
      <x:c r="D25" s="62" t="n">
        <x:v>240</x:v>
      </x:c>
      <x:c r="E25" s="62" t="str"/>
      <x:c r="F25" s="62" t="n">
        <x:f>IF(AND(ISNUMBER(C25),ISNUMBER(D25)),C25*D25,"待补")</x:f>
        <x:v>480</x:v>
      </x:c>
      <x:c r="G25" s="61" t="str">
        <x:v>统一道具字典</x:v>
      </x:c>
      <x:c r="H25" s="61" t="str"/>
      <x:c r="I25" s="61" t="str">
        <x:v>主/橙卡试炼活动!第10行</x:v>
      </x:c>
      <x:c r="J25" s="61" t="str">
        <x:v>统一字典优先</x:v>
      </x:c>
      <x:c r="K25" s="43"/>
      <x:c r="L25" s="43"/>
    </x:row>
    <x:row r="26" ht="42" customHeight="1">
      <x:c r="A26" s="61" t="str">
        <x:v>等级10付费奖励</x:v>
      </x:c>
      <x:c r="B26" s="61" t="str">
        <x:v>梦境招募器</x:v>
      </x:c>
      <x:c r="C26" s="62" t="n">
        <x:v>150</x:v>
      </x:c>
      <x:c r="D26" s="62" t="n">
        <x:v>30</x:v>
      </x:c>
      <x:c r="E26" s="62" t="str"/>
      <x:c r="F26" s="62" t="n">
        <x:f>IF(AND(ISNUMBER(C26),ISNUMBER(D26)),C26*D26,"待补")</x:f>
        <x:v>4500</x:v>
      </x:c>
      <x:c r="G26" s="61" t="str">
        <x:v>统一道具字典</x:v>
      </x:c>
      <x:c r="H26" s="61" t="str"/>
      <x:c r="I26" s="61" t="str">
        <x:v>主/橙卡试炼活动!第10行</x:v>
      </x:c>
      <x:c r="J26" s="61" t="str">
        <x:v>统一字典优先</x:v>
      </x:c>
      <x:c r="K26" s="43"/>
      <x:c r="L26" s="43"/>
    </x:row>
    <x:row r="27" ht="42" customHeight="1">
      <x:c r="A27" s="61" t="str">
        <x:v>等级10付费奖励</x:v>
      </x:c>
      <x:c r="B27" s="61" t="str">
        <x:v>传说梦灵随机珍稀符文</x:v>
      </x:c>
      <x:c r="C27" s="62" t="n">
        <x:v>1</x:v>
      </x:c>
      <x:c r="D27" s="62" t="str">
        <x:v>待补</x:v>
      </x:c>
      <x:c r="E27" s="62" t="n">
        <x:v>2000</x:v>
      </x:c>
      <x:c r="F27" s="62" t="str">
        <x:f>IF(AND(ISNUMBER(C27),ISNUMBER(D27)),C27*D27,"待补")</x:f>
        <x:v>待补</x:v>
      </x:c>
      <x:c r="G27" s="61" t="str">
        <x:v>缺统一估值</x:v>
      </x:c>
      <x:c r="H27" s="61" t="str"/>
      <x:c r="I27" s="61" t="str">
        <x:v>主/橙卡试炼活动!第10行</x:v>
      </x:c>
      <x:c r="J27" s="61" t="str">
        <x:v>统一字典优先</x:v>
      </x:c>
      <x:c r="K27" s="43"/>
      <x:c r="L27" s="43"/>
    </x:row>
    <x:row r="28" ht="42" customHeight="1">
      <x:c r="A28" s="61" t="str">
        <x:v>等级12付费奖励</x:v>
      </x:c>
      <x:c r="B28" s="61" t="str">
        <x:v>自选传说梦灵</x:v>
      </x:c>
      <x:c r="C28" s="62" t="n">
        <x:v>2</x:v>
      </x:c>
      <x:c r="D28" s="62" t="n">
        <x:v>240</x:v>
      </x:c>
      <x:c r="E28" s="62" t="str"/>
      <x:c r="F28" s="62" t="n">
        <x:f>IF(AND(ISNUMBER(C28),ISNUMBER(D28)),C28*D28,"待补")</x:f>
        <x:v>480</x:v>
      </x:c>
      <x:c r="G28" s="61" t="str">
        <x:v>统一道具字典</x:v>
      </x:c>
      <x:c r="H28" s="61" t="str"/>
      <x:c r="I28" s="61" t="str">
        <x:v>主/橙卡试炼活动!第11行</x:v>
      </x:c>
      <x:c r="J28" s="61" t="str">
        <x:v>统一字典优先</x:v>
      </x:c>
      <x:c r="K28" s="43"/>
      <x:c r="L28" s="43"/>
    </x:row>
    <x:row r="29" ht="42" customHeight="1">
      <x:c r="A29" s="61" t="str">
        <x:v>等级12付费奖励</x:v>
      </x:c>
      <x:c r="B29" s="61" t="str">
        <x:v>星辉秘契</x:v>
      </x:c>
      <x:c r="C29" s="62" t="n">
        <x:v>5</x:v>
      </x:c>
      <x:c r="D29" s="62" t="n">
        <x:v>280</x:v>
      </x:c>
      <x:c r="E29" s="62" t="str"/>
      <x:c r="F29" s="62" t="n">
        <x:f>IF(AND(ISNUMBER(C29),ISNUMBER(D29)),C29*D29,"待补")</x:f>
        <x:v>1400</x:v>
      </x:c>
      <x:c r="G29" s="61" t="str">
        <x:v>统一道具字典</x:v>
      </x:c>
      <x:c r="H29" s="61" t="str"/>
      <x:c r="I29" s="61" t="str">
        <x:v>主/橙卡试炼活动!第11行</x:v>
      </x:c>
      <x:c r="J29" s="61" t="str">
        <x:v>统一字典优先</x:v>
      </x:c>
      <x:c r="K29" s="43"/>
      <x:c r="L29" s="43"/>
    </x:row>
    <x:row r="30" ht="42" customHeight="1">
      <x:c r="A30" s="61" t="str">
        <x:v>等级12付费奖励</x:v>
      </x:c>
      <x:c r="B30" s="61" t="str">
        <x:v>传说梦灵随机稀世符文</x:v>
      </x:c>
      <x:c r="C30" s="62" t="n">
        <x:v>1</x:v>
      </x:c>
      <x:c r="D30" s="62" t="str">
        <x:v>待补</x:v>
      </x:c>
      <x:c r="E30" s="62" t="n">
        <x:v>5000</x:v>
      </x:c>
      <x:c r="F30" s="62" t="str">
        <x:f>IF(AND(ISNUMBER(C30),ISNUMBER(D30)),C30*D30,"待补")</x:f>
        <x:v>待补</x:v>
      </x:c>
      <x:c r="G30" s="61" t="str">
        <x:v>缺统一估值</x:v>
      </x:c>
      <x:c r="H30" s="61" t="str"/>
      <x:c r="I30" s="61" t="str">
        <x:v>主/橙卡试炼活动!第11行</x:v>
      </x:c>
      <x:c r="J30" s="61" t="str">
        <x:v>统一字典优先</x:v>
      </x:c>
      <x:c r="K30" s="43"/>
      <x:c r="L30" s="43"/>
    </x:row>
    <x:row r="31" ht="42" customHeight="1">
      <x:c r="A31" s="61" t="str">
        <x:v>等级15付费奖励</x:v>
      </x:c>
      <x:c r="B31" s="61" t="str">
        <x:v>随机神话梦灵</x:v>
      </x:c>
      <x:c r="C31" s="62" t="n">
        <x:v>1</x:v>
      </x:c>
      <x:c r="D31" s="62" t="n">
        <x:v>480</x:v>
      </x:c>
      <x:c r="E31" s="62" t="n">
        <x:v>5000</x:v>
      </x:c>
      <x:c r="F31" s="62" t="n">
        <x:f>IF(AND(ISNUMBER(C31),ISNUMBER(D31)),C31*D31,"待补")</x:f>
        <x:v>480</x:v>
      </x:c>
      <x:c r="G31" s="61" t="str">
        <x:v>统一道具字典</x:v>
      </x:c>
      <x:c r="H31" s="61" t="str">
        <x:v>活动单价5000，统一字典480</x:v>
      </x:c>
      <x:c r="I31" s="61" t="str">
        <x:v>主/橙卡试炼活动!第12行</x:v>
      </x:c>
      <x:c r="J31" s="61" t="str">
        <x:v>统一字典优先</x:v>
      </x:c>
      <x:c r="K31" s="43"/>
      <x:c r="L31" s="43"/>
    </x:row>
    <x:row r="32" ht="42" customHeight="1">
      <x:c r="A32" s="61" t="str">
        <x:v>等级15付费奖励</x:v>
      </x:c>
      <x:c r="B32" s="61" t="str">
        <x:v>星辉秘契</x:v>
      </x:c>
      <x:c r="C32" s="62" t="n">
        <x:v>10</x:v>
      </x:c>
      <x:c r="D32" s="62" t="n">
        <x:v>280</x:v>
      </x:c>
      <x:c r="E32" s="62" t="str"/>
      <x:c r="F32" s="62" t="n">
        <x:f>IF(AND(ISNUMBER(C32),ISNUMBER(D32)),C32*D32,"待补")</x:f>
        <x:v>2800</x:v>
      </x:c>
      <x:c r="G32" s="61" t="str">
        <x:v>统一道具字典</x:v>
      </x:c>
      <x:c r="H32" s="61" t="str"/>
      <x:c r="I32" s="61" t="str">
        <x:v>主/橙卡试炼活动!第12行</x:v>
      </x:c>
      <x:c r="J32" s="61" t="str">
        <x:v>统一字典优先</x:v>
      </x:c>
      <x:c r="K32" s="43"/>
      <x:c r="L32" s="43"/>
    </x:row>
    <x:row r="33" ht="42" customHeight="1">
      <x:c r="A33" s="61" t="str">
        <x:v>等级15付费奖励</x:v>
      </x:c>
      <x:c r="B33" s="61" t="str">
        <x:v>超能特饮</x:v>
      </x:c>
      <x:c r="C33" s="62" t="n">
        <x:v>300</x:v>
      </x:c>
      <x:c r="D33" s="62" t="n">
        <x:v>2</x:v>
      </x:c>
      <x:c r="E33" s="62" t="str"/>
      <x:c r="F33" s="62" t="n">
        <x:f>IF(AND(ISNUMBER(C33),ISNUMBER(D33)),C33*D33,"待补")</x:f>
        <x:v>600</x:v>
      </x:c>
      <x:c r="G33" s="61" t="str">
        <x:v>统一道具字典</x:v>
      </x:c>
      <x:c r="H33" s="61" t="str"/>
      <x:c r="I33" s="61" t="str">
        <x:v>主/橙卡试炼活动!第12行</x:v>
      </x:c>
      <x:c r="J33" s="61" t="str">
        <x:v>统一字典优先</x:v>
      </x:c>
      <x:c r="K33" s="43"/>
      <x:c r="L33" s="43"/>
    </x:row>
    <x:row r="34" ht="42" customHeight="1">
      <x:c r="A34" s="61" t="str">
        <x:v>等级17付费奖励</x:v>
      </x:c>
      <x:c r="B34" s="61" t="str">
        <x:v>幻梦晶核</x:v>
      </x:c>
      <x:c r="C34" s="62" t="n">
        <x:v>50</x:v>
      </x:c>
      <x:c r="D34" s="62" t="n">
        <x:v>60</x:v>
      </x:c>
      <x:c r="E34" s="62" t="str"/>
      <x:c r="F34" s="62" t="n">
        <x:f>IF(AND(ISNUMBER(C34),ISNUMBER(D34)),C34*D34,"待补")</x:f>
        <x:v>3000</x:v>
      </x:c>
      <x:c r="G34" s="61" t="str">
        <x:v>统一道具字典</x:v>
      </x:c>
      <x:c r="H34" s="61" t="str"/>
      <x:c r="I34" s="61" t="str">
        <x:v>主/橙卡试炼活动!第13行</x:v>
      </x:c>
      <x:c r="J34" s="61" t="str">
        <x:v>统一字典优先</x:v>
      </x:c>
      <x:c r="K34" s="43"/>
      <x:c r="L34" s="43"/>
    </x:row>
    <x:row r="35" ht="42" customHeight="1">
      <x:c r="A35" s="61" t="str">
        <x:v>等级17付费奖励</x:v>
      </x:c>
      <x:c r="B35" s="61" t="str">
        <x:v>星辉秘契</x:v>
      </x:c>
      <x:c r="C35" s="62" t="n">
        <x:v>20</x:v>
      </x:c>
      <x:c r="D35" s="62" t="n">
        <x:v>280</x:v>
      </x:c>
      <x:c r="E35" s="62" t="str"/>
      <x:c r="F35" s="62" t="n">
        <x:f>IF(AND(ISNUMBER(C35),ISNUMBER(D35)),C35*D35,"待补")</x:f>
        <x:v>5600</x:v>
      </x:c>
      <x:c r="G35" s="61" t="str">
        <x:v>统一道具字典</x:v>
      </x:c>
      <x:c r="H35" s="61" t="str"/>
      <x:c r="I35" s="61" t="str">
        <x:v>主/橙卡试炼活动!第13行</x:v>
      </x:c>
      <x:c r="J35" s="61" t="str">
        <x:v>统一字典优先</x:v>
      </x:c>
      <x:c r="K35" s="43"/>
      <x:c r="L35" s="43"/>
    </x:row>
    <x:row r="36" ht="42" customHeight="1">
      <x:c r="A36" s="61" t="str">
        <x:v>等级17付费奖励</x:v>
      </x:c>
      <x:c r="B36" s="61" t="str">
        <x:v>【奖励名称缺失】</x:v>
      </x:c>
      <x:c r="C36" s="62" t="n">
        <x:v>1</x:v>
      </x:c>
      <x:c r="D36" s="62" t="str">
        <x:v>待补</x:v>
      </x:c>
      <x:c r="E36" s="62" t="str"/>
      <x:c r="F36" s="62" t="str">
        <x:f>IF(AND(ISNUMBER(C36),ISNUMBER(D36)),C36*D36,"待补")</x:f>
        <x:v>待补</x:v>
      </x:c>
      <x:c r="G36" s="61" t="str">
        <x:v>缺统一估值</x:v>
      </x:c>
      <x:c r="H36" s="61" t="str"/>
      <x:c r="I36" s="61" t="str">
        <x:v>主/橙卡试炼活动!第13行</x:v>
      </x:c>
      <x:c r="J36" s="61" t="str">
        <x:v>统一字典优先</x:v>
      </x:c>
      <x:c r="K36" s="43"/>
      <x:c r="L36" s="43"/>
    </x:row>
    <x:row r="37" ht="42" customHeight="1">
      <x:c r="A37" s="61" t="str">
        <x:v>等级20付费奖励</x:v>
      </x:c>
      <x:c r="B37" s="61" t="str">
        <x:v>幻梦晶核</x:v>
      </x:c>
      <x:c r="C37" s="62" t="n">
        <x:v>80</x:v>
      </x:c>
      <x:c r="D37" s="62" t="n">
        <x:v>60</x:v>
      </x:c>
      <x:c r="E37" s="62" t="str"/>
      <x:c r="F37" s="62" t="n">
        <x:f>IF(AND(ISNUMBER(C37),ISNUMBER(D37)),C37*D37,"待补")</x:f>
        <x:v>4800</x:v>
      </x:c>
      <x:c r="G37" s="61" t="str">
        <x:v>统一道具字典</x:v>
      </x:c>
      <x:c r="H37" s="61" t="str"/>
      <x:c r="I37" s="61" t="str">
        <x:v>主/橙卡试炼活动!第14行</x:v>
      </x:c>
      <x:c r="J37" s="61" t="str">
        <x:v>统一字典优先</x:v>
      </x:c>
      <x:c r="K37" s="43"/>
      <x:c r="L37" s="43"/>
    </x:row>
    <x:row r="38" ht="42" customHeight="1">
      <x:c r="A38" s="61" t="str">
        <x:v>等级20付费奖励</x:v>
      </x:c>
      <x:c r="B38" s="61" t="str">
        <x:v>星辉秘契</x:v>
      </x:c>
      <x:c r="C38" s="62" t="n">
        <x:v>30</x:v>
      </x:c>
      <x:c r="D38" s="62" t="n">
        <x:v>280</x:v>
      </x:c>
      <x:c r="E38" s="62" t="str"/>
      <x:c r="F38" s="62" t="n">
        <x:f>IF(AND(ISNUMBER(C38),ISNUMBER(D38)),C38*D38,"待补")</x:f>
        <x:v>8400</x:v>
      </x:c>
      <x:c r="G38" s="61" t="str">
        <x:v>统一道具字典</x:v>
      </x:c>
      <x:c r="H38" s="61" t="str"/>
      <x:c r="I38" s="61" t="str">
        <x:v>主/橙卡试炼活动!第14行</x:v>
      </x:c>
      <x:c r="J38" s="61" t="str">
        <x:v>统一字典优先</x:v>
      </x:c>
      <x:c r="K38" s="43"/>
      <x:c r="L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</x:row>
    <x:row r="41">
      <x:c r="A41" s="65" t="str">
        <x:v>活动节点与最终大奖判定</x:v>
      </x:c>
      <x:c r="B41" s="65"/>
      <x:c r="C41" s="65"/>
      <x:c r="D41" s="65"/>
      <x:c r="E41" s="65"/>
      <x:c r="F41" s="65"/>
      <x:c r="G41" s="43"/>
      <x:c r="H41" s="43"/>
      <x:c r="I41" s="43"/>
      <x:c r="J41" s="43"/>
      <x:c r="K41" s="43"/>
      <x:c r="L41" s="43"/>
    </x:row>
    <x:row r="42" ht="42" customHeight="1">
      <x:c r="A42" s="44" t="str">
        <x:v>轮次/节点</x:v>
      </x:c>
      <x:c r="B42" s="44" t="str">
        <x:v>节点类型</x:v>
      </x:c>
      <x:c r="C42" s="44" t="str">
        <x:v>阈值</x:v>
      </x:c>
      <x:c r="D42" s="44" t="str">
        <x:v>奖励</x:v>
      </x:c>
      <x:c r="E42" s="44" t="str">
        <x:v>到手成本判定</x:v>
      </x:c>
      <x:c r="F42" s="44" t="str">
        <x:v>来源</x:v>
      </x:c>
      <x:c r="G42" s="43"/>
      <x:c r="H42" s="43"/>
      <x:c r="I42" s="43"/>
      <x:c r="J42" s="43"/>
      <x:c r="K42" s="43"/>
      <x:c r="L42" s="43"/>
    </x:row>
    <x:row r="43" ht="42" customHeight="1">
      <x:c r="A43" s="45" t="str">
        <x:v>橙卡试炼活动</x:v>
      </x:c>
      <x:c r="B43" s="45" t="str">
        <x:v>免费奖励/等级</x:v>
      </x:c>
      <x:c r="C43" s="45" t="n">
        <x:v>1</x:v>
      </x:c>
      <x:c r="D43" s="45" t="str">
        <x:v>梦境招募器 × 5</x:v>
      </x:c>
      <x:c r="E43" s="45" t="str">
        <x:v>阈值非现金成本；不可与同一资源返利重复计价</x:v>
      </x:c>
      <x:c r="F43" s="45" t="str">
        <x:v>主/橙卡试炼活动!第8行</x:v>
      </x:c>
      <x:c r="G43" s="43"/>
      <x:c r="H43" s="43"/>
      <x:c r="I43" s="43"/>
      <x:c r="J43" s="43"/>
      <x:c r="K43" s="43"/>
      <x:c r="L43" s="43"/>
    </x:row>
    <x:row r="44" ht="42" customHeight="1">
      <x:c r="A44" s="45" t="str">
        <x:v>橙卡试炼活动</x:v>
      </x:c>
      <x:c r="B44" s="45" t="str">
        <x:v>免费奖励/等级</x:v>
      </x:c>
      <x:c r="C44" s="45" t="n">
        <x:v>5</x:v>
      </x:c>
      <x:c r="D44" s="45" t="str">
        <x:v>梦境招募器 × 10</x:v>
      </x:c>
      <x:c r="E44" s="45" t="str">
        <x:v>阈值非现金成本；不可与同一资源返利重复计价</x:v>
      </x:c>
      <x:c r="F44" s="45" t="str">
        <x:v>主/橙卡试炼活动!第9行</x:v>
      </x:c>
      <x:c r="G44" s="43"/>
      <x:c r="H44" s="43"/>
      <x:c r="I44" s="43"/>
      <x:c r="J44" s="43"/>
      <x:c r="K44" s="43"/>
      <x:c r="L44" s="43"/>
    </x:row>
    <x:row r="45" ht="42" customHeight="1">
      <x:c r="A45" s="45" t="str">
        <x:v>橙卡试炼活动</x:v>
      </x:c>
      <x:c r="B45" s="45" t="str">
        <x:v>免费奖励/等级</x:v>
      </x:c>
      <x:c r="C45" s="45" t="n">
        <x:v>10</x:v>
      </x:c>
      <x:c r="D45" s="45" t="str">
        <x:v>梦境招募器 × 15</x:v>
      </x:c>
      <x:c r="E45" s="45" t="str">
        <x:v>阈值非现金成本；不可与同一资源返利重复计价</x:v>
      </x:c>
      <x:c r="F45" s="45" t="str">
        <x:v>主/橙卡试炼活动!第10行</x:v>
      </x:c>
      <x:c r="G45" s="43"/>
      <x:c r="H45" s="43"/>
      <x:c r="I45" s="43"/>
      <x:c r="J45" s="43"/>
      <x:c r="K45" s="43"/>
      <x:c r="L45" s="43"/>
    </x:row>
    <x:row r="46" ht="42" customHeight="1">
      <x:c r="A46" s="45" t="str">
        <x:v>橙卡试炼活动</x:v>
      </x:c>
      <x:c r="B46" s="45" t="str">
        <x:v>免费奖励/等级</x:v>
      </x:c>
      <x:c r="C46" s="45" t="n">
        <x:v>12</x:v>
      </x:c>
      <x:c r="D46" s="45" t="str">
        <x:v>梦愿水晶 × 1</x:v>
      </x:c>
      <x:c r="E46" s="45" t="str">
        <x:v>阈值非现金成本；不可与同一资源返利重复计价</x:v>
      </x:c>
      <x:c r="F46" s="45" t="str">
        <x:v>主/橙卡试炼活动!第11行</x:v>
      </x:c>
      <x:c r="G46" s="43"/>
      <x:c r="H46" s="43"/>
      <x:c r="I46" s="43"/>
      <x:c r="J46" s="43"/>
      <x:c r="K46" s="43"/>
      <x:c r="L46" s="43"/>
    </x:row>
    <x:row r="47" ht="42" customHeight="1">
      <x:c r="A47" s="45" t="str">
        <x:v>橙卡试炼活动</x:v>
      </x:c>
      <x:c r="B47" s="45" t="str">
        <x:v>免费奖励/等级</x:v>
      </x:c>
      <x:c r="C47" s="45" t="n">
        <x:v>15</x:v>
      </x:c>
      <x:c r="D47" s="45" t="str">
        <x:v>随机橙色皮肤 × 1</x:v>
      </x:c>
      <x:c r="E47" s="45" t="str">
        <x:v>阈值非现金成本；不可与同一资源返利重复计价</x:v>
      </x:c>
      <x:c r="F47" s="45" t="str">
        <x:v>主/橙卡试炼活动!第12行</x:v>
      </x:c>
      <x:c r="G47" s="43"/>
      <x:c r="H47" s="43"/>
      <x:c r="I47" s="43"/>
      <x:c r="J47" s="43"/>
      <x:c r="K47" s="43"/>
      <x:c r="L47" s="43"/>
    </x:row>
    <x:row r="48" ht="42" customHeight="1">
      <x:c r="A48" s="45" t="str">
        <x:v>橙卡试炼活动</x:v>
      </x:c>
      <x:c r="B48" s="45" t="str">
        <x:v>免费奖励/等级</x:v>
      </x:c>
      <x:c r="C48" s="45" t="n">
        <x:v>17</x:v>
      </x:c>
      <x:c r="D48" s="45" t="str">
        <x:v>星辉秘契 × 2</x:v>
      </x:c>
      <x:c r="E48" s="45" t="str">
        <x:v>阈值非现金成本；不可与同一资源返利重复计价</x:v>
      </x:c>
      <x:c r="F48" s="45" t="str">
        <x:v>主/橙卡试炼活动!第13行</x:v>
      </x:c>
      <x:c r="G48" s="43"/>
      <x:c r="H48" s="43"/>
      <x:c r="I48" s="43"/>
      <x:c r="J48" s="43"/>
      <x:c r="K48" s="43"/>
      <x:c r="L48" s="43"/>
    </x:row>
    <x:row r="49" ht="42" customHeight="1">
      <x:c r="A49" s="45" t="str">
        <x:v>橙卡试炼活动</x:v>
      </x:c>
      <x:c r="B49" s="45" t="str">
        <x:v>免费奖励/等级</x:v>
      </x:c>
      <x:c r="C49" s="45" t="n">
        <x:v>20</x:v>
      </x:c>
      <x:c r="D49" s="45" t="str">
        <x:v>星辉秘契 × 3</x:v>
      </x:c>
      <x:c r="E49" s="45" t="str">
        <x:v>阈值非现金成本；不可与同一资源返利重复计价</x:v>
      </x:c>
      <x:c r="F49" s="45" t="str">
        <x:v>主/橙卡试炼活动!第14行</x:v>
      </x:c>
      <x:c r="G49" s="43"/>
      <x:c r="H49" s="43"/>
      <x:c r="I49" s="43"/>
      <x:c r="J49" s="43"/>
      <x:c r="K49" s="43"/>
      <x:c r="L49" s="43"/>
    </x:row>
  </x:sheetData>
  <x:mergeCells>
    <x:mergeCell ref="A1:L1"/>
    <x:mergeCell ref="A2:L2"/>
    <x:mergeCell ref="A18:J18"/>
    <x:mergeCell ref="A41:F4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《梦境护卫队》红卡试炼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来源：主/红卡试炼活动!A2:S15；优化总内容!A21:I21；路线图!O27｜不能定唯一上线日；主表规则文字仍写传说，目标品质待核｜主方案优先，补充方案不覆盖主方案。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红卡试炼</x:v>
      </x:c>
      <x:c r="C4" s="59"/>
      <x:c r="D4" s="57" t="str">
        <x:v>最终大奖条件说明</x:v>
      </x:c>
      <x:c r="E4" s="58" t="str">
        <x:v>按最终付费档/通关档直接计价</x:v>
      </x:c>
      <x:c r="F4" s="59"/>
      <x:c r="G4" s="57" t="str">
        <x:v>礼包数</x:v>
      </x:c>
      <x:c r="H4" s="58" t="n">
        <x:v>8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星辉秘契×30；梦境招募器×300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6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n">
        <x:v>7888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60" t="str">
        <x:v>礼包/档位</x:v>
      </x:c>
      <x:c r="B8" s="60" t="str">
        <x:v>支付币种</x:v>
      </x:c>
      <x:c r="C8" s="60" t="str">
        <x:v>标价</x:v>
      </x:c>
      <x:c r="D8" s="60" t="str">
        <x:v>成本折钻</x:v>
      </x:c>
      <x:c r="E8" s="60" t="str">
        <x:v>奖励价值钻</x:v>
      </x:c>
      <x:c r="F8" s="60" t="str">
        <x:v>价值倍率</x:v>
      </x:c>
      <x:c r="G8" s="60" t="str">
        <x:v>重算折数</x:v>
      </x:c>
      <x:c r="H8" s="60" t="str">
        <x:v>原标注折数</x:v>
      </x:c>
      <x:c r="I8" s="60" t="str">
        <x:v>主要到手标的物</x:v>
      </x:c>
      <x:c r="J8" s="60" t="str">
        <x:v>限购</x:v>
      </x:c>
      <x:c r="K8" s="60" t="str">
        <x:v>到手判断</x:v>
      </x:c>
      <x:c r="L8" s="60" t="str">
        <x:v>来源</x:v>
      </x:c>
    </x:row>
    <x:row r="9" ht="42" customHeight="1">
      <x:c r="A9" s="61" t="str">
        <x:v>等级1付费奖励</x:v>
      </x:c>
      <x:c r="B9" s="61" t="str">
        <x:v>钻石</x:v>
      </x:c>
      <x:c r="C9" s="61" t="n">
        <x:v>688</x:v>
      </x:c>
      <x:c r="D9" s="62" t="n">
        <x:f>IF(ISNUMBER(C9),C9,"待核")</x:f>
        <x:v>688</x:v>
      </x:c>
      <x:c r="E9" s="62" t="n">
        <x:v>1600</x:v>
      </x:c>
      <x:c r="F9" s="62" t="n">
        <x:f>IF(AND(ISNUMBER(D9),ISNUMBER(E9),D9&gt;0),E9/D9,"待核")</x:f>
        <x:v>2.3255813953488373</x:v>
      </x:c>
      <x:c r="G9" s="63" t="n">
        <x:f>IF(AND(ISNUMBER(D9),ISNUMBER(E9),E9&gt;0),D9/E9*10,"待核")</x:f>
        <x:v>4.3</x:v>
      </x:c>
      <x:c r="H9" s="61"/>
      <x:c r="I9" s="61" t="str">
        <x:v>超能特饮×50；梦境招募器×50</x:v>
      </x:c>
      <x:c r="J9" s="61" t="n">
        <x:v>1</x:v>
      </x:c>
      <x:c r="K9" s="61" t="str">
        <x:v>明细规划</x:v>
      </x:c>
      <x:c r="L9" s="61" t="str">
        <x:v>主/红卡试炼活动!第8行</x:v>
      </x:c>
    </x:row>
    <x:row r="10" ht="42" customHeight="1">
      <x:c r="A10" s="61" t="str">
        <x:v>等级5付费奖励</x:v>
      </x:c>
      <x:c r="B10" s="61" t="str">
        <x:v>钻石</x:v>
      </x:c>
      <x:c r="C10" s="61" t="n">
        <x:v>1688</x:v>
      </x:c>
      <x:c r="D10" s="62" t="n">
        <x:f>IF(ISNUMBER(C10),C10,"待核")</x:f>
        <x:v>1688</x:v>
      </x:c>
      <x:c r="E10" s="62" t="n">
        <x:v>3680</x:v>
      </x:c>
      <x:c r="F10" s="62" t="n">
        <x:f>IF(AND(ISNUMBER(D10),ISNUMBER(E10),D10&gt;0),E10/D10,"待核")</x:f>
        <x:v>2.1800947867298577</x:v>
      </x:c>
      <x:c r="G10" s="63" t="n">
        <x:f>IF(AND(ISNUMBER(D10),ISNUMBER(E10),E10&gt;0),D10/E10*10,"待核")</x:f>
        <x:v>4.586956521739131</x:v>
      </x:c>
      <x:c r="H10" s="61"/>
      <x:c r="I10" s="61" t="str">
        <x:v>自选神话梦灵×1；梦境招募器×100；超能特饮×100</x:v>
      </x:c>
      <x:c r="J10" s="61" t="n">
        <x:v>1</x:v>
      </x:c>
      <x:c r="K10" s="61" t="str">
        <x:v>明细规划</x:v>
      </x:c>
      <x:c r="L10" s="61" t="str">
        <x:v>主/红卡试炼活动!第9行</x:v>
      </x:c>
    </x:row>
    <x:row r="11" ht="42" customHeight="1">
      <x:c r="A11" s="61" t="str">
        <x:v>等级8付费奖励</x:v>
      </x:c>
      <x:c r="B11" s="61" t="str">
        <x:v>钻石</x:v>
      </x:c>
      <x:c r="C11" s="61" t="n">
        <x:v>1988</x:v>
      </x:c>
      <x:c r="D11" s="62" t="n">
        <x:f>IF(ISNUMBER(C11),C11,"待核")</x:f>
        <x:v>1988</x:v>
      </x:c>
      <x:c r="E11" s="62" t="n">
        <x:v>5860</x:v>
      </x:c>
      <x:c r="F11" s="62" t="n">
        <x:f>IF(AND(ISNUMBER(D11),ISNUMBER(E11),D11&gt;0),E11/D11,"待核")</x:f>
        <x:v>2.947686116700201</x:v>
      </x:c>
      <x:c r="G11" s="63" t="n">
        <x:f>IF(AND(ISNUMBER(D11),ISNUMBER(E11),E11&gt;0),D11/E11*10,"待核")</x:f>
        <x:v>3.392491467576792</x:v>
      </x:c>
      <x:c r="H11" s="61"/>
      <x:c r="I11" s="61" t="str">
        <x:v>自选神话梦灵×2；梦境招募器×150；超能特饮×200</x:v>
      </x:c>
      <x:c r="J11" s="61" t="n">
        <x:v>1</x:v>
      </x:c>
      <x:c r="K11" s="61" t="str">
        <x:v>明细规划</x:v>
      </x:c>
      <x:c r="L11" s="61" t="str">
        <x:v>主/红卡试炼活动!第10行</x:v>
      </x:c>
    </x:row>
    <x:row r="12" ht="42" customHeight="1">
      <x:c r="A12" s="61" t="str">
        <x:v>等级10付费奖励</x:v>
      </x:c>
      <x:c r="B12" s="61" t="str">
        <x:v>钻石</x:v>
      </x:c>
      <x:c r="C12" s="61" t="n">
        <x:v>3588</x:v>
      </x:c>
      <x:c r="D12" s="62" t="n">
        <x:f>IF(ISNUMBER(C12),C12,"待核")</x:f>
        <x:v>3588</x:v>
      </x:c>
      <x:c r="E12" s="62" t="str">
        <x:v>缺完整估值</x:v>
      </x:c>
      <x:c r="F12" s="62" t="str">
        <x:f>IF(AND(ISNUMBER(D12),ISNUMBER(E12),D12&gt;0),E12/D12,"待核")</x:f>
        <x:v>待核</x:v>
      </x:c>
      <x:c r="G12" s="63" t="str">
        <x:f>IF(AND(ISNUMBER(D12),ISNUMBER(E12),E12&gt;0),D12/E12*10,"待核")</x:f>
        <x:v>待核</x:v>
      </x:c>
      <x:c r="H12" s="61"/>
      <x:c r="I12" s="61" t="str">
        <x:v>自选神话梦灵×2；梦境招募器×200；神话梦灵随机珍稀符文×1</x:v>
      </x:c>
      <x:c r="J12" s="61" t="n">
        <x:v>1</x:v>
      </x:c>
      <x:c r="K12" s="61" t="str">
        <x:v>明细规划；估值缺失</x:v>
      </x:c>
      <x:c r="L12" s="61" t="str">
        <x:v>主/红卡试炼活动!第11行</x:v>
      </x:c>
    </x:row>
    <x:row r="13" ht="42" customHeight="1">
      <x:c r="A13" s="61" t="str">
        <x:v>等级12付费奖励</x:v>
      </x:c>
      <x:c r="B13" s="61" t="str">
        <x:v>钻石</x:v>
      </x:c>
      <x:c r="C13" s="61" t="n">
        <x:v>3688</x:v>
      </x:c>
      <x:c r="D13" s="62" t="n">
        <x:f>IF(ISNUMBER(C13),C13,"待核")</x:f>
        <x:v>3688</x:v>
      </x:c>
      <x:c r="E13" s="62" t="str">
        <x:v>缺完整估值</x:v>
      </x:c>
      <x:c r="F13" s="62" t="str">
        <x:f>IF(AND(ISNUMBER(D13),ISNUMBER(E13),D13&gt;0),E13/D13,"待核")</x:f>
        <x:v>待核</x:v>
      </x:c>
      <x:c r="G13" s="63" t="str">
        <x:f>IF(AND(ISNUMBER(D13),ISNUMBER(E13),E13&gt;0),D13/E13*10,"待核")</x:f>
        <x:v>待核</x:v>
      </x:c>
      <x:c r="H13" s="61"/>
      <x:c r="I13" s="61" t="str">
        <x:v>自选神话梦灵×1；星辉秘契×5；神话梦灵随机稀世符文×1</x:v>
      </x:c>
      <x:c r="J13" s="61" t="n">
        <x:v>1</x:v>
      </x:c>
      <x:c r="K13" s="61" t="str">
        <x:v>明细规划；估值缺失</x:v>
      </x:c>
      <x:c r="L13" s="61" t="str">
        <x:v>主/红卡试炼活动!第12行</x:v>
      </x:c>
    </x:row>
    <x:row r="14" ht="42" customHeight="1">
      <x:c r="A14" s="61" t="str">
        <x:v>等级15付费奖励</x:v>
      </x:c>
      <x:c r="B14" s="61" t="str">
        <x:v>钻石</x:v>
      </x:c>
      <x:c r="C14" s="61" t="n">
        <x:v>5688</x:v>
      </x:c>
      <x:c r="D14" s="62" t="n">
        <x:f>IF(ISNUMBER(C14),C14,"待核")</x:f>
        <x:v>5688</x:v>
      </x:c>
      <x:c r="E14" s="62" t="n">
        <x:v>11760</x:v>
      </x:c>
      <x:c r="F14" s="62" t="n">
        <x:f>IF(AND(ISNUMBER(D14),ISNUMBER(E14),D14&gt;0),E14/D14,"待核")</x:f>
        <x:v>2.067510548523207</x:v>
      </x:c>
      <x:c r="G14" s="63" t="n">
        <x:f>IF(AND(ISNUMBER(D14),ISNUMBER(E14),E14&gt;0),D14/E14*10,"待核")</x:f>
        <x:v>4.836734693877551</x:v>
      </x:c>
      <x:c r="H14" s="61"/>
      <x:c r="I14" s="61" t="str">
        <x:v>自选神话梦灵×2；星辉秘契×10；自选神话梦灵皮肤×1</x:v>
      </x:c>
      <x:c r="J14" s="61" t="n">
        <x:v>1</x:v>
      </x:c>
      <x:c r="K14" s="61" t="str">
        <x:v>明细规划</x:v>
      </x:c>
      <x:c r="L14" s="61" t="str">
        <x:v>主/红卡试炼活动!第13行</x:v>
      </x:c>
    </x:row>
    <x:row r="15" ht="42" customHeight="1">
      <x:c r="A15" s="61" t="str">
        <x:v>等级17付费奖励</x:v>
      </x:c>
      <x:c r="B15" s="61" t="str">
        <x:v>钻石</x:v>
      </x:c>
      <x:c r="C15" s="61" t="n">
        <x:v>5888</x:v>
      </x:c>
      <x:c r="D15" s="62" t="n">
        <x:f>IF(ISNUMBER(C15),C15,"待核")</x:f>
        <x:v>5888</x:v>
      </x:c>
      <x:c r="E15" s="62" t="n">
        <x:v>14600</x:v>
      </x:c>
      <x:c r="F15" s="62" t="n">
        <x:f>IF(AND(ISNUMBER(D15),ISNUMBER(E15),D15&gt;0),E15/D15,"待核")</x:f>
        <x:v>2.479619565217391</x:v>
      </x:c>
      <x:c r="G15" s="63" t="n">
        <x:f>IF(AND(ISNUMBER(D15),ISNUMBER(E15),E15&gt;0),D15/E15*10,"待核")</x:f>
        <x:v>4.032876712328767</x:v>
      </x:c>
      <x:c r="H15" s="61"/>
      <x:c r="I15" s="61" t="str">
        <x:v>幻梦晶核×150；星辉秘契×20</x:v>
      </x:c>
      <x:c r="J15" s="61" t="n">
        <x:v>1</x:v>
      </x:c>
      <x:c r="K15" s="61" t="str">
        <x:v>明细规划</x:v>
      </x:c>
      <x:c r="L15" s="61" t="str">
        <x:v>主/红卡试炼活动!第14行</x:v>
      </x:c>
    </x:row>
    <x:row r="16" ht="42" customHeight="1">
      <x:c r="A16" s="61" t="str">
        <x:v>等级20付费奖励</x:v>
      </x:c>
      <x:c r="B16" s="61" t="str">
        <x:v>钻石</x:v>
      </x:c>
      <x:c r="C16" s="61" t="n">
        <x:v>7888</x:v>
      </x:c>
      <x:c r="D16" s="62" t="n">
        <x:f>IF(ISNUMBER(C16),C16,"待核")</x:f>
        <x:v>7888</x:v>
      </x:c>
      <x:c r="E16" s="62" t="n">
        <x:v>17400</x:v>
      </x:c>
      <x:c r="F16" s="62" t="n">
        <x:f>IF(AND(ISNUMBER(D16),ISNUMBER(E16),D16&gt;0),E16/D16,"待核")</x:f>
        <x:v>2.2058823529411766</x:v>
      </x:c>
      <x:c r="G16" s="63" t="n">
        <x:f>IF(AND(ISNUMBER(D16),ISNUMBER(E16),E16&gt;0),D16/E16*10,"待核")</x:f>
        <x:v>4.533333333333333</x:v>
      </x:c>
      <x:c r="H16" s="61"/>
      <x:c r="I16" s="61" t="str">
        <x:v>星辉秘契×30；梦境招募器×300</x:v>
      </x:c>
      <x:c r="J16" s="61" t="n">
        <x:v>1</x:v>
      </x:c>
      <x:c r="K16" s="61" t="str">
        <x:v>明细规划</x:v>
      </x:c>
      <x:c r="L16" s="61" t="str">
        <x:v>主/红卡试炼活动!第15行</x:v>
      </x:c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</x:row>
    <x:row r="19">
      <x:c r="A19" s="64" t="str">
        <x:v>奖励明细：数量 × 统一道具单价</x:v>
      </x:c>
      <x:c r="B19" s="64"/>
      <x:c r="C19" s="64"/>
      <x:c r="D19" s="64"/>
      <x:c r="E19" s="64"/>
      <x:c r="F19" s="64"/>
      <x:c r="G19" s="64"/>
      <x:c r="H19" s="64"/>
      <x:c r="I19" s="64"/>
      <x:c r="J19" s="64"/>
      <x:c r="K19" s="43"/>
      <x:c r="L19" s="43"/>
    </x:row>
    <x:row r="20" ht="42" customHeight="1">
      <x:c r="A20" s="44" t="str">
        <x:v>礼包</x:v>
      </x:c>
      <x:c r="B20" s="44" t="str">
        <x:v>标的物</x:v>
      </x:c>
      <x:c r="C20" s="44" t="str">
        <x:v>数量</x:v>
      </x:c>
      <x:c r="D20" s="44" t="str">
        <x:v>统一单价钻</x:v>
      </x:c>
      <x:c r="E20" s="44" t="str">
        <x:v>活动单价钻</x:v>
      </x:c>
      <x:c r="F20" s="44" t="str">
        <x:v>奖励价值钻</x:v>
      </x:c>
      <x:c r="G20" s="44" t="str">
        <x:v>估值依据</x:v>
      </x:c>
      <x:c r="H20" s="44" t="str">
        <x:v>差异/缺失</x:v>
      </x:c>
      <x:c r="I20" s="44" t="str">
        <x:v>来源</x:v>
      </x:c>
      <x:c r="J20" s="44" t="str">
        <x:v>备注</x:v>
      </x:c>
      <x:c r="K20" s="43"/>
      <x:c r="L20" s="43"/>
    </x:row>
    <x:row r="21" ht="42" customHeight="1">
      <x:c r="A21" s="45" t="str">
        <x:v>等级1付费奖励</x:v>
      </x:c>
      <x:c r="B21" s="45" t="str">
        <x:v>超能特饮</x:v>
      </x:c>
      <x:c r="C21" s="67" t="n">
        <x:v>50</x:v>
      </x:c>
      <x:c r="D21" s="67" t="n">
        <x:v>2</x:v>
      </x:c>
      <x:c r="E21" s="67" t="str"/>
      <x:c r="F21" s="67" t="n">
        <x:f>IF(AND(ISNUMBER(C21),ISNUMBER(D21)),C21*D21,"待补")</x:f>
        <x:v>100</x:v>
      </x:c>
      <x:c r="G21" s="45" t="str">
        <x:v>统一道具字典</x:v>
      </x:c>
      <x:c r="H21" s="45" t="str"/>
      <x:c r="I21" s="45" t="str">
        <x:v>主/红卡试炼活动!第8行</x:v>
      </x:c>
      <x:c r="J21" s="45" t="str">
        <x:v>统一字典优先</x:v>
      </x:c>
      <x:c r="K21" s="43"/>
      <x:c r="L21" s="43"/>
    </x:row>
    <x:row r="22" ht="42" customHeight="1">
      <x:c r="A22" s="45" t="str">
        <x:v>等级1付费奖励</x:v>
      </x:c>
      <x:c r="B22" s="45" t="str">
        <x:v>梦境招募器</x:v>
      </x:c>
      <x:c r="C22" s="67" t="n">
        <x:v>50</x:v>
      </x:c>
      <x:c r="D22" s="67" t="n">
        <x:v>30</x:v>
      </x:c>
      <x:c r="E22" s="67" t="str"/>
      <x:c r="F22" s="67" t="n">
        <x:f>IF(AND(ISNUMBER(C22),ISNUMBER(D22)),C22*D22,"待补")</x:f>
        <x:v>1500</x:v>
      </x:c>
      <x:c r="G22" s="45" t="str">
        <x:v>统一道具字典</x:v>
      </x:c>
      <x:c r="H22" s="45" t="str"/>
      <x:c r="I22" s="45" t="str">
        <x:v>主/红卡试炼活动!第8行</x:v>
      </x:c>
      <x:c r="J22" s="45" t="str">
        <x:v>统一字典优先</x:v>
      </x:c>
      <x:c r="K22" s="43"/>
      <x:c r="L22" s="43"/>
    </x:row>
    <x:row r="23" ht="42" customHeight="1">
      <x:c r="A23" s="45" t="str">
        <x:v>等级5付费奖励</x:v>
      </x:c>
      <x:c r="B23" s="45" t="str">
        <x:v>自选神话梦灵</x:v>
      </x:c>
      <x:c r="C23" s="67" t="n">
        <x:v>1</x:v>
      </x:c>
      <x:c r="D23" s="67" t="n">
        <x:v>480</x:v>
      </x:c>
      <x:c r="E23" s="67" t="str"/>
      <x:c r="F23" s="67" t="n">
        <x:f>IF(AND(ISNUMBER(C23),ISNUMBER(D23)),C23*D23,"待补")</x:f>
        <x:v>480</x:v>
      </x:c>
      <x:c r="G23" s="45" t="str">
        <x:v>统一道具字典</x:v>
      </x:c>
      <x:c r="H23" s="45" t="str"/>
      <x:c r="I23" s="45" t="str">
        <x:v>主/红卡试炼活动!第9行</x:v>
      </x:c>
      <x:c r="J23" s="45" t="str">
        <x:v>统一字典优先</x:v>
      </x:c>
      <x:c r="K23" s="43"/>
      <x:c r="L23" s="43"/>
    </x:row>
    <x:row r="24" ht="42" customHeight="1">
      <x:c r="A24" s="45" t="str">
        <x:v>等级5付费奖励</x:v>
      </x:c>
      <x:c r="B24" s="45" t="str">
        <x:v>梦境招募器</x:v>
      </x:c>
      <x:c r="C24" s="67" t="n">
        <x:v>100</x:v>
      </x:c>
      <x:c r="D24" s="67" t="n">
        <x:v>30</x:v>
      </x:c>
      <x:c r="E24" s="67" t="str"/>
      <x:c r="F24" s="67" t="n">
        <x:f>IF(AND(ISNUMBER(C24),ISNUMBER(D24)),C24*D24,"待补")</x:f>
        <x:v>3000</x:v>
      </x:c>
      <x:c r="G24" s="45" t="str">
        <x:v>统一道具字典</x:v>
      </x:c>
      <x:c r="H24" s="45" t="str"/>
      <x:c r="I24" s="45" t="str">
        <x:v>主/红卡试炼活动!第9行</x:v>
      </x:c>
      <x:c r="J24" s="45" t="str">
        <x:v>统一字典优先</x:v>
      </x:c>
      <x:c r="K24" s="43"/>
      <x:c r="L24" s="43"/>
    </x:row>
    <x:row r="25" ht="42" customHeight="1">
      <x:c r="A25" s="45" t="str">
        <x:v>等级5付费奖励</x:v>
      </x:c>
      <x:c r="B25" s="45" t="str">
        <x:v>超能特饮</x:v>
      </x:c>
      <x:c r="C25" s="67" t="n">
        <x:v>100</x:v>
      </x:c>
      <x:c r="D25" s="67" t="n">
        <x:v>2</x:v>
      </x:c>
      <x:c r="E25" s="67" t="str"/>
      <x:c r="F25" s="67" t="n">
        <x:f>IF(AND(ISNUMBER(C25),ISNUMBER(D25)),C25*D25,"待补")</x:f>
        <x:v>200</x:v>
      </x:c>
      <x:c r="G25" s="45" t="str">
        <x:v>统一道具字典</x:v>
      </x:c>
      <x:c r="H25" s="45" t="str"/>
      <x:c r="I25" s="45" t="str">
        <x:v>主/红卡试炼活动!第9行</x:v>
      </x:c>
      <x:c r="J25" s="45" t="str">
        <x:v>统一字典优先</x:v>
      </x:c>
      <x:c r="K25" s="43"/>
      <x:c r="L25" s="43"/>
    </x:row>
    <x:row r="26" ht="42" customHeight="1">
      <x:c r="A26" s="45" t="str">
        <x:v>等级8付费奖励</x:v>
      </x:c>
      <x:c r="B26" s="45" t="str">
        <x:v>自选神话梦灵</x:v>
      </x:c>
      <x:c r="C26" s="67" t="n">
        <x:v>2</x:v>
      </x:c>
      <x:c r="D26" s="67" t="n">
        <x:v>480</x:v>
      </x:c>
      <x:c r="E26" s="67" t="str"/>
      <x:c r="F26" s="67" t="n">
        <x:f>IF(AND(ISNUMBER(C26),ISNUMBER(D26)),C26*D26,"待补")</x:f>
        <x:v>960</x:v>
      </x:c>
      <x:c r="G26" s="45" t="str">
        <x:v>统一道具字典</x:v>
      </x:c>
      <x:c r="H26" s="45" t="str"/>
      <x:c r="I26" s="45" t="str">
        <x:v>主/红卡试炼活动!第10行</x:v>
      </x:c>
      <x:c r="J26" s="45" t="str">
        <x:v>统一字典优先</x:v>
      </x:c>
      <x:c r="K26" s="43"/>
      <x:c r="L26" s="43"/>
    </x:row>
    <x:row r="27" ht="42" customHeight="1">
      <x:c r="A27" s="45" t="str">
        <x:v>等级8付费奖励</x:v>
      </x:c>
      <x:c r="B27" s="45" t="str">
        <x:v>梦境招募器</x:v>
      </x:c>
      <x:c r="C27" s="67" t="n">
        <x:v>150</x:v>
      </x:c>
      <x:c r="D27" s="67" t="n">
        <x:v>30</x:v>
      </x:c>
      <x:c r="E27" s="67" t="str"/>
      <x:c r="F27" s="67" t="n">
        <x:f>IF(AND(ISNUMBER(C27),ISNUMBER(D27)),C27*D27,"待补")</x:f>
        <x:v>4500</x:v>
      </x:c>
      <x:c r="G27" s="45" t="str">
        <x:v>统一道具字典</x:v>
      </x:c>
      <x:c r="H27" s="45" t="str"/>
      <x:c r="I27" s="45" t="str">
        <x:v>主/红卡试炼活动!第10行</x:v>
      </x:c>
      <x:c r="J27" s="45" t="str">
        <x:v>统一字典优先</x:v>
      </x:c>
      <x:c r="K27" s="43"/>
      <x:c r="L27" s="43"/>
    </x:row>
    <x:row r="28" ht="42" customHeight="1">
      <x:c r="A28" s="45" t="str">
        <x:v>等级8付费奖励</x:v>
      </x:c>
      <x:c r="B28" s="45" t="str">
        <x:v>超能特饮</x:v>
      </x:c>
      <x:c r="C28" s="67" t="n">
        <x:v>200</x:v>
      </x:c>
      <x:c r="D28" s="67" t="n">
        <x:v>2</x:v>
      </x:c>
      <x:c r="E28" s="67" t="str"/>
      <x:c r="F28" s="67" t="n">
        <x:f>IF(AND(ISNUMBER(C28),ISNUMBER(D28)),C28*D28,"待补")</x:f>
        <x:v>400</x:v>
      </x:c>
      <x:c r="G28" s="45" t="str">
        <x:v>统一道具字典</x:v>
      </x:c>
      <x:c r="H28" s="45" t="str"/>
      <x:c r="I28" s="45" t="str">
        <x:v>主/红卡试炼活动!第10行</x:v>
      </x:c>
      <x:c r="J28" s="45" t="str">
        <x:v>统一字典优先</x:v>
      </x:c>
      <x:c r="K28" s="43"/>
      <x:c r="L28" s="43"/>
    </x:row>
    <x:row r="29" ht="42" customHeight="1">
      <x:c r="A29" s="45" t="str">
        <x:v>等级10付费奖励</x:v>
      </x:c>
      <x:c r="B29" s="45" t="str">
        <x:v>自选神话梦灵</x:v>
      </x:c>
      <x:c r="C29" s="67" t="n">
        <x:v>2</x:v>
      </x:c>
      <x:c r="D29" s="67" t="n">
        <x:v>480</x:v>
      </x:c>
      <x:c r="E29" s="67" t="str"/>
      <x:c r="F29" s="67" t="n">
        <x:f>IF(AND(ISNUMBER(C29),ISNUMBER(D29)),C29*D29,"待补")</x:f>
        <x:v>960</x:v>
      </x:c>
      <x:c r="G29" s="45" t="str">
        <x:v>统一道具字典</x:v>
      </x:c>
      <x:c r="H29" s="45" t="str"/>
      <x:c r="I29" s="45" t="str">
        <x:v>主/红卡试炼活动!第11行</x:v>
      </x:c>
      <x:c r="J29" s="45" t="str">
        <x:v>统一字典优先</x:v>
      </x:c>
      <x:c r="K29" s="43"/>
      <x:c r="L29" s="43"/>
    </x:row>
    <x:row r="30" ht="42" customHeight="1">
      <x:c r="A30" s="45" t="str">
        <x:v>等级10付费奖励</x:v>
      </x:c>
      <x:c r="B30" s="45" t="str">
        <x:v>梦境招募器</x:v>
      </x:c>
      <x:c r="C30" s="67" t="n">
        <x:v>200</x:v>
      </x:c>
      <x:c r="D30" s="67" t="n">
        <x:v>30</x:v>
      </x:c>
      <x:c r="E30" s="67" t="str"/>
      <x:c r="F30" s="67" t="n">
        <x:f>IF(AND(ISNUMBER(C30),ISNUMBER(D30)),C30*D30,"待补")</x:f>
        <x:v>6000</x:v>
      </x:c>
      <x:c r="G30" s="45" t="str">
        <x:v>统一道具字典</x:v>
      </x:c>
      <x:c r="H30" s="45" t="str"/>
      <x:c r="I30" s="45" t="str">
        <x:v>主/红卡试炼活动!第11行</x:v>
      </x:c>
      <x:c r="J30" s="45" t="str">
        <x:v>统一字典优先</x:v>
      </x:c>
      <x:c r="K30" s="43"/>
      <x:c r="L30" s="43"/>
    </x:row>
    <x:row r="31" ht="42" customHeight="1">
      <x:c r="A31" s="45" t="str">
        <x:v>等级10付费奖励</x:v>
      </x:c>
      <x:c r="B31" s="45" t="str">
        <x:v>神话梦灵随机珍稀符文</x:v>
      </x:c>
      <x:c r="C31" s="67" t="n">
        <x:v>1</x:v>
      </x:c>
      <x:c r="D31" s="67" t="str">
        <x:v>待补</x:v>
      </x:c>
      <x:c r="E31" s="67" t="n">
        <x:v>3000</x:v>
      </x:c>
      <x:c r="F31" s="67" t="str">
        <x:f>IF(AND(ISNUMBER(C31),ISNUMBER(D31)),C31*D31,"待补")</x:f>
        <x:v>待补</x:v>
      </x:c>
      <x:c r="G31" s="45" t="str">
        <x:v>缺统一估值</x:v>
      </x:c>
      <x:c r="H31" s="45" t="str"/>
      <x:c r="I31" s="45" t="str">
        <x:v>主/红卡试炼活动!第11行</x:v>
      </x:c>
      <x:c r="J31" s="45" t="str">
        <x:v>统一字典优先</x:v>
      </x:c>
      <x:c r="K31" s="43"/>
      <x:c r="L31" s="43"/>
    </x:row>
    <x:row r="32" ht="42" customHeight="1">
      <x:c r="A32" s="45" t="str">
        <x:v>等级12付费奖励</x:v>
      </x:c>
      <x:c r="B32" s="45" t="str">
        <x:v>自选神话梦灵</x:v>
      </x:c>
      <x:c r="C32" s="67" t="n">
        <x:v>1</x:v>
      </x:c>
      <x:c r="D32" s="67" t="n">
        <x:v>480</x:v>
      </x:c>
      <x:c r="E32" s="67" t="str"/>
      <x:c r="F32" s="67" t="n">
        <x:f>IF(AND(ISNUMBER(C32),ISNUMBER(D32)),C32*D32,"待补")</x:f>
        <x:v>480</x:v>
      </x:c>
      <x:c r="G32" s="45" t="str">
        <x:v>统一道具字典</x:v>
      </x:c>
      <x:c r="H32" s="45" t="str"/>
      <x:c r="I32" s="45" t="str">
        <x:v>主/红卡试炼活动!第12行</x:v>
      </x:c>
      <x:c r="J32" s="45" t="str">
        <x:v>统一字典优先</x:v>
      </x:c>
      <x:c r="K32" s="43"/>
      <x:c r="L32" s="43"/>
    </x:row>
    <x:row r="33" ht="42" customHeight="1">
      <x:c r="A33" s="45" t="str">
        <x:v>等级12付费奖励</x:v>
      </x:c>
      <x:c r="B33" s="45" t="str">
        <x:v>星辉秘契</x:v>
      </x:c>
      <x:c r="C33" s="67" t="n">
        <x:v>5</x:v>
      </x:c>
      <x:c r="D33" s="67" t="n">
        <x:v>280</x:v>
      </x:c>
      <x:c r="E33" s="67" t="str"/>
      <x:c r="F33" s="67" t="n">
        <x:f>IF(AND(ISNUMBER(C33),ISNUMBER(D33)),C33*D33,"待补")</x:f>
        <x:v>1400</x:v>
      </x:c>
      <x:c r="G33" s="45" t="str">
        <x:v>统一道具字典</x:v>
      </x:c>
      <x:c r="H33" s="45" t="str"/>
      <x:c r="I33" s="45" t="str">
        <x:v>主/红卡试炼活动!第12行</x:v>
      </x:c>
      <x:c r="J33" s="45" t="str">
        <x:v>统一字典优先</x:v>
      </x:c>
      <x:c r="K33" s="43"/>
      <x:c r="L33" s="43"/>
    </x:row>
    <x:row r="34" ht="42" customHeight="1">
      <x:c r="A34" s="45" t="str">
        <x:v>等级12付费奖励</x:v>
      </x:c>
      <x:c r="B34" s="45" t="str">
        <x:v>神话梦灵随机稀世符文</x:v>
      </x:c>
      <x:c r="C34" s="67" t="n">
        <x:v>1</x:v>
      </x:c>
      <x:c r="D34" s="67" t="str">
        <x:v>待补</x:v>
      </x:c>
      <x:c r="E34" s="67" t="n">
        <x:v>6000</x:v>
      </x:c>
      <x:c r="F34" s="67" t="str">
        <x:f>IF(AND(ISNUMBER(C34),ISNUMBER(D34)),C34*D34,"待补")</x:f>
        <x:v>待补</x:v>
      </x:c>
      <x:c r="G34" s="45" t="str">
        <x:v>缺统一估值</x:v>
      </x:c>
      <x:c r="H34" s="45" t="str"/>
      <x:c r="I34" s="45" t="str">
        <x:v>主/红卡试炼活动!第12行</x:v>
      </x:c>
      <x:c r="J34" s="45" t="str">
        <x:v>统一字典优先</x:v>
      </x:c>
      <x:c r="K34" s="43"/>
      <x:c r="L34" s="43"/>
    </x:row>
    <x:row r="35" ht="42" customHeight="1">
      <x:c r="A35" s="45" t="str">
        <x:v>等级15付费奖励</x:v>
      </x:c>
      <x:c r="B35" s="45" t="str">
        <x:v>自选神话梦灵</x:v>
      </x:c>
      <x:c r="C35" s="67" t="n">
        <x:v>2</x:v>
      </x:c>
      <x:c r="D35" s="67" t="n">
        <x:v>480</x:v>
      </x:c>
      <x:c r="E35" s="67" t="str"/>
      <x:c r="F35" s="67" t="n">
        <x:f>IF(AND(ISNUMBER(C35),ISNUMBER(D35)),C35*D35,"待补")</x:f>
        <x:v>960</x:v>
      </x:c>
      <x:c r="G35" s="45" t="str">
        <x:v>统一道具字典</x:v>
      </x:c>
      <x:c r="H35" s="45" t="str"/>
      <x:c r="I35" s="45" t="str">
        <x:v>主/红卡试炼活动!第13行</x:v>
      </x:c>
      <x:c r="J35" s="45" t="str">
        <x:v>统一字典优先</x:v>
      </x:c>
      <x:c r="K35" s="43"/>
      <x:c r="L35" s="43"/>
    </x:row>
    <x:row r="36" ht="42" customHeight="1">
      <x:c r="A36" s="45" t="str">
        <x:v>等级15付费奖励</x:v>
      </x:c>
      <x:c r="B36" s="45" t="str">
        <x:v>星辉秘契</x:v>
      </x:c>
      <x:c r="C36" s="67" t="n">
        <x:v>10</x:v>
      </x:c>
      <x:c r="D36" s="67" t="n">
        <x:v>280</x:v>
      </x:c>
      <x:c r="E36" s="67" t="str"/>
      <x:c r="F36" s="67" t="n">
        <x:f>IF(AND(ISNUMBER(C36),ISNUMBER(D36)),C36*D36,"待补")</x:f>
        <x:v>2800</x:v>
      </x:c>
      <x:c r="G36" s="45" t="str">
        <x:v>统一道具字典</x:v>
      </x:c>
      <x:c r="H36" s="45" t="str"/>
      <x:c r="I36" s="45" t="str">
        <x:v>主/红卡试炼活动!第13行</x:v>
      </x:c>
      <x:c r="J36" s="45" t="str">
        <x:v>统一字典优先</x:v>
      </x:c>
      <x:c r="K36" s="43"/>
      <x:c r="L36" s="43"/>
    </x:row>
    <x:row r="37" ht="42" customHeight="1">
      <x:c r="A37" s="45" t="str">
        <x:v>等级15付费奖励</x:v>
      </x:c>
      <x:c r="B37" s="45" t="str">
        <x:v>自选神话梦灵皮肤</x:v>
      </x:c>
      <x:c r="C37" s="67" t="n">
        <x:v>1</x:v>
      </x:c>
      <x:c r="D37" s="67" t="n">
        <x:v>8000</x:v>
      </x:c>
      <x:c r="E37" s="67" t="n">
        <x:v>8000</x:v>
      </x:c>
      <x:c r="F37" s="67" t="n">
        <x:f>IF(AND(ISNUMBER(C37),ISNUMBER(D37)),C37*D37,"待补")</x:f>
        <x:v>8000</x:v>
      </x:c>
      <x:c r="G37" s="45" t="str">
        <x:v>统一道具字典</x:v>
      </x:c>
      <x:c r="H37" s="45" t="str"/>
      <x:c r="I37" s="45" t="str">
        <x:v>主/红卡试炼活动!第13行</x:v>
      </x:c>
      <x:c r="J37" s="45" t="str">
        <x:v>统一字典优先</x:v>
      </x:c>
      <x:c r="K37" s="43"/>
      <x:c r="L37" s="43"/>
    </x:row>
    <x:row r="38" ht="42" customHeight="1">
      <x:c r="A38" s="45" t="str">
        <x:v>等级17付费奖励</x:v>
      </x:c>
      <x:c r="B38" s="45" t="str">
        <x:v>幻梦晶核</x:v>
      </x:c>
      <x:c r="C38" s="67" t="n">
        <x:v>150</x:v>
      </x:c>
      <x:c r="D38" s="67" t="n">
        <x:v>60</x:v>
      </x:c>
      <x:c r="E38" s="67" t="str"/>
      <x:c r="F38" s="67" t="n">
        <x:f>IF(AND(ISNUMBER(C38),ISNUMBER(D38)),C38*D38,"待补")</x:f>
        <x:v>9000</x:v>
      </x:c>
      <x:c r="G38" s="45" t="str">
        <x:v>统一道具字典</x:v>
      </x:c>
      <x:c r="H38" s="45" t="str"/>
      <x:c r="I38" s="45" t="str">
        <x:v>主/红卡试炼活动!第14行</x:v>
      </x:c>
      <x:c r="J38" s="45" t="str">
        <x:v>统一字典优先</x:v>
      </x:c>
      <x:c r="K38" s="43"/>
      <x:c r="L38" s="43"/>
    </x:row>
    <x:row r="39" ht="42" customHeight="1">
      <x:c r="A39" s="45" t="str">
        <x:v>等级17付费奖励</x:v>
      </x:c>
      <x:c r="B39" s="45" t="str">
        <x:v>星辉秘契</x:v>
      </x:c>
      <x:c r="C39" s="67" t="n">
        <x:v>20</x:v>
      </x:c>
      <x:c r="D39" s="67" t="n">
        <x:v>280</x:v>
      </x:c>
      <x:c r="E39" s="67" t="str"/>
      <x:c r="F39" s="67" t="n">
        <x:f>IF(AND(ISNUMBER(C39),ISNUMBER(D39)),C39*D39,"待补")</x:f>
        <x:v>5600</x:v>
      </x:c>
      <x:c r="G39" s="45" t="str">
        <x:v>统一道具字典</x:v>
      </x:c>
      <x:c r="H39" s="45" t="str"/>
      <x:c r="I39" s="45" t="str">
        <x:v>主/红卡试炼活动!第14行</x:v>
      </x:c>
      <x:c r="J39" s="45" t="str">
        <x:v>统一字典优先</x:v>
      </x:c>
      <x:c r="K39" s="43"/>
      <x:c r="L39" s="43"/>
    </x:row>
    <x:row r="40" ht="42" customHeight="1">
      <x:c r="A40" s="45" t="str">
        <x:v>等级20付费奖励</x:v>
      </x:c>
      <x:c r="B40" s="45" t="str">
        <x:v>星辉秘契</x:v>
      </x:c>
      <x:c r="C40" s="67" t="n">
        <x:v>30</x:v>
      </x:c>
      <x:c r="D40" s="67" t="n">
        <x:v>280</x:v>
      </x:c>
      <x:c r="E40" s="67" t="str"/>
      <x:c r="F40" s="67" t="n">
        <x:f>IF(AND(ISNUMBER(C40),ISNUMBER(D40)),C40*D40,"待补")</x:f>
        <x:v>8400</x:v>
      </x:c>
      <x:c r="G40" s="45" t="str">
        <x:v>统一道具字典</x:v>
      </x:c>
      <x:c r="H40" s="45" t="str"/>
      <x:c r="I40" s="45" t="str">
        <x:v>主/红卡试炼活动!第15行</x:v>
      </x:c>
      <x:c r="J40" s="45" t="str">
        <x:v>统一字典优先</x:v>
      </x:c>
      <x:c r="K40" s="43"/>
      <x:c r="L40" s="43"/>
    </x:row>
    <x:row r="41" ht="42" customHeight="1">
      <x:c r="A41" s="45" t="str">
        <x:v>等级20付费奖励</x:v>
      </x:c>
      <x:c r="B41" s="45" t="str">
        <x:v>梦境招募器</x:v>
      </x:c>
      <x:c r="C41" s="67" t="n">
        <x:v>300</x:v>
      </x:c>
      <x:c r="D41" s="67" t="n">
        <x:v>30</x:v>
      </x:c>
      <x:c r="E41" s="67" t="str"/>
      <x:c r="F41" s="67" t="n">
        <x:f>IF(AND(ISNUMBER(C41),ISNUMBER(D41)),C41*D41,"待补")</x:f>
        <x:v>9000</x:v>
      </x:c>
      <x:c r="G41" s="45" t="str">
        <x:v>统一道具字典</x:v>
      </x:c>
      <x:c r="H41" s="45" t="str"/>
      <x:c r="I41" s="45" t="str">
        <x:v>主/红卡试炼活动!第15行</x:v>
      </x:c>
      <x:c r="J41" s="45" t="str">
        <x:v>统一字典优先</x:v>
      </x:c>
      <x:c r="K41" s="43"/>
      <x:c r="L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</x:row>
    <x:row r="44">
      <x:c r="A44" s="65" t="str">
        <x:v>活动节点与最终大奖判定</x:v>
      </x:c>
      <x:c r="B44" s="65"/>
      <x:c r="C44" s="65"/>
      <x:c r="D44" s="65"/>
      <x:c r="E44" s="65"/>
      <x:c r="F44" s="65"/>
      <x:c r="G44" s="43"/>
      <x:c r="H44" s="43"/>
      <x:c r="I44" s="43"/>
      <x:c r="J44" s="43"/>
      <x:c r="K44" s="43"/>
      <x:c r="L44" s="43"/>
    </x:row>
    <x:row r="45" ht="42" customHeight="1">
      <x:c r="A45" s="44" t="str">
        <x:v>轮次/节点</x:v>
      </x:c>
      <x:c r="B45" s="44" t="str">
        <x:v>节点类型</x:v>
      </x:c>
      <x:c r="C45" s="44" t="str">
        <x:v>阈值</x:v>
      </x:c>
      <x:c r="D45" s="44" t="str">
        <x:v>奖励</x:v>
      </x:c>
      <x:c r="E45" s="44" t="str">
        <x:v>到手成本判定</x:v>
      </x:c>
      <x:c r="F45" s="44" t="str">
        <x:v>来源</x:v>
      </x:c>
      <x:c r="G45" s="43"/>
      <x:c r="H45" s="43"/>
      <x:c r="I45" s="43"/>
      <x:c r="J45" s="43"/>
      <x:c r="K45" s="43"/>
      <x:c r="L45" s="43"/>
    </x:row>
    <x:row r="46" ht="42" customHeight="1">
      <x:c r="A46" s="45" t="str">
        <x:v>红卡试炼活动</x:v>
      </x:c>
      <x:c r="B46" s="45" t="str">
        <x:v>免费奖励/等级</x:v>
      </x:c>
      <x:c r="C46" s="45" t="n">
        <x:v>1</x:v>
      </x:c>
      <x:c r="D46" s="45" t="str">
        <x:v>梦境招募器 × 5</x:v>
      </x:c>
      <x:c r="E46" s="45" t="str">
        <x:v>阈值非现金成本；不可与同一资源返利重复计价</x:v>
      </x:c>
      <x:c r="F46" s="45" t="str">
        <x:v>主/红卡试炼活动!第8行</x:v>
      </x:c>
      <x:c r="G46" s="43"/>
      <x:c r="H46" s="43"/>
      <x:c r="I46" s="43"/>
      <x:c r="J46" s="43"/>
      <x:c r="K46" s="43"/>
      <x:c r="L46" s="43"/>
    </x:row>
    <x:row r="47" ht="42" customHeight="1">
      <x:c r="A47" s="45" t="str">
        <x:v>红卡试炼活动</x:v>
      </x:c>
      <x:c r="B47" s="45" t="str">
        <x:v>免费奖励/等级</x:v>
      </x:c>
      <x:c r="C47" s="45" t="n">
        <x:v>5</x:v>
      </x:c>
      <x:c r="D47" s="45" t="str">
        <x:v>梦境招募器 × 10</x:v>
      </x:c>
      <x:c r="E47" s="45" t="str">
        <x:v>阈值非现金成本；不可与同一资源返利重复计价</x:v>
      </x:c>
      <x:c r="F47" s="45" t="str">
        <x:v>主/红卡试炼活动!第9行</x:v>
      </x:c>
      <x:c r="G47" s="43"/>
      <x:c r="H47" s="43"/>
      <x:c r="I47" s="43"/>
      <x:c r="J47" s="43"/>
      <x:c r="K47" s="43"/>
      <x:c r="L47" s="43"/>
    </x:row>
    <x:row r="48" ht="42" customHeight="1">
      <x:c r="A48" s="45" t="str">
        <x:v>红卡试炼活动</x:v>
      </x:c>
      <x:c r="B48" s="45" t="str">
        <x:v>免费奖励/等级</x:v>
      </x:c>
      <x:c r="C48" s="45" t="n">
        <x:v>8</x:v>
      </x:c>
      <x:c r="D48" s="45" t="str">
        <x:v>传说祝福石 × 1</x:v>
      </x:c>
      <x:c r="E48" s="45" t="str">
        <x:v>阈值非现金成本；不可与同一资源返利重复计价</x:v>
      </x:c>
      <x:c r="F48" s="45" t="str">
        <x:v>主/红卡试炼活动!第10行</x:v>
      </x:c>
      <x:c r="G48" s="43"/>
      <x:c r="H48" s="43"/>
      <x:c r="I48" s="43"/>
      <x:c r="J48" s="43"/>
      <x:c r="K48" s="43"/>
      <x:c r="L48" s="43"/>
    </x:row>
    <x:row r="49" ht="42" customHeight="1">
      <x:c r="A49" s="45" t="str">
        <x:v>红卡试炼活动</x:v>
      </x:c>
      <x:c r="B49" s="45" t="str">
        <x:v>免费奖励/等级</x:v>
      </x:c>
      <x:c r="C49" s="45" t="n">
        <x:v>10</x:v>
      </x:c>
      <x:c r="D49" s="45" t="str">
        <x:v>梦境招募器 × 15</x:v>
      </x:c>
      <x:c r="E49" s="45" t="str">
        <x:v>阈值非现金成本；不可与同一资源返利重复计价</x:v>
      </x:c>
      <x:c r="F49" s="45" t="str">
        <x:v>主/红卡试炼活动!第11行</x:v>
      </x:c>
      <x:c r="G49" s="43"/>
      <x:c r="H49" s="43"/>
      <x:c r="I49" s="43"/>
      <x:c r="J49" s="43"/>
      <x:c r="K49" s="43"/>
      <x:c r="L49" s="43"/>
    </x:row>
    <x:row r="50" ht="42" customHeight="1">
      <x:c r="A50" s="45" t="str">
        <x:v>红卡试炼活动</x:v>
      </x:c>
      <x:c r="B50" s="45" t="str">
        <x:v>免费奖励/等级</x:v>
      </x:c>
      <x:c r="C50" s="45" t="n">
        <x:v>12</x:v>
      </x:c>
      <x:c r="D50" s="45" t="str">
        <x:v>梦愿水晶 × 1</x:v>
      </x:c>
      <x:c r="E50" s="45" t="str">
        <x:v>阈值非现金成本；不可与同一资源返利重复计价</x:v>
      </x:c>
      <x:c r="F50" s="45" t="str">
        <x:v>主/红卡试炼活动!第12行</x:v>
      </x:c>
      <x:c r="G50" s="43"/>
      <x:c r="H50" s="43"/>
      <x:c r="I50" s="43"/>
      <x:c r="J50" s="43"/>
      <x:c r="K50" s="43"/>
      <x:c r="L50" s="43"/>
    </x:row>
    <x:row r="51" ht="42" customHeight="1">
      <x:c r="A51" s="45" t="str">
        <x:v>红卡试炼活动</x:v>
      </x:c>
      <x:c r="B51" s="45" t="str">
        <x:v>免费奖励/等级</x:v>
      </x:c>
      <x:c r="C51" s="45" t="n">
        <x:v>15</x:v>
      </x:c>
      <x:c r="D51" s="45" t="str">
        <x:v>星辉秘契 × 2</x:v>
      </x:c>
      <x:c r="E51" s="45" t="str">
        <x:v>阈值非现金成本；不可与同一资源返利重复计价</x:v>
      </x:c>
      <x:c r="F51" s="45" t="str">
        <x:v>主/红卡试炼活动!第13行</x:v>
      </x:c>
      <x:c r="G51" s="43"/>
      <x:c r="H51" s="43"/>
      <x:c r="I51" s="43"/>
      <x:c r="J51" s="43"/>
      <x:c r="K51" s="43"/>
      <x:c r="L51" s="43"/>
    </x:row>
    <x:row r="52" ht="42" customHeight="1">
      <x:c r="A52" s="45" t="str">
        <x:v>红卡试炼活动</x:v>
      </x:c>
      <x:c r="B52" s="45" t="str">
        <x:v>免费奖励/等级</x:v>
      </x:c>
      <x:c r="C52" s="45" t="n">
        <x:v>17</x:v>
      </x:c>
      <x:c r="D52" s="45" t="str">
        <x:v>星辉秘契 × 2</x:v>
      </x:c>
      <x:c r="E52" s="45" t="str">
        <x:v>阈值非现金成本；不可与同一资源返利重复计价</x:v>
      </x:c>
      <x:c r="F52" s="45" t="str">
        <x:v>主/红卡试炼活动!第14行</x:v>
      </x:c>
      <x:c r="G52" s="43"/>
      <x:c r="H52" s="43"/>
      <x:c r="I52" s="43"/>
      <x:c r="J52" s="43"/>
      <x:c r="K52" s="43"/>
      <x:c r="L52" s="43"/>
    </x:row>
    <x:row r="53" ht="42" customHeight="1">
      <x:c r="A53" s="45" t="str">
        <x:v>红卡试炼活动</x:v>
      </x:c>
      <x:c r="B53" s="45" t="str">
        <x:v>免费奖励/等级</x:v>
      </x:c>
      <x:c r="C53" s="45" t="n">
        <x:v>20</x:v>
      </x:c>
      <x:c r="D53" s="45" t="str">
        <x:v>星辉秘契 × 3</x:v>
      </x:c>
      <x:c r="E53" s="45" t="str">
        <x:v>阈值非现金成本；不可与同一资源返利重复计价</x:v>
      </x:c>
      <x:c r="F53" s="45" t="str">
        <x:v>主/红卡试炼活动!第15行</x:v>
      </x:c>
      <x:c r="G53" s="43"/>
      <x:c r="H53" s="43"/>
      <x:c r="I53" s="43"/>
      <x:c r="J53" s="43"/>
      <x:c r="K53" s="43"/>
      <x:c r="L53" s="43"/>
    </x:row>
  </x:sheetData>
  <x:mergeCells>
    <x:mergeCell ref="A1:L1"/>
    <x:mergeCell ref="A2:L2"/>
    <x:mergeCell ref="A19:J19"/>
    <x:mergeCell ref="A44:F4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《梦境护卫队》月光炼梦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来源：主/月光炼梦!A6:S79｜10轮，每轮8—10抽出大奖；最少/最多成本是边界，不是期望；3天/7天任务冲突｜主方案优先，补充方案不覆盖主方案。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月光炼梦</x:v>
      </x:c>
      <x:c r="C4" s="59"/>
      <x:c r="D4" s="57" t="str">
        <x:v>最终大奖条件说明</x:v>
      </x:c>
      <x:c r="E4" s="58" t="str">
        <x:v>条件下限：10轮最少314魔药×120钻；最大成本与概率待核</x:v>
      </x:c>
      <x:c r="F4" s="59"/>
      <x:c r="G4" s="57" t="str">
        <x:v>礼包数</x:v>
      </x:c>
      <x:c r="H4" s="58" t="n">
        <x:v>3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炼梦宝箱/当期大奖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3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n">
        <x:v>37680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44" t="str">
        <x:v>礼包/档位</x:v>
      </x:c>
      <x:c r="B8" s="44" t="str">
        <x:v>支付币种</x:v>
      </x:c>
      <x:c r="C8" s="44" t="str">
        <x:v>标价</x:v>
      </x:c>
      <x:c r="D8" s="44" t="str">
        <x:v>成本折钻</x:v>
      </x:c>
      <x:c r="E8" s="44" t="str">
        <x:v>奖励价值钻</x:v>
      </x:c>
      <x:c r="F8" s="44" t="str">
        <x:v>价值倍率</x:v>
      </x:c>
      <x:c r="G8" s="44" t="str">
        <x:v>重算折数</x:v>
      </x:c>
      <x:c r="H8" s="44" t="str">
        <x:v>原标注折数</x:v>
      </x:c>
      <x:c r="I8" s="44" t="str">
        <x:v>主要到手标的物</x:v>
      </x:c>
      <x:c r="J8" s="44" t="str">
        <x:v>限购</x:v>
      </x:c>
      <x:c r="K8" s="44" t="str">
        <x:v>到手判断</x:v>
      </x:c>
      <x:c r="L8" s="44" t="str">
        <x:v>来源</x:v>
      </x:c>
    </x:row>
    <x:row r="9" ht="42" customHeight="1">
      <x:c r="A9" s="45" t="str">
        <x:v>月光炼梦/礼包1</x:v>
      </x:c>
      <x:c r="B9" s="45" t="str">
        <x:v>RMB</x:v>
      </x:c>
      <x:c r="C9" s="45" t="n">
        <x:v>60</x:v>
      </x:c>
      <x:c r="D9" s="67" t="n">
        <x:f>IF(ISNUMBER(C9*10),C9*10,"待核")</x:f>
        <x:v>600</x:v>
      </x:c>
      <x:c r="E9" s="67" t="n">
        <x:v>0</x:v>
      </x:c>
      <x:c r="F9" s="67" t="n">
        <x:f>IF(AND(ISNUMBER(D9),ISNUMBER(E9),D9&gt;0),E9/D9,"待核")</x:f>
        <x:v>0</x:v>
      </x:c>
      <x:c r="G9" s="63" t="str">
        <x:f>IF(AND(ISNUMBER(D9),ISNUMBER(E9),E9&gt;0),D9/E9*10,"待核")</x:f>
        <x:v>待核</x:v>
      </x:c>
      <x:c r="H9" s="45"/>
      <x:c r="I9" s="45" t="str"/>
      <x:c r="J9" s="45" t="n">
        <x:v>5</x:v>
      </x:c>
      <x:c r="K9" s="45" t="str">
        <x:v>明细规划</x:v>
      </x:c>
      <x:c r="L9" s="45" t="str">
        <x:v>主/月光炼梦!第58行</x:v>
      </x:c>
    </x:row>
    <x:row r="10" ht="42" customHeight="1">
      <x:c r="A10" s="45" t="str">
        <x:v>月光炼梦/礼包2</x:v>
      </x:c>
      <x:c r="B10" s="45" t="str">
        <x:v>RMB</x:v>
      </x:c>
      <x:c r="C10" s="45" t="n">
        <x:v>300</x:v>
      </x:c>
      <x:c r="D10" s="67" t="n">
        <x:f>IF(ISNUMBER(C10*10),C10*10,"待核")</x:f>
        <x:v>3000</x:v>
      </x:c>
      <x:c r="E10" s="67" t="n">
        <x:v>0</x:v>
      </x:c>
      <x:c r="F10" s="67" t="n">
        <x:f>IF(AND(ISNUMBER(D10),ISNUMBER(E10),D10&gt;0),E10/D10,"待核")</x:f>
        <x:v>0</x:v>
      </x:c>
      <x:c r="G10" s="63" t="str">
        <x:f>IF(AND(ISNUMBER(D10),ISNUMBER(E10),E10&gt;0),D10/E10*10,"待核")</x:f>
        <x:v>待核</x:v>
      </x:c>
      <x:c r="H10" s="45"/>
      <x:c r="I10" s="45" t="str"/>
      <x:c r="J10" s="45" t="n">
        <x:v>8</x:v>
      </x:c>
      <x:c r="K10" s="45" t="str">
        <x:v>明细规划</x:v>
      </x:c>
      <x:c r="L10" s="45" t="str">
        <x:v>主/月光炼梦!第59行</x:v>
      </x:c>
    </x:row>
    <x:row r="11" ht="42" customHeight="1">
      <x:c r="A11" s="45" t="str">
        <x:v>月光炼梦/礼包3</x:v>
      </x:c>
      <x:c r="B11" s="45" t="str">
        <x:v>RMB</x:v>
      </x:c>
      <x:c r="C11" s="45" t="n">
        <x:v>980</x:v>
      </x:c>
      <x:c r="D11" s="67" t="n">
        <x:f>IF(ISNUMBER(C11*10),C11*10,"待核")</x:f>
        <x:v>9800</x:v>
      </x:c>
      <x:c r="E11" s="67" t="n">
        <x:v>0</x:v>
      </x:c>
      <x:c r="F11" s="67" t="n">
        <x:f>IF(AND(ISNUMBER(D11),ISNUMBER(E11),D11&gt;0),E11/D11,"待核")</x:f>
        <x:v>0</x:v>
      </x:c>
      <x:c r="G11" s="63" t="str">
        <x:f>IF(AND(ISNUMBER(D11),ISNUMBER(E11),E11&gt;0),D11/E11*10,"待核")</x:f>
        <x:v>待核</x:v>
      </x:c>
      <x:c r="H11" s="45"/>
      <x:c r="I11" s="45" t="str"/>
      <x:c r="J11" s="45" t="n">
        <x:v>12</x:v>
      </x:c>
      <x:c r="K11" s="45" t="str">
        <x:v>明细规划</x:v>
      </x:c>
      <x:c r="L11" s="45" t="str">
        <x:v>主/月光炼梦!第60行</x:v>
      </x:c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</x:row>
    <x:row r="14">
      <x:c r="A14" s="64" t="str">
        <x:v>奖励明细：数量 × 统一道具单价</x:v>
      </x:c>
      <x:c r="B14" s="64"/>
      <x:c r="C14" s="64"/>
      <x:c r="D14" s="64"/>
      <x:c r="E14" s="64"/>
      <x:c r="F14" s="64"/>
      <x:c r="G14" s="64"/>
      <x:c r="H14" s="64"/>
      <x:c r="I14" s="64"/>
      <x:c r="J14" s="64"/>
      <x:c r="K14" s="43"/>
      <x:c r="L14" s="43"/>
    </x:row>
    <x:row r="15" ht="42" customHeight="1">
      <x:c r="A15" s="44" t="str">
        <x:v>礼包</x:v>
      </x:c>
      <x:c r="B15" s="44" t="str">
        <x:v>标的物</x:v>
      </x:c>
      <x:c r="C15" s="44" t="str">
        <x:v>数量</x:v>
      </x:c>
      <x:c r="D15" s="44" t="str">
        <x:v>统一单价钻</x:v>
      </x:c>
      <x:c r="E15" s="44" t="str">
        <x:v>活动单价钻</x:v>
      </x:c>
      <x:c r="F15" s="44" t="str">
        <x:v>奖励价值钻</x:v>
      </x:c>
      <x:c r="G15" s="44" t="str">
        <x:v>估值依据</x:v>
      </x:c>
      <x:c r="H15" s="44" t="str">
        <x:v>差异/缺失</x:v>
      </x:c>
      <x:c r="I15" s="44" t="str">
        <x:v>来源</x:v>
      </x:c>
      <x:c r="J15" s="44" t="str">
        <x:v>备注</x:v>
      </x:c>
      <x:c r="K15" s="43"/>
      <x:c r="L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</x:row>
    <x:row r="18">
      <x:c r="A18" s="65" t="str">
        <x:v>活动节点与最终大奖判定</x:v>
      </x:c>
      <x:c r="B18" s="65"/>
      <x:c r="C18" s="65"/>
      <x:c r="D18" s="65"/>
      <x:c r="E18" s="65"/>
      <x:c r="F18" s="65"/>
      <x:c r="G18" s="43"/>
      <x:c r="H18" s="43"/>
      <x:c r="I18" s="43"/>
      <x:c r="J18" s="43"/>
      <x:c r="K18" s="43"/>
      <x:c r="L18" s="43"/>
    </x:row>
    <x:row r="19" ht="42" customHeight="1">
      <x:c r="A19" s="44" t="str">
        <x:v>轮次/节点</x:v>
      </x:c>
      <x:c r="B19" s="44" t="str">
        <x:v>节点类型</x:v>
      </x:c>
      <x:c r="C19" s="44" t="str">
        <x:v>阈值</x:v>
      </x:c>
      <x:c r="D19" s="44" t="str">
        <x:v>奖励</x:v>
      </x:c>
      <x:c r="E19" s="44" t="str">
        <x:v>到手成本判定</x:v>
      </x:c>
      <x:c r="F19" s="44" t="str">
        <x:v>来源</x:v>
      </x:c>
      <x:c r="G19" s="43"/>
      <x:c r="H19" s="43"/>
      <x:c r="I19" s="43"/>
      <x:c r="J19" s="43"/>
      <x:c r="K19" s="43"/>
      <x:c r="L19" s="43"/>
    </x:row>
  </x:sheetData>
  <x:mergeCells>
    <x:mergeCell ref="A1:L1"/>
    <x:mergeCell ref="A2:L2"/>
    <x:mergeCell ref="A14:J14"/>
    <x:mergeCell ref="A18:F1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《梦境护卫队》星轨探测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来源：主/星轨探测!A6:O80；路线图!K27｜80/81/71.08期望及80/90保底口径冲突；不输出一个伪精确预期成本｜主方案优先，补充方案不覆盖主方案。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星轨探测</x:v>
      </x:c>
      <x:c r="C4" s="59"/>
      <x:c r="D4" s="57" t="str">
        <x:v>最终大奖条件说明</x:v>
      </x:c>
      <x:c r="E4" s="58" t="str">
        <x:v>条件值：90抽保底×100钻；源表同时存在80/90保底，需确认</x:v>
      </x:c>
      <x:c r="F4" s="59"/>
      <x:c r="G4" s="57" t="str">
        <x:v>礼包数</x:v>
      </x:c>
      <x:c r="H4" s="58" t="n">
        <x:v>3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织梦捕星机/载具大奖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0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n">
        <x:v>9000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44" t="str">
        <x:v>礼包/档位</x:v>
      </x:c>
      <x:c r="B8" s="44" t="str">
        <x:v>支付币种</x:v>
      </x:c>
      <x:c r="C8" s="44" t="str">
        <x:v>标价</x:v>
      </x:c>
      <x:c r="D8" s="44" t="str">
        <x:v>成本折钻</x:v>
      </x:c>
      <x:c r="E8" s="44" t="str">
        <x:v>奖励价值钻</x:v>
      </x:c>
      <x:c r="F8" s="44" t="str">
        <x:v>价值倍率</x:v>
      </x:c>
      <x:c r="G8" s="44" t="str">
        <x:v>重算折数</x:v>
      </x:c>
      <x:c r="H8" s="44" t="str">
        <x:v>原标注折数</x:v>
      </x:c>
      <x:c r="I8" s="44" t="str">
        <x:v>主要到手标的物</x:v>
      </x:c>
      <x:c r="J8" s="44" t="str">
        <x:v>限购</x:v>
      </x:c>
      <x:c r="K8" s="44" t="str">
        <x:v>到手判断</x:v>
      </x:c>
      <x:c r="L8" s="44" t="str">
        <x:v>来源</x:v>
      </x:c>
    </x:row>
    <x:row r="9" ht="42" customHeight="1">
      <x:c r="A9" s="45" t="str">
        <x:v>星轨探测/礼包1</x:v>
      </x:c>
      <x:c r="B9" s="45" t="str">
        <x:v>RMB</x:v>
      </x:c>
      <x:c r="C9" s="45" t="n">
        <x:v>6</x:v>
      </x:c>
      <x:c r="D9" s="67" t="n">
        <x:f>IF(ISNUMBER(C9*10),C9*10,"待核")</x:f>
        <x:v>60</x:v>
      </x:c>
      <x:c r="E9" s="67" t="str">
        <x:v>缺完整估值</x:v>
      </x:c>
      <x:c r="F9" s="67" t="str">
        <x:f>IF(AND(ISNUMBER(D9),ISNUMBER(E9),D9&gt;0),E9/D9,"待核")</x:f>
        <x:v>待核</x:v>
      </x:c>
      <x:c r="G9" s="63" t="str">
        <x:f>IF(AND(ISNUMBER(D9),ISNUMBER(E9),E9&gt;0),D9/E9*10,"待核")</x:f>
        <x:v>待核</x:v>
      </x:c>
      <x:c r="H9" s="45"/>
      <x:c r="I9" s="45" t="str">
        <x:v>钻石×60；探测器×6</x:v>
      </x:c>
      <x:c r="J9" s="45" t="n">
        <x:v>5</x:v>
      </x:c>
      <x:c r="K9" s="45" t="str">
        <x:v>明细规划；估值缺失</x:v>
      </x:c>
      <x:c r="L9" s="45" t="str">
        <x:v>主/星轨探测!第57行</x:v>
      </x:c>
    </x:row>
    <x:row r="10" ht="42" customHeight="1">
      <x:c r="A10" s="45" t="str">
        <x:v>星轨探测/礼包2</x:v>
      </x:c>
      <x:c r="B10" s="45" t="str">
        <x:v>RMB</x:v>
      </x:c>
      <x:c r="C10" s="45" t="n">
        <x:v>30</x:v>
      </x:c>
      <x:c r="D10" s="67" t="n">
        <x:f>IF(ISNUMBER(C10*10),C10*10,"待核")</x:f>
        <x:v>300</x:v>
      </x:c>
      <x:c r="E10" s="67" t="str">
        <x:v>缺完整估值</x:v>
      </x:c>
      <x:c r="F10" s="67" t="str">
        <x:f>IF(AND(ISNUMBER(D10),ISNUMBER(E10),D10&gt;0),E10/D10,"待核")</x:f>
        <x:v>待核</x:v>
      </x:c>
      <x:c r="G10" s="63" t="str">
        <x:f>IF(AND(ISNUMBER(D10),ISNUMBER(E10),E10&gt;0),D10/E10*10,"待核")</x:f>
        <x:v>待核</x:v>
      </x:c>
      <x:c r="H10" s="45"/>
      <x:c r="I10" s="45" t="str">
        <x:v>钻石×300；探测器×10</x:v>
      </x:c>
      <x:c r="J10" s="45" t="n">
        <x:v>5</x:v>
      </x:c>
      <x:c r="K10" s="45" t="str">
        <x:v>明细规划；估值缺失</x:v>
      </x:c>
      <x:c r="L10" s="45" t="str">
        <x:v>主/星轨探测!第58行</x:v>
      </x:c>
    </x:row>
    <x:row r="11" ht="42" customHeight="1">
      <x:c r="A11" s="45" t="str">
        <x:v>星轨探测/礼包3</x:v>
      </x:c>
      <x:c r="B11" s="45" t="str">
        <x:v>RMB</x:v>
      </x:c>
      <x:c r="C11" s="45" t="n">
        <x:v>98</x:v>
      </x:c>
      <x:c r="D11" s="67" t="n">
        <x:f>IF(ISNUMBER(C11*10),C11*10,"待核")</x:f>
        <x:v>980</x:v>
      </x:c>
      <x:c r="E11" s="67" t="str">
        <x:v>缺完整估值</x:v>
      </x:c>
      <x:c r="F11" s="67" t="str">
        <x:f>IF(AND(ISNUMBER(D11),ISNUMBER(E11),D11&gt;0),E11/D11,"待核")</x:f>
        <x:v>待核</x:v>
      </x:c>
      <x:c r="G11" s="63" t="str">
        <x:f>IF(AND(ISNUMBER(D11),ISNUMBER(E11),E11&gt;0),D11/E11*10,"待核")</x:f>
        <x:v>待核</x:v>
      </x:c>
      <x:c r="H11" s="45"/>
      <x:c r="I11" s="45" t="str">
        <x:v>钻石×980；探测器×15</x:v>
      </x:c>
      <x:c r="J11" s="45" t="n">
        <x:v>5</x:v>
      </x:c>
      <x:c r="K11" s="45" t="str">
        <x:v>明细规划；估值缺失</x:v>
      </x:c>
      <x:c r="L11" s="45" t="str">
        <x:v>主/星轨探测!第59行</x:v>
      </x:c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</x:row>
    <x:row r="14">
      <x:c r="A14" s="64" t="str">
        <x:v>奖励明细：数量 × 统一道具单价</x:v>
      </x:c>
      <x:c r="B14" s="64"/>
      <x:c r="C14" s="64"/>
      <x:c r="D14" s="64"/>
      <x:c r="E14" s="64"/>
      <x:c r="F14" s="64"/>
      <x:c r="G14" s="64"/>
      <x:c r="H14" s="64"/>
      <x:c r="I14" s="64"/>
      <x:c r="J14" s="64"/>
      <x:c r="K14" s="43"/>
      <x:c r="L14" s="43"/>
    </x:row>
    <x:row r="15" ht="42" customHeight="1">
      <x:c r="A15" s="44" t="str">
        <x:v>礼包</x:v>
      </x:c>
      <x:c r="B15" s="44" t="str">
        <x:v>标的物</x:v>
      </x:c>
      <x:c r="C15" s="44" t="str">
        <x:v>数量</x:v>
      </x:c>
      <x:c r="D15" s="44" t="str">
        <x:v>统一单价钻</x:v>
      </x:c>
      <x:c r="E15" s="44" t="str">
        <x:v>活动单价钻</x:v>
      </x:c>
      <x:c r="F15" s="44" t="str">
        <x:v>奖励价值钻</x:v>
      </x:c>
      <x:c r="G15" s="44" t="str">
        <x:v>估值依据</x:v>
      </x:c>
      <x:c r="H15" s="44" t="str">
        <x:v>差异/缺失</x:v>
      </x:c>
      <x:c r="I15" s="44" t="str">
        <x:v>来源</x:v>
      </x:c>
      <x:c r="J15" s="44" t="str">
        <x:v>备注</x:v>
      </x:c>
      <x:c r="K15" s="43"/>
      <x:c r="L15" s="43"/>
    </x:row>
    <x:row r="16" ht="42" customHeight="1">
      <x:c r="A16" s="45" t="str">
        <x:v>星轨探测/礼包1</x:v>
      </x:c>
      <x:c r="B16" s="45" t="str">
        <x:v>钻石</x:v>
      </x:c>
      <x:c r="C16" s="67" t="n">
        <x:v>60</x:v>
      </x:c>
      <x:c r="D16" s="67" t="n">
        <x:v>1</x:v>
      </x:c>
      <x:c r="E16" s="67" t="str"/>
      <x:c r="F16" s="67" t="n">
        <x:f>IF(AND(ISNUMBER(C16),ISNUMBER(D16)),C16*D16,"待补")</x:f>
        <x:v>60</x:v>
      </x:c>
      <x:c r="G16" s="45" t="str">
        <x:v>统一道具字典</x:v>
      </x:c>
      <x:c r="H16" s="45" t="str"/>
      <x:c r="I16" s="45" t="str">
        <x:v>主/星轨探测!第57行</x:v>
      </x:c>
      <x:c r="J16" s="45" t="str">
        <x:v>统一字典优先</x:v>
      </x:c>
      <x:c r="K16" s="43"/>
      <x:c r="L16" s="43"/>
    </x:row>
    <x:row r="17" ht="42" customHeight="1">
      <x:c r="A17" s="45" t="str">
        <x:v>星轨探测/礼包1</x:v>
      </x:c>
      <x:c r="B17" s="45" t="str">
        <x:v>探测器</x:v>
      </x:c>
      <x:c r="C17" s="67" t="n">
        <x:v>6</x:v>
      </x:c>
      <x:c r="D17" s="67" t="str">
        <x:v>待补</x:v>
      </x:c>
      <x:c r="E17" s="67" t="str"/>
      <x:c r="F17" s="67" t="str">
        <x:f>IF(AND(ISNUMBER(C17),ISNUMBER(D17)),C17*D17,"待补")</x:f>
        <x:v>待补</x:v>
      </x:c>
      <x:c r="G17" s="45" t="str">
        <x:v>缺统一估值</x:v>
      </x:c>
      <x:c r="H17" s="45" t="str"/>
      <x:c r="I17" s="45" t="str">
        <x:v>主/星轨探测!第57行</x:v>
      </x:c>
      <x:c r="J17" s="45" t="str">
        <x:v>统一字典优先</x:v>
      </x:c>
      <x:c r="K17" s="43"/>
      <x:c r="L17" s="43"/>
    </x:row>
    <x:row r="18" ht="42" customHeight="1">
      <x:c r="A18" s="45" t="str">
        <x:v>星轨探测/礼包2</x:v>
      </x:c>
      <x:c r="B18" s="45" t="str">
        <x:v>钻石</x:v>
      </x:c>
      <x:c r="C18" s="67" t="n">
        <x:v>300</x:v>
      </x:c>
      <x:c r="D18" s="67" t="n">
        <x:v>1</x:v>
      </x:c>
      <x:c r="E18" s="67" t="str"/>
      <x:c r="F18" s="67" t="n">
        <x:f>IF(AND(ISNUMBER(C18),ISNUMBER(D18)),C18*D18,"待补")</x:f>
        <x:v>300</x:v>
      </x:c>
      <x:c r="G18" s="45" t="str">
        <x:v>统一道具字典</x:v>
      </x:c>
      <x:c r="H18" s="45" t="str"/>
      <x:c r="I18" s="45" t="str">
        <x:v>主/星轨探测!第58行</x:v>
      </x:c>
      <x:c r="J18" s="45" t="str">
        <x:v>统一字典优先</x:v>
      </x:c>
      <x:c r="K18" s="43"/>
      <x:c r="L18" s="43"/>
    </x:row>
    <x:row r="19" ht="42" customHeight="1">
      <x:c r="A19" s="45" t="str">
        <x:v>星轨探测/礼包2</x:v>
      </x:c>
      <x:c r="B19" s="45" t="str">
        <x:v>探测器</x:v>
      </x:c>
      <x:c r="C19" s="67" t="n">
        <x:v>10</x:v>
      </x:c>
      <x:c r="D19" s="67" t="str">
        <x:v>待补</x:v>
      </x:c>
      <x:c r="E19" s="67" t="str"/>
      <x:c r="F19" s="67" t="str">
        <x:f>IF(AND(ISNUMBER(C19),ISNUMBER(D19)),C19*D19,"待补")</x:f>
        <x:v>待补</x:v>
      </x:c>
      <x:c r="G19" s="45" t="str">
        <x:v>缺统一估值</x:v>
      </x:c>
      <x:c r="H19" s="45" t="str"/>
      <x:c r="I19" s="45" t="str">
        <x:v>主/星轨探测!第58行</x:v>
      </x:c>
      <x:c r="J19" s="45" t="str">
        <x:v>统一字典优先</x:v>
      </x:c>
      <x:c r="K19" s="43"/>
      <x:c r="L19" s="43"/>
    </x:row>
    <x:row r="20" ht="42" customHeight="1">
      <x:c r="A20" s="45" t="str">
        <x:v>星轨探测/礼包3</x:v>
      </x:c>
      <x:c r="B20" s="45" t="str">
        <x:v>钻石</x:v>
      </x:c>
      <x:c r="C20" s="67" t="n">
        <x:v>980</x:v>
      </x:c>
      <x:c r="D20" s="67" t="n">
        <x:v>1</x:v>
      </x:c>
      <x:c r="E20" s="67" t="str"/>
      <x:c r="F20" s="67" t="n">
        <x:f>IF(AND(ISNUMBER(C20),ISNUMBER(D20)),C20*D20,"待补")</x:f>
        <x:v>980</x:v>
      </x:c>
      <x:c r="G20" s="45" t="str">
        <x:v>统一道具字典</x:v>
      </x:c>
      <x:c r="H20" s="45" t="str"/>
      <x:c r="I20" s="45" t="str">
        <x:v>主/星轨探测!第59行</x:v>
      </x:c>
      <x:c r="J20" s="45" t="str">
        <x:v>统一字典优先</x:v>
      </x:c>
      <x:c r="K20" s="43"/>
      <x:c r="L20" s="43"/>
    </x:row>
    <x:row r="21" ht="42" customHeight="1">
      <x:c r="A21" s="45" t="str">
        <x:v>星轨探测/礼包3</x:v>
      </x:c>
      <x:c r="B21" s="45" t="str">
        <x:v>探测器</x:v>
      </x:c>
      <x:c r="C21" s="67" t="n">
        <x:v>15</x:v>
      </x:c>
      <x:c r="D21" s="67" t="str">
        <x:v>待补</x:v>
      </x:c>
      <x:c r="E21" s="67" t="str"/>
      <x:c r="F21" s="67" t="str">
        <x:f>IF(AND(ISNUMBER(C21),ISNUMBER(D21)),C21*D21,"待补")</x:f>
        <x:v>待补</x:v>
      </x:c>
      <x:c r="G21" s="45" t="str">
        <x:v>缺统一估值</x:v>
      </x:c>
      <x:c r="H21" s="45" t="str"/>
      <x:c r="I21" s="45" t="str">
        <x:v>主/星轨探测!第59行</x:v>
      </x:c>
      <x:c r="J21" s="45" t="str">
        <x:v>统一字典优先</x:v>
      </x:c>
      <x:c r="K21" s="43"/>
      <x:c r="L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</x:row>
    <x:row r="24">
      <x:c r="A24" s="65" t="str">
        <x:v>活动节点与最终大奖判定</x:v>
      </x:c>
      <x:c r="B24" s="65"/>
      <x:c r="C24" s="65"/>
      <x:c r="D24" s="65"/>
      <x:c r="E24" s="65"/>
      <x:c r="F24" s="65"/>
      <x:c r="G24" s="43"/>
      <x:c r="H24" s="43"/>
      <x:c r="I24" s="43"/>
      <x:c r="J24" s="43"/>
      <x:c r="K24" s="43"/>
      <x:c r="L24" s="43"/>
    </x:row>
    <x:row r="25" ht="42" customHeight="1">
      <x:c r="A25" s="44" t="str">
        <x:v>轮次/节点</x:v>
      </x:c>
      <x:c r="B25" s="44" t="str">
        <x:v>节点类型</x:v>
      </x:c>
      <x:c r="C25" s="44" t="str">
        <x:v>阈值</x:v>
      </x:c>
      <x:c r="D25" s="44" t="str">
        <x:v>奖励</x:v>
      </x:c>
      <x:c r="E25" s="44" t="str">
        <x:v>到手成本判定</x:v>
      </x:c>
      <x:c r="F25" s="44" t="str">
        <x:v>来源</x:v>
      </x:c>
      <x:c r="G25" s="43"/>
      <x:c r="H25" s="43"/>
      <x:c r="I25" s="43"/>
      <x:c r="J25" s="43"/>
      <x:c r="K25" s="43"/>
      <x:c r="L25" s="43"/>
    </x:row>
    <x:row r="26" ht="42" customHeight="1">
      <x:c r="A26" s="45" t="str">
        <x:v>星轨探测</x:v>
      </x:c>
      <x:c r="B26" s="45" t="str">
        <x:v>抽取次数</x:v>
      </x:c>
      <x:c r="C26" s="45" t="n">
        <x:v>10</x:v>
      </x:c>
      <x:c r="D26" s="45" t="str">
        <x:v>探测器 × 2</x:v>
      </x:c>
      <x:c r="E26" s="45" t="str">
        <x:v>阈值非现金成本；不可与同一资源返利重复计价</x:v>
      </x:c>
      <x:c r="F26" s="45" t="str">
        <x:v>主/星轨探测!第23行</x:v>
      </x:c>
      <x:c r="G26" s="43"/>
      <x:c r="H26" s="43"/>
      <x:c r="I26" s="43"/>
      <x:c r="J26" s="43"/>
      <x:c r="K26" s="43"/>
      <x:c r="L26" s="43"/>
    </x:row>
    <x:row r="27" ht="42" customHeight="1">
      <x:c r="A27" s="45" t="str">
        <x:v>星轨探测</x:v>
      </x:c>
      <x:c r="B27" s="45" t="str">
        <x:v>抽取次数</x:v>
      </x:c>
      <x:c r="C27" s="45" t="n">
        <x:v>20</x:v>
      </x:c>
      <x:c r="D27" s="45" t="str">
        <x:v>钻石 × 150</x:v>
      </x:c>
      <x:c r="E27" s="45" t="str">
        <x:v>阈值非现金成本；不可与同一资源返利重复计价</x:v>
      </x:c>
      <x:c r="F27" s="45" t="str">
        <x:v>主/星轨探测!第24行</x:v>
      </x:c>
      <x:c r="G27" s="43"/>
      <x:c r="H27" s="43"/>
      <x:c r="I27" s="43"/>
      <x:c r="J27" s="43"/>
      <x:c r="K27" s="43"/>
      <x:c r="L27" s="43"/>
    </x:row>
    <x:row r="28" ht="42" customHeight="1">
      <x:c r="A28" s="45" t="str">
        <x:v>星轨探测</x:v>
      </x:c>
      <x:c r="B28" s="45" t="str">
        <x:v>抽取次数</x:v>
      </x:c>
      <x:c r="C28" s="45" t="n">
        <x:v>30</x:v>
      </x:c>
      <x:c r="D28" s="45" t="str">
        <x:v>B级时装·头饰 × 1</x:v>
      </x:c>
      <x:c r="E28" s="45" t="str">
        <x:v>阈值非现金成本；不可与同一资源返利重复计价</x:v>
      </x:c>
      <x:c r="F28" s="45" t="str">
        <x:v>主/星轨探测!第25行</x:v>
      </x:c>
      <x:c r="G28" s="43"/>
      <x:c r="H28" s="43"/>
      <x:c r="I28" s="43"/>
      <x:c r="J28" s="43"/>
      <x:c r="K28" s="43"/>
      <x:c r="L28" s="43"/>
    </x:row>
    <x:row r="29" ht="42" customHeight="1">
      <x:c r="A29" s="45" t="str">
        <x:v>星轨探测</x:v>
      </x:c>
      <x:c r="B29" s="45" t="str">
        <x:v>抽取次数</x:v>
      </x:c>
      <x:c r="C29" s="45" t="n">
        <x:v>50</x:v>
      </x:c>
      <x:c r="D29" s="45" t="str">
        <x:v>B级时装·衣服 × 1</x:v>
      </x:c>
      <x:c r="E29" s="45" t="str">
        <x:v>阈值非现金成本；不可与同一资源返利重复计价</x:v>
      </x:c>
      <x:c r="F29" s="45" t="str">
        <x:v>主/星轨探测!第26行</x:v>
      </x:c>
      <x:c r="G29" s="43"/>
      <x:c r="H29" s="43"/>
      <x:c r="I29" s="43"/>
      <x:c r="J29" s="43"/>
      <x:c r="K29" s="43"/>
      <x:c r="L29" s="43"/>
    </x:row>
    <x:row r="30" ht="42" customHeight="1">
      <x:c r="A30" s="45" t="str">
        <x:v>星轨探测</x:v>
      </x:c>
      <x:c r="B30" s="45" t="str">
        <x:v>抽取次数</x:v>
      </x:c>
      <x:c r="C30" s="45" t="n">
        <x:v>70</x:v>
      </x:c>
      <x:c r="D30" s="45" t="str">
        <x:v>探测器 × 5</x:v>
      </x:c>
      <x:c r="E30" s="45" t="str">
        <x:v>阈值非现金成本；不可与同一资源返利重复计价</x:v>
      </x:c>
      <x:c r="F30" s="45" t="str">
        <x:v>主/星轨探测!第27行</x:v>
      </x:c>
      <x:c r="G30" s="43"/>
      <x:c r="H30" s="43"/>
      <x:c r="I30" s="43"/>
      <x:c r="J30" s="43"/>
      <x:c r="K30" s="43"/>
      <x:c r="L30" s="43"/>
    </x:row>
    <x:row r="31" ht="42" customHeight="1">
      <x:c r="A31" s="45" t="str">
        <x:v>星轨探测</x:v>
      </x:c>
      <x:c r="B31" s="45" t="str">
        <x:v>抽取次数</x:v>
      </x:c>
      <x:c r="C31" s="45" t="n">
        <x:v>100</x:v>
      </x:c>
      <x:c r="D31" s="45" t="str">
        <x:v>探测器 × 10</x:v>
      </x:c>
      <x:c r="E31" s="45" t="str">
        <x:v>阈值非现金成本；不可与同一资源返利重复计价</x:v>
      </x:c>
      <x:c r="F31" s="45" t="str">
        <x:v>主/星轨探测!第28行</x:v>
      </x:c>
      <x:c r="G31" s="43"/>
      <x:c r="H31" s="43"/>
      <x:c r="I31" s="43"/>
      <x:c r="J31" s="43"/>
      <x:c r="K31" s="43"/>
      <x:c r="L31" s="43"/>
    </x:row>
    <x:row r="32" ht="42" customHeight="1">
      <x:c r="A32" s="45" t="str">
        <x:v>星轨探测</x:v>
      </x:c>
      <x:c r="B32" s="45" t="str">
        <x:v>抽取次数</x:v>
      </x:c>
      <x:c r="C32" s="45" t="n">
        <x:v>150</x:v>
      </x:c>
      <x:c r="D32" s="45" t="str">
        <x:v>幻梦晶核 × 30</x:v>
      </x:c>
      <x:c r="E32" s="45" t="str">
        <x:v>阈值非现金成本；不可与同一资源返利重复计价</x:v>
      </x:c>
      <x:c r="F32" s="45" t="str">
        <x:v>主/星轨探测!第29行</x:v>
      </x:c>
      <x:c r="G32" s="43"/>
      <x:c r="H32" s="43"/>
      <x:c r="I32" s="43"/>
      <x:c r="J32" s="43"/>
      <x:c r="K32" s="43"/>
      <x:c r="L32" s="43"/>
    </x:row>
    <x:row r="33" ht="42" customHeight="1">
      <x:c r="A33" s="45" t="str">
        <x:v>星轨探测</x:v>
      </x:c>
      <x:c r="B33" s="45" t="str">
        <x:v>抽取次数</x:v>
      </x:c>
      <x:c r="C33" s="45" t="n">
        <x:v>200</x:v>
      </x:c>
      <x:c r="D33" s="45" t="str">
        <x:v>探测器 × 10</x:v>
      </x:c>
      <x:c r="E33" s="45" t="str">
        <x:v>阈值非现金成本；不可与同一资源返利重复计价</x:v>
      </x:c>
      <x:c r="F33" s="45" t="str">
        <x:v>主/星轨探测!第30行</x:v>
      </x:c>
      <x:c r="G33" s="43"/>
      <x:c r="H33" s="43"/>
      <x:c r="I33" s="43"/>
      <x:c r="J33" s="43"/>
      <x:c r="K33" s="43"/>
      <x:c r="L33" s="43"/>
    </x:row>
    <x:row r="34" ht="42" customHeight="1">
      <x:c r="A34" s="45" t="str">
        <x:v>星轨探测</x:v>
      </x:c>
      <x:c r="B34" s="45" t="str">
        <x:v>抽取次数</x:v>
      </x:c>
      <x:c r="C34" s="45" t="n">
        <x:v>250</x:v>
      </x:c>
      <x:c r="D34" s="45" t="str">
        <x:v>探测器 × 10</x:v>
      </x:c>
      <x:c r="E34" s="45" t="str">
        <x:v>阈值非现金成本；不可与同一资源返利重复计价</x:v>
      </x:c>
      <x:c r="F34" s="45" t="str">
        <x:v>主/星轨探测!第31行</x:v>
      </x:c>
      <x:c r="G34" s="43"/>
      <x:c r="H34" s="43"/>
      <x:c r="I34" s="43"/>
      <x:c r="J34" s="43"/>
      <x:c r="K34" s="43"/>
      <x:c r="L34" s="43"/>
    </x:row>
    <x:row r="35" ht="42" customHeight="1">
      <x:c r="A35" s="45" t="str">
        <x:v>星轨探测</x:v>
      </x:c>
      <x:c r="B35" s="45" t="str">
        <x:v>抽取次数</x:v>
      </x:c>
      <x:c r="C35" s="45" t="n">
        <x:v>350</x:v>
      </x:c>
      <x:c r="D35" s="45" t="str">
        <x:v>自选创世零件核心 × 1</x:v>
      </x:c>
      <x:c r="E35" s="45" t="str">
        <x:v>阈值非现金成本；不可与同一资源返利重复计价</x:v>
      </x:c>
      <x:c r="F35" s="45" t="str">
        <x:v>主/星轨探测!第32行</x:v>
      </x:c>
      <x:c r="G35" s="43"/>
      <x:c r="H35" s="43"/>
      <x:c r="I35" s="43"/>
      <x:c r="J35" s="43"/>
      <x:c r="K35" s="43"/>
      <x:c r="L35" s="43"/>
    </x:row>
  </x:sheetData>
  <x:mergeCells>
    <x:mergeCell ref="A1:L1"/>
    <x:mergeCell ref="A2:L2"/>
    <x:mergeCell ref="A14:J14"/>
    <x:mergeCell ref="A24:F2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《梦境护卫队》首月活动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来源：主/首月活动!A1:Q203；优化总内容!A29:I29｜礼包每周重置3次；未来赛季化未当当前规则，任务/兑换/抽奖分开｜主方案优先，补充方案不覆盖主方案。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首月活动</x:v>
      </x:c>
      <x:c r="C4" s="59"/>
      <x:c r="D4" s="57" t="str">
        <x:v>最终大奖条件说明</x:v>
      </x:c>
      <x:c r="E4" s="58" t="str">
        <x:v>条件值：100抽×60钻券面值；扣除免费券后才是实际付费</x:v>
      </x:c>
      <x:c r="F4" s="59"/>
      <x:c r="G4" s="57" t="str">
        <x:v>礼包数</x:v>
      </x:c>
      <x:c r="H4" s="58" t="n">
        <x:v>3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首月活动最终大奖/星愿目标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0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n">
        <x:v>6000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44" t="str">
        <x:v>礼包/档位</x:v>
      </x:c>
      <x:c r="B8" s="44" t="str">
        <x:v>支付币种</x:v>
      </x:c>
      <x:c r="C8" s="44" t="str">
        <x:v>标价</x:v>
      </x:c>
      <x:c r="D8" s="44" t="str">
        <x:v>成本折钻</x:v>
      </x:c>
      <x:c r="E8" s="44" t="str">
        <x:v>奖励价值钻</x:v>
      </x:c>
      <x:c r="F8" s="44" t="str">
        <x:v>价值倍率</x:v>
      </x:c>
      <x:c r="G8" s="44" t="str">
        <x:v>重算折数</x:v>
      </x:c>
      <x:c r="H8" s="44" t="str">
        <x:v>原标注折数</x:v>
      </x:c>
      <x:c r="I8" s="44" t="str">
        <x:v>主要到手标的物</x:v>
      </x:c>
      <x:c r="J8" s="44" t="str">
        <x:v>限购</x:v>
      </x:c>
      <x:c r="K8" s="44" t="str">
        <x:v>到手判断</x:v>
      </x:c>
      <x:c r="L8" s="44" t="str">
        <x:v>来源</x:v>
      </x:c>
    </x:row>
    <x:row r="9" ht="42" customHeight="1">
      <x:c r="A9" s="45" t="str">
        <x:v>首月活动/礼包1</x:v>
      </x:c>
      <x:c r="B9" s="45" t="str">
        <x:v>RMB</x:v>
      </x:c>
      <x:c r="C9" s="45" t="n">
        <x:v>6</x:v>
      </x:c>
      <x:c r="D9" s="67" t="n">
        <x:f>IF(ISNUMBER(C9*10),C9*10,"待核")</x:f>
        <x:v>60</x:v>
      </x:c>
      <x:c r="E9" s="67" t="str">
        <x:v>缺完整估值</x:v>
      </x:c>
      <x:c r="F9" s="67" t="str">
        <x:f>IF(AND(ISNUMBER(D9),ISNUMBER(E9),D9&gt;0),E9/D9,"待核")</x:f>
        <x:v>待核</x:v>
      </x:c>
      <x:c r="G9" s="63" t="str">
        <x:f>IF(AND(ISNUMBER(D9),ISNUMBER(E9),E9&gt;0),D9/E9*10,"待核")</x:f>
        <x:v>待核</x:v>
      </x:c>
      <x:c r="H9" s="45"/>
      <x:c r="I9" s="45" t="str">
        <x:v>钻石×60；许愿券×10</x:v>
      </x:c>
      <x:c r="J9" s="45" t="n">
        <x:v>5</x:v>
      </x:c>
      <x:c r="K9" s="45" t="str">
        <x:v>明细规划；估值缺失</x:v>
      </x:c>
      <x:c r="L9" s="45" t="str">
        <x:v>主/首月活动!第87行</x:v>
      </x:c>
    </x:row>
    <x:row r="10" ht="42" customHeight="1">
      <x:c r="A10" s="45" t="str">
        <x:v>首月活动/礼包2</x:v>
      </x:c>
      <x:c r="B10" s="45" t="str">
        <x:v>RMB</x:v>
      </x:c>
      <x:c r="C10" s="45" t="n">
        <x:v>30</x:v>
      </x:c>
      <x:c r="D10" s="67" t="n">
        <x:f>IF(ISNUMBER(C10*10),C10*10,"待核")</x:f>
        <x:v>300</x:v>
      </x:c>
      <x:c r="E10" s="67" t="str">
        <x:v>缺完整估值</x:v>
      </x:c>
      <x:c r="F10" s="67" t="str">
        <x:f>IF(AND(ISNUMBER(D10),ISNUMBER(E10),D10&gt;0),E10/D10,"待核")</x:f>
        <x:v>待核</x:v>
      </x:c>
      <x:c r="G10" s="63" t="str">
        <x:f>IF(AND(ISNUMBER(D10),ISNUMBER(E10),E10&gt;0),D10/E10*10,"待核")</x:f>
        <x:v>待核</x:v>
      </x:c>
      <x:c r="H10" s="45"/>
      <x:c r="I10" s="45" t="str">
        <x:v>钻石×300；许愿券×15</x:v>
      </x:c>
      <x:c r="J10" s="45" t="n">
        <x:v>5</x:v>
      </x:c>
      <x:c r="K10" s="45" t="str">
        <x:v>明细规划；估值缺失</x:v>
      </x:c>
      <x:c r="L10" s="45" t="str">
        <x:v>主/首月活动!第88行</x:v>
      </x:c>
    </x:row>
    <x:row r="11" ht="42" customHeight="1">
      <x:c r="A11" s="45" t="str">
        <x:v>首月活动/礼包3</x:v>
      </x:c>
      <x:c r="B11" s="45" t="str">
        <x:v>RMB</x:v>
      </x:c>
      <x:c r="C11" s="45" t="n">
        <x:v>98</x:v>
      </x:c>
      <x:c r="D11" s="67" t="n">
        <x:f>IF(ISNUMBER(C11*10),C11*10,"待核")</x:f>
        <x:v>980</x:v>
      </x:c>
      <x:c r="E11" s="67" t="str">
        <x:v>缺完整估值</x:v>
      </x:c>
      <x:c r="F11" s="67" t="str">
        <x:f>IF(AND(ISNUMBER(D11),ISNUMBER(E11),D11&gt;0),E11/D11,"待核")</x:f>
        <x:v>待核</x:v>
      </x:c>
      <x:c r="G11" s="63" t="str">
        <x:f>IF(AND(ISNUMBER(D11),ISNUMBER(E11),E11&gt;0),D11/E11*10,"待核")</x:f>
        <x:v>待核</x:v>
      </x:c>
      <x:c r="H11" s="45"/>
      <x:c r="I11" s="45" t="str">
        <x:v>钻石×980；许愿券×25</x:v>
      </x:c>
      <x:c r="J11" s="45" t="n">
        <x:v>5</x:v>
      </x:c>
      <x:c r="K11" s="45" t="str">
        <x:v>明细规划；估值缺失</x:v>
      </x:c>
      <x:c r="L11" s="45" t="str">
        <x:v>主/首月活动!第89行</x:v>
      </x:c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</x:row>
    <x:row r="14">
      <x:c r="A14" s="64" t="str">
        <x:v>奖励明细：数量 × 统一道具单价</x:v>
      </x:c>
      <x:c r="B14" s="64"/>
      <x:c r="C14" s="64"/>
      <x:c r="D14" s="64"/>
      <x:c r="E14" s="64"/>
      <x:c r="F14" s="64"/>
      <x:c r="G14" s="64"/>
      <x:c r="H14" s="64"/>
      <x:c r="I14" s="64"/>
      <x:c r="J14" s="64"/>
      <x:c r="K14" s="43"/>
      <x:c r="L14" s="43"/>
    </x:row>
    <x:row r="15" ht="42" customHeight="1">
      <x:c r="A15" s="44" t="str">
        <x:v>礼包</x:v>
      </x:c>
      <x:c r="B15" s="44" t="str">
        <x:v>标的物</x:v>
      </x:c>
      <x:c r="C15" s="44" t="str">
        <x:v>数量</x:v>
      </x:c>
      <x:c r="D15" s="44" t="str">
        <x:v>统一单价钻</x:v>
      </x:c>
      <x:c r="E15" s="44" t="str">
        <x:v>活动单价钻</x:v>
      </x:c>
      <x:c r="F15" s="44" t="str">
        <x:v>奖励价值钻</x:v>
      </x:c>
      <x:c r="G15" s="44" t="str">
        <x:v>估值依据</x:v>
      </x:c>
      <x:c r="H15" s="44" t="str">
        <x:v>差异/缺失</x:v>
      </x:c>
      <x:c r="I15" s="44" t="str">
        <x:v>来源</x:v>
      </x:c>
      <x:c r="J15" s="44" t="str">
        <x:v>备注</x:v>
      </x:c>
      <x:c r="K15" s="43"/>
      <x:c r="L15" s="43"/>
    </x:row>
    <x:row r="16" ht="42" customHeight="1">
      <x:c r="A16" s="45" t="str">
        <x:v>首月活动/礼包1</x:v>
      </x:c>
      <x:c r="B16" s="45" t="str">
        <x:v>钻石</x:v>
      </x:c>
      <x:c r="C16" s="67" t="n">
        <x:v>60</x:v>
      </x:c>
      <x:c r="D16" s="67" t="n">
        <x:v>1</x:v>
      </x:c>
      <x:c r="E16" s="67" t="str"/>
      <x:c r="F16" s="67" t="n">
        <x:f>IF(AND(ISNUMBER(C16),ISNUMBER(D16)),C16*D16,"待补")</x:f>
        <x:v>60</x:v>
      </x:c>
      <x:c r="G16" s="45" t="str">
        <x:v>统一道具字典</x:v>
      </x:c>
      <x:c r="H16" s="45" t="str"/>
      <x:c r="I16" s="45" t="str">
        <x:v>主/首月活动!第87行</x:v>
      </x:c>
      <x:c r="J16" s="45" t="str">
        <x:v>统一字典优先</x:v>
      </x:c>
      <x:c r="K16" s="43"/>
      <x:c r="L16" s="43"/>
    </x:row>
    <x:row r="17" ht="42" customHeight="1">
      <x:c r="A17" s="45" t="str">
        <x:v>首月活动/礼包1</x:v>
      </x:c>
      <x:c r="B17" s="45" t="str">
        <x:v>许愿券</x:v>
      </x:c>
      <x:c r="C17" s="67" t="n">
        <x:v>10</x:v>
      </x:c>
      <x:c r="D17" s="67" t="str">
        <x:v>待补</x:v>
      </x:c>
      <x:c r="E17" s="67" t="str"/>
      <x:c r="F17" s="67" t="str">
        <x:f>IF(AND(ISNUMBER(C17),ISNUMBER(D17)),C17*D17,"待补")</x:f>
        <x:v>待补</x:v>
      </x:c>
      <x:c r="G17" s="45" t="str">
        <x:v>缺统一估值</x:v>
      </x:c>
      <x:c r="H17" s="45" t="str"/>
      <x:c r="I17" s="45" t="str">
        <x:v>主/首月活动!第87行</x:v>
      </x:c>
      <x:c r="J17" s="45" t="str">
        <x:v>统一字典优先</x:v>
      </x:c>
      <x:c r="K17" s="43"/>
      <x:c r="L17" s="43"/>
    </x:row>
    <x:row r="18" ht="42" customHeight="1">
      <x:c r="A18" s="45" t="str">
        <x:v>首月活动/礼包2</x:v>
      </x:c>
      <x:c r="B18" s="45" t="str">
        <x:v>钻石</x:v>
      </x:c>
      <x:c r="C18" s="67" t="n">
        <x:v>300</x:v>
      </x:c>
      <x:c r="D18" s="67" t="n">
        <x:v>1</x:v>
      </x:c>
      <x:c r="E18" s="67" t="str"/>
      <x:c r="F18" s="67" t="n">
        <x:f>IF(AND(ISNUMBER(C18),ISNUMBER(D18)),C18*D18,"待补")</x:f>
        <x:v>300</x:v>
      </x:c>
      <x:c r="G18" s="45" t="str">
        <x:v>统一道具字典</x:v>
      </x:c>
      <x:c r="H18" s="45" t="str"/>
      <x:c r="I18" s="45" t="str">
        <x:v>主/首月活动!第88行</x:v>
      </x:c>
      <x:c r="J18" s="45" t="str">
        <x:v>统一字典优先</x:v>
      </x:c>
      <x:c r="K18" s="43"/>
      <x:c r="L18" s="43"/>
    </x:row>
    <x:row r="19" ht="42" customHeight="1">
      <x:c r="A19" s="45" t="str">
        <x:v>首月活动/礼包2</x:v>
      </x:c>
      <x:c r="B19" s="45" t="str">
        <x:v>许愿券</x:v>
      </x:c>
      <x:c r="C19" s="67" t="n">
        <x:v>15</x:v>
      </x:c>
      <x:c r="D19" s="67" t="str">
        <x:v>待补</x:v>
      </x:c>
      <x:c r="E19" s="67" t="str"/>
      <x:c r="F19" s="67" t="str">
        <x:f>IF(AND(ISNUMBER(C19),ISNUMBER(D19)),C19*D19,"待补")</x:f>
        <x:v>待补</x:v>
      </x:c>
      <x:c r="G19" s="45" t="str">
        <x:v>缺统一估值</x:v>
      </x:c>
      <x:c r="H19" s="45" t="str"/>
      <x:c r="I19" s="45" t="str">
        <x:v>主/首月活动!第88行</x:v>
      </x:c>
      <x:c r="J19" s="45" t="str">
        <x:v>统一字典优先</x:v>
      </x:c>
      <x:c r="K19" s="43"/>
      <x:c r="L19" s="43"/>
    </x:row>
    <x:row r="20" ht="42" customHeight="1">
      <x:c r="A20" s="45" t="str">
        <x:v>首月活动/礼包3</x:v>
      </x:c>
      <x:c r="B20" s="45" t="str">
        <x:v>钻石</x:v>
      </x:c>
      <x:c r="C20" s="67" t="n">
        <x:v>980</x:v>
      </x:c>
      <x:c r="D20" s="67" t="n">
        <x:v>1</x:v>
      </x:c>
      <x:c r="E20" s="67" t="str"/>
      <x:c r="F20" s="67" t="n">
        <x:f>IF(AND(ISNUMBER(C20),ISNUMBER(D20)),C20*D20,"待补")</x:f>
        <x:v>980</x:v>
      </x:c>
      <x:c r="G20" s="45" t="str">
        <x:v>统一道具字典</x:v>
      </x:c>
      <x:c r="H20" s="45" t="str"/>
      <x:c r="I20" s="45" t="str">
        <x:v>主/首月活动!第89行</x:v>
      </x:c>
      <x:c r="J20" s="45" t="str">
        <x:v>统一字典优先</x:v>
      </x:c>
      <x:c r="K20" s="43"/>
      <x:c r="L20" s="43"/>
    </x:row>
    <x:row r="21" ht="42" customHeight="1">
      <x:c r="A21" s="45" t="str">
        <x:v>首月活动/礼包3</x:v>
      </x:c>
      <x:c r="B21" s="45" t="str">
        <x:v>许愿券</x:v>
      </x:c>
      <x:c r="C21" s="67" t="n">
        <x:v>25</x:v>
      </x:c>
      <x:c r="D21" s="67" t="str">
        <x:v>待补</x:v>
      </x:c>
      <x:c r="E21" s="67" t="str"/>
      <x:c r="F21" s="67" t="str">
        <x:f>IF(AND(ISNUMBER(C21),ISNUMBER(D21)),C21*D21,"待补")</x:f>
        <x:v>待补</x:v>
      </x:c>
      <x:c r="G21" s="45" t="str">
        <x:v>缺统一估值</x:v>
      </x:c>
      <x:c r="H21" s="45" t="str"/>
      <x:c r="I21" s="45" t="str">
        <x:v>主/首月活动!第89行</x:v>
      </x:c>
      <x:c r="J21" s="45" t="str">
        <x:v>统一字典优先</x:v>
      </x:c>
      <x:c r="K21" s="43"/>
      <x:c r="L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</x:row>
    <x:row r="24">
      <x:c r="A24" s="65" t="str">
        <x:v>活动节点与最终大奖判定</x:v>
      </x:c>
      <x:c r="B24" s="65"/>
      <x:c r="C24" s="65"/>
      <x:c r="D24" s="65"/>
      <x:c r="E24" s="65"/>
      <x:c r="F24" s="65"/>
      <x:c r="G24" s="43"/>
      <x:c r="H24" s="43"/>
      <x:c r="I24" s="43"/>
      <x:c r="J24" s="43"/>
      <x:c r="K24" s="43"/>
      <x:c r="L24" s="43"/>
    </x:row>
    <x:row r="25" ht="42" customHeight="1">
      <x:c r="A25" s="60" t="str">
        <x:v>轮次/节点</x:v>
      </x:c>
      <x:c r="B25" s="60" t="str">
        <x:v>节点类型</x:v>
      </x:c>
      <x:c r="C25" s="60" t="str">
        <x:v>阈值</x:v>
      </x:c>
      <x:c r="D25" s="60" t="str">
        <x:v>奖励</x:v>
      </x:c>
      <x:c r="E25" s="60" t="str">
        <x:v>到手成本判定</x:v>
      </x:c>
      <x:c r="F25" s="60" t="str">
        <x:v>来源</x:v>
      </x:c>
      <x:c r="G25" s="43"/>
      <x:c r="H25" s="43"/>
      <x:c r="I25" s="43"/>
      <x:c r="J25" s="43"/>
      <x:c r="K25" s="43"/>
      <x:c r="L25" s="43"/>
    </x:row>
    <x:row r="26" ht="42" customHeight="1">
      <x:c r="A26" s="61" t="str">
        <x:v>首月活动</x:v>
      </x:c>
      <x:c r="B26" s="61" t="str">
        <x:v>累计许愿</x:v>
      </x:c>
      <x:c r="C26" s="61" t="n">
        <x:v>5</x:v>
      </x:c>
      <x:c r="D26" s="61" t="str">
        <x:v>许愿券 × 2</x:v>
      </x:c>
      <x:c r="E26" s="61" t="str">
        <x:v>阈值非现金成本；不可与同一资源返利重复计价</x:v>
      </x:c>
      <x:c r="F26" s="61" t="str">
        <x:v>主/首月活动!第37行</x:v>
      </x:c>
      <x:c r="G26" s="43"/>
      <x:c r="H26" s="43"/>
      <x:c r="I26" s="43"/>
      <x:c r="J26" s="43"/>
      <x:c r="K26" s="43"/>
      <x:c r="L26" s="43"/>
    </x:row>
    <x:row r="27" ht="42" customHeight="1">
      <x:c r="A27" s="61" t="str">
        <x:v>首月活动</x:v>
      </x:c>
      <x:c r="B27" s="61" t="str">
        <x:v>累计许愿</x:v>
      </x:c>
      <x:c r="C27" s="61" t="n">
        <x:v>15</x:v>
      </x:c>
      <x:c r="D27" s="61" t="str">
        <x:v>钻石 × 100</x:v>
      </x:c>
      <x:c r="E27" s="61" t="str">
        <x:v>阈值非现金成本；不可与同一资源返利重复计价</x:v>
      </x:c>
      <x:c r="F27" s="61" t="str">
        <x:v>主/首月活动!第38行</x:v>
      </x:c>
      <x:c r="G27" s="43"/>
      <x:c r="H27" s="43"/>
      <x:c r="I27" s="43"/>
      <x:c r="J27" s="43"/>
      <x:c r="K27" s="43"/>
      <x:c r="L27" s="43"/>
    </x:row>
    <x:row r="28" ht="42" customHeight="1">
      <x:c r="A28" s="61" t="str">
        <x:v>首月活动</x:v>
      </x:c>
      <x:c r="B28" s="61" t="str">
        <x:v>累计许愿</x:v>
      </x:c>
      <x:c r="C28" s="61" t="n">
        <x:v>35</x:v>
      </x:c>
      <x:c r="D28" s="61" t="str">
        <x:v>星愿棱晶 × 1</x:v>
      </x:c>
      <x:c r="E28" s="61" t="str">
        <x:v>阈值非现金成本；不可与同一资源返利重复计价</x:v>
      </x:c>
      <x:c r="F28" s="61" t="str">
        <x:v>主/首月活动!第39行</x:v>
      </x:c>
      <x:c r="G28" s="43"/>
      <x:c r="H28" s="43"/>
      <x:c r="I28" s="43"/>
      <x:c r="J28" s="43"/>
      <x:c r="K28" s="43"/>
      <x:c r="L28" s="43"/>
    </x:row>
    <x:row r="29" ht="42" customHeight="1">
      <x:c r="A29" s="61" t="str">
        <x:v>首月活动</x:v>
      </x:c>
      <x:c r="B29" s="61" t="str">
        <x:v>累计许愿</x:v>
      </x:c>
      <x:c r="C29" s="61" t="n">
        <x:v>60</x:v>
      </x:c>
      <x:c r="D29" s="61" t="str">
        <x:v>钻石 × 150</x:v>
      </x:c>
      <x:c r="E29" s="61" t="str">
        <x:v>阈值非现金成本；不可与同一资源返利重复计价</x:v>
      </x:c>
      <x:c r="F29" s="61" t="str">
        <x:v>主/首月活动!第40行</x:v>
      </x:c>
      <x:c r="G29" s="43"/>
      <x:c r="H29" s="43"/>
      <x:c r="I29" s="43"/>
      <x:c r="J29" s="43"/>
      <x:c r="K29" s="43"/>
      <x:c r="L29" s="43"/>
    </x:row>
    <x:row r="30" ht="42" customHeight="1">
      <x:c r="A30" s="61" t="str">
        <x:v>首月活动</x:v>
      </x:c>
      <x:c r="B30" s="61" t="str">
        <x:v>累计许愿</x:v>
      </x:c>
      <x:c r="C30" s="61" t="n">
        <x:v>85</x:v>
      </x:c>
      <x:c r="D30" s="61" t="str">
        <x:v>许愿券 × 3</x:v>
      </x:c>
      <x:c r="E30" s="61" t="str">
        <x:v>阈值非现金成本；不可与同一资源返利重复计价</x:v>
      </x:c>
      <x:c r="F30" s="61" t="str">
        <x:v>主/首月活动!第41行</x:v>
      </x:c>
      <x:c r="G30" s="43"/>
      <x:c r="H30" s="43"/>
      <x:c r="I30" s="43"/>
      <x:c r="J30" s="43"/>
      <x:c r="K30" s="43"/>
      <x:c r="L30" s="43"/>
    </x:row>
    <x:row r="31" ht="42" customHeight="1">
      <x:c r="A31" s="61" t="str">
        <x:v>首月活动</x:v>
      </x:c>
      <x:c r="B31" s="61" t="str">
        <x:v>累计许愿</x:v>
      </x:c>
      <x:c r="C31" s="61" t="n">
        <x:v>115</x:v>
      </x:c>
      <x:c r="D31" s="61" t="str">
        <x:v>钻石 × 150</x:v>
      </x:c>
      <x:c r="E31" s="61" t="str">
        <x:v>阈值非现金成本；不可与同一资源返利重复计价</x:v>
      </x:c>
      <x:c r="F31" s="61" t="str">
        <x:v>主/首月活动!第42行</x:v>
      </x:c>
      <x:c r="G31" s="43"/>
      <x:c r="H31" s="43"/>
      <x:c r="I31" s="43"/>
      <x:c r="J31" s="43"/>
      <x:c r="K31" s="43"/>
      <x:c r="L31" s="43"/>
    </x:row>
    <x:row r="32" ht="42" customHeight="1">
      <x:c r="A32" s="61" t="str">
        <x:v>首月活动</x:v>
      </x:c>
      <x:c r="B32" s="61" t="str">
        <x:v>累计许愿</x:v>
      </x:c>
      <x:c r="C32" s="61" t="n">
        <x:v>145</x:v>
      </x:c>
      <x:c r="D32" s="61" t="str">
        <x:v>星愿棱晶 × 1</x:v>
      </x:c>
      <x:c r="E32" s="61" t="str">
        <x:v>阈值非现金成本；不可与同一资源返利重复计价</x:v>
      </x:c>
      <x:c r="F32" s="61" t="str">
        <x:v>主/首月活动!第43行</x:v>
      </x:c>
      <x:c r="G32" s="43"/>
      <x:c r="H32" s="43"/>
      <x:c r="I32" s="43"/>
      <x:c r="J32" s="43"/>
      <x:c r="K32" s="43"/>
      <x:c r="L32" s="43"/>
    </x:row>
    <x:row r="33" ht="42" customHeight="1">
      <x:c r="A33" s="61" t="str">
        <x:v>首月活动</x:v>
      </x:c>
      <x:c r="B33" s="61" t="str">
        <x:v>累计许愿</x:v>
      </x:c>
      <x:c r="C33" s="61" t="n">
        <x:v>175</x:v>
      </x:c>
      <x:c r="D33" s="61" t="str">
        <x:v>许愿券 × 3</x:v>
      </x:c>
      <x:c r="E33" s="61" t="str">
        <x:v>阈值非现金成本；不可与同一资源返利重复计价</x:v>
      </x:c>
      <x:c r="F33" s="61" t="str">
        <x:v>主/首月活动!第44行</x:v>
      </x:c>
      <x:c r="G33" s="43"/>
      <x:c r="H33" s="43"/>
      <x:c r="I33" s="43"/>
      <x:c r="J33" s="43"/>
      <x:c r="K33" s="43"/>
      <x:c r="L33" s="43"/>
    </x:row>
    <x:row r="34" ht="42" customHeight="1">
      <x:c r="A34" s="61" t="str">
        <x:v>首月活动</x:v>
      </x:c>
      <x:c r="B34" s="61" t="str">
        <x:v>累计许愿</x:v>
      </x:c>
      <x:c r="C34" s="61" t="n">
        <x:v>205</x:v>
      </x:c>
      <x:c r="D34" s="61" t="str">
        <x:v>钻石 × 150</x:v>
      </x:c>
      <x:c r="E34" s="61" t="str">
        <x:v>阈值非现金成本；不可与同一资源返利重复计价</x:v>
      </x:c>
      <x:c r="F34" s="61" t="str">
        <x:v>主/首月活动!第45行</x:v>
      </x:c>
      <x:c r="G34" s="43"/>
      <x:c r="H34" s="43"/>
      <x:c r="I34" s="43"/>
      <x:c r="J34" s="43"/>
      <x:c r="K34" s="43"/>
      <x:c r="L34" s="43"/>
    </x:row>
    <x:row r="35" ht="42" customHeight="1">
      <x:c r="A35" s="61" t="str">
        <x:v>首月活动</x:v>
      </x:c>
      <x:c r="B35" s="61" t="str">
        <x:v>累计许愿</x:v>
      </x:c>
      <x:c r="C35" s="61" t="n">
        <x:v>250</x:v>
      </x:c>
      <x:c r="D35" s="61" t="str">
        <x:v>许愿券 × 5</x:v>
      </x:c>
      <x:c r="E35" s="61" t="str">
        <x:v>阈值非现金成本；不可与同一资源返利重复计价</x:v>
      </x:c>
      <x:c r="F35" s="61" t="str">
        <x:v>主/首月活动!第46行</x:v>
      </x:c>
      <x:c r="G35" s="43"/>
      <x:c r="H35" s="43"/>
      <x:c r="I35" s="43"/>
      <x:c r="J35" s="43"/>
      <x:c r="K35" s="43"/>
      <x:c r="L35" s="43"/>
    </x:row>
    <x:row r="36" ht="42" customHeight="1">
      <x:c r="A36" s="61" t="str">
        <x:v>首月活动</x:v>
      </x:c>
      <x:c r="B36" s="61" t="str">
        <x:v>累计许愿</x:v>
      </x:c>
      <x:c r="C36" s="61" t="n">
        <x:v>295</x:v>
      </x:c>
      <x:c r="D36" s="61" t="str">
        <x:v>钻石 × 150</x:v>
      </x:c>
      <x:c r="E36" s="61" t="str">
        <x:v>阈值非现金成本；不可与同一资源返利重复计价</x:v>
      </x:c>
      <x:c r="F36" s="61" t="str">
        <x:v>主/首月活动!第47行</x:v>
      </x:c>
      <x:c r="G36" s="43"/>
      <x:c r="H36" s="43"/>
      <x:c r="I36" s="43"/>
      <x:c r="J36" s="43"/>
      <x:c r="K36" s="43"/>
      <x:c r="L36" s="43"/>
    </x:row>
    <x:row r="37" ht="42" customHeight="1">
      <x:c r="A37" s="61" t="str">
        <x:v>首月活动</x:v>
      </x:c>
      <x:c r="B37" s="61" t="str">
        <x:v>累计许愿</x:v>
      </x:c>
      <x:c r="C37" s="61" t="n">
        <x:v>340</x:v>
      </x:c>
      <x:c r="D37" s="61" t="str">
        <x:v>许愿券 × 5</x:v>
      </x:c>
      <x:c r="E37" s="61" t="str">
        <x:v>阈值非现金成本；不可与同一资源返利重复计价</x:v>
      </x:c>
      <x:c r="F37" s="61" t="str">
        <x:v>主/首月活动!第48行</x:v>
      </x:c>
      <x:c r="G37" s="43"/>
      <x:c r="H37" s="43"/>
      <x:c r="I37" s="43"/>
      <x:c r="J37" s="43"/>
      <x:c r="K37" s="43"/>
      <x:c r="L37" s="43"/>
    </x:row>
    <x:row r="38" ht="42" customHeight="1">
      <x:c r="A38" s="61" t="str">
        <x:v>首月活动</x:v>
      </x:c>
      <x:c r="B38" s="61" t="str">
        <x:v>累计许愿</x:v>
      </x:c>
      <x:c r="C38" s="61" t="n">
        <x:v>385</x:v>
      </x:c>
      <x:c r="D38" s="61" t="str">
        <x:v>钻石 × 150</x:v>
      </x:c>
      <x:c r="E38" s="61" t="str">
        <x:v>阈值非现金成本；不可与同一资源返利重复计价</x:v>
      </x:c>
      <x:c r="F38" s="61" t="str">
        <x:v>主/首月活动!第49行</x:v>
      </x:c>
      <x:c r="G38" s="43"/>
      <x:c r="H38" s="43"/>
      <x:c r="I38" s="43"/>
      <x:c r="J38" s="43"/>
      <x:c r="K38" s="43"/>
      <x:c r="L38" s="43"/>
    </x:row>
    <x:row r="39" ht="42" customHeight="1">
      <x:c r="A39" s="61" t="str">
        <x:v>首月活动</x:v>
      </x:c>
      <x:c r="B39" s="61" t="str">
        <x:v>累计许愿</x:v>
      </x:c>
      <x:c r="C39" s="61" t="n">
        <x:v>430</x:v>
      </x:c>
      <x:c r="D39" s="61" t="str">
        <x:v>星愿棱晶 × 1</x:v>
      </x:c>
      <x:c r="E39" s="61" t="str">
        <x:v>阈值非现金成本；不可与同一资源返利重复计价</x:v>
      </x:c>
      <x:c r="F39" s="61" t="str">
        <x:v>主/首月活动!第50行</x:v>
      </x:c>
      <x:c r="G39" s="43"/>
      <x:c r="H39" s="43"/>
      <x:c r="I39" s="43"/>
      <x:c r="J39" s="43"/>
      <x:c r="K39" s="43"/>
      <x:c r="L39" s="43"/>
    </x:row>
    <x:row r="40" ht="42" customHeight="1">
      <x:c r="A40" s="61" t="str">
        <x:v>首月活动</x:v>
      </x:c>
      <x:c r="B40" s="61" t="str">
        <x:v>累计许愿</x:v>
      </x:c>
      <x:c r="C40" s="61" t="n">
        <x:v>500</x:v>
      </x:c>
      <x:c r="D40" s="61" t="str">
        <x:v>许愿券 × 5</x:v>
      </x:c>
      <x:c r="E40" s="61" t="str">
        <x:v>阈值非现金成本；不可与同一资源返利重复计价</x:v>
      </x:c>
      <x:c r="F40" s="61" t="str">
        <x:v>主/首月活动!第51行</x:v>
      </x:c>
      <x:c r="G40" s="43"/>
      <x:c r="H40" s="43"/>
      <x:c r="I40" s="43"/>
      <x:c r="J40" s="43"/>
      <x:c r="K40" s="43"/>
      <x:c r="L40" s="43"/>
    </x:row>
    <x:row r="41" ht="42" customHeight="1">
      <x:c r="A41" s="61" t="str">
        <x:v>首月活动</x:v>
      </x:c>
      <x:c r="B41" s="61" t="str">
        <x:v>累计许愿</x:v>
      </x:c>
      <x:c r="C41" s="61" t="n">
        <x:v>575</x:v>
      </x:c>
      <x:c r="D41" s="61" t="str">
        <x:v>钻石 × 500</x:v>
      </x:c>
      <x:c r="E41" s="61" t="str">
        <x:v>阈值非现金成本；不可与同一资源返利重复计价</x:v>
      </x:c>
      <x:c r="F41" s="61" t="str">
        <x:v>主/首月活动!第52行</x:v>
      </x:c>
      <x:c r="G41" s="43"/>
      <x:c r="H41" s="43"/>
      <x:c r="I41" s="43"/>
      <x:c r="J41" s="43"/>
      <x:c r="K41" s="43"/>
      <x:c r="L41" s="43"/>
    </x:row>
    <x:row r="42" ht="42" customHeight="1">
      <x:c r="A42" s="61" t="str">
        <x:v>首月活动</x:v>
      </x:c>
      <x:c r="B42" s="61" t="str">
        <x:v>累计许愿</x:v>
      </x:c>
      <x:c r="C42" s="61" t="n">
        <x:v>745</x:v>
      </x:c>
      <x:c r="D42" s="61" t="str">
        <x:v>许愿券 × 5</x:v>
      </x:c>
      <x:c r="E42" s="61" t="str">
        <x:v>阈值非现金成本；不可与同一资源返利重复计价</x:v>
      </x:c>
      <x:c r="F42" s="61" t="str">
        <x:v>主/首月活动!第53行</x:v>
      </x:c>
      <x:c r="G42" s="43"/>
      <x:c r="H42" s="43"/>
      <x:c r="I42" s="43"/>
      <x:c r="J42" s="43"/>
      <x:c r="K42" s="43"/>
      <x:c r="L42" s="43"/>
    </x:row>
    <x:row r="43" ht="42" customHeight="1">
      <x:c r="A43" s="61" t="str">
        <x:v>首月活动</x:v>
      </x:c>
      <x:c r="B43" s="61" t="str">
        <x:v>累计许愿</x:v>
      </x:c>
      <x:c r="C43" s="61" t="n">
        <x:v>930</x:v>
      </x:c>
      <x:c r="D43" s="61" t="str">
        <x:v>星愿棱晶 × 2</x:v>
      </x:c>
      <x:c r="E43" s="61" t="str">
        <x:v>阈值非现金成本；不可与同一资源返利重复计价</x:v>
      </x:c>
      <x:c r="F43" s="61" t="str">
        <x:v>主/首月活动!第54行</x:v>
      </x:c>
      <x:c r="G43" s="43"/>
      <x:c r="H43" s="43"/>
      <x:c r="I43" s="43"/>
      <x:c r="J43" s="43"/>
      <x:c r="K43" s="43"/>
      <x:c r="L43" s="43"/>
    </x:row>
    <x:row r="44" ht="42" customHeight="1">
      <x:c r="A44" s="61" t="str">
        <x:v>首月活动</x:v>
      </x:c>
      <x:c r="B44" s="61" t="str">
        <x:v>累计许愿</x:v>
      </x:c>
      <x:c r="C44" s="61" t="n">
        <x:v>1140</x:v>
      </x:c>
      <x:c r="D44" s="61" t="str">
        <x:v>钻石 × 500</x:v>
      </x:c>
      <x:c r="E44" s="61" t="str">
        <x:v>阈值非现金成本；不可与同一资源返利重复计价</x:v>
      </x:c>
      <x:c r="F44" s="61" t="str">
        <x:v>主/首月活动!第55行</x:v>
      </x:c>
      <x:c r="G44" s="43"/>
      <x:c r="H44" s="43"/>
      <x:c r="I44" s="43"/>
      <x:c r="J44" s="43"/>
      <x:c r="K44" s="43"/>
      <x:c r="L44" s="43"/>
    </x:row>
    <x:row r="45" ht="42" customHeight="1">
      <x:c r="A45" s="61" t="str">
        <x:v>首月活动</x:v>
      </x:c>
      <x:c r="B45" s="61" t="str">
        <x:v>累计许愿</x:v>
      </x:c>
      <x:c r="C45" s="61" t="n">
        <x:v>1450</x:v>
      </x:c>
      <x:c r="D45" s="61" t="str">
        <x:v>许愿券 × 5</x:v>
      </x:c>
      <x:c r="E45" s="61" t="str">
        <x:v>阈值非现金成本；不可与同一资源返利重复计价</x:v>
      </x:c>
      <x:c r="F45" s="61" t="str">
        <x:v>主/首月活动!第56行</x:v>
      </x:c>
      <x:c r="G45" s="43"/>
      <x:c r="H45" s="43"/>
      <x:c r="I45" s="43"/>
      <x:c r="J45" s="43"/>
      <x:c r="K45" s="43"/>
      <x:c r="L45" s="43"/>
    </x:row>
    <x:row r="46" ht="42" customHeight="1">
      <x:c r="A46" s="61" t="str">
        <x:v>首月活动</x:v>
      </x:c>
      <x:c r="B46" s="61" t="str">
        <x:v>累计许愿</x:v>
      </x:c>
      <x:c r="C46" s="61" t="n">
        <x:v>1750</x:v>
      </x:c>
      <x:c r="D46" s="61" t="str">
        <x:v>钻石 × 500</x:v>
      </x:c>
      <x:c r="E46" s="61" t="str">
        <x:v>阈值非现金成本；不可与同一资源返利重复计价</x:v>
      </x:c>
      <x:c r="F46" s="61" t="str">
        <x:v>主/首月活动!第57行</x:v>
      </x:c>
      <x:c r="G46" s="43"/>
      <x:c r="H46" s="43"/>
      <x:c r="I46" s="43"/>
      <x:c r="J46" s="43"/>
      <x:c r="K46" s="43"/>
      <x:c r="L46" s="43"/>
    </x:row>
    <x:row r="47" ht="42" customHeight="1">
      <x:c r="A47" s="61" t="str">
        <x:v>首月活动</x:v>
      </x:c>
      <x:c r="B47" s="61" t="str">
        <x:v>累计许愿</x:v>
      </x:c>
      <x:c r="C47" s="61" t="n">
        <x:v>2050</x:v>
      </x:c>
      <x:c r="D47" s="61" t="str">
        <x:v>许愿券 × 5</x:v>
      </x:c>
      <x:c r="E47" s="61" t="str">
        <x:v>阈值非现金成本；不可与同一资源返利重复计价</x:v>
      </x:c>
      <x:c r="F47" s="61" t="str">
        <x:v>主/首月活动!第58行</x:v>
      </x:c>
      <x:c r="G47" s="43"/>
      <x:c r="H47" s="43"/>
      <x:c r="I47" s="43"/>
      <x:c r="J47" s="43"/>
      <x:c r="K47" s="43"/>
      <x:c r="L47" s="43"/>
    </x:row>
    <x:row r="48" ht="42" customHeight="1">
      <x:c r="A48" s="61" t="str">
        <x:v>首月活动</x:v>
      </x:c>
      <x:c r="B48" s="61" t="str">
        <x:v>累计许愿</x:v>
      </x:c>
      <x:c r="C48" s="61" t="n">
        <x:v>2450</x:v>
      </x:c>
      <x:c r="D48" s="61" t="str">
        <x:v>钻石 × 500</x:v>
      </x:c>
      <x:c r="E48" s="61" t="str">
        <x:v>阈值非现金成本；不可与同一资源返利重复计价</x:v>
      </x:c>
      <x:c r="F48" s="61" t="str">
        <x:v>主/首月活动!第59行</x:v>
      </x:c>
      <x:c r="G48" s="43"/>
      <x:c r="H48" s="43"/>
      <x:c r="I48" s="43"/>
      <x:c r="J48" s="43"/>
      <x:c r="K48" s="43"/>
      <x:c r="L48" s="43"/>
    </x:row>
    <x:row r="49" ht="42" customHeight="1">
      <x:c r="A49" s="61" t="str">
        <x:v>首月活动</x:v>
      </x:c>
      <x:c r="B49" s="61" t="str">
        <x:v>累计许愿</x:v>
      </x:c>
      <x:c r="C49" s="61" t="n">
        <x:v>2850</x:v>
      </x:c>
      <x:c r="D49" s="61" t="str">
        <x:v>许愿券 × 5</x:v>
      </x:c>
      <x:c r="E49" s="61" t="str">
        <x:v>阈值非现金成本；不可与同一资源返利重复计价</x:v>
      </x:c>
      <x:c r="F49" s="61" t="str">
        <x:v>主/首月活动!第60行</x:v>
      </x:c>
      <x:c r="G49" s="43"/>
      <x:c r="H49" s="43"/>
      <x:c r="I49" s="43"/>
      <x:c r="J49" s="43"/>
      <x:c r="K49" s="43"/>
      <x:c r="L49" s="43"/>
    </x:row>
    <x:row r="50" ht="42" customHeight="1">
      <x:c r="A50" s="61" t="str">
        <x:v>首月活动</x:v>
      </x:c>
      <x:c r="B50" s="61" t="str">
        <x:v>累计许愿</x:v>
      </x:c>
      <x:c r="C50" s="61" t="n">
        <x:v>3250</x:v>
      </x:c>
      <x:c r="D50" s="61" t="str">
        <x:v>钻石 × 500</x:v>
      </x:c>
      <x:c r="E50" s="61" t="str">
        <x:v>阈值非现金成本；不可与同一资源返利重复计价</x:v>
      </x:c>
      <x:c r="F50" s="61" t="str">
        <x:v>主/首月活动!第61行</x:v>
      </x:c>
      <x:c r="G50" s="43"/>
      <x:c r="H50" s="43"/>
      <x:c r="I50" s="43"/>
      <x:c r="J50" s="43"/>
      <x:c r="K50" s="43"/>
      <x:c r="L50" s="43"/>
    </x:row>
    <x:row r="51" ht="42" customHeight="1">
      <x:c r="A51" s="61" t="str">
        <x:v>首月活动</x:v>
      </x:c>
      <x:c r="B51" s="61" t="str">
        <x:v>累计许愿</x:v>
      </x:c>
      <x:c r="C51" s="61" t="n">
        <x:v>3650</x:v>
      </x:c>
      <x:c r="D51" s="61" t="str">
        <x:v>许愿券 × 5</x:v>
      </x:c>
      <x:c r="E51" s="61" t="str">
        <x:v>阈值非现金成本；不可与同一资源返利重复计价</x:v>
      </x:c>
      <x:c r="F51" s="61" t="str">
        <x:v>主/首月活动!第62行</x:v>
      </x:c>
      <x:c r="G51" s="43"/>
      <x:c r="H51" s="43"/>
      <x:c r="I51" s="43"/>
      <x:c r="J51" s="43"/>
      <x:c r="K51" s="43"/>
      <x:c r="L51" s="43"/>
    </x:row>
    <x:row r="52" ht="42" customHeight="1">
      <x:c r="A52" s="61" t="str">
        <x:v>首月活动</x:v>
      </x:c>
      <x:c r="B52" s="61" t="str">
        <x:v>累计许愿</x:v>
      </x:c>
      <x:c r="C52" s="61" t="n">
        <x:v>4150</x:v>
      </x:c>
      <x:c r="D52" s="61" t="str">
        <x:v>钻石 × 500</x:v>
      </x:c>
      <x:c r="E52" s="61" t="str">
        <x:v>阈值非现金成本；不可与同一资源返利重复计价</x:v>
      </x:c>
      <x:c r="F52" s="61" t="str">
        <x:v>主/首月活动!第63行</x:v>
      </x:c>
      <x:c r="G52" s="43"/>
      <x:c r="H52" s="43"/>
      <x:c r="I52" s="43"/>
      <x:c r="J52" s="43"/>
      <x:c r="K52" s="43"/>
      <x:c r="L52" s="43"/>
    </x:row>
    <x:row r="53" ht="42" customHeight="1">
      <x:c r="A53" s="61" t="str">
        <x:v>首月活动</x:v>
      </x:c>
      <x:c r="B53" s="61" t="str">
        <x:v>累计许愿</x:v>
      </x:c>
      <x:c r="C53" s="61" t="n">
        <x:v>4650</x:v>
      </x:c>
      <x:c r="D53" s="61" t="str">
        <x:v>许愿券 × 5</x:v>
      </x:c>
      <x:c r="E53" s="61" t="str">
        <x:v>阈值非现金成本；不可与同一资源返利重复计价</x:v>
      </x:c>
      <x:c r="F53" s="61" t="str">
        <x:v>主/首月活动!第64行</x:v>
      </x:c>
      <x:c r="G53" s="43"/>
      <x:c r="H53" s="43"/>
      <x:c r="I53" s="43"/>
      <x:c r="J53" s="43"/>
      <x:c r="K53" s="43"/>
      <x:c r="L53" s="43"/>
    </x:row>
    <x:row r="54" ht="42" customHeight="1">
      <x:c r="A54" s="61" t="str">
        <x:v>首月活动</x:v>
      </x:c>
      <x:c r="B54" s="61" t="str">
        <x:v>累计许愿</x:v>
      </x:c>
      <x:c r="C54" s="61" t="n">
        <x:v>5150</x:v>
      </x:c>
      <x:c r="D54" s="61" t="str">
        <x:v>钻石 × 500</x:v>
      </x:c>
      <x:c r="E54" s="61" t="str">
        <x:v>阈值非现金成本；不可与同一资源返利重复计价</x:v>
      </x:c>
      <x:c r="F54" s="61" t="str">
        <x:v>主/首月活动!第65行</x:v>
      </x:c>
      <x:c r="G54" s="43"/>
      <x:c r="H54" s="43"/>
      <x:c r="I54" s="43"/>
      <x:c r="J54" s="43"/>
      <x:c r="K54" s="43"/>
      <x:c r="L54" s="43"/>
    </x:row>
    <x:row r="55" ht="42" customHeight="1">
      <x:c r="A55" s="61" t="str">
        <x:v>首月活动</x:v>
      </x:c>
      <x:c r="B55" s="61" t="str">
        <x:v>累计许愿</x:v>
      </x:c>
      <x:c r="C55" s="61" t="n">
        <x:v>5650</x:v>
      </x:c>
      <x:c r="D55" s="61" t="str">
        <x:v>许愿券 × 5</x:v>
      </x:c>
      <x:c r="E55" s="61" t="str">
        <x:v>阈值非现金成本；不可与同一资源返利重复计价</x:v>
      </x:c>
      <x:c r="F55" s="61" t="str">
        <x:v>主/首月活动!第66行</x:v>
      </x:c>
      <x:c r="G55" s="43"/>
      <x:c r="H55" s="43"/>
      <x:c r="I55" s="43"/>
      <x:c r="J55" s="43"/>
      <x:c r="K55" s="43"/>
      <x:c r="L55" s="43"/>
    </x:row>
    <x:row r="56" ht="42" customHeight="1">
      <x:c r="A56" s="61" t="str">
        <x:v>首月活动</x:v>
      </x:c>
      <x:c r="B56" s="61" t="str">
        <x:v>累计许愿</x:v>
      </x:c>
      <x:c r="C56" s="61" t="n">
        <x:v>6150</x:v>
      </x:c>
      <x:c r="D56" s="61" t="str">
        <x:v>钻石 × 500</x:v>
      </x:c>
      <x:c r="E56" s="61" t="str">
        <x:v>阈值非现金成本；不可与同一资源返利重复计价</x:v>
      </x:c>
      <x:c r="F56" s="61" t="str">
        <x:v>主/首月活动!第67行</x:v>
      </x:c>
      <x:c r="G56" s="43"/>
      <x:c r="H56" s="43"/>
      <x:c r="I56" s="43"/>
      <x:c r="J56" s="43"/>
      <x:c r="K56" s="43"/>
      <x:c r="L56" s="43"/>
    </x:row>
  </x:sheetData>
  <x:mergeCells>
    <x:mergeCell ref="A1:L1"/>
    <x:mergeCell ref="A2:L2"/>
    <x:mergeCell ref="A14:J14"/>
    <x:mergeCell ref="A24:F2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《梦境护卫队》悬赏活动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来源：主/悬赏活动!A1:AA81；路线图!B25:AE25｜四套奖励/5层；每层多选项不能全部相加；第三组礼包数量不全｜主方案优先，补充方案不覆盖主方案。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悬赏活动</x:v>
      </x:c>
      <x:c r="C4" s="59"/>
      <x:c r="D4" s="57" t="str">
        <x:v>最终大奖条件说明</x:v>
      </x:c>
      <x:c r="E4" s="58" t="str">
        <x:v>多选项并列，不能把所有选项相加；礼包可单独比较</x:v>
      </x:c>
      <x:c r="F4" s="59"/>
      <x:c r="G4" s="57" t="str">
        <x:v>礼包数</x:v>
      </x:c>
      <x:c r="H4" s="58" t="n">
        <x:v>8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悬赏线索轮换最终标的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1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60" t="str">
        <x:v>礼包/档位</x:v>
      </x:c>
      <x:c r="B8" s="60" t="str">
        <x:v>支付币种</x:v>
      </x:c>
      <x:c r="C8" s="60" t="str">
        <x:v>标价</x:v>
      </x:c>
      <x:c r="D8" s="60" t="str">
        <x:v>成本折钻</x:v>
      </x:c>
      <x:c r="E8" s="60" t="str">
        <x:v>奖励价值钻</x:v>
      </x:c>
      <x:c r="F8" s="60" t="str">
        <x:v>价值倍率</x:v>
      </x:c>
      <x:c r="G8" s="60" t="str">
        <x:v>重算折数</x:v>
      </x:c>
      <x:c r="H8" s="60" t="str">
        <x:v>原标注折数</x:v>
      </x:c>
      <x:c r="I8" s="60" t="str">
        <x:v>主要到手标的物</x:v>
      </x:c>
      <x:c r="J8" s="60" t="str">
        <x:v>限购</x:v>
      </x:c>
      <x:c r="K8" s="60" t="str">
        <x:v>到手判断</x:v>
      </x:c>
      <x:c r="L8" s="60" t="str">
        <x:v>来源</x:v>
      </x:c>
    </x:row>
    <x:row r="9" ht="42" customHeight="1">
      <x:c r="A9" s="61" t="str">
        <x:v>免费礼包</x:v>
      </x:c>
      <x:c r="B9" s="61" t="str">
        <x:v>钻石</x:v>
      </x:c>
      <x:c r="C9" s="61" t="n">
        <x:v>0</x:v>
      </x:c>
      <x:c r="D9" s="62" t="n">
        <x:f>IF(ISNUMBER(C9),C9,"待核")</x:f>
        <x:v>0</x:v>
      </x:c>
      <x:c r="E9" s="62" t="n">
        <x:v>30</x:v>
      </x:c>
      <x:c r="F9" s="62" t="str">
        <x:f>IF(AND(ISNUMBER(D9),ISNUMBER(E9),D9&gt;0),E9/D9,"待核")</x:f>
        <x:v>待核</x:v>
      </x:c>
      <x:c r="G9" s="63" t="n">
        <x:f>IF(AND(ISNUMBER(D9),ISNUMBER(E9),E9&gt;0),D9/E9*10,"待核")</x:f>
        <x:v>0</x:v>
      </x:c>
      <x:c r="H9" s="61"/>
      <x:c r="I9" s="61" t="str">
        <x:v>悬赏线索×10</x:v>
      </x:c>
      <x:c r="J9" s="61" t="n">
        <x:v>1</x:v>
      </x:c>
      <x:c r="K9" s="61" t="str">
        <x:v>明细规划</x:v>
      </x:c>
      <x:c r="L9" s="61" t="str">
        <x:v>主/悬赏活动!第74行</x:v>
      </x:c>
    </x:row>
    <x:row r="10" ht="42" customHeight="1">
      <x:c r="A10" s="61" t="str">
        <x:v>悬赏礼包Ⅰ</x:v>
      </x:c>
      <x:c r="B10" s="61" t="str">
        <x:v>钻石</x:v>
      </x:c>
      <x:c r="C10" s="61" t="n">
        <x:v>198</x:v>
      </x:c>
      <x:c r="D10" s="62" t="n">
        <x:f>IF(ISNUMBER(C10),C10,"待核")</x:f>
        <x:v>198</x:v>
      </x:c>
      <x:c r="E10" s="62" t="str">
        <x:v>缺完整估值</x:v>
      </x:c>
      <x:c r="F10" s="62" t="str">
        <x:f>IF(AND(ISNUMBER(D10),ISNUMBER(E10),D10&gt;0),E10/D10,"待核")</x:f>
        <x:v>待核</x:v>
      </x:c>
      <x:c r="G10" s="63" t="str">
        <x:f>IF(AND(ISNUMBER(D10),ISNUMBER(E10),E10&gt;0),D10/E10*10,"待核")</x:f>
        <x:v>待核</x:v>
      </x:c>
      <x:c r="H10" s="61"/>
      <x:c r="I10" s="61" t="str">
        <x:v>悬赏线索×50；梦境招募器×10；随机能量特饮×待核</x:v>
      </x:c>
      <x:c r="J10" s="61" t="n">
        <x:v>1</x:v>
      </x:c>
      <x:c r="K10" s="61" t="str">
        <x:v>明细规划；数量缺失</x:v>
      </x:c>
      <x:c r="L10" s="61" t="str">
        <x:v>主/悬赏活动!第75行</x:v>
      </x:c>
    </x:row>
    <x:row r="11" ht="42" customHeight="1">
      <x:c r="A11" s="61" t="str">
        <x:v>悬赏礼包Ⅱ</x:v>
      </x:c>
      <x:c r="B11" s="61" t="str">
        <x:v>RMB</x:v>
      </x:c>
      <x:c r="C11" s="61" t="n">
        <x:v>6</x:v>
      </x:c>
      <x:c r="D11" s="62" t="n">
        <x:f>IF(ISNUMBER(C11*10),C11*10,"待核")</x:f>
        <x:v>60</x:v>
      </x:c>
      <x:c r="E11" s="62" t="str">
        <x:v>缺完整估值</x:v>
      </x:c>
      <x:c r="F11" s="62" t="str">
        <x:f>IF(AND(ISNUMBER(D11),ISNUMBER(E11),D11&gt;0),E11/D11,"待核")</x:f>
        <x:v>待核</x:v>
      </x:c>
      <x:c r="G11" s="63" t="str">
        <x:f>IF(AND(ISNUMBER(D11),ISNUMBER(E11),E11&gt;0),D11/E11*10,"待核")</x:f>
        <x:v>待核</x:v>
      </x:c>
      <x:c r="H11" s="61"/>
      <x:c r="I11" s="61" t="str">
        <x:v>钻石×60；悬赏线索×60；梦境招募器×待核</x:v>
      </x:c>
      <x:c r="J11" s="61" t="n">
        <x:v>3</x:v>
      </x:c>
      <x:c r="K11" s="61" t="str">
        <x:v>明细规划；数量缺失</x:v>
      </x:c>
      <x:c r="L11" s="61" t="str">
        <x:v>主/悬赏活动!第76行</x:v>
      </x:c>
    </x:row>
    <x:row r="12" ht="42" customHeight="1">
      <x:c r="A12" s="61" t="str">
        <x:v>悬赏礼包Ⅲ</x:v>
      </x:c>
      <x:c r="B12" s="61" t="str">
        <x:v>钻石</x:v>
      </x:c>
      <x:c r="C12" s="61" t="n">
        <x:v>588</x:v>
      </x:c>
      <x:c r="D12" s="62" t="n">
        <x:f>IF(ISNUMBER(C12),C12,"待核")</x:f>
        <x:v>588</x:v>
      </x:c>
      <x:c r="E12" s="62" t="str">
        <x:v>缺完整估值</x:v>
      </x:c>
      <x:c r="F12" s="62" t="str">
        <x:f>IF(AND(ISNUMBER(D12),ISNUMBER(E12),D12&gt;0),E12/D12,"待核")</x:f>
        <x:v>待核</x:v>
      </x:c>
      <x:c r="G12" s="63" t="str">
        <x:f>IF(AND(ISNUMBER(D12),ISNUMBER(E12),E12&gt;0),D12/E12*10,"待核")</x:f>
        <x:v>待核</x:v>
      </x:c>
      <x:c r="H12" s="61"/>
      <x:c r="I12" s="61" t="str">
        <x:v>悬赏线索×150；梦境招募器×25；超能特饮×待核</x:v>
      </x:c>
      <x:c r="J12" s="61" t="n">
        <x:v>3</x:v>
      </x:c>
      <x:c r="K12" s="61" t="str">
        <x:v>明细规划；数量缺失</x:v>
      </x:c>
      <x:c r="L12" s="61" t="str">
        <x:v>主/悬赏活动!第77行</x:v>
      </x:c>
    </x:row>
    <x:row r="13" ht="42" customHeight="1">
      <x:c r="A13" s="61" t="str">
        <x:v>悬赏礼包Ⅳ</x:v>
      </x:c>
      <x:c r="B13" s="61" t="str">
        <x:v>RMB</x:v>
      </x:c>
      <x:c r="C13" s="61" t="n">
        <x:v>30</x:v>
      </x:c>
      <x:c r="D13" s="62" t="n">
        <x:f>IF(ISNUMBER(C13*10),C13*10,"待核")</x:f>
        <x:v>300</x:v>
      </x:c>
      <x:c r="E13" s="62" t="str">
        <x:v>缺完整估值</x:v>
      </x:c>
      <x:c r="F13" s="62" t="str">
        <x:f>IF(AND(ISNUMBER(D13),ISNUMBER(E13),D13&gt;0),E13/D13,"待核")</x:f>
        <x:v>待核</x:v>
      </x:c>
      <x:c r="G13" s="63" t="str">
        <x:f>IF(AND(ISNUMBER(D13),ISNUMBER(E13),E13&gt;0),D13/E13*10,"待核")</x:f>
        <x:v>待核</x:v>
      </x:c>
      <x:c r="H13" s="61"/>
      <x:c r="I13" s="61" t="str">
        <x:v>钻石×300；悬赏线索×300；星之初愿×待核</x:v>
      </x:c>
      <x:c r="J13" s="61" t="n">
        <x:v>5</x:v>
      </x:c>
      <x:c r="K13" s="61" t="str">
        <x:v>明细规划；数量缺失</x:v>
      </x:c>
      <x:c r="L13" s="61" t="str">
        <x:v>主/悬赏活动!第78行</x:v>
      </x:c>
    </x:row>
    <x:row r="14" ht="42" customHeight="1">
      <x:c r="A14" s="61" t="str">
        <x:v>悬赏礼包Ⅴ</x:v>
      </x:c>
      <x:c r="B14" s="61" t="str">
        <x:v>钻石</x:v>
      </x:c>
      <x:c r="C14" s="61" t="n">
        <x:v>1388</x:v>
      </x:c>
      <x:c r="D14" s="62" t="n">
        <x:f>IF(ISNUMBER(C14),C14,"待核")</x:f>
        <x:v>1388</x:v>
      </x:c>
      <x:c r="E14" s="62" t="str">
        <x:v>缺完整估值</x:v>
      </x:c>
      <x:c r="F14" s="62" t="str">
        <x:f>IF(AND(ISNUMBER(D14),ISNUMBER(E14),D14&gt;0),E14/D14,"待核")</x:f>
        <x:v>待核</x:v>
      </x:c>
      <x:c r="G14" s="63" t="str">
        <x:f>IF(AND(ISNUMBER(D14),ISNUMBER(E14),E14&gt;0),D14/E14*10,"待核")</x:f>
        <x:v>待核</x:v>
      </x:c>
      <x:c r="H14" s="61"/>
      <x:c r="I14" s="61" t="str">
        <x:v>悬赏线索×350；星辉秘契×3；超能特饮×待核</x:v>
      </x:c>
      <x:c r="J14" s="61" t="n">
        <x:v>3</x:v>
      </x:c>
      <x:c r="K14" s="61" t="str">
        <x:v>明细规划；数量缺失</x:v>
      </x:c>
      <x:c r="L14" s="61" t="str">
        <x:v>主/悬赏活动!第79行</x:v>
      </x:c>
    </x:row>
    <x:row r="15" ht="42" customHeight="1">
      <x:c r="A15" s="61" t="str">
        <x:v>悬赏礼包Ⅵ</x:v>
      </x:c>
      <x:c r="B15" s="61" t="str">
        <x:v>RMB</x:v>
      </x:c>
      <x:c r="C15" s="61" t="n">
        <x:v>98</x:v>
      </x:c>
      <x:c r="D15" s="62" t="n">
        <x:f>IF(ISNUMBER(C15*10),C15*10,"待核")</x:f>
        <x:v>980</x:v>
      </x:c>
      <x:c r="E15" s="62" t="str">
        <x:v>缺完整估值</x:v>
      </x:c>
      <x:c r="F15" s="62" t="str">
        <x:f>IF(AND(ISNUMBER(D15),ISNUMBER(E15),D15&gt;0),E15/D15,"待核")</x:f>
        <x:v>待核</x:v>
      </x:c>
      <x:c r="G15" s="63" t="str">
        <x:f>IF(AND(ISNUMBER(D15),ISNUMBER(E15),E15&gt;0),D15/E15*10,"待核")</x:f>
        <x:v>待核</x:v>
      </x:c>
      <x:c r="H15" s="61"/>
      <x:c r="I15" s="61" t="str">
        <x:v>钻石×980；悬赏线索×750；星辉秘契×待核</x:v>
      </x:c>
      <x:c r="J15" s="61" t="n">
        <x:v>5</x:v>
      </x:c>
      <x:c r="K15" s="61" t="str">
        <x:v>明细规划；数量缺失</x:v>
      </x:c>
      <x:c r="L15" s="61" t="str">
        <x:v>主/悬赏活动!第80行</x:v>
      </x:c>
    </x:row>
    <x:row r="16" ht="42" customHeight="1">
      <x:c r="A16" s="61" t="str">
        <x:v>悬赏礼包Ⅶ</x:v>
      </x:c>
      <x:c r="B16" s="61" t="str">
        <x:v>钻石</x:v>
      </x:c>
      <x:c r="C16" s="61" t="n">
        <x:v>2188</x:v>
      </x:c>
      <x:c r="D16" s="62" t="n">
        <x:f>IF(ISNUMBER(C16),C16,"待核")</x:f>
        <x:v>2188</x:v>
      </x:c>
      <x:c r="E16" s="62" t="str">
        <x:v>缺完整估值</x:v>
      </x:c>
      <x:c r="F16" s="62" t="str">
        <x:f>IF(AND(ISNUMBER(D16),ISNUMBER(E16),D16&gt;0),E16/D16,"待核")</x:f>
        <x:v>待核</x:v>
      </x:c>
      <x:c r="G16" s="63" t="str">
        <x:f>IF(AND(ISNUMBER(D16),ISNUMBER(E16),E16&gt;0),D16/E16*10,"待核")</x:f>
        <x:v>待核</x:v>
      </x:c>
      <x:c r="H16" s="61"/>
      <x:c r="I16" s="61" t="str">
        <x:v>悬赏线索×600；星辉秘契×5；转运石×待核</x:v>
      </x:c>
      <x:c r="J16" s="61" t="n">
        <x:v>3</x:v>
      </x:c>
      <x:c r="K16" s="61" t="str">
        <x:v>明细规划；数量缺失</x:v>
      </x:c>
      <x:c r="L16" s="61" t="str">
        <x:v>主/悬赏活动!第81行</x:v>
      </x:c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</x:row>
    <x:row r="19">
      <x:c r="A19" s="64" t="str">
        <x:v>奖励明细：数量 × 统一道具单价</x:v>
      </x:c>
      <x:c r="B19" s="64"/>
      <x:c r="C19" s="64"/>
      <x:c r="D19" s="64"/>
      <x:c r="E19" s="64"/>
      <x:c r="F19" s="64"/>
      <x:c r="G19" s="64"/>
      <x:c r="H19" s="64"/>
      <x:c r="I19" s="64"/>
      <x:c r="J19" s="64"/>
      <x:c r="K19" s="43"/>
      <x:c r="L19" s="43"/>
    </x:row>
    <x:row r="20" ht="42" customHeight="1">
      <x:c r="A20" s="60" t="str">
        <x:v>礼包</x:v>
      </x:c>
      <x:c r="B20" s="60" t="str">
        <x:v>标的物</x:v>
      </x:c>
      <x:c r="C20" s="60" t="str">
        <x:v>数量</x:v>
      </x:c>
      <x:c r="D20" s="60" t="str">
        <x:v>统一单价钻</x:v>
      </x:c>
      <x:c r="E20" s="60" t="str">
        <x:v>活动单价钻</x:v>
      </x:c>
      <x:c r="F20" s="60" t="str">
        <x:v>奖励价值钻</x:v>
      </x:c>
      <x:c r="G20" s="60" t="str">
        <x:v>估值依据</x:v>
      </x:c>
      <x:c r="H20" s="60" t="str">
        <x:v>差异/缺失</x:v>
      </x:c>
      <x:c r="I20" s="60" t="str">
        <x:v>来源</x:v>
      </x:c>
      <x:c r="J20" s="60" t="str">
        <x:v>备注</x:v>
      </x:c>
      <x:c r="K20" s="43"/>
      <x:c r="L20" s="43"/>
    </x:row>
    <x:row r="21" ht="42" customHeight="1">
      <x:c r="A21" s="61" t="str">
        <x:v>免费礼包</x:v>
      </x:c>
      <x:c r="B21" s="61" t="str">
        <x:v>悬赏线索</x:v>
      </x:c>
      <x:c r="C21" s="62" t="n">
        <x:v>10</x:v>
      </x:c>
      <x:c r="D21" s="62" t="n">
        <x:v>3</x:v>
      </x:c>
      <x:c r="E21" s="62" t="str"/>
      <x:c r="F21" s="62" t="n">
        <x:f>IF(AND(ISNUMBER(C21),ISNUMBER(D21)),C21*D21,"待补")</x:f>
        <x:v>30</x:v>
      </x:c>
      <x:c r="G21" s="61" t="str">
        <x:v>统一道具字典</x:v>
      </x:c>
      <x:c r="H21" s="61" t="str"/>
      <x:c r="I21" s="61" t="str">
        <x:v>主/悬赏活动!第74行</x:v>
      </x:c>
      <x:c r="J21" s="61" t="str">
        <x:v>统一字典优先</x:v>
      </x:c>
      <x:c r="K21" s="43"/>
      <x:c r="L21" s="43"/>
    </x:row>
    <x:row r="22" ht="42" customHeight="1">
      <x:c r="A22" s="61" t="str">
        <x:v>悬赏礼包Ⅰ</x:v>
      </x:c>
      <x:c r="B22" s="61" t="str">
        <x:v>悬赏线索</x:v>
      </x:c>
      <x:c r="C22" s="62" t="n">
        <x:v>50</x:v>
      </x:c>
      <x:c r="D22" s="62" t="n">
        <x:v>3</x:v>
      </x:c>
      <x:c r="E22" s="62" t="str"/>
      <x:c r="F22" s="62" t="n">
        <x:f>IF(AND(ISNUMBER(C22),ISNUMBER(D22)),C22*D22,"待补")</x:f>
        <x:v>150</x:v>
      </x:c>
      <x:c r="G22" s="61" t="str">
        <x:v>统一道具字典</x:v>
      </x:c>
      <x:c r="H22" s="61" t="str"/>
      <x:c r="I22" s="61" t="str">
        <x:v>主/悬赏活动!第75行</x:v>
      </x:c>
      <x:c r="J22" s="61" t="str">
        <x:v>统一字典优先</x:v>
      </x:c>
      <x:c r="K22" s="43"/>
      <x:c r="L22" s="43"/>
    </x:row>
    <x:row r="23" ht="42" customHeight="1">
      <x:c r="A23" s="61" t="str">
        <x:v>悬赏礼包Ⅰ</x:v>
      </x:c>
      <x:c r="B23" s="61" t="str">
        <x:v>梦境招募器</x:v>
      </x:c>
      <x:c r="C23" s="62" t="n">
        <x:v>10</x:v>
      </x:c>
      <x:c r="D23" s="62" t="n">
        <x:v>30</x:v>
      </x:c>
      <x:c r="E23" s="62" t="str"/>
      <x:c r="F23" s="62" t="n">
        <x:f>IF(AND(ISNUMBER(C23),ISNUMBER(D23)),C23*D23,"待补")</x:f>
        <x:v>300</x:v>
      </x:c>
      <x:c r="G23" s="61" t="str">
        <x:v>统一道具字典</x:v>
      </x:c>
      <x:c r="H23" s="61" t="str"/>
      <x:c r="I23" s="61" t="str">
        <x:v>主/悬赏活动!第75行</x:v>
      </x:c>
      <x:c r="J23" s="61" t="str">
        <x:v>统一字典优先</x:v>
      </x:c>
      <x:c r="K23" s="43"/>
      <x:c r="L23" s="43"/>
    </x:row>
    <x:row r="24" ht="42" customHeight="1">
      <x:c r="A24" s="61" t="str">
        <x:v>悬赏礼包Ⅰ</x:v>
      </x:c>
      <x:c r="B24" s="61" t="str">
        <x:v>随机能量特饮</x:v>
      </x:c>
      <x:c r="C24" s="62"/>
      <x:c r="D24" s="62" t="n">
        <x:v>1</x:v>
      </x:c>
      <x:c r="E24" s="62" t="str"/>
      <x:c r="F24" s="62" t="str">
        <x:f>IF(AND(ISNUMBER(C24),ISNUMBER(D24)),C24*D24,"待补")</x:f>
        <x:v>待补</x:v>
      </x:c>
      <x:c r="G24" s="61" t="str">
        <x:v>统一道具字典</x:v>
      </x:c>
      <x:c r="H24" s="61" t="str">
        <x:v>；数量缺失</x:v>
      </x:c>
      <x:c r="I24" s="61" t="str">
        <x:v>主/悬赏活动!第75行</x:v>
      </x:c>
      <x:c r="J24" s="61" t="str">
        <x:v>统一字典优先</x:v>
      </x:c>
      <x:c r="K24" s="43"/>
      <x:c r="L24" s="43"/>
    </x:row>
    <x:row r="25" ht="42" customHeight="1">
      <x:c r="A25" s="61" t="str">
        <x:v>悬赏礼包Ⅱ</x:v>
      </x:c>
      <x:c r="B25" s="61" t="str">
        <x:v>钻石</x:v>
      </x:c>
      <x:c r="C25" s="62" t="n">
        <x:v>60</x:v>
      </x:c>
      <x:c r="D25" s="62" t="n">
        <x:v>1</x:v>
      </x:c>
      <x:c r="E25" s="62" t="str"/>
      <x:c r="F25" s="62" t="n">
        <x:f>IF(AND(ISNUMBER(C25),ISNUMBER(D25)),C25*D25,"待补")</x:f>
        <x:v>60</x:v>
      </x:c>
      <x:c r="G25" s="61" t="str">
        <x:v>统一道具字典</x:v>
      </x:c>
      <x:c r="H25" s="61" t="str"/>
      <x:c r="I25" s="61" t="str">
        <x:v>主/悬赏活动!第76行</x:v>
      </x:c>
      <x:c r="J25" s="61" t="str">
        <x:v>统一字典优先</x:v>
      </x:c>
      <x:c r="K25" s="43"/>
      <x:c r="L25" s="43"/>
    </x:row>
    <x:row r="26" ht="42" customHeight="1">
      <x:c r="A26" s="61" t="str">
        <x:v>悬赏礼包Ⅱ</x:v>
      </x:c>
      <x:c r="B26" s="61" t="str">
        <x:v>悬赏线索</x:v>
      </x:c>
      <x:c r="C26" s="62" t="n">
        <x:v>60</x:v>
      </x:c>
      <x:c r="D26" s="62" t="n">
        <x:v>3</x:v>
      </x:c>
      <x:c r="E26" s="62" t="str"/>
      <x:c r="F26" s="62" t="n">
        <x:f>IF(AND(ISNUMBER(C26),ISNUMBER(D26)),C26*D26,"待补")</x:f>
        <x:v>180</x:v>
      </x:c>
      <x:c r="G26" s="61" t="str">
        <x:v>统一道具字典</x:v>
      </x:c>
      <x:c r="H26" s="61" t="str"/>
      <x:c r="I26" s="61" t="str">
        <x:v>主/悬赏活动!第76行</x:v>
      </x:c>
      <x:c r="J26" s="61" t="str">
        <x:v>统一字典优先</x:v>
      </x:c>
      <x:c r="K26" s="43"/>
      <x:c r="L26" s="43"/>
    </x:row>
    <x:row r="27" ht="42" customHeight="1">
      <x:c r="A27" s="61" t="str">
        <x:v>悬赏礼包Ⅱ</x:v>
      </x:c>
      <x:c r="B27" s="61" t="str">
        <x:v>梦境招募器</x:v>
      </x:c>
      <x:c r="C27" s="62"/>
      <x:c r="D27" s="62" t="n">
        <x:v>30</x:v>
      </x:c>
      <x:c r="E27" s="62" t="str"/>
      <x:c r="F27" s="62" t="str">
        <x:f>IF(AND(ISNUMBER(C27),ISNUMBER(D27)),C27*D27,"待补")</x:f>
        <x:v>待补</x:v>
      </x:c>
      <x:c r="G27" s="61" t="str">
        <x:v>统一道具字典</x:v>
      </x:c>
      <x:c r="H27" s="61" t="str">
        <x:v>；数量缺失</x:v>
      </x:c>
      <x:c r="I27" s="61" t="str">
        <x:v>主/悬赏活动!第76行</x:v>
      </x:c>
      <x:c r="J27" s="61" t="str">
        <x:v>统一字典优先</x:v>
      </x:c>
      <x:c r="K27" s="43"/>
      <x:c r="L27" s="43"/>
    </x:row>
    <x:row r="28" ht="42" customHeight="1">
      <x:c r="A28" s="61" t="str">
        <x:v>悬赏礼包Ⅲ</x:v>
      </x:c>
      <x:c r="B28" s="61" t="str">
        <x:v>悬赏线索</x:v>
      </x:c>
      <x:c r="C28" s="62" t="n">
        <x:v>150</x:v>
      </x:c>
      <x:c r="D28" s="62" t="n">
        <x:v>3</x:v>
      </x:c>
      <x:c r="E28" s="62" t="str"/>
      <x:c r="F28" s="62" t="n">
        <x:f>IF(AND(ISNUMBER(C28),ISNUMBER(D28)),C28*D28,"待补")</x:f>
        <x:v>450</x:v>
      </x:c>
      <x:c r="G28" s="61" t="str">
        <x:v>统一道具字典</x:v>
      </x:c>
      <x:c r="H28" s="61" t="str"/>
      <x:c r="I28" s="61" t="str">
        <x:v>主/悬赏活动!第77行</x:v>
      </x:c>
      <x:c r="J28" s="61" t="str">
        <x:v>统一字典优先</x:v>
      </x:c>
      <x:c r="K28" s="43"/>
      <x:c r="L28" s="43"/>
    </x:row>
    <x:row r="29" ht="42" customHeight="1">
      <x:c r="A29" s="61" t="str">
        <x:v>悬赏礼包Ⅲ</x:v>
      </x:c>
      <x:c r="B29" s="61" t="str">
        <x:v>梦境招募器</x:v>
      </x:c>
      <x:c r="C29" s="62" t="n">
        <x:v>25</x:v>
      </x:c>
      <x:c r="D29" s="62" t="n">
        <x:v>30</x:v>
      </x:c>
      <x:c r="E29" s="62" t="str"/>
      <x:c r="F29" s="62" t="n">
        <x:f>IF(AND(ISNUMBER(C29),ISNUMBER(D29)),C29*D29,"待补")</x:f>
        <x:v>750</x:v>
      </x:c>
      <x:c r="G29" s="61" t="str">
        <x:v>统一道具字典</x:v>
      </x:c>
      <x:c r="H29" s="61" t="str"/>
      <x:c r="I29" s="61" t="str">
        <x:v>主/悬赏活动!第77行</x:v>
      </x:c>
      <x:c r="J29" s="61" t="str">
        <x:v>统一字典优先</x:v>
      </x:c>
      <x:c r="K29" s="43"/>
      <x:c r="L29" s="43"/>
    </x:row>
    <x:row r="30" ht="42" customHeight="1">
      <x:c r="A30" s="61" t="str">
        <x:v>悬赏礼包Ⅲ</x:v>
      </x:c>
      <x:c r="B30" s="61" t="str">
        <x:v>超能特饮</x:v>
      </x:c>
      <x:c r="C30" s="62"/>
      <x:c r="D30" s="62" t="n">
        <x:v>2</x:v>
      </x:c>
      <x:c r="E30" s="62" t="str"/>
      <x:c r="F30" s="62" t="str">
        <x:f>IF(AND(ISNUMBER(C30),ISNUMBER(D30)),C30*D30,"待补")</x:f>
        <x:v>待补</x:v>
      </x:c>
      <x:c r="G30" s="61" t="str">
        <x:v>统一道具字典</x:v>
      </x:c>
      <x:c r="H30" s="61" t="str">
        <x:v>；数量缺失</x:v>
      </x:c>
      <x:c r="I30" s="61" t="str">
        <x:v>主/悬赏活动!第77行</x:v>
      </x:c>
      <x:c r="J30" s="61" t="str">
        <x:v>统一字典优先</x:v>
      </x:c>
      <x:c r="K30" s="43"/>
      <x:c r="L30" s="43"/>
    </x:row>
    <x:row r="31" ht="42" customHeight="1">
      <x:c r="A31" s="61" t="str">
        <x:v>悬赏礼包Ⅳ</x:v>
      </x:c>
      <x:c r="B31" s="61" t="str">
        <x:v>钻石</x:v>
      </x:c>
      <x:c r="C31" s="62" t="n">
        <x:v>300</x:v>
      </x:c>
      <x:c r="D31" s="62" t="n">
        <x:v>1</x:v>
      </x:c>
      <x:c r="E31" s="62" t="str"/>
      <x:c r="F31" s="62" t="n">
        <x:f>IF(AND(ISNUMBER(C31),ISNUMBER(D31)),C31*D31,"待补")</x:f>
        <x:v>300</x:v>
      </x:c>
      <x:c r="G31" s="61" t="str">
        <x:v>统一道具字典</x:v>
      </x:c>
      <x:c r="H31" s="61" t="str"/>
      <x:c r="I31" s="61" t="str">
        <x:v>主/悬赏活动!第78行</x:v>
      </x:c>
      <x:c r="J31" s="61" t="str">
        <x:v>统一字典优先</x:v>
      </x:c>
      <x:c r="K31" s="43"/>
      <x:c r="L31" s="43"/>
    </x:row>
    <x:row r="32" ht="42" customHeight="1">
      <x:c r="A32" s="61" t="str">
        <x:v>悬赏礼包Ⅳ</x:v>
      </x:c>
      <x:c r="B32" s="61" t="str">
        <x:v>悬赏线索</x:v>
      </x:c>
      <x:c r="C32" s="62" t="n">
        <x:v>300</x:v>
      </x:c>
      <x:c r="D32" s="62" t="n">
        <x:v>3</x:v>
      </x:c>
      <x:c r="E32" s="62" t="str"/>
      <x:c r="F32" s="62" t="n">
        <x:f>IF(AND(ISNUMBER(C32),ISNUMBER(D32)),C32*D32,"待补")</x:f>
        <x:v>900</x:v>
      </x:c>
      <x:c r="G32" s="61" t="str">
        <x:v>统一道具字典</x:v>
      </x:c>
      <x:c r="H32" s="61" t="str"/>
      <x:c r="I32" s="61" t="str">
        <x:v>主/悬赏活动!第78行</x:v>
      </x:c>
      <x:c r="J32" s="61" t="str">
        <x:v>统一字典优先</x:v>
      </x:c>
      <x:c r="K32" s="43"/>
      <x:c r="L32" s="43"/>
    </x:row>
    <x:row r="33" ht="42" customHeight="1">
      <x:c r="A33" s="61" t="str">
        <x:v>悬赏礼包Ⅳ</x:v>
      </x:c>
      <x:c r="B33" s="61" t="str">
        <x:v>星之初愿</x:v>
      </x:c>
      <x:c r="C33" s="62"/>
      <x:c r="D33" s="62" t="n">
        <x:v>50</x:v>
      </x:c>
      <x:c r="E33" s="62" t="str"/>
      <x:c r="F33" s="62" t="str">
        <x:f>IF(AND(ISNUMBER(C33),ISNUMBER(D33)),C33*D33,"待补")</x:f>
        <x:v>待补</x:v>
      </x:c>
      <x:c r="G33" s="61" t="str">
        <x:v>统一道具字典</x:v>
      </x:c>
      <x:c r="H33" s="61" t="str">
        <x:v>；数量缺失</x:v>
      </x:c>
      <x:c r="I33" s="61" t="str">
        <x:v>主/悬赏活动!第78行</x:v>
      </x:c>
      <x:c r="J33" s="61" t="str">
        <x:v>统一字典优先</x:v>
      </x:c>
      <x:c r="K33" s="43"/>
      <x:c r="L33" s="43"/>
    </x:row>
    <x:row r="34" ht="42" customHeight="1">
      <x:c r="A34" s="61" t="str">
        <x:v>悬赏礼包Ⅴ</x:v>
      </x:c>
      <x:c r="B34" s="61" t="str">
        <x:v>悬赏线索</x:v>
      </x:c>
      <x:c r="C34" s="62" t="n">
        <x:v>350</x:v>
      </x:c>
      <x:c r="D34" s="62" t="n">
        <x:v>3</x:v>
      </x:c>
      <x:c r="E34" s="62" t="str"/>
      <x:c r="F34" s="62" t="n">
        <x:f>IF(AND(ISNUMBER(C34),ISNUMBER(D34)),C34*D34,"待补")</x:f>
        <x:v>1050</x:v>
      </x:c>
      <x:c r="G34" s="61" t="str">
        <x:v>统一道具字典</x:v>
      </x:c>
      <x:c r="H34" s="61" t="str"/>
      <x:c r="I34" s="61" t="str">
        <x:v>主/悬赏活动!第79行</x:v>
      </x:c>
      <x:c r="J34" s="61" t="str">
        <x:v>统一字典优先</x:v>
      </x:c>
      <x:c r="K34" s="43"/>
      <x:c r="L34" s="43"/>
    </x:row>
    <x:row r="35" ht="42" customHeight="1">
      <x:c r="A35" s="61" t="str">
        <x:v>悬赏礼包Ⅴ</x:v>
      </x:c>
      <x:c r="B35" s="61" t="str">
        <x:v>星辉秘契</x:v>
      </x:c>
      <x:c r="C35" s="62" t="n">
        <x:v>3</x:v>
      </x:c>
      <x:c r="D35" s="62" t="n">
        <x:v>280</x:v>
      </x:c>
      <x:c r="E35" s="62" t="str"/>
      <x:c r="F35" s="62" t="n">
        <x:f>IF(AND(ISNUMBER(C35),ISNUMBER(D35)),C35*D35,"待补")</x:f>
        <x:v>840</x:v>
      </x:c>
      <x:c r="G35" s="61" t="str">
        <x:v>统一道具字典</x:v>
      </x:c>
      <x:c r="H35" s="61" t="str"/>
      <x:c r="I35" s="61" t="str">
        <x:v>主/悬赏活动!第79行</x:v>
      </x:c>
      <x:c r="J35" s="61" t="str">
        <x:v>统一字典优先</x:v>
      </x:c>
      <x:c r="K35" s="43"/>
      <x:c r="L35" s="43"/>
    </x:row>
    <x:row r="36" ht="42" customHeight="1">
      <x:c r="A36" s="61" t="str">
        <x:v>悬赏礼包Ⅴ</x:v>
      </x:c>
      <x:c r="B36" s="61" t="str">
        <x:v>超能特饮</x:v>
      </x:c>
      <x:c r="C36" s="62"/>
      <x:c r="D36" s="62" t="n">
        <x:v>2</x:v>
      </x:c>
      <x:c r="E36" s="62" t="str"/>
      <x:c r="F36" s="62" t="str">
        <x:f>IF(AND(ISNUMBER(C36),ISNUMBER(D36)),C36*D36,"待补")</x:f>
        <x:v>待补</x:v>
      </x:c>
      <x:c r="G36" s="61" t="str">
        <x:v>统一道具字典</x:v>
      </x:c>
      <x:c r="H36" s="61" t="str">
        <x:v>；数量缺失</x:v>
      </x:c>
      <x:c r="I36" s="61" t="str">
        <x:v>主/悬赏活动!第79行</x:v>
      </x:c>
      <x:c r="J36" s="61" t="str">
        <x:v>统一字典优先</x:v>
      </x:c>
      <x:c r="K36" s="43"/>
      <x:c r="L36" s="43"/>
    </x:row>
    <x:row r="37" ht="42" customHeight="1">
      <x:c r="A37" s="61" t="str">
        <x:v>悬赏礼包Ⅵ</x:v>
      </x:c>
      <x:c r="B37" s="61" t="str">
        <x:v>钻石</x:v>
      </x:c>
      <x:c r="C37" s="62" t="n">
        <x:v>980</x:v>
      </x:c>
      <x:c r="D37" s="62" t="n">
        <x:v>1</x:v>
      </x:c>
      <x:c r="E37" s="62" t="str"/>
      <x:c r="F37" s="62" t="n">
        <x:f>IF(AND(ISNUMBER(C37),ISNUMBER(D37)),C37*D37,"待补")</x:f>
        <x:v>980</x:v>
      </x:c>
      <x:c r="G37" s="61" t="str">
        <x:v>统一道具字典</x:v>
      </x:c>
      <x:c r="H37" s="61" t="str"/>
      <x:c r="I37" s="61" t="str">
        <x:v>主/悬赏活动!第80行</x:v>
      </x:c>
      <x:c r="J37" s="61" t="str">
        <x:v>统一字典优先</x:v>
      </x:c>
      <x:c r="K37" s="43"/>
      <x:c r="L37" s="43"/>
    </x:row>
    <x:row r="38" ht="42" customHeight="1">
      <x:c r="A38" s="61" t="str">
        <x:v>悬赏礼包Ⅵ</x:v>
      </x:c>
      <x:c r="B38" s="61" t="str">
        <x:v>悬赏线索</x:v>
      </x:c>
      <x:c r="C38" s="62" t="n">
        <x:v>750</x:v>
      </x:c>
      <x:c r="D38" s="62" t="n">
        <x:v>3</x:v>
      </x:c>
      <x:c r="E38" s="62" t="str"/>
      <x:c r="F38" s="62" t="n">
        <x:f>IF(AND(ISNUMBER(C38),ISNUMBER(D38)),C38*D38,"待补")</x:f>
        <x:v>2250</x:v>
      </x:c>
      <x:c r="G38" s="61" t="str">
        <x:v>统一道具字典</x:v>
      </x:c>
      <x:c r="H38" s="61" t="str"/>
      <x:c r="I38" s="61" t="str">
        <x:v>主/悬赏活动!第80行</x:v>
      </x:c>
      <x:c r="J38" s="61" t="str">
        <x:v>统一字典优先</x:v>
      </x:c>
      <x:c r="K38" s="43"/>
      <x:c r="L38" s="43"/>
    </x:row>
    <x:row r="39" ht="42" customHeight="1">
      <x:c r="A39" s="61" t="str">
        <x:v>悬赏礼包Ⅵ</x:v>
      </x:c>
      <x:c r="B39" s="61" t="str">
        <x:v>星辉秘契</x:v>
      </x:c>
      <x:c r="C39" s="62"/>
      <x:c r="D39" s="62" t="n">
        <x:v>280</x:v>
      </x:c>
      <x:c r="E39" s="62" t="str"/>
      <x:c r="F39" s="62" t="str">
        <x:f>IF(AND(ISNUMBER(C39),ISNUMBER(D39)),C39*D39,"待补")</x:f>
        <x:v>待补</x:v>
      </x:c>
      <x:c r="G39" s="61" t="str">
        <x:v>统一道具字典</x:v>
      </x:c>
      <x:c r="H39" s="61" t="str">
        <x:v>；数量缺失</x:v>
      </x:c>
      <x:c r="I39" s="61" t="str">
        <x:v>主/悬赏活动!第80行</x:v>
      </x:c>
      <x:c r="J39" s="61" t="str">
        <x:v>统一字典优先</x:v>
      </x:c>
      <x:c r="K39" s="43"/>
      <x:c r="L39" s="43"/>
    </x:row>
    <x:row r="40" ht="42" customHeight="1">
      <x:c r="A40" s="61" t="str">
        <x:v>悬赏礼包Ⅶ</x:v>
      </x:c>
      <x:c r="B40" s="61" t="str">
        <x:v>悬赏线索</x:v>
      </x:c>
      <x:c r="C40" s="62" t="n">
        <x:v>600</x:v>
      </x:c>
      <x:c r="D40" s="62" t="n">
        <x:v>3</x:v>
      </x:c>
      <x:c r="E40" s="62" t="str"/>
      <x:c r="F40" s="62" t="n">
        <x:f>IF(AND(ISNUMBER(C40),ISNUMBER(D40)),C40*D40,"待补")</x:f>
        <x:v>1800</x:v>
      </x:c>
      <x:c r="G40" s="61" t="str">
        <x:v>统一道具字典</x:v>
      </x:c>
      <x:c r="H40" s="61" t="str"/>
      <x:c r="I40" s="61" t="str">
        <x:v>主/悬赏活动!第81行</x:v>
      </x:c>
      <x:c r="J40" s="61" t="str">
        <x:v>统一字典优先</x:v>
      </x:c>
      <x:c r="K40" s="43"/>
      <x:c r="L40" s="43"/>
    </x:row>
    <x:row r="41" ht="42" customHeight="1">
      <x:c r="A41" s="61" t="str">
        <x:v>悬赏礼包Ⅶ</x:v>
      </x:c>
      <x:c r="B41" s="61" t="str">
        <x:v>星辉秘契</x:v>
      </x:c>
      <x:c r="C41" s="62" t="n">
        <x:v>5</x:v>
      </x:c>
      <x:c r="D41" s="62" t="n">
        <x:v>280</x:v>
      </x:c>
      <x:c r="E41" s="62" t="str"/>
      <x:c r="F41" s="62" t="n">
        <x:f>IF(AND(ISNUMBER(C41),ISNUMBER(D41)),C41*D41,"待补")</x:f>
        <x:v>1400</x:v>
      </x:c>
      <x:c r="G41" s="61" t="str">
        <x:v>统一道具字典</x:v>
      </x:c>
      <x:c r="H41" s="61" t="str"/>
      <x:c r="I41" s="61" t="str">
        <x:v>主/悬赏活动!第81行</x:v>
      </x:c>
      <x:c r="J41" s="61" t="str">
        <x:v>统一字典优先</x:v>
      </x:c>
      <x:c r="K41" s="43"/>
      <x:c r="L41" s="43"/>
    </x:row>
    <x:row r="42" ht="42" customHeight="1">
      <x:c r="A42" s="61" t="str">
        <x:v>悬赏礼包Ⅶ</x:v>
      </x:c>
      <x:c r="B42" s="61" t="str">
        <x:v>转运石</x:v>
      </x:c>
      <x:c r="C42" s="62"/>
      <x:c r="D42" s="62" t="n">
        <x:v>0.33</x:v>
      </x:c>
      <x:c r="E42" s="62" t="str"/>
      <x:c r="F42" s="62" t="str">
        <x:f>IF(AND(ISNUMBER(C42),ISNUMBER(D42)),C42*D42,"待补")</x:f>
        <x:v>待补</x:v>
      </x:c>
      <x:c r="G42" s="61" t="str">
        <x:v>统一道具字典</x:v>
      </x:c>
      <x:c r="H42" s="61" t="str">
        <x:v>；数量缺失</x:v>
      </x:c>
      <x:c r="I42" s="61" t="str">
        <x:v>主/悬赏活动!第81行</x:v>
      </x:c>
      <x:c r="J42" s="61" t="str">
        <x:v>统一字典优先</x:v>
      </x:c>
      <x:c r="K42" s="43"/>
      <x:c r="L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</x:row>
    <x:row r="45">
      <x:c r="A45" s="65" t="str">
        <x:v>活动节点与最终大奖判定</x:v>
      </x:c>
      <x:c r="B45" s="65"/>
      <x:c r="C45" s="65"/>
      <x:c r="D45" s="65"/>
      <x:c r="E45" s="65"/>
      <x:c r="F45" s="65"/>
      <x:c r="G45" s="43"/>
      <x:c r="H45" s="43"/>
      <x:c r="I45" s="43"/>
      <x:c r="J45" s="43"/>
      <x:c r="K45" s="43"/>
      <x:c r="L45" s="43"/>
    </x:row>
    <x:row r="46" ht="42" customHeight="1">
      <x:c r="A46" s="60" t="str">
        <x:v>轮次/节点</x:v>
      </x:c>
      <x:c r="B46" s="60" t="str">
        <x:v>节点类型</x:v>
      </x:c>
      <x:c r="C46" s="60" t="str">
        <x:v>阈值</x:v>
      </x:c>
      <x:c r="D46" s="60" t="str">
        <x:v>奖励</x:v>
      </x:c>
      <x:c r="E46" s="60" t="str">
        <x:v>到手成本判定</x:v>
      </x:c>
      <x:c r="F46" s="60" t="str">
        <x:v>来源</x:v>
      </x:c>
      <x:c r="G46" s="43"/>
      <x:c r="H46" s="43"/>
      <x:c r="I46" s="43"/>
      <x:c r="J46" s="43"/>
      <x:c r="K46" s="43"/>
      <x:c r="L46" s="43"/>
    </x:row>
  </x:sheetData>
  <x:mergeCells>
    <x:mergeCell ref="A1:L1"/>
    <x:mergeCell ref="A2:L2"/>
    <x:mergeCell ref="A19:J19"/>
    <x:mergeCell ref="A45:F4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《梦境护卫队》章节礼包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来源：补/章节礼包!B2:R14｜缺主表细则，按补表暂列，待核是否仍投放｜主方案优先，补充方案不覆盖主方案。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章节礼包</x:v>
      </x:c>
      <x:c r="C4" s="59"/>
      <x:c r="D4" s="57" t="str">
        <x:v>最终大奖条件说明</x:v>
      </x:c>
      <x:c r="E4" s="58" t="str">
        <x:v>按最终付费档/通关档直接计价</x:v>
      </x:c>
      <x:c r="F4" s="59"/>
      <x:c r="G4" s="57" t="str">
        <x:v>礼包数</x:v>
      </x:c>
      <x:c r="H4" s="58" t="n">
        <x:v>9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随机神话符文×1；超能特饮×2000；装备图纸×1200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9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n">
        <x:v>6480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44" t="str">
        <x:v>礼包/档位</x:v>
      </x:c>
      <x:c r="B8" s="44" t="str">
        <x:v>支付币种</x:v>
      </x:c>
      <x:c r="C8" s="44" t="str">
        <x:v>标价</x:v>
      </x:c>
      <x:c r="D8" s="44" t="str">
        <x:v>成本折钻</x:v>
      </x:c>
      <x:c r="E8" s="44" t="str">
        <x:v>奖励价值钻</x:v>
      </x:c>
      <x:c r="F8" s="44" t="str">
        <x:v>价值倍率</x:v>
      </x:c>
      <x:c r="G8" s="44" t="str">
        <x:v>重算折数</x:v>
      </x:c>
      <x:c r="H8" s="44" t="str">
        <x:v>原标注折数</x:v>
      </x:c>
      <x:c r="I8" s="44" t="str">
        <x:v>主要到手标的物</x:v>
      </x:c>
      <x:c r="J8" s="44" t="str">
        <x:v>限购</x:v>
      </x:c>
      <x:c r="K8" s="44" t="str">
        <x:v>到手判断</x:v>
      </x:c>
      <x:c r="L8" s="44" t="str">
        <x:v>来源</x:v>
      </x:c>
    </x:row>
    <x:row r="9" ht="42" customHeight="1">
      <x:c r="A9" s="45" t="str">
        <x:v>通关5章</x:v>
      </x:c>
      <x:c r="B9" s="45" t="str">
        <x:v>钻石</x:v>
      </x:c>
      <x:c r="C9" s="45" t="n">
        <x:v>680</x:v>
      </x:c>
      <x:c r="D9" s="67" t="n">
        <x:f>IF(ISNUMBER(C9),C9,"待核")</x:f>
        <x:v>680</x:v>
      </x:c>
      <x:c r="E9" s="67" t="n">
        <x:v>1660</x:v>
      </x:c>
      <x:c r="F9" s="67" t="n">
        <x:f>IF(AND(ISNUMBER(D9),ISNUMBER(E9),D9&gt;0),E9/D9,"待核")</x:f>
        <x:v>2.4411764705882355</x:v>
      </x:c>
      <x:c r="G9" s="63" t="n">
        <x:f>IF(AND(ISNUMBER(D9),ISNUMBER(E9),E9&gt;0),D9/E9*10,"待核")</x:f>
        <x:v>4.096385542168674</x:v>
      </x:c>
      <x:c r="H9" s="45"/>
      <x:c r="I9" s="45" t="str">
        <x:v>梦境招募器×30；随机能量特饮×400；装备图纸×120</x:v>
      </x:c>
      <x:c r="J9" s="45" t="n">
        <x:v>1</x:v>
      </x:c>
      <x:c r="K9" s="45" t="str">
        <x:v>补充规划</x:v>
      </x:c>
      <x:c r="L9" s="45" t="str">
        <x:v>补/章节礼包!第6行</x:v>
      </x:c>
    </x:row>
    <x:row r="10" ht="42" customHeight="1">
      <x:c r="A10" s="45" t="str">
        <x:v>通关8章</x:v>
      </x:c>
      <x:c r="B10" s="45" t="str">
        <x:v>钻石</x:v>
      </x:c>
      <x:c r="C10" s="45" t="n">
        <x:v>980</x:v>
      </x:c>
      <x:c r="D10" s="67" t="n">
        <x:f>IF(ISNUMBER(C10),C10,"待核")</x:f>
        <x:v>980</x:v>
      </x:c>
      <x:c r="E10" s="67" t="n">
        <x:v>2700</x:v>
      </x:c>
      <x:c r="F10" s="67" t="n">
        <x:f>IF(AND(ISNUMBER(D10),ISNUMBER(E10),D10&gt;0),E10/D10,"待核")</x:f>
        <x:v>2.7551020408163267</x:v>
      </x:c>
      <x:c r="G10" s="63" t="n">
        <x:f>IF(AND(ISNUMBER(D10),ISNUMBER(E10),E10&gt;0),D10/E10*10,"待核")</x:f>
        <x:v>3.6296296296296298</x:v>
      </x:c>
      <x:c r="H10" s="45"/>
      <x:c r="I10" s="45" t="str">
        <x:v>自选史诗梦灵皮肤×1；随机能量特饮×600；装备图纸×200</x:v>
      </x:c>
      <x:c r="J10" s="45" t="n">
        <x:v>1</x:v>
      </x:c>
      <x:c r="K10" s="45" t="str">
        <x:v>补充规划</x:v>
      </x:c>
      <x:c r="L10" s="45" t="str">
        <x:v>补/章节礼包!第7行</x:v>
      </x:c>
    </x:row>
    <x:row r="11" ht="42" customHeight="1">
      <x:c r="A11" s="45" t="str">
        <x:v>通关10章</x:v>
      </x:c>
      <x:c r="B11" s="45" t="str">
        <x:v>钻石</x:v>
      </x:c>
      <x:c r="C11" s="45" t="n">
        <x:v>980</x:v>
      </x:c>
      <x:c r="D11" s="67" t="n">
        <x:f>IF(ISNUMBER(C11),C11,"待核")</x:f>
        <x:v>980</x:v>
      </x:c>
      <x:c r="E11" s="67" t="n">
        <x:v>3020</x:v>
      </x:c>
      <x:c r="F11" s="67" t="n">
        <x:f>IF(AND(ISNUMBER(D11),ISNUMBER(E11),D11&gt;0),E11/D11,"待核")</x:f>
        <x:v>3.0816326530612246</x:v>
      </x:c>
      <x:c r="G11" s="63" t="n">
        <x:f>IF(AND(ISNUMBER(D11),ISNUMBER(E11),E11&gt;0),D11/E11*10,"待核")</x:f>
        <x:v>3.2450331125827816</x:v>
      </x:c>
      <x:c r="H11" s="45"/>
      <x:c r="I11" s="45" t="str">
        <x:v>梦境招募器×50；随机能量特饮×800；装备图纸×240</x:v>
      </x:c>
      <x:c r="J11" s="45" t="n">
        <x:v>1</x:v>
      </x:c>
      <x:c r="K11" s="45" t="str">
        <x:v>补充规划</x:v>
      </x:c>
      <x:c r="L11" s="45" t="str">
        <x:v>补/章节礼包!第8行</x:v>
      </x:c>
    </x:row>
    <x:row r="12" ht="42" customHeight="1">
      <x:c r="A12" s="45" t="str">
        <x:v>通关15章</x:v>
      </x:c>
      <x:c r="B12" s="45" t="str">
        <x:v>钻石</x:v>
      </x:c>
      <x:c r="C12" s="45" t="n">
        <x:v>1580</x:v>
      </x:c>
      <x:c r="D12" s="67" t="n">
        <x:f>IF(ISNUMBER(C12),C12,"待核")</x:f>
        <x:v>1580</x:v>
      </x:c>
      <x:c r="E12" s="67" t="n">
        <x:v>4240</x:v>
      </x:c>
      <x:c r="F12" s="67" t="n">
        <x:f>IF(AND(ISNUMBER(D12),ISNUMBER(E12),D12&gt;0),E12/D12,"待核")</x:f>
        <x:v>2.6835443037974684</x:v>
      </x:c>
      <x:c r="G12" s="63" t="n">
        <x:f>IF(AND(ISNUMBER(D12),ISNUMBER(E12),E12&gt;0),D12/E12*10,"待核")</x:f>
        <x:v>3.7264150943396226</x:v>
      </x:c>
      <x:c r="H12" s="45"/>
      <x:c r="I12" s="45" t="str">
        <x:v>梦境招募器×80；随机能量特饮×1000；装备图纸×280</x:v>
      </x:c>
      <x:c r="J12" s="45" t="n">
        <x:v>1</x:v>
      </x:c>
      <x:c r="K12" s="45" t="str">
        <x:v>补充规划</x:v>
      </x:c>
      <x:c r="L12" s="45" t="str">
        <x:v>补/章节礼包!第9行</x:v>
      </x:c>
    </x:row>
    <x:row r="13" ht="42" customHeight="1">
      <x:c r="A13" s="45" t="str">
        <x:v>通关20章</x:v>
      </x:c>
      <x:c r="B13" s="45" t="str">
        <x:v>钻石</x:v>
      </x:c>
      <x:c r="C13" s="45" t="n">
        <x:v>1980</x:v>
      </x:c>
      <x:c r="D13" s="67" t="n">
        <x:f>IF(ISNUMBER(C13),C13,"待核")</x:f>
        <x:v>1980</x:v>
      </x:c>
      <x:c r="E13" s="67" t="n">
        <x:v>6300</x:v>
      </x:c>
      <x:c r="F13" s="67" t="n">
        <x:f>IF(AND(ISNUMBER(D13),ISNUMBER(E13),D13&gt;0),E13/D13,"待核")</x:f>
        <x:v>3.1818181818181817</x:v>
      </x:c>
      <x:c r="G13" s="63" t="n">
        <x:f>IF(AND(ISNUMBER(D13),ISNUMBER(E13),E13&gt;0),D13/E13*10,"待核")</x:f>
        <x:v>3.142857142857143</x:v>
      </x:c>
      <x:c r="H13" s="45"/>
      <x:c r="I13" s="45" t="str">
        <x:v>梦境招募器×100；超能特饮×1200；装备图纸×300</x:v>
      </x:c>
      <x:c r="J13" s="45" t="n">
        <x:v>1</x:v>
      </x:c>
      <x:c r="K13" s="45" t="str">
        <x:v>补充规划</x:v>
      </x:c>
      <x:c r="L13" s="45" t="str">
        <x:v>补/章节礼包!第10行</x:v>
      </x:c>
    </x:row>
    <x:row r="14" ht="42" customHeight="1">
      <x:c r="A14" s="45" t="str">
        <x:v>通关24章</x:v>
      </x:c>
      <x:c r="B14" s="45" t="str">
        <x:v>钻石</x:v>
      </x:c>
      <x:c r="C14" s="45" t="n">
        <x:v>1980</x:v>
      </x:c>
      <x:c r="D14" s="67" t="n">
        <x:f>IF(ISNUMBER(C14),C14,"待核")</x:f>
        <x:v>1980</x:v>
      </x:c>
      <x:c r="E14" s="67" t="n">
        <x:v>7160</x:v>
      </x:c>
      <x:c r="F14" s="67" t="n">
        <x:f>IF(AND(ISNUMBER(D14),ISNUMBER(E14),D14&gt;0),E14/D14,"待核")</x:f>
        <x:v>3.6161616161616164</x:v>
      </x:c>
      <x:c r="G14" s="63" t="n">
        <x:f>IF(AND(ISNUMBER(D14),ISNUMBER(E14),E14&gt;0),D14/E14*10,"待核")</x:f>
        <x:v>2.7653631284916202</x:v>
      </x:c>
      <x:c r="H14" s="45"/>
      <x:c r="I14" s="45" t="str">
        <x:v>星辉秘契×20；幻梦晶核×6；装备图纸×400</x:v>
      </x:c>
      <x:c r="J14" s="45" t="n">
        <x:v>1</x:v>
      </x:c>
      <x:c r="K14" s="45" t="str">
        <x:v>补充规划</x:v>
      </x:c>
      <x:c r="L14" s="45" t="str">
        <x:v>补/章节礼包!第11行</x:v>
      </x:c>
    </x:row>
    <x:row r="15" ht="42" customHeight="1">
      <x:c r="A15" s="45" t="str">
        <x:v>通关28章</x:v>
      </x:c>
      <x:c r="B15" s="45" t="str">
        <x:v>钻石</x:v>
      </x:c>
      <x:c r="C15" s="45" t="n">
        <x:v>2580</x:v>
      </x:c>
      <x:c r="D15" s="67" t="n">
        <x:f>IF(ISNUMBER(C15),C15,"待核")</x:f>
        <x:v>2580</x:v>
      </x:c>
      <x:c r="E15" s="67" t="n">
        <x:v>6316</x:v>
      </x:c>
      <x:c r="F15" s="67" t="n">
        <x:f>IF(AND(ISNUMBER(D15),ISNUMBER(E15),D15&gt;0),E15/D15,"待核")</x:f>
        <x:v>2.448062015503876</x:v>
      </x:c>
      <x:c r="G15" s="63" t="n">
        <x:f>IF(AND(ISNUMBER(D15),ISNUMBER(E15),E15&gt;0),D15/E15*10,"待核")</x:f>
        <x:v>4.084863837872071</x:v>
      </x:c>
      <x:c r="H15" s="45"/>
      <x:c r="I15" s="45" t="str">
        <x:v>随机传说符文×1；幻梦晶核×12；装备图纸×500</x:v>
      </x:c>
      <x:c r="J15" s="45" t="n">
        <x:v>1</x:v>
      </x:c>
      <x:c r="K15" s="45" t="str">
        <x:v>补充规划</x:v>
      </x:c>
      <x:c r="L15" s="45" t="str">
        <x:v>补/章节礼包!第12行</x:v>
      </x:c>
    </x:row>
    <x:row r="16" ht="42" customHeight="1">
      <x:c r="A16" s="45" t="str">
        <x:v>通关32章</x:v>
      </x:c>
      <x:c r="B16" s="45" t="str">
        <x:v>钻石</x:v>
      </x:c>
      <x:c r="C16" s="45" t="n">
        <x:v>3980</x:v>
      </x:c>
      <x:c r="D16" s="67" t="n">
        <x:f>IF(ISNUMBER(C16),C16,"待核")</x:f>
        <x:v>3980</x:v>
      </x:c>
      <x:c r="E16" s="67" t="n">
        <x:v>11432</x:v>
      </x:c>
      <x:c r="F16" s="67" t="n">
        <x:f>IF(AND(ISNUMBER(D16),ISNUMBER(E16),D16&gt;0),E16/D16,"待核")</x:f>
        <x:v>2.872361809045226</x:v>
      </x:c>
      <x:c r="G16" s="63" t="n">
        <x:f>IF(AND(ISNUMBER(D16),ISNUMBER(E16),E16&gt;0),D16/E16*10,"待核")</x:f>
        <x:v>3.481455563331001</x:v>
      </x:c>
      <x:c r="H16" s="45"/>
      <x:c r="I16" s="45" t="str">
        <x:v>随机传说符文×2；幻梦晶核×24；装备图纸×600</x:v>
      </x:c>
      <x:c r="J16" s="45" t="n">
        <x:v>1</x:v>
      </x:c>
      <x:c r="K16" s="45" t="str">
        <x:v>补充规划</x:v>
      </x:c>
      <x:c r="L16" s="45" t="str">
        <x:v>补/章节礼包!第13行</x:v>
      </x:c>
    </x:row>
    <x:row r="17" ht="42" customHeight="1">
      <x:c r="A17" s="45" t="str">
        <x:v>通关36章</x:v>
      </x:c>
      <x:c r="B17" s="45" t="str">
        <x:v>钻石</x:v>
      </x:c>
      <x:c r="C17" s="45" t="n">
        <x:v>6480</x:v>
      </x:c>
      <x:c r="D17" s="67" t="n">
        <x:f>IF(ISNUMBER(C17),C17,"待核")</x:f>
        <x:v>6480</x:v>
      </x:c>
      <x:c r="E17" s="67" t="n">
        <x:v>23984</x:v>
      </x:c>
      <x:c r="F17" s="67" t="n">
        <x:f>IF(AND(ISNUMBER(D17),ISNUMBER(E17),D17&gt;0),E17/D17,"待核")</x:f>
        <x:v>3.7012345679012344</x:v>
      </x:c>
      <x:c r="G17" s="63" t="n">
        <x:f>IF(AND(ISNUMBER(D17),ISNUMBER(E17),E17&gt;0),D17/E17*10,"待核")</x:f>
        <x:v>2.7018012008005337</x:v>
      </x:c>
      <x:c r="H17" s="45"/>
      <x:c r="I17" s="45" t="str">
        <x:v>随机神话符文×1；超能特饮×2000；装备图纸×1200</x:v>
      </x:c>
      <x:c r="J17" s="45" t="n">
        <x:v>1</x:v>
      </x:c>
      <x:c r="K17" s="45" t="str">
        <x:v>补充规划</x:v>
      </x:c>
      <x:c r="L17" s="45" t="str">
        <x:v>补/章节礼包!第14行</x:v>
      </x:c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</x:row>
    <x:row r="20">
      <x:c r="A20" s="64" t="str">
        <x:v>奖励明细：数量 × 统一道具单价</x:v>
      </x:c>
      <x:c r="B20" s="64"/>
      <x:c r="C20" s="64"/>
      <x:c r="D20" s="64"/>
      <x:c r="E20" s="64"/>
      <x:c r="F20" s="64"/>
      <x:c r="G20" s="64"/>
      <x:c r="H20" s="64"/>
      <x:c r="I20" s="64"/>
      <x:c r="J20" s="64"/>
      <x:c r="K20" s="43"/>
      <x:c r="L20" s="43"/>
    </x:row>
    <x:row r="21" ht="42" customHeight="1">
      <x:c r="A21" s="60" t="str">
        <x:v>礼包</x:v>
      </x:c>
      <x:c r="B21" s="60" t="str">
        <x:v>标的物</x:v>
      </x:c>
      <x:c r="C21" s="60" t="str">
        <x:v>数量</x:v>
      </x:c>
      <x:c r="D21" s="60" t="str">
        <x:v>统一单价钻</x:v>
      </x:c>
      <x:c r="E21" s="60" t="str">
        <x:v>活动单价钻</x:v>
      </x:c>
      <x:c r="F21" s="60" t="str">
        <x:v>奖励价值钻</x:v>
      </x:c>
      <x:c r="G21" s="60" t="str">
        <x:v>估值依据</x:v>
      </x:c>
      <x:c r="H21" s="60" t="str">
        <x:v>差异/缺失</x:v>
      </x:c>
      <x:c r="I21" s="60" t="str">
        <x:v>来源</x:v>
      </x:c>
      <x:c r="J21" s="60" t="str">
        <x:v>备注</x:v>
      </x:c>
      <x:c r="K21" s="43"/>
      <x:c r="L21" s="43"/>
    </x:row>
    <x:row r="22" ht="42" customHeight="1">
      <x:c r="A22" s="61" t="str">
        <x:v>通关5章</x:v>
      </x:c>
      <x:c r="B22" s="61" t="str">
        <x:v>梦境招募器</x:v>
      </x:c>
      <x:c r="C22" s="62" t="n">
        <x:v>30</x:v>
      </x:c>
      <x:c r="D22" s="62" t="n">
        <x:v>30</x:v>
      </x:c>
      <x:c r="E22" s="62" t="str"/>
      <x:c r="F22" s="62" t="n">
        <x:f>IF(AND(ISNUMBER(C22),ISNUMBER(D22)),C22*D22,"待补")</x:f>
        <x:v>900</x:v>
      </x:c>
      <x:c r="G22" s="61" t="str">
        <x:v>统一道具字典</x:v>
      </x:c>
      <x:c r="H22" s="61" t="str"/>
      <x:c r="I22" s="61" t="str">
        <x:v>补/章节礼包!第6行</x:v>
      </x:c>
      <x:c r="J22" s="61" t="str">
        <x:v>统一字典优先</x:v>
      </x:c>
      <x:c r="K22" s="43"/>
      <x:c r="L22" s="43"/>
    </x:row>
    <x:row r="23" ht="42" customHeight="1">
      <x:c r="A23" s="61" t="str">
        <x:v>通关5章</x:v>
      </x:c>
      <x:c r="B23" s="61" t="str">
        <x:v>随机能量特饮</x:v>
      </x:c>
      <x:c r="C23" s="62" t="n">
        <x:v>400</x:v>
      </x:c>
      <x:c r="D23" s="62" t="n">
        <x:v>1</x:v>
      </x:c>
      <x:c r="E23" s="62" t="str"/>
      <x:c r="F23" s="62" t="n">
        <x:f>IF(AND(ISNUMBER(C23),ISNUMBER(D23)),C23*D23,"待补")</x:f>
        <x:v>400</x:v>
      </x:c>
      <x:c r="G23" s="61" t="str">
        <x:v>统一道具字典</x:v>
      </x:c>
      <x:c r="H23" s="61" t="str"/>
      <x:c r="I23" s="61" t="str">
        <x:v>补/章节礼包!第6行</x:v>
      </x:c>
      <x:c r="J23" s="61" t="str">
        <x:v>统一字典优先</x:v>
      </x:c>
      <x:c r="K23" s="43"/>
      <x:c r="L23" s="43"/>
    </x:row>
    <x:row r="24" ht="42" customHeight="1">
      <x:c r="A24" s="61" t="str">
        <x:v>通关5章</x:v>
      </x:c>
      <x:c r="B24" s="61" t="str">
        <x:v>装备图纸</x:v>
      </x:c>
      <x:c r="C24" s="62" t="n">
        <x:v>120</x:v>
      </x:c>
      <x:c r="D24" s="62" t="n">
        <x:v>3</x:v>
      </x:c>
      <x:c r="E24" s="62" t="str"/>
      <x:c r="F24" s="62" t="n">
        <x:f>IF(AND(ISNUMBER(C24),ISNUMBER(D24)),C24*D24,"待补")</x:f>
        <x:v>360</x:v>
      </x:c>
      <x:c r="G24" s="61" t="str">
        <x:v>统一道具字典</x:v>
      </x:c>
      <x:c r="H24" s="61" t="str"/>
      <x:c r="I24" s="61" t="str">
        <x:v>补/章节礼包!第6行</x:v>
      </x:c>
      <x:c r="J24" s="61" t="str">
        <x:v>统一字典优先</x:v>
      </x:c>
      <x:c r="K24" s="43"/>
      <x:c r="L24" s="43"/>
    </x:row>
    <x:row r="25" ht="42" customHeight="1">
      <x:c r="A25" s="61" t="str">
        <x:v>通关8章</x:v>
      </x:c>
      <x:c r="B25" s="61" t="str">
        <x:v>自选史诗梦灵皮肤</x:v>
      </x:c>
      <x:c r="C25" s="62" t="n">
        <x:v>1</x:v>
      </x:c>
      <x:c r="D25" s="62" t="n">
        <x:v>1500</x:v>
      </x:c>
      <x:c r="E25" s="62" t="str"/>
      <x:c r="F25" s="62" t="n">
        <x:f>IF(AND(ISNUMBER(C25),ISNUMBER(D25)),C25*D25,"待补")</x:f>
        <x:v>1500</x:v>
      </x:c>
      <x:c r="G25" s="61" t="str">
        <x:v>统一道具字典</x:v>
      </x:c>
      <x:c r="H25" s="61" t="str"/>
      <x:c r="I25" s="61" t="str">
        <x:v>补/章节礼包!第7行</x:v>
      </x:c>
      <x:c r="J25" s="61" t="str">
        <x:v>统一字典优先</x:v>
      </x:c>
      <x:c r="K25" s="43"/>
      <x:c r="L25" s="43"/>
    </x:row>
    <x:row r="26" ht="42" customHeight="1">
      <x:c r="A26" s="61" t="str">
        <x:v>通关8章</x:v>
      </x:c>
      <x:c r="B26" s="61" t="str">
        <x:v>随机能量特饮</x:v>
      </x:c>
      <x:c r="C26" s="62" t="n">
        <x:v>600</x:v>
      </x:c>
      <x:c r="D26" s="62" t="n">
        <x:v>1</x:v>
      </x:c>
      <x:c r="E26" s="62" t="str"/>
      <x:c r="F26" s="62" t="n">
        <x:f>IF(AND(ISNUMBER(C26),ISNUMBER(D26)),C26*D26,"待补")</x:f>
        <x:v>600</x:v>
      </x:c>
      <x:c r="G26" s="61" t="str">
        <x:v>统一道具字典</x:v>
      </x:c>
      <x:c r="H26" s="61" t="str"/>
      <x:c r="I26" s="61" t="str">
        <x:v>补/章节礼包!第7行</x:v>
      </x:c>
      <x:c r="J26" s="61" t="str">
        <x:v>统一字典优先</x:v>
      </x:c>
      <x:c r="K26" s="43"/>
      <x:c r="L26" s="43"/>
    </x:row>
    <x:row r="27" ht="42" customHeight="1">
      <x:c r="A27" s="61" t="str">
        <x:v>通关8章</x:v>
      </x:c>
      <x:c r="B27" s="61" t="str">
        <x:v>装备图纸</x:v>
      </x:c>
      <x:c r="C27" s="62" t="n">
        <x:v>200</x:v>
      </x:c>
      <x:c r="D27" s="62" t="n">
        <x:v>3</x:v>
      </x:c>
      <x:c r="E27" s="62" t="str"/>
      <x:c r="F27" s="62" t="n">
        <x:f>IF(AND(ISNUMBER(C27),ISNUMBER(D27)),C27*D27,"待补")</x:f>
        <x:v>600</x:v>
      </x:c>
      <x:c r="G27" s="61" t="str">
        <x:v>统一道具字典</x:v>
      </x:c>
      <x:c r="H27" s="61" t="str"/>
      <x:c r="I27" s="61" t="str">
        <x:v>补/章节礼包!第7行</x:v>
      </x:c>
      <x:c r="J27" s="61" t="str">
        <x:v>统一字典优先</x:v>
      </x:c>
      <x:c r="K27" s="43"/>
      <x:c r="L27" s="43"/>
    </x:row>
    <x:row r="28" ht="42" customHeight="1">
      <x:c r="A28" s="61" t="str">
        <x:v>通关10章</x:v>
      </x:c>
      <x:c r="B28" s="61" t="str">
        <x:v>梦境招募器</x:v>
      </x:c>
      <x:c r="C28" s="62" t="n">
        <x:v>50</x:v>
      </x:c>
      <x:c r="D28" s="62" t="n">
        <x:v>30</x:v>
      </x:c>
      <x:c r="E28" s="62" t="str"/>
      <x:c r="F28" s="62" t="n">
        <x:f>IF(AND(ISNUMBER(C28),ISNUMBER(D28)),C28*D28,"待补")</x:f>
        <x:v>1500</x:v>
      </x:c>
      <x:c r="G28" s="61" t="str">
        <x:v>统一道具字典</x:v>
      </x:c>
      <x:c r="H28" s="61" t="str"/>
      <x:c r="I28" s="61" t="str">
        <x:v>补/章节礼包!第8行</x:v>
      </x:c>
      <x:c r="J28" s="61" t="str">
        <x:v>统一字典优先</x:v>
      </x:c>
      <x:c r="K28" s="43"/>
      <x:c r="L28" s="43"/>
    </x:row>
    <x:row r="29" ht="42" customHeight="1">
      <x:c r="A29" s="61" t="str">
        <x:v>通关10章</x:v>
      </x:c>
      <x:c r="B29" s="61" t="str">
        <x:v>随机能量特饮</x:v>
      </x:c>
      <x:c r="C29" s="62" t="n">
        <x:v>800</x:v>
      </x:c>
      <x:c r="D29" s="62" t="n">
        <x:v>1</x:v>
      </x:c>
      <x:c r="E29" s="62" t="str"/>
      <x:c r="F29" s="62" t="n">
        <x:f>IF(AND(ISNUMBER(C29),ISNUMBER(D29)),C29*D29,"待补")</x:f>
        <x:v>800</x:v>
      </x:c>
      <x:c r="G29" s="61" t="str">
        <x:v>统一道具字典</x:v>
      </x:c>
      <x:c r="H29" s="61" t="str"/>
      <x:c r="I29" s="61" t="str">
        <x:v>补/章节礼包!第8行</x:v>
      </x:c>
      <x:c r="J29" s="61" t="str">
        <x:v>统一字典优先</x:v>
      </x:c>
      <x:c r="K29" s="43"/>
      <x:c r="L29" s="43"/>
    </x:row>
    <x:row r="30" ht="42" customHeight="1">
      <x:c r="A30" s="61" t="str">
        <x:v>通关10章</x:v>
      </x:c>
      <x:c r="B30" s="61" t="str">
        <x:v>装备图纸</x:v>
      </x:c>
      <x:c r="C30" s="62" t="n">
        <x:v>240</x:v>
      </x:c>
      <x:c r="D30" s="62" t="n">
        <x:v>3</x:v>
      </x:c>
      <x:c r="E30" s="62" t="str"/>
      <x:c r="F30" s="62" t="n">
        <x:f>IF(AND(ISNUMBER(C30),ISNUMBER(D30)),C30*D30,"待补")</x:f>
        <x:v>720</x:v>
      </x:c>
      <x:c r="G30" s="61" t="str">
        <x:v>统一道具字典</x:v>
      </x:c>
      <x:c r="H30" s="61" t="str"/>
      <x:c r="I30" s="61" t="str">
        <x:v>补/章节礼包!第8行</x:v>
      </x:c>
      <x:c r="J30" s="61" t="str">
        <x:v>统一字典优先</x:v>
      </x:c>
      <x:c r="K30" s="43"/>
      <x:c r="L30" s="43"/>
    </x:row>
    <x:row r="31" ht="42" customHeight="1">
      <x:c r="A31" s="61" t="str">
        <x:v>通关15章</x:v>
      </x:c>
      <x:c r="B31" s="61" t="str">
        <x:v>梦境招募器</x:v>
      </x:c>
      <x:c r="C31" s="62" t="n">
        <x:v>80</x:v>
      </x:c>
      <x:c r="D31" s="62" t="n">
        <x:v>30</x:v>
      </x:c>
      <x:c r="E31" s="62" t="str"/>
      <x:c r="F31" s="62" t="n">
        <x:f>IF(AND(ISNUMBER(C31),ISNUMBER(D31)),C31*D31,"待补")</x:f>
        <x:v>2400</x:v>
      </x:c>
      <x:c r="G31" s="61" t="str">
        <x:v>统一道具字典</x:v>
      </x:c>
      <x:c r="H31" s="61" t="str"/>
      <x:c r="I31" s="61" t="str">
        <x:v>补/章节礼包!第9行</x:v>
      </x:c>
      <x:c r="J31" s="61" t="str">
        <x:v>统一字典优先</x:v>
      </x:c>
      <x:c r="K31" s="43"/>
      <x:c r="L31" s="43"/>
    </x:row>
    <x:row r="32" ht="42" customHeight="1">
      <x:c r="A32" s="61" t="str">
        <x:v>通关15章</x:v>
      </x:c>
      <x:c r="B32" s="61" t="str">
        <x:v>随机能量特饮</x:v>
      </x:c>
      <x:c r="C32" s="62" t="n">
        <x:v>1000</x:v>
      </x:c>
      <x:c r="D32" s="62" t="n">
        <x:v>1</x:v>
      </x:c>
      <x:c r="E32" s="62" t="str"/>
      <x:c r="F32" s="62" t="n">
        <x:f>IF(AND(ISNUMBER(C32),ISNUMBER(D32)),C32*D32,"待补")</x:f>
        <x:v>1000</x:v>
      </x:c>
      <x:c r="G32" s="61" t="str">
        <x:v>统一道具字典</x:v>
      </x:c>
      <x:c r="H32" s="61" t="str"/>
      <x:c r="I32" s="61" t="str">
        <x:v>补/章节礼包!第9行</x:v>
      </x:c>
      <x:c r="J32" s="61" t="str">
        <x:v>统一字典优先</x:v>
      </x:c>
      <x:c r="K32" s="43"/>
      <x:c r="L32" s="43"/>
    </x:row>
    <x:row r="33" ht="42" customHeight="1">
      <x:c r="A33" s="61" t="str">
        <x:v>通关15章</x:v>
      </x:c>
      <x:c r="B33" s="61" t="str">
        <x:v>装备图纸</x:v>
      </x:c>
      <x:c r="C33" s="62" t="n">
        <x:v>280</x:v>
      </x:c>
      <x:c r="D33" s="62" t="n">
        <x:v>3</x:v>
      </x:c>
      <x:c r="E33" s="62" t="str"/>
      <x:c r="F33" s="62" t="n">
        <x:f>IF(AND(ISNUMBER(C33),ISNUMBER(D33)),C33*D33,"待补")</x:f>
        <x:v>840</x:v>
      </x:c>
      <x:c r="G33" s="61" t="str">
        <x:v>统一道具字典</x:v>
      </x:c>
      <x:c r="H33" s="61" t="str"/>
      <x:c r="I33" s="61" t="str">
        <x:v>补/章节礼包!第9行</x:v>
      </x:c>
      <x:c r="J33" s="61" t="str">
        <x:v>统一字典优先</x:v>
      </x:c>
      <x:c r="K33" s="43"/>
      <x:c r="L33" s="43"/>
    </x:row>
    <x:row r="34" ht="42" customHeight="1">
      <x:c r="A34" s="61" t="str">
        <x:v>通关20章</x:v>
      </x:c>
      <x:c r="B34" s="61" t="str">
        <x:v>梦境招募器</x:v>
      </x:c>
      <x:c r="C34" s="62" t="n">
        <x:v>100</x:v>
      </x:c>
      <x:c r="D34" s="62" t="n">
        <x:v>30</x:v>
      </x:c>
      <x:c r="E34" s="62" t="str"/>
      <x:c r="F34" s="62" t="n">
        <x:f>IF(AND(ISNUMBER(C34),ISNUMBER(D34)),C34*D34,"待补")</x:f>
        <x:v>3000</x:v>
      </x:c>
      <x:c r="G34" s="61" t="str">
        <x:v>统一道具字典</x:v>
      </x:c>
      <x:c r="H34" s="61" t="str"/>
      <x:c r="I34" s="61" t="str">
        <x:v>补/章节礼包!第10行</x:v>
      </x:c>
      <x:c r="J34" s="61" t="str">
        <x:v>统一字典优先</x:v>
      </x:c>
      <x:c r="K34" s="43"/>
      <x:c r="L34" s="43"/>
    </x:row>
    <x:row r="35" ht="42" customHeight="1">
      <x:c r="A35" s="61" t="str">
        <x:v>通关20章</x:v>
      </x:c>
      <x:c r="B35" s="61" t="str">
        <x:v>超能特饮</x:v>
      </x:c>
      <x:c r="C35" s="62" t="n">
        <x:v>1200</x:v>
      </x:c>
      <x:c r="D35" s="62" t="n">
        <x:v>2</x:v>
      </x:c>
      <x:c r="E35" s="62" t="str"/>
      <x:c r="F35" s="62" t="n">
        <x:f>IF(AND(ISNUMBER(C35),ISNUMBER(D35)),C35*D35,"待补")</x:f>
        <x:v>2400</x:v>
      </x:c>
      <x:c r="G35" s="61" t="str">
        <x:v>统一道具字典</x:v>
      </x:c>
      <x:c r="H35" s="61" t="str"/>
      <x:c r="I35" s="61" t="str">
        <x:v>补/章节礼包!第10行</x:v>
      </x:c>
      <x:c r="J35" s="61" t="str">
        <x:v>统一字典优先</x:v>
      </x:c>
      <x:c r="K35" s="43"/>
      <x:c r="L35" s="43"/>
    </x:row>
    <x:row r="36" ht="42" customHeight="1">
      <x:c r="A36" s="61" t="str">
        <x:v>通关20章</x:v>
      </x:c>
      <x:c r="B36" s="61" t="str">
        <x:v>装备图纸</x:v>
      </x:c>
      <x:c r="C36" s="62" t="n">
        <x:v>300</x:v>
      </x:c>
      <x:c r="D36" s="62" t="n">
        <x:v>3</x:v>
      </x:c>
      <x:c r="E36" s="62" t="str"/>
      <x:c r="F36" s="62" t="n">
        <x:f>IF(AND(ISNUMBER(C36),ISNUMBER(D36)),C36*D36,"待补")</x:f>
        <x:v>900</x:v>
      </x:c>
      <x:c r="G36" s="61" t="str">
        <x:v>统一道具字典</x:v>
      </x:c>
      <x:c r="H36" s="61" t="str"/>
      <x:c r="I36" s="61" t="str">
        <x:v>补/章节礼包!第10行</x:v>
      </x:c>
      <x:c r="J36" s="61" t="str">
        <x:v>统一字典优先</x:v>
      </x:c>
      <x:c r="K36" s="43"/>
      <x:c r="L36" s="43"/>
    </x:row>
    <x:row r="37" ht="42" customHeight="1">
      <x:c r="A37" s="61" t="str">
        <x:v>通关24章</x:v>
      </x:c>
      <x:c r="B37" s="61" t="str">
        <x:v>星辉秘契</x:v>
      </x:c>
      <x:c r="C37" s="62" t="n">
        <x:v>20</x:v>
      </x:c>
      <x:c r="D37" s="62" t="n">
        <x:v>280</x:v>
      </x:c>
      <x:c r="E37" s="62" t="str"/>
      <x:c r="F37" s="62" t="n">
        <x:f>IF(AND(ISNUMBER(C37),ISNUMBER(D37)),C37*D37,"待补")</x:f>
        <x:v>5600</x:v>
      </x:c>
      <x:c r="G37" s="61" t="str">
        <x:v>统一道具字典</x:v>
      </x:c>
      <x:c r="H37" s="61" t="str"/>
      <x:c r="I37" s="61" t="str">
        <x:v>补/章节礼包!第11行</x:v>
      </x:c>
      <x:c r="J37" s="61" t="str">
        <x:v>统一字典优先</x:v>
      </x:c>
      <x:c r="K37" s="43"/>
      <x:c r="L37" s="43"/>
    </x:row>
    <x:row r="38" ht="42" customHeight="1">
      <x:c r="A38" s="61" t="str">
        <x:v>通关24章</x:v>
      </x:c>
      <x:c r="B38" s="61" t="str">
        <x:v>幻梦晶核</x:v>
      </x:c>
      <x:c r="C38" s="62" t="n">
        <x:v>6</x:v>
      </x:c>
      <x:c r="D38" s="62" t="n">
        <x:v>60</x:v>
      </x:c>
      <x:c r="E38" s="62" t="str"/>
      <x:c r="F38" s="62" t="n">
        <x:f>IF(AND(ISNUMBER(C38),ISNUMBER(D38)),C38*D38,"待补")</x:f>
        <x:v>360</x:v>
      </x:c>
      <x:c r="G38" s="61" t="str">
        <x:v>统一道具字典</x:v>
      </x:c>
      <x:c r="H38" s="61" t="str"/>
      <x:c r="I38" s="61" t="str">
        <x:v>补/章节礼包!第11行</x:v>
      </x:c>
      <x:c r="J38" s="61" t="str">
        <x:v>统一字典优先</x:v>
      </x:c>
      <x:c r="K38" s="43"/>
      <x:c r="L38" s="43"/>
    </x:row>
    <x:row r="39" ht="42" customHeight="1">
      <x:c r="A39" s="61" t="str">
        <x:v>通关24章</x:v>
      </x:c>
      <x:c r="B39" s="61" t="str">
        <x:v>装备图纸</x:v>
      </x:c>
      <x:c r="C39" s="62" t="n">
        <x:v>400</x:v>
      </x:c>
      <x:c r="D39" s="62" t="n">
        <x:v>3</x:v>
      </x:c>
      <x:c r="E39" s="62" t="str"/>
      <x:c r="F39" s="62" t="n">
        <x:f>IF(AND(ISNUMBER(C39),ISNUMBER(D39)),C39*D39,"待补")</x:f>
        <x:v>1200</x:v>
      </x:c>
      <x:c r="G39" s="61" t="str">
        <x:v>统一道具字典</x:v>
      </x:c>
      <x:c r="H39" s="61" t="str"/>
      <x:c r="I39" s="61" t="str">
        <x:v>补/章节礼包!第11行</x:v>
      </x:c>
      <x:c r="J39" s="61" t="str">
        <x:v>统一字典优先</x:v>
      </x:c>
      <x:c r="K39" s="43"/>
      <x:c r="L39" s="43"/>
    </x:row>
    <x:row r="40" ht="42" customHeight="1">
      <x:c r="A40" s="61" t="str">
        <x:v>通关28章</x:v>
      </x:c>
      <x:c r="B40" s="61" t="str">
        <x:v>随机传说符文</x:v>
      </x:c>
      <x:c r="C40" s="62" t="n">
        <x:v>1</x:v>
      </x:c>
      <x:c r="D40" s="62" t="n">
        <x:v>4096</x:v>
      </x:c>
      <x:c r="E40" s="62" t="str"/>
      <x:c r="F40" s="62" t="n">
        <x:f>IF(AND(ISNUMBER(C40),ISNUMBER(D40)),C40*D40,"待补")</x:f>
        <x:v>4096</x:v>
      </x:c>
      <x:c r="G40" s="61" t="str">
        <x:v>统一道具字典</x:v>
      </x:c>
      <x:c r="H40" s="61" t="str"/>
      <x:c r="I40" s="61" t="str">
        <x:v>补/章节礼包!第12行</x:v>
      </x:c>
      <x:c r="J40" s="61" t="str">
        <x:v>统一字典优先</x:v>
      </x:c>
      <x:c r="K40" s="43"/>
      <x:c r="L40" s="43"/>
    </x:row>
    <x:row r="41" ht="42" customHeight="1">
      <x:c r="A41" s="61" t="str">
        <x:v>通关28章</x:v>
      </x:c>
      <x:c r="B41" s="61" t="str">
        <x:v>幻梦晶核</x:v>
      </x:c>
      <x:c r="C41" s="62" t="n">
        <x:v>12</x:v>
      </x:c>
      <x:c r="D41" s="62" t="n">
        <x:v>60</x:v>
      </x:c>
      <x:c r="E41" s="62" t="str"/>
      <x:c r="F41" s="62" t="n">
        <x:f>IF(AND(ISNUMBER(C41),ISNUMBER(D41)),C41*D41,"待补")</x:f>
        <x:v>720</x:v>
      </x:c>
      <x:c r="G41" s="61" t="str">
        <x:v>统一道具字典</x:v>
      </x:c>
      <x:c r="H41" s="61" t="str"/>
      <x:c r="I41" s="61" t="str">
        <x:v>补/章节礼包!第12行</x:v>
      </x:c>
      <x:c r="J41" s="61" t="str">
        <x:v>统一字典优先</x:v>
      </x:c>
      <x:c r="K41" s="43"/>
      <x:c r="L41" s="43"/>
    </x:row>
    <x:row r="42" ht="42" customHeight="1">
      <x:c r="A42" s="61" t="str">
        <x:v>通关28章</x:v>
      </x:c>
      <x:c r="B42" s="61" t="str">
        <x:v>装备图纸</x:v>
      </x:c>
      <x:c r="C42" s="62" t="n">
        <x:v>500</x:v>
      </x:c>
      <x:c r="D42" s="62" t="n">
        <x:v>3</x:v>
      </x:c>
      <x:c r="E42" s="62" t="str"/>
      <x:c r="F42" s="62" t="n">
        <x:f>IF(AND(ISNUMBER(C42),ISNUMBER(D42)),C42*D42,"待补")</x:f>
        <x:v>1500</x:v>
      </x:c>
      <x:c r="G42" s="61" t="str">
        <x:v>统一道具字典</x:v>
      </x:c>
      <x:c r="H42" s="61" t="str"/>
      <x:c r="I42" s="61" t="str">
        <x:v>补/章节礼包!第12行</x:v>
      </x:c>
      <x:c r="J42" s="61" t="str">
        <x:v>统一字典优先</x:v>
      </x:c>
      <x:c r="K42" s="43"/>
      <x:c r="L42" s="43"/>
    </x:row>
    <x:row r="43" ht="42" customHeight="1">
      <x:c r="A43" s="61" t="str">
        <x:v>通关32章</x:v>
      </x:c>
      <x:c r="B43" s="61" t="str">
        <x:v>随机传说符文</x:v>
      </x:c>
      <x:c r="C43" s="62" t="n">
        <x:v>2</x:v>
      </x:c>
      <x:c r="D43" s="62" t="n">
        <x:v>4096</x:v>
      </x:c>
      <x:c r="E43" s="62" t="str"/>
      <x:c r="F43" s="62" t="n">
        <x:f>IF(AND(ISNUMBER(C43),ISNUMBER(D43)),C43*D43,"待补")</x:f>
        <x:v>8192</x:v>
      </x:c>
      <x:c r="G43" s="61" t="str">
        <x:v>统一道具字典</x:v>
      </x:c>
      <x:c r="H43" s="61" t="str"/>
      <x:c r="I43" s="61" t="str">
        <x:v>补/章节礼包!第13行</x:v>
      </x:c>
      <x:c r="J43" s="61" t="str">
        <x:v>统一字典优先</x:v>
      </x:c>
      <x:c r="K43" s="43"/>
      <x:c r="L43" s="43"/>
    </x:row>
    <x:row r="44" ht="42" customHeight="1">
      <x:c r="A44" s="61" t="str">
        <x:v>通关32章</x:v>
      </x:c>
      <x:c r="B44" s="61" t="str">
        <x:v>幻梦晶核</x:v>
      </x:c>
      <x:c r="C44" s="62" t="n">
        <x:v>24</x:v>
      </x:c>
      <x:c r="D44" s="62" t="n">
        <x:v>60</x:v>
      </x:c>
      <x:c r="E44" s="62" t="str"/>
      <x:c r="F44" s="62" t="n">
        <x:f>IF(AND(ISNUMBER(C44),ISNUMBER(D44)),C44*D44,"待补")</x:f>
        <x:v>1440</x:v>
      </x:c>
      <x:c r="G44" s="61" t="str">
        <x:v>统一道具字典</x:v>
      </x:c>
      <x:c r="H44" s="61" t="str"/>
      <x:c r="I44" s="61" t="str">
        <x:v>补/章节礼包!第13行</x:v>
      </x:c>
      <x:c r="J44" s="61" t="str">
        <x:v>统一字典优先</x:v>
      </x:c>
      <x:c r="K44" s="43"/>
      <x:c r="L44" s="43"/>
    </x:row>
    <x:row r="45" ht="42" customHeight="1">
      <x:c r="A45" s="61" t="str">
        <x:v>通关32章</x:v>
      </x:c>
      <x:c r="B45" s="61" t="str">
        <x:v>装备图纸</x:v>
      </x:c>
      <x:c r="C45" s="62" t="n">
        <x:v>600</x:v>
      </x:c>
      <x:c r="D45" s="62" t="n">
        <x:v>3</x:v>
      </x:c>
      <x:c r="E45" s="62" t="str"/>
      <x:c r="F45" s="62" t="n">
        <x:f>IF(AND(ISNUMBER(C45),ISNUMBER(D45)),C45*D45,"待补")</x:f>
        <x:v>1800</x:v>
      </x:c>
      <x:c r="G45" s="61" t="str">
        <x:v>统一道具字典</x:v>
      </x:c>
      <x:c r="H45" s="61" t="str"/>
      <x:c r="I45" s="61" t="str">
        <x:v>补/章节礼包!第13行</x:v>
      </x:c>
      <x:c r="J45" s="61" t="str">
        <x:v>统一字典优先</x:v>
      </x:c>
      <x:c r="K45" s="43"/>
      <x:c r="L45" s="43"/>
    </x:row>
    <x:row r="46" ht="42" customHeight="1">
      <x:c r="A46" s="61" t="str">
        <x:v>通关36章</x:v>
      </x:c>
      <x:c r="B46" s="61" t="str">
        <x:v>随机神话符文</x:v>
      </x:c>
      <x:c r="C46" s="62" t="n">
        <x:v>1</x:v>
      </x:c>
      <x:c r="D46" s="62" t="n">
        <x:v>16384</x:v>
      </x:c>
      <x:c r="E46" s="62" t="str"/>
      <x:c r="F46" s="62" t="n">
        <x:f>IF(AND(ISNUMBER(C46),ISNUMBER(D46)),C46*D46,"待补")</x:f>
        <x:v>16384</x:v>
      </x:c>
      <x:c r="G46" s="61" t="str">
        <x:v>统一道具字典</x:v>
      </x:c>
      <x:c r="H46" s="61" t="str"/>
      <x:c r="I46" s="61" t="str">
        <x:v>补/章节礼包!第14行</x:v>
      </x:c>
      <x:c r="J46" s="61" t="str">
        <x:v>统一字典优先</x:v>
      </x:c>
      <x:c r="K46" s="43"/>
      <x:c r="L46" s="43"/>
    </x:row>
    <x:row r="47" ht="42" customHeight="1">
      <x:c r="A47" s="61" t="str">
        <x:v>通关36章</x:v>
      </x:c>
      <x:c r="B47" s="61" t="str">
        <x:v>超能特饮</x:v>
      </x:c>
      <x:c r="C47" s="62" t="n">
        <x:v>2000</x:v>
      </x:c>
      <x:c r="D47" s="62" t="n">
        <x:v>2</x:v>
      </x:c>
      <x:c r="E47" s="62" t="str"/>
      <x:c r="F47" s="62" t="n">
        <x:f>IF(AND(ISNUMBER(C47),ISNUMBER(D47)),C47*D47,"待补")</x:f>
        <x:v>4000</x:v>
      </x:c>
      <x:c r="G47" s="61" t="str">
        <x:v>统一道具字典</x:v>
      </x:c>
      <x:c r="H47" s="61" t="str"/>
      <x:c r="I47" s="61" t="str">
        <x:v>补/章节礼包!第14行</x:v>
      </x:c>
      <x:c r="J47" s="61" t="str">
        <x:v>统一字典优先</x:v>
      </x:c>
      <x:c r="K47" s="43"/>
      <x:c r="L47" s="43"/>
    </x:row>
    <x:row r="48" ht="42" customHeight="1">
      <x:c r="A48" s="61" t="str">
        <x:v>通关36章</x:v>
      </x:c>
      <x:c r="B48" s="61" t="str">
        <x:v>装备图纸</x:v>
      </x:c>
      <x:c r="C48" s="62" t="n">
        <x:v>1200</x:v>
      </x:c>
      <x:c r="D48" s="62" t="n">
        <x:v>3</x:v>
      </x:c>
      <x:c r="E48" s="62" t="str"/>
      <x:c r="F48" s="62" t="n">
        <x:f>IF(AND(ISNUMBER(C48),ISNUMBER(D48)),C48*D48,"待补")</x:f>
        <x:v>3600</x:v>
      </x:c>
      <x:c r="G48" s="61" t="str">
        <x:v>统一道具字典</x:v>
      </x:c>
      <x:c r="H48" s="61" t="str"/>
      <x:c r="I48" s="61" t="str">
        <x:v>补/章节礼包!第14行</x:v>
      </x:c>
      <x:c r="J48" s="61" t="str">
        <x:v>统一字典优先</x:v>
      </x:c>
      <x:c r="K48" s="43"/>
      <x:c r="L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</x:row>
    <x:row r="51">
      <x:c r="A51" s="65" t="str">
        <x:v>活动节点与最终大奖判定</x:v>
      </x:c>
      <x:c r="B51" s="65"/>
      <x:c r="C51" s="65"/>
      <x:c r="D51" s="65"/>
      <x:c r="E51" s="65"/>
      <x:c r="F51" s="65"/>
      <x:c r="G51" s="43"/>
      <x:c r="H51" s="43"/>
      <x:c r="I51" s="43"/>
      <x:c r="J51" s="43"/>
      <x:c r="K51" s="43"/>
      <x:c r="L51" s="43"/>
    </x:row>
    <x:row r="52" ht="42" customHeight="1">
      <x:c r="A52" s="60" t="str">
        <x:v>轮次/节点</x:v>
      </x:c>
      <x:c r="B52" s="60" t="str">
        <x:v>节点类型</x:v>
      </x:c>
      <x:c r="C52" s="60" t="str">
        <x:v>阈值</x:v>
      </x:c>
      <x:c r="D52" s="60" t="str">
        <x:v>奖励</x:v>
      </x:c>
      <x:c r="E52" s="60" t="str">
        <x:v>到手成本判定</x:v>
      </x:c>
      <x:c r="F52" s="60" t="str">
        <x:v>来源</x:v>
      </x:c>
      <x:c r="G52" s="43"/>
      <x:c r="H52" s="43"/>
      <x:c r="I52" s="43"/>
      <x:c r="J52" s="43"/>
      <x:c r="K52" s="43"/>
      <x:c r="L52" s="43"/>
    </x:row>
  </x:sheetData>
  <x:mergeCells>
    <x:mergeCell ref="A1:L1"/>
    <x:mergeCell ref="A2:L2"/>
    <x:mergeCell ref="A20:J20"/>
    <x:mergeCell ref="A51:F5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《梦境护卫队》心梦商店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来源：主/心梦商店!E4:L21｜宝石14钻仅是估值基准；附赠币不能重复算现金价值；过期小狗锤条目排除｜主方案优先，补充方案不覆盖主方案。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心梦商店</x:v>
      </x:c>
      <x:c r="C4" s="59"/>
      <x:c r="D4" s="57" t="str">
        <x:v>最终大奖条件说明</x:v>
      </x:c>
      <x:c r="E4" s="58" t="str">
        <x:v>心梦宝石兑换，不是直接现金；按14钻/宝石换算需指定目标条目</x:v>
      </x:c>
      <x:c r="F4" s="59"/>
      <x:c r="G4" s="57" t="str">
        <x:v>礼包数</x:v>
      </x:c>
      <x:c r="H4" s="58" t="n">
        <x:v>18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抵达深空/酣眠的祝福等兑换大奖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12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60" t="str">
        <x:v>礼包/档位</x:v>
      </x:c>
      <x:c r="B8" s="60" t="str">
        <x:v>支付币种</x:v>
      </x:c>
      <x:c r="C8" s="60" t="str">
        <x:v>标价</x:v>
      </x:c>
      <x:c r="D8" s="60" t="str">
        <x:v>成本折钻</x:v>
      </x:c>
      <x:c r="E8" s="60" t="str">
        <x:v>奖励价值钻</x:v>
      </x:c>
      <x:c r="F8" s="60" t="str">
        <x:v>价值倍率</x:v>
      </x:c>
      <x:c r="G8" s="60" t="str">
        <x:v>重算折数</x:v>
      </x:c>
      <x:c r="H8" s="60" t="str">
        <x:v>原标注折数</x:v>
      </x:c>
      <x:c r="I8" s="60" t="str">
        <x:v>主要到手标的物</x:v>
      </x:c>
      <x:c r="J8" s="60" t="str">
        <x:v>限购</x:v>
      </x:c>
      <x:c r="K8" s="60" t="str">
        <x:v>到手判断</x:v>
      </x:c>
      <x:c r="L8" s="60" t="str">
        <x:v>来源</x:v>
      </x:c>
    </x:row>
    <x:row r="9" ht="42" customHeight="1">
      <x:c r="A9" s="61" t="str">
        <x:v>金币</x:v>
      </x:c>
      <x:c r="B9" s="61" t="str">
        <x:v>心梦宝石</x:v>
      </x:c>
      <x:c r="C9" s="61"/>
      <x:c r="D9" s="62" t="n">
        <x:f>IF(ISNUMBER(C9*14),C9*14,"待核")</x:f>
        <x:v>0</x:v>
      </x:c>
      <x:c r="E9" s="62" t="n">
        <x:v>25</x:v>
      </x:c>
      <x:c r="F9" s="62" t="str">
        <x:f>IF(AND(ISNUMBER(D9),ISNUMBER(E9),D9&gt;0),E9/D9,"待核")</x:f>
        <x:v>待核</x:v>
      </x:c>
      <x:c r="G9" s="63" t="n">
        <x:f>IF(AND(ISNUMBER(D9),ISNUMBER(E9),E9&gt;0),D9/E9*10,"待核")</x:f>
        <x:v>0</x:v>
      </x:c>
      <x:c r="H9" s="61"/>
      <x:c r="I9" s="61" t="str">
        <x:v>金币×500</x:v>
      </x:c>
      <x:c r="J9" s="61" t="n">
        <x:v>1</x:v>
      </x:c>
      <x:c r="K9" s="61" t="str">
        <x:v>明细规划</x:v>
      </x:c>
      <x:c r="L9" s="61" t="str">
        <x:v>主/心梦商店!第4行</x:v>
      </x:c>
    </x:row>
    <x:row r="10" ht="42" customHeight="1">
      <x:c r="A10" s="61" t="str">
        <x:v>随机神话符文</x:v>
      </x:c>
      <x:c r="B10" s="61" t="str">
        <x:v>心梦宝石</x:v>
      </x:c>
      <x:c r="C10" s="61" t="n">
        <x:v>480</x:v>
      </x:c>
      <x:c r="D10" s="62" t="n">
        <x:f>IF(ISNUMBER(C10*14),C10*14,"待核")</x:f>
        <x:v>6720</x:v>
      </x:c>
      <x:c r="E10" s="62" t="n">
        <x:v>16384</x:v>
      </x:c>
      <x:c r="F10" s="62" t="n">
        <x:f>IF(AND(ISNUMBER(D10),ISNUMBER(E10),D10&gt;0),E10/D10,"待核")</x:f>
        <x:v>2.4380952380952383</x:v>
      </x:c>
      <x:c r="G10" s="63" t="n">
        <x:f>IF(AND(ISNUMBER(D10),ISNUMBER(E10),E10&gt;0),D10/E10*10,"待核")</x:f>
        <x:v>4.1015625</x:v>
      </x:c>
      <x:c r="H10" s="61"/>
      <x:c r="I10" s="61" t="str">
        <x:v>随机神话符文×1</x:v>
      </x:c>
      <x:c r="J10" s="61" t="n">
        <x:v>1</x:v>
      </x:c>
      <x:c r="K10" s="61" t="str">
        <x:v>明细规划</x:v>
      </x:c>
      <x:c r="L10" s="61" t="str">
        <x:v>主/心梦商店!第5行</x:v>
      </x:c>
    </x:row>
    <x:row r="11" ht="42" customHeight="1">
      <x:c r="A11" s="61" t="str">
        <x:v>钻石</x:v>
      </x:c>
      <x:c r="B11" s="61" t="str">
        <x:v>心梦宝石</x:v>
      </x:c>
      <x:c r="C11" s="61" t="n">
        <x:v>120</x:v>
      </x:c>
      <x:c r="D11" s="62" t="n">
        <x:f>IF(ISNUMBER(C11*14),C11*14,"待核")</x:f>
        <x:v>1680</x:v>
      </x:c>
      <x:c r="E11" s="62" t="n">
        <x:v>1688</x:v>
      </x:c>
      <x:c r="F11" s="62" t="n">
        <x:f>IF(AND(ISNUMBER(D11),ISNUMBER(E11),D11&gt;0),E11/D11,"待核")</x:f>
        <x:v>1.0047619047619047</x:v>
      </x:c>
      <x:c r="G11" s="63" t="n">
        <x:f>IF(AND(ISNUMBER(D11),ISNUMBER(E11),E11&gt;0),D11/E11*10,"待核")</x:f>
        <x:v>9.95260663507109</x:v>
      </x:c>
      <x:c r="H11" s="61"/>
      <x:c r="I11" s="61" t="str">
        <x:v>钻石×1688</x:v>
      </x:c>
      <x:c r="J11" s="61" t="n">
        <x:v>2</x:v>
      </x:c>
      <x:c r="K11" s="61" t="str">
        <x:v>明细规划</x:v>
      </x:c>
      <x:c r="L11" s="61" t="str">
        <x:v>主/心梦商店!第6行</x:v>
      </x:c>
    </x:row>
    <x:row r="12" ht="42" customHeight="1">
      <x:c r="A12" s="61" t="str">
        <x:v>钻石</x:v>
      </x:c>
      <x:c r="B12" s="61" t="str">
        <x:v>心梦宝石</x:v>
      </x:c>
      <x:c r="C12" s="61" t="n">
        <x:v>60</x:v>
      </x:c>
      <x:c r="D12" s="62" t="n">
        <x:f>IF(ISNUMBER(C12*14),C12*14,"待核")</x:f>
        <x:v>840</x:v>
      </x:c>
      <x:c r="E12" s="62" t="n">
        <x:v>888</x:v>
      </x:c>
      <x:c r="F12" s="62" t="n">
        <x:f>IF(AND(ISNUMBER(D12),ISNUMBER(E12),D12&gt;0),E12/D12,"待核")</x:f>
        <x:v>1.0571428571428572</x:v>
      </x:c>
      <x:c r="G12" s="63" t="n">
        <x:f>IF(AND(ISNUMBER(D12),ISNUMBER(E12),E12&gt;0),D12/E12*10,"待核")</x:f>
        <x:v>9.45945945945946</x:v>
      </x:c>
      <x:c r="H12" s="61"/>
      <x:c r="I12" s="61" t="str">
        <x:v>钻石×888</x:v>
      </x:c>
      <x:c r="J12" s="61" t="n">
        <x:v>2</x:v>
      </x:c>
      <x:c r="K12" s="61" t="str">
        <x:v>明细规划</x:v>
      </x:c>
      <x:c r="L12" s="61" t="str">
        <x:v>主/心梦商店!第7行</x:v>
      </x:c>
    </x:row>
    <x:row r="13" ht="42" customHeight="1">
      <x:c r="A13" s="61" t="str">
        <x:v>幻梦晶核</x:v>
      </x:c>
      <x:c r="B13" s="61" t="str">
        <x:v>心梦宝石</x:v>
      </x:c>
      <x:c r="C13" s="61" t="n">
        <x:v>188</x:v>
      </x:c>
      <x:c r="D13" s="62" t="n">
        <x:f>IF(ISNUMBER(C13*14),C13*14,"待核")</x:f>
        <x:v>2632</x:v>
      </x:c>
      <x:c r="E13" s="62" t="n">
        <x:v>3000</x:v>
      </x:c>
      <x:c r="F13" s="62" t="n">
        <x:f>IF(AND(ISNUMBER(D13),ISNUMBER(E13),D13&gt;0),E13/D13,"待核")</x:f>
        <x:v>1.1398176291793314</x:v>
      </x:c>
      <x:c r="G13" s="63" t="n">
        <x:f>IF(AND(ISNUMBER(D13),ISNUMBER(E13),E13&gt;0),D13/E13*10,"待核")</x:f>
        <x:v>8.773333333333333</x:v>
      </x:c>
      <x:c r="H13" s="61"/>
      <x:c r="I13" s="61" t="str">
        <x:v>幻梦晶核×50</x:v>
      </x:c>
      <x:c r="J13" s="61" t="n">
        <x:v>2</x:v>
      </x:c>
      <x:c r="K13" s="61" t="str">
        <x:v>明细规划</x:v>
      </x:c>
      <x:c r="L13" s="61" t="str">
        <x:v>主/心梦商店!第8行</x:v>
      </x:c>
    </x:row>
    <x:row r="14" ht="42" customHeight="1">
      <x:c r="A14" s="61" t="str">
        <x:v>招募器</x:v>
      </x:c>
      <x:c r="B14" s="61" t="str">
        <x:v>心梦宝石</x:v>
      </x:c>
      <x:c r="C14" s="61" t="n">
        <x:v>60</x:v>
      </x:c>
      <x:c r="D14" s="62" t="n">
        <x:f>IF(ISNUMBER(C14*14),C14*14,"待核")</x:f>
        <x:v>840</x:v>
      </x:c>
      <x:c r="E14" s="62" t="n">
        <x:v>1500</x:v>
      </x:c>
      <x:c r="F14" s="62" t="n">
        <x:f>IF(AND(ISNUMBER(D14),ISNUMBER(E14),D14&gt;0),E14/D14,"待核")</x:f>
        <x:v>1.7857142857142858</x:v>
      </x:c>
      <x:c r="G14" s="63" t="n">
        <x:f>IF(AND(ISNUMBER(D14),ISNUMBER(E14),E14&gt;0),D14/E14*10,"待核")</x:f>
        <x:v>5.6000000000000005</x:v>
      </x:c>
      <x:c r="H14" s="61"/>
      <x:c r="I14" s="61" t="str">
        <x:v>招募器×50</x:v>
      </x:c>
      <x:c r="J14" s="61" t="n">
        <x:v>1</x:v>
      </x:c>
      <x:c r="K14" s="61" t="str">
        <x:v>明细规划</x:v>
      </x:c>
      <x:c r="L14" s="61" t="str">
        <x:v>主/心梦商店!第9行</x:v>
      </x:c>
    </x:row>
    <x:row r="15" ht="42" customHeight="1">
      <x:c r="A15" s="61" t="str">
        <x:v>星辉秘契</x:v>
      </x:c>
      <x:c r="B15" s="61" t="str">
        <x:v>心梦宝石</x:v>
      </x:c>
      <x:c r="C15" s="61" t="n">
        <x:v>150</x:v>
      </x:c>
      <x:c r="D15" s="62" t="n">
        <x:f>IF(ISNUMBER(C15*14),C15*14,"待核")</x:f>
        <x:v>2100</x:v>
      </x:c>
      <x:c r="E15" s="62" t="n">
        <x:v>5600</x:v>
      </x:c>
      <x:c r="F15" s="62" t="n">
        <x:f>IF(AND(ISNUMBER(D15),ISNUMBER(E15),D15&gt;0),E15/D15,"待核")</x:f>
        <x:v>2.6666666666666665</x:v>
      </x:c>
      <x:c r="G15" s="63" t="n">
        <x:f>IF(AND(ISNUMBER(D15),ISNUMBER(E15),E15&gt;0),D15/E15*10,"待核")</x:f>
        <x:v>3.75</x:v>
      </x:c>
      <x:c r="H15" s="61"/>
      <x:c r="I15" s="61" t="str">
        <x:v>星辉秘契×20</x:v>
      </x:c>
      <x:c r="J15" s="61" t="n">
        <x:v>1</x:v>
      </x:c>
      <x:c r="K15" s="61" t="str">
        <x:v>明细规划</x:v>
      </x:c>
      <x:c r="L15" s="61" t="str">
        <x:v>主/心梦商店!第10行</x:v>
      </x:c>
    </x:row>
    <x:row r="16" ht="42" customHeight="1">
      <x:c r="A16" s="61" t="str">
        <x:v>绮梦衣橱礼盒</x:v>
      </x:c>
      <x:c r="B16" s="61" t="str">
        <x:v>心梦宝石</x:v>
      </x:c>
      <x:c r="C16" s="61" t="n">
        <x:v>380</x:v>
      </x:c>
      <x:c r="D16" s="62" t="n">
        <x:f>IF(ISNUMBER(C16*14),C16*14,"待核")</x:f>
        <x:v>5320</x:v>
      </x:c>
      <x:c r="E16" s="62" t="str">
        <x:v>缺完整估值</x:v>
      </x:c>
      <x:c r="F16" s="62" t="str">
        <x:f>IF(AND(ISNUMBER(D16),ISNUMBER(E16),D16&gt;0),E16/D16,"待核")</x:f>
        <x:v>待核</x:v>
      </x:c>
      <x:c r="G16" s="63" t="str">
        <x:f>IF(AND(ISNUMBER(D16),ISNUMBER(E16),E16&gt;0),D16/E16*10,"待核")</x:f>
        <x:v>待核</x:v>
      </x:c>
      <x:c r="H16" s="61"/>
      <x:c r="I16" s="61" t="str">
        <x:v>绮梦衣橱礼盒×1</x:v>
      </x:c>
      <x:c r="J16" s="61" t="n">
        <x:v>2</x:v>
      </x:c>
      <x:c r="K16" s="61" t="str">
        <x:v>明细规划；估值缺失</x:v>
      </x:c>
      <x:c r="L16" s="61" t="str">
        <x:v>主/心梦商店!第11行</x:v>
      </x:c>
    </x:row>
    <x:row r="17" ht="42" customHeight="1">
      <x:c r="A17" s="61" t="str">
        <x:v>喵喵锤子</x:v>
      </x:c>
      <x:c r="B17" s="61" t="str">
        <x:v>心梦宝石</x:v>
      </x:c>
      <x:c r="C17" s="61" t="n">
        <x:v>300</x:v>
      </x:c>
      <x:c r="D17" s="62" t="n">
        <x:f>IF(ISNUMBER(C17*14),C17*14,"待核")</x:f>
        <x:v>4200</x:v>
      </x:c>
      <x:c r="E17" s="62" t="str">
        <x:v>缺完整估值</x:v>
      </x:c>
      <x:c r="F17" s="62" t="str">
        <x:f>IF(AND(ISNUMBER(D17),ISNUMBER(E17),D17&gt;0),E17/D17,"待核")</x:f>
        <x:v>待核</x:v>
      </x:c>
      <x:c r="G17" s="63" t="str">
        <x:f>IF(AND(ISNUMBER(D17),ISNUMBER(E17),E17&gt;0),D17/E17*10,"待核")</x:f>
        <x:v>待核</x:v>
      </x:c>
      <x:c r="H17" s="61"/>
      <x:c r="I17" s="61" t="str">
        <x:v>喵喵锤子×1</x:v>
      </x:c>
      <x:c r="J17" s="61" t="n">
        <x:v>5</x:v>
      </x:c>
      <x:c r="K17" s="61" t="str">
        <x:v>明细规划；估值缺失</x:v>
      </x:c>
      <x:c r="L17" s="61" t="str">
        <x:v>主/心梦商店!第12行</x:v>
      </x:c>
    </x:row>
    <x:row r="18" ht="42" customHeight="1">
      <x:c r="A18" s="61" t="str">
        <x:v>神话祝福石</x:v>
      </x:c>
      <x:c r="B18" s="61" t="str">
        <x:v>心梦宝石</x:v>
      </x:c>
      <x:c r="C18" s="61" t="n">
        <x:v>350</x:v>
      </x:c>
      <x:c r="D18" s="62" t="n">
        <x:f>IF(ISNUMBER(C18*14),C18*14,"待核")</x:f>
        <x:v>4900</x:v>
      </x:c>
      <x:c r="E18" s="62" t="n">
        <x:v>5000</x:v>
      </x:c>
      <x:c r="F18" s="62" t="n">
        <x:f>IF(AND(ISNUMBER(D18),ISNUMBER(E18),D18&gt;0),E18/D18,"待核")</x:f>
        <x:v>1.0204081632653061</x:v>
      </x:c>
      <x:c r="G18" s="63" t="n">
        <x:f>IF(AND(ISNUMBER(D18),ISNUMBER(E18),E18&gt;0),D18/E18*10,"待核")</x:f>
        <x:v>9.8</x:v>
      </x:c>
      <x:c r="H18" s="61"/>
      <x:c r="I18" s="61" t="str">
        <x:v>神话祝福石×1</x:v>
      </x:c>
      <x:c r="J18" s="61" t="n">
        <x:v>1</x:v>
      </x:c>
      <x:c r="K18" s="61" t="str">
        <x:v>明细规划</x:v>
      </x:c>
      <x:c r="L18" s="61" t="str">
        <x:v>主/心梦商店!第13行</x:v>
      </x:c>
    </x:row>
    <x:row r="19" ht="42" customHeight="1">
      <x:c r="A19" s="61" t="str">
        <x:v>童话造物幻衣</x:v>
      </x:c>
      <x:c r="B19" s="61" t="str">
        <x:v>心梦宝石</x:v>
      </x:c>
      <x:c r="C19" s="61" t="n">
        <x:v>1200</x:v>
      </x:c>
      <x:c r="D19" s="62" t="n">
        <x:f>IF(ISNUMBER(C19*14),C19*14,"待核")</x:f>
        <x:v>16800</x:v>
      </x:c>
      <x:c r="E19" s="62" t="str">
        <x:v>缺完整估值</x:v>
      </x:c>
      <x:c r="F19" s="62" t="str">
        <x:f>IF(AND(ISNUMBER(D19),ISNUMBER(E19),D19&gt;0),E19/D19,"待核")</x:f>
        <x:v>待核</x:v>
      </x:c>
      <x:c r="G19" s="63" t="str">
        <x:f>IF(AND(ISNUMBER(D19),ISNUMBER(E19),E19&gt;0),D19/E19*10,"待核")</x:f>
        <x:v>待核</x:v>
      </x:c>
      <x:c r="H19" s="61"/>
      <x:c r="I19" s="61" t="str">
        <x:v>童话造物幻衣×1</x:v>
      </x:c>
      <x:c r="J19" s="61" t="n">
        <x:v>5</x:v>
      </x:c>
      <x:c r="K19" s="61" t="str">
        <x:v>明细规划；估值缺失</x:v>
      </x:c>
      <x:c r="L19" s="61" t="str">
        <x:v>主/心梦商店!第14行</x:v>
      </x:c>
    </x:row>
    <x:row r="20" ht="42" customHeight="1">
      <x:c r="A20" s="61" t="str">
        <x:v>小狗锤</x:v>
      </x:c>
      <x:c r="B20" s="61" t="str">
        <x:v>心梦宝石</x:v>
      </x:c>
      <x:c r="C20" s="61" t="n">
        <x:v>600</x:v>
      </x:c>
      <x:c r="D20" s="62" t="n">
        <x:f>IF(ISNUMBER(C20*14),C20*14,"待核")</x:f>
        <x:v>8400</x:v>
      </x:c>
      <x:c r="E20" s="62" t="str">
        <x:v>缺完整估值</x:v>
      </x:c>
      <x:c r="F20" s="62" t="str">
        <x:f>IF(AND(ISNUMBER(D20),ISNUMBER(E20),D20&gt;0),E20/D20,"待核")</x:f>
        <x:v>待核</x:v>
      </x:c>
      <x:c r="G20" s="63" t="str">
        <x:f>IF(AND(ISNUMBER(D20),ISNUMBER(E20),E20&gt;0),D20/E20*10,"待核")</x:f>
        <x:v>待核</x:v>
      </x:c>
      <x:c r="H20" s="61"/>
      <x:c r="I20" s="61" t="str">
        <x:v>小狗锤×1</x:v>
      </x:c>
      <x:c r="J20" s="61" t="n">
        <x:v>5</x:v>
      </x:c>
      <x:c r="K20" s="61" t="str">
        <x:v>明细规划；估值缺失</x:v>
      </x:c>
      <x:c r="L20" s="61" t="str">
        <x:v>主/心梦商店!第15行</x:v>
      </x:c>
    </x:row>
    <x:row r="21" ht="42" customHeight="1">
      <x:c r="A21" s="61" t="str">
        <x:v>繁星衣橱礼盒</x:v>
      </x:c>
      <x:c r="B21" s="61" t="str">
        <x:v>心梦宝石</x:v>
      </x:c>
      <x:c r="C21" s="61" t="n">
        <x:v>750</x:v>
      </x:c>
      <x:c r="D21" s="62" t="n">
        <x:f>IF(ISNUMBER(C21*14),C21*14,"待核")</x:f>
        <x:v>10500</x:v>
      </x:c>
      <x:c r="E21" s="62" t="str">
        <x:v>缺完整估值</x:v>
      </x:c>
      <x:c r="F21" s="62" t="str">
        <x:f>IF(AND(ISNUMBER(D21),ISNUMBER(E21),D21&gt;0),E21/D21,"待核")</x:f>
        <x:v>待核</x:v>
      </x:c>
      <x:c r="G21" s="63" t="str">
        <x:f>IF(AND(ISNUMBER(D21),ISNUMBER(E21),E21&gt;0),D21/E21*10,"待核")</x:f>
        <x:v>待核</x:v>
      </x:c>
      <x:c r="H21" s="61"/>
      <x:c r="I21" s="61" t="str">
        <x:v>繁星衣橱礼盒×1</x:v>
      </x:c>
      <x:c r="J21" s="61" t="n">
        <x:v>2</x:v>
      </x:c>
      <x:c r="K21" s="61" t="str">
        <x:v>明细规划；估值缺失</x:v>
      </x:c>
      <x:c r="L21" s="61" t="str">
        <x:v>主/心梦商店!第16行</x:v>
      </x:c>
    </x:row>
    <x:row r="22" ht="42" customHeight="1">
      <x:c r="A22" s="61" t="str">
        <x:v>小狗锤</x:v>
      </x:c>
      <x:c r="B22" s="61" t="str">
        <x:v>心梦宝石</x:v>
      </x:c>
      <x:c r="C22" s="61" t="n">
        <x:v>600</x:v>
      </x:c>
      <x:c r="D22" s="62" t="n">
        <x:f>IF(ISNUMBER(C22*14),C22*14,"待核")</x:f>
        <x:v>8400</x:v>
      </x:c>
      <x:c r="E22" s="62" t="str">
        <x:v>缺完整估值</x:v>
      </x:c>
      <x:c r="F22" s="62" t="str">
        <x:f>IF(AND(ISNUMBER(D22),ISNUMBER(E22),D22&gt;0),E22/D22,"待核")</x:f>
        <x:v>待核</x:v>
      </x:c>
      <x:c r="G22" s="63" t="str">
        <x:f>IF(AND(ISNUMBER(D22),ISNUMBER(E22),E22&gt;0),D22/E22*10,"待核")</x:f>
        <x:v>待核</x:v>
      </x:c>
      <x:c r="H22" s="61"/>
      <x:c r="I22" s="61" t="str">
        <x:v>小狗锤×1</x:v>
      </x:c>
      <x:c r="J22" s="61" t="n">
        <x:v>5</x:v>
      </x:c>
      <x:c r="K22" s="61" t="str">
        <x:v>已过期配置，不纳入；估值缺失</x:v>
      </x:c>
      <x:c r="L22" s="61" t="str">
        <x:v>主/心梦商店!第17行</x:v>
      </x:c>
    </x:row>
    <x:row r="23" ht="42" customHeight="1">
      <x:c r="A23" s="61" t="str">
        <x:v>智械发条</x:v>
      </x:c>
      <x:c r="B23" s="61" t="str">
        <x:v>心梦宝石</x:v>
      </x:c>
      <x:c r="C23" s="61" t="n">
        <x:v>100</x:v>
      </x:c>
      <x:c r="D23" s="62" t="n">
        <x:f>IF(ISNUMBER(C23*14),C23*14,"待核")</x:f>
        <x:v>1400</x:v>
      </x:c>
      <x:c r="E23" s="62" t="n">
        <x:v>1500</x:v>
      </x:c>
      <x:c r="F23" s="62" t="n">
        <x:f>IF(AND(ISNUMBER(D23),ISNUMBER(E23),D23&gt;0),E23/D23,"待核")</x:f>
        <x:v>1.0714285714285714</x:v>
      </x:c>
      <x:c r="G23" s="63" t="n">
        <x:f>IF(AND(ISNUMBER(D23),ISNUMBER(E23),E23&gt;0),D23/E23*10,"待核")</x:f>
        <x:v>9.333333333333334</x:v>
      </x:c>
      <x:c r="H23" s="61"/>
      <x:c r="I23" s="61" t="str">
        <x:v>智械发条×10</x:v>
      </x:c>
      <x:c r="J23" s="61" t="n">
        <x:v>2</x:v>
      </x:c>
      <x:c r="K23" s="61" t="str">
        <x:v>明细规划</x:v>
      </x:c>
      <x:c r="L23" s="61" t="str">
        <x:v>主/心梦商店!第18行</x:v>
      </x:c>
    </x:row>
    <x:row r="24" ht="42" customHeight="1">
      <x:c r="A24" s="61" t="str">
        <x:v>精密齿轮</x:v>
      </x:c>
      <x:c r="B24" s="61" t="str">
        <x:v>心梦宝石</x:v>
      </x:c>
      <x:c r="C24" s="61" t="n">
        <x:v>100</x:v>
      </x:c>
      <x:c r="D24" s="62" t="n">
        <x:f>IF(ISNUMBER(C24*14),C24*14,"待核")</x:f>
        <x:v>1400</x:v>
      </x:c>
      <x:c r="E24" s="62" t="n">
        <x:v>1500</x:v>
      </x:c>
      <x:c r="F24" s="62" t="n">
        <x:f>IF(AND(ISNUMBER(D24),ISNUMBER(E24),D24&gt;0),E24/D24,"待核")</x:f>
        <x:v>1.0714285714285714</x:v>
      </x:c>
      <x:c r="G24" s="63" t="n">
        <x:f>IF(AND(ISNUMBER(D24),ISNUMBER(E24),E24&gt;0),D24/E24*10,"待核")</x:f>
        <x:v>9.333333333333334</x:v>
      </x:c>
      <x:c r="H24" s="61"/>
      <x:c r="I24" s="61" t="str">
        <x:v>精密齿轮×1500</x:v>
      </x:c>
      <x:c r="J24" s="61" t="n">
        <x:v>5</x:v>
      </x:c>
      <x:c r="K24" s="61" t="str">
        <x:v>明细规划</x:v>
      </x:c>
      <x:c r="L24" s="61" t="str">
        <x:v>主/心梦商店!第19行</x:v>
      </x:c>
    </x:row>
    <x:row r="25" ht="42" customHeight="1">
      <x:c r="A25" s="61" t="str">
        <x:v>抵达深空</x:v>
      </x:c>
      <x:c r="B25" s="61" t="str">
        <x:v>心梦宝石</x:v>
      </x:c>
      <x:c r="C25" s="61" t="n">
        <x:v>680</x:v>
      </x:c>
      <x:c r="D25" s="62" t="n">
        <x:f>IF(ISNUMBER(C25*14),C25*14,"待核")</x:f>
        <x:v>9520</x:v>
      </x:c>
      <x:c r="E25" s="62" t="n">
        <x:v>9600</x:v>
      </x:c>
      <x:c r="F25" s="62" t="n">
        <x:f>IF(AND(ISNUMBER(D25),ISNUMBER(E25),D25&gt;0),E25/D25,"待核")</x:f>
        <x:v>1.0084033613445378</x:v>
      </x:c>
      <x:c r="G25" s="63" t="n">
        <x:f>IF(AND(ISNUMBER(D25),ISNUMBER(E25),E25&gt;0),D25/E25*10,"待核")</x:f>
        <x:v>9.916666666666668</x:v>
      </x:c>
      <x:c r="H25" s="61"/>
      <x:c r="I25" s="61" t="str">
        <x:v>抵达深空×1</x:v>
      </x:c>
      <x:c r="J25" s="61" t="n">
        <x:v>1</x:v>
      </x:c>
      <x:c r="K25" s="61" t="str">
        <x:v>明细规划</x:v>
      </x:c>
      <x:c r="L25" s="61" t="str">
        <x:v>主/心梦商店!第20行</x:v>
      </x:c>
    </x:row>
    <x:row r="26" ht="42" customHeight="1">
      <x:c r="A26" s="61" t="str">
        <x:v>酣眠的祝福</x:v>
      </x:c>
      <x:c r="B26" s="61" t="str">
        <x:v>心梦宝石</x:v>
      </x:c>
      <x:c r="C26" s="61" t="n">
        <x:v>380</x:v>
      </x:c>
      <x:c r="D26" s="62" t="n">
        <x:f>IF(ISNUMBER(C26*14),C26*14,"待核")</x:f>
        <x:v>5320</x:v>
      </x:c>
      <x:c r="E26" s="62" t="n">
        <x:v>4800</x:v>
      </x:c>
      <x:c r="F26" s="62" t="n">
        <x:f>IF(AND(ISNUMBER(D26),ISNUMBER(E26),D26&gt;0),E26/D26,"待核")</x:f>
        <x:v>0.9022556390977443</x:v>
      </x:c>
      <x:c r="G26" s="63" t="n">
        <x:f>IF(AND(ISNUMBER(D26),ISNUMBER(E26),E26&gt;0),D26/E26*10,"待核")</x:f>
        <x:v>11.083333333333334</x:v>
      </x:c>
      <x:c r="H26" s="61"/>
      <x:c r="I26" s="61" t="str">
        <x:v>酣眠的祝福×1</x:v>
      </x:c>
      <x:c r="J26" s="61" t="n">
        <x:v>1</x:v>
      </x:c>
      <x:c r="K26" s="61" t="str">
        <x:v>明细规划</x:v>
      </x:c>
      <x:c r="L26" s="61" t="str">
        <x:v>主/心梦商店!第21行</x:v>
      </x:c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</x:row>
    <x:row r="29">
      <x:c r="A29" s="64" t="str">
        <x:v>奖励明细：数量 × 统一道具单价</x:v>
      </x:c>
      <x:c r="B29" s="64"/>
      <x:c r="C29" s="64"/>
      <x:c r="D29" s="64"/>
      <x:c r="E29" s="64"/>
      <x:c r="F29" s="64"/>
      <x:c r="G29" s="64"/>
      <x:c r="H29" s="64"/>
      <x:c r="I29" s="64"/>
      <x:c r="J29" s="64"/>
      <x:c r="K29" s="43"/>
      <x:c r="L29" s="43"/>
    </x:row>
    <x:row r="30" ht="42" customHeight="1">
      <x:c r="A30" s="60" t="str">
        <x:v>礼包</x:v>
      </x:c>
      <x:c r="B30" s="60" t="str">
        <x:v>标的物</x:v>
      </x:c>
      <x:c r="C30" s="60" t="str">
        <x:v>数量</x:v>
      </x:c>
      <x:c r="D30" s="60" t="str">
        <x:v>统一单价钻</x:v>
      </x:c>
      <x:c r="E30" s="60" t="str">
        <x:v>活动单价钻</x:v>
      </x:c>
      <x:c r="F30" s="60" t="str">
        <x:v>奖励价值钻</x:v>
      </x:c>
      <x:c r="G30" s="60" t="str">
        <x:v>估值依据</x:v>
      </x:c>
      <x:c r="H30" s="60" t="str">
        <x:v>差异/缺失</x:v>
      </x:c>
      <x:c r="I30" s="60" t="str">
        <x:v>来源</x:v>
      </x:c>
      <x:c r="J30" s="60" t="str">
        <x:v>备注</x:v>
      </x:c>
      <x:c r="K30" s="43"/>
      <x:c r="L30" s="43"/>
    </x:row>
    <x:row r="31" ht="42" customHeight="1">
      <x:c r="A31" s="61" t="str">
        <x:v>金币</x:v>
      </x:c>
      <x:c r="B31" s="61" t="str">
        <x:v>金币</x:v>
      </x:c>
      <x:c r="C31" s="62" t="n">
        <x:v>500</x:v>
      </x:c>
      <x:c r="D31" s="62" t="n">
        <x:v>0.05</x:v>
      </x:c>
      <x:c r="E31" s="62" t="str"/>
      <x:c r="F31" s="62" t="n">
        <x:f>IF(AND(ISNUMBER(C31),ISNUMBER(D31)),C31*D31,"待补")</x:f>
        <x:v>25</x:v>
      </x:c>
      <x:c r="G31" s="61" t="str">
        <x:v>统一道具字典</x:v>
      </x:c>
      <x:c r="H31" s="61" t="str"/>
      <x:c r="I31" s="61" t="str">
        <x:v>主/心梦商店!第4行</x:v>
      </x:c>
      <x:c r="J31" s="61" t="str">
        <x:v>统一字典优先</x:v>
      </x:c>
      <x:c r="K31" s="43"/>
      <x:c r="L31" s="43"/>
    </x:row>
    <x:row r="32" ht="42" customHeight="1">
      <x:c r="A32" s="61" t="str">
        <x:v>随机神话符文</x:v>
      </x:c>
      <x:c r="B32" s="61" t="str">
        <x:v>随机神话符文</x:v>
      </x:c>
      <x:c r="C32" s="62" t="n">
        <x:v>1</x:v>
      </x:c>
      <x:c r="D32" s="62" t="n">
        <x:v>16384</x:v>
      </x:c>
      <x:c r="E32" s="62" t="str"/>
      <x:c r="F32" s="62" t="n">
        <x:f>IF(AND(ISNUMBER(C32),ISNUMBER(D32)),C32*D32,"待补")</x:f>
        <x:v>16384</x:v>
      </x:c>
      <x:c r="G32" s="61" t="str">
        <x:v>统一道具字典</x:v>
      </x:c>
      <x:c r="H32" s="61" t="str"/>
      <x:c r="I32" s="61" t="str">
        <x:v>主/心梦商店!第5行</x:v>
      </x:c>
      <x:c r="J32" s="61" t="str">
        <x:v>统一字典优先</x:v>
      </x:c>
      <x:c r="K32" s="43"/>
      <x:c r="L32" s="43"/>
    </x:row>
    <x:row r="33" ht="42" customHeight="1">
      <x:c r="A33" s="61" t="str">
        <x:v>钻石</x:v>
      </x:c>
      <x:c r="B33" s="61" t="str">
        <x:v>钻石</x:v>
      </x:c>
      <x:c r="C33" s="62" t="n">
        <x:v>1688</x:v>
      </x:c>
      <x:c r="D33" s="62" t="n">
        <x:v>1</x:v>
      </x:c>
      <x:c r="E33" s="62" t="str"/>
      <x:c r="F33" s="62" t="n">
        <x:f>IF(AND(ISNUMBER(C33),ISNUMBER(D33)),C33*D33,"待补")</x:f>
        <x:v>1688</x:v>
      </x:c>
      <x:c r="G33" s="61" t="str">
        <x:v>统一道具字典</x:v>
      </x:c>
      <x:c r="H33" s="61" t="str"/>
      <x:c r="I33" s="61" t="str">
        <x:v>主/心梦商店!第6行</x:v>
      </x:c>
      <x:c r="J33" s="61" t="str">
        <x:v>统一字典优先</x:v>
      </x:c>
      <x:c r="K33" s="43"/>
      <x:c r="L33" s="43"/>
    </x:row>
    <x:row r="34" ht="42" customHeight="1">
      <x:c r="A34" s="61" t="str">
        <x:v>钻石</x:v>
      </x:c>
      <x:c r="B34" s="61" t="str">
        <x:v>钻石</x:v>
      </x:c>
      <x:c r="C34" s="62" t="n">
        <x:v>888</x:v>
      </x:c>
      <x:c r="D34" s="62" t="n">
        <x:v>1</x:v>
      </x:c>
      <x:c r="E34" s="62" t="str"/>
      <x:c r="F34" s="62" t="n">
        <x:f>IF(AND(ISNUMBER(C34),ISNUMBER(D34)),C34*D34,"待补")</x:f>
        <x:v>888</x:v>
      </x:c>
      <x:c r="G34" s="61" t="str">
        <x:v>统一道具字典</x:v>
      </x:c>
      <x:c r="H34" s="61" t="str"/>
      <x:c r="I34" s="61" t="str">
        <x:v>主/心梦商店!第7行</x:v>
      </x:c>
      <x:c r="J34" s="61" t="str">
        <x:v>统一字典优先</x:v>
      </x:c>
      <x:c r="K34" s="43"/>
      <x:c r="L34" s="43"/>
    </x:row>
    <x:row r="35" ht="42" customHeight="1">
      <x:c r="A35" s="61" t="str">
        <x:v>幻梦晶核</x:v>
      </x:c>
      <x:c r="B35" s="61" t="str">
        <x:v>幻梦晶核</x:v>
      </x:c>
      <x:c r="C35" s="62" t="n">
        <x:v>50</x:v>
      </x:c>
      <x:c r="D35" s="62" t="n">
        <x:v>60</x:v>
      </x:c>
      <x:c r="E35" s="62" t="str"/>
      <x:c r="F35" s="62" t="n">
        <x:f>IF(AND(ISNUMBER(C35),ISNUMBER(D35)),C35*D35,"待补")</x:f>
        <x:v>3000</x:v>
      </x:c>
      <x:c r="G35" s="61" t="str">
        <x:v>统一道具字典</x:v>
      </x:c>
      <x:c r="H35" s="61" t="str"/>
      <x:c r="I35" s="61" t="str">
        <x:v>主/心梦商店!第8行</x:v>
      </x:c>
      <x:c r="J35" s="61" t="str">
        <x:v>统一字典优先</x:v>
      </x:c>
      <x:c r="K35" s="43"/>
      <x:c r="L35" s="43"/>
    </x:row>
    <x:row r="36" ht="42" customHeight="1">
      <x:c r="A36" s="61" t="str">
        <x:v>招募器</x:v>
      </x:c>
      <x:c r="B36" s="61" t="str">
        <x:v>招募器</x:v>
      </x:c>
      <x:c r="C36" s="62" t="n">
        <x:v>50</x:v>
      </x:c>
      <x:c r="D36" s="62" t="n">
        <x:v>30</x:v>
      </x:c>
      <x:c r="E36" s="62" t="str"/>
      <x:c r="F36" s="62" t="n">
        <x:f>IF(AND(ISNUMBER(C36),ISNUMBER(D36)),C36*D36,"待补")</x:f>
        <x:v>1500</x:v>
      </x:c>
      <x:c r="G36" s="61" t="str">
        <x:v>统一道具字典</x:v>
      </x:c>
      <x:c r="H36" s="61" t="str"/>
      <x:c r="I36" s="61" t="str">
        <x:v>主/心梦商店!第9行</x:v>
      </x:c>
      <x:c r="J36" s="61" t="str">
        <x:v>统一字典优先</x:v>
      </x:c>
      <x:c r="K36" s="43"/>
      <x:c r="L36" s="43"/>
    </x:row>
    <x:row r="37" ht="42" customHeight="1">
      <x:c r="A37" s="61" t="str">
        <x:v>星辉秘契</x:v>
      </x:c>
      <x:c r="B37" s="61" t="str">
        <x:v>星辉秘契</x:v>
      </x:c>
      <x:c r="C37" s="62" t="n">
        <x:v>20</x:v>
      </x:c>
      <x:c r="D37" s="62" t="n">
        <x:v>280</x:v>
      </x:c>
      <x:c r="E37" s="62" t="str"/>
      <x:c r="F37" s="62" t="n">
        <x:f>IF(AND(ISNUMBER(C37),ISNUMBER(D37)),C37*D37,"待补")</x:f>
        <x:v>5600</x:v>
      </x:c>
      <x:c r="G37" s="61" t="str">
        <x:v>统一道具字典</x:v>
      </x:c>
      <x:c r="H37" s="61" t="str"/>
      <x:c r="I37" s="61" t="str">
        <x:v>主/心梦商店!第10行</x:v>
      </x:c>
      <x:c r="J37" s="61" t="str">
        <x:v>统一字典优先</x:v>
      </x:c>
      <x:c r="K37" s="43"/>
      <x:c r="L37" s="43"/>
    </x:row>
    <x:row r="38" ht="42" customHeight="1">
      <x:c r="A38" s="61" t="str">
        <x:v>绮梦衣橱礼盒</x:v>
      </x:c>
      <x:c r="B38" s="61" t="str">
        <x:v>绮梦衣橱礼盒</x:v>
      </x:c>
      <x:c r="C38" s="62" t="n">
        <x:v>1</x:v>
      </x:c>
      <x:c r="D38" s="62" t="str">
        <x:v>待补</x:v>
      </x:c>
      <x:c r="E38" s="62" t="str"/>
      <x:c r="F38" s="62" t="str">
        <x:f>IF(AND(ISNUMBER(C38),ISNUMBER(D38)),C38*D38,"待补")</x:f>
        <x:v>待补</x:v>
      </x:c>
      <x:c r="G38" s="61" t="str">
        <x:v>缺统一估值</x:v>
      </x:c>
      <x:c r="H38" s="61" t="str"/>
      <x:c r="I38" s="61" t="str">
        <x:v>主/心梦商店!第11行</x:v>
      </x:c>
      <x:c r="J38" s="61" t="str">
        <x:v>统一字典优先</x:v>
      </x:c>
      <x:c r="K38" s="43"/>
      <x:c r="L38" s="43"/>
    </x:row>
    <x:row r="39" ht="42" customHeight="1">
      <x:c r="A39" s="61" t="str">
        <x:v>喵喵锤子</x:v>
      </x:c>
      <x:c r="B39" s="61" t="str">
        <x:v>喵喵锤子</x:v>
      </x:c>
      <x:c r="C39" s="62" t="n">
        <x:v>1</x:v>
      </x:c>
      <x:c r="D39" s="62" t="str">
        <x:v>待补</x:v>
      </x:c>
      <x:c r="E39" s="62" t="str"/>
      <x:c r="F39" s="62" t="str">
        <x:f>IF(AND(ISNUMBER(C39),ISNUMBER(D39)),C39*D39,"待补")</x:f>
        <x:v>待补</x:v>
      </x:c>
      <x:c r="G39" s="61" t="str">
        <x:v>缺统一估值</x:v>
      </x:c>
      <x:c r="H39" s="61" t="str"/>
      <x:c r="I39" s="61" t="str">
        <x:v>主/心梦商店!第12行</x:v>
      </x:c>
      <x:c r="J39" s="61" t="str">
        <x:v>统一字典优先</x:v>
      </x:c>
      <x:c r="K39" s="43"/>
      <x:c r="L39" s="43"/>
    </x:row>
    <x:row r="40" ht="42" customHeight="1">
      <x:c r="A40" s="61" t="str">
        <x:v>神话祝福石</x:v>
      </x:c>
      <x:c r="B40" s="61" t="str">
        <x:v>神话祝福石</x:v>
      </x:c>
      <x:c r="C40" s="62" t="n">
        <x:v>1</x:v>
      </x:c>
      <x:c r="D40" s="62" t="n">
        <x:v>5000</x:v>
      </x:c>
      <x:c r="E40" s="62" t="str"/>
      <x:c r="F40" s="62" t="n">
        <x:f>IF(AND(ISNUMBER(C40),ISNUMBER(D40)),C40*D40,"待补")</x:f>
        <x:v>5000</x:v>
      </x:c>
      <x:c r="G40" s="61" t="str">
        <x:v>统一道具字典</x:v>
      </x:c>
      <x:c r="H40" s="61" t="str"/>
      <x:c r="I40" s="61" t="str">
        <x:v>主/心梦商店!第13行</x:v>
      </x:c>
      <x:c r="J40" s="61" t="str">
        <x:v>统一字典优先</x:v>
      </x:c>
      <x:c r="K40" s="43"/>
      <x:c r="L40" s="43"/>
    </x:row>
    <x:row r="41" ht="42" customHeight="1">
      <x:c r="A41" s="61" t="str">
        <x:v>童话造物幻衣</x:v>
      </x:c>
      <x:c r="B41" s="61" t="str">
        <x:v>童话造物幻衣</x:v>
      </x:c>
      <x:c r="C41" s="62" t="n">
        <x:v>1</x:v>
      </x:c>
      <x:c r="D41" s="62" t="str">
        <x:v>待补</x:v>
      </x:c>
      <x:c r="E41" s="62" t="str"/>
      <x:c r="F41" s="62" t="str">
        <x:f>IF(AND(ISNUMBER(C41),ISNUMBER(D41)),C41*D41,"待补")</x:f>
        <x:v>待补</x:v>
      </x:c>
      <x:c r="G41" s="61" t="str">
        <x:v>缺统一估值</x:v>
      </x:c>
      <x:c r="H41" s="61" t="str"/>
      <x:c r="I41" s="61" t="str">
        <x:v>主/心梦商店!第14行</x:v>
      </x:c>
      <x:c r="J41" s="61" t="str">
        <x:v>统一字典优先</x:v>
      </x:c>
      <x:c r="K41" s="43"/>
      <x:c r="L41" s="43"/>
    </x:row>
    <x:row r="42" ht="42" customHeight="1">
      <x:c r="A42" s="61" t="str">
        <x:v>小狗锤</x:v>
      </x:c>
      <x:c r="B42" s="61" t="str">
        <x:v>小狗锤</x:v>
      </x:c>
      <x:c r="C42" s="62" t="n">
        <x:v>1</x:v>
      </x:c>
      <x:c r="D42" s="62" t="str">
        <x:v>待补</x:v>
      </x:c>
      <x:c r="E42" s="62" t="str"/>
      <x:c r="F42" s="62" t="str">
        <x:f>IF(AND(ISNUMBER(C42),ISNUMBER(D42)),C42*D42,"待补")</x:f>
        <x:v>待补</x:v>
      </x:c>
      <x:c r="G42" s="61" t="str">
        <x:v>缺统一估值</x:v>
      </x:c>
      <x:c r="H42" s="61" t="str"/>
      <x:c r="I42" s="61" t="str">
        <x:v>主/心梦商店!第15行</x:v>
      </x:c>
      <x:c r="J42" s="61" t="str">
        <x:v>统一字典优先</x:v>
      </x:c>
      <x:c r="K42" s="43"/>
      <x:c r="L42" s="43"/>
    </x:row>
    <x:row r="43" ht="42" customHeight="1">
      <x:c r="A43" s="61" t="str">
        <x:v>繁星衣橱礼盒</x:v>
      </x:c>
      <x:c r="B43" s="61" t="str">
        <x:v>繁星衣橱礼盒</x:v>
      </x:c>
      <x:c r="C43" s="62" t="n">
        <x:v>1</x:v>
      </x:c>
      <x:c r="D43" s="62" t="str">
        <x:v>待补</x:v>
      </x:c>
      <x:c r="E43" s="62" t="str"/>
      <x:c r="F43" s="62" t="str">
        <x:f>IF(AND(ISNUMBER(C43),ISNUMBER(D43)),C43*D43,"待补")</x:f>
        <x:v>待补</x:v>
      </x:c>
      <x:c r="G43" s="61" t="str">
        <x:v>缺统一估值</x:v>
      </x:c>
      <x:c r="H43" s="61" t="str"/>
      <x:c r="I43" s="61" t="str">
        <x:v>主/心梦商店!第16行</x:v>
      </x:c>
      <x:c r="J43" s="61" t="str">
        <x:v>统一字典优先</x:v>
      </x:c>
      <x:c r="K43" s="43"/>
      <x:c r="L43" s="43"/>
    </x:row>
    <x:row r="44" ht="42" customHeight="1">
      <x:c r="A44" s="61" t="str">
        <x:v>小狗锤</x:v>
      </x:c>
      <x:c r="B44" s="61" t="str">
        <x:v>小狗锤</x:v>
      </x:c>
      <x:c r="C44" s="62" t="n">
        <x:v>1</x:v>
      </x:c>
      <x:c r="D44" s="62" t="str">
        <x:v>待补</x:v>
      </x:c>
      <x:c r="E44" s="62" t="str"/>
      <x:c r="F44" s="62" t="str">
        <x:f>IF(AND(ISNUMBER(C44),ISNUMBER(D44)),C44*D44,"待补")</x:f>
        <x:v>待补</x:v>
      </x:c>
      <x:c r="G44" s="61" t="str">
        <x:v>缺统一估值</x:v>
      </x:c>
      <x:c r="H44" s="61" t="str"/>
      <x:c r="I44" s="61" t="str">
        <x:v>主/心梦商店!第17行</x:v>
      </x:c>
      <x:c r="J44" s="61" t="str">
        <x:v>统一字典优先</x:v>
      </x:c>
      <x:c r="K44" s="43"/>
      <x:c r="L44" s="43"/>
    </x:row>
    <x:row r="45" ht="42" customHeight="1">
      <x:c r="A45" s="61" t="str">
        <x:v>智械发条</x:v>
      </x:c>
      <x:c r="B45" s="61" t="str">
        <x:v>智械发条</x:v>
      </x:c>
      <x:c r="C45" s="62" t="n">
        <x:v>10</x:v>
      </x:c>
      <x:c r="D45" s="62" t="n">
        <x:v>150</x:v>
      </x:c>
      <x:c r="E45" s="62" t="str"/>
      <x:c r="F45" s="62" t="n">
        <x:f>IF(AND(ISNUMBER(C45),ISNUMBER(D45)),C45*D45,"待补")</x:f>
        <x:v>1500</x:v>
      </x:c>
      <x:c r="G45" s="61" t="str">
        <x:v>统一道具字典</x:v>
      </x:c>
      <x:c r="H45" s="61" t="str"/>
      <x:c r="I45" s="61" t="str">
        <x:v>主/心梦商店!第18行</x:v>
      </x:c>
      <x:c r="J45" s="61" t="str">
        <x:v>统一字典优先</x:v>
      </x:c>
      <x:c r="K45" s="43"/>
      <x:c r="L45" s="43"/>
    </x:row>
    <x:row r="46" ht="42" customHeight="1">
      <x:c r="A46" s="61" t="str">
        <x:v>精密齿轮</x:v>
      </x:c>
      <x:c r="B46" s="61" t="str">
        <x:v>精密齿轮</x:v>
      </x:c>
      <x:c r="C46" s="62" t="n">
        <x:v>1500</x:v>
      </x:c>
      <x:c r="D46" s="62" t="n">
        <x:v>1</x:v>
      </x:c>
      <x:c r="E46" s="62" t="str"/>
      <x:c r="F46" s="62" t="n">
        <x:f>IF(AND(ISNUMBER(C46),ISNUMBER(D46)),C46*D46,"待补")</x:f>
        <x:v>1500</x:v>
      </x:c>
      <x:c r="G46" s="61" t="str">
        <x:v>统一道具字典</x:v>
      </x:c>
      <x:c r="H46" s="61" t="str"/>
      <x:c r="I46" s="61" t="str">
        <x:v>主/心梦商店!第19行</x:v>
      </x:c>
      <x:c r="J46" s="61" t="str">
        <x:v>统一字典优先</x:v>
      </x:c>
      <x:c r="K46" s="43"/>
      <x:c r="L46" s="43"/>
    </x:row>
    <x:row r="47" ht="42" customHeight="1">
      <x:c r="A47" s="61" t="str">
        <x:v>抵达深空</x:v>
      </x:c>
      <x:c r="B47" s="61" t="str">
        <x:v>抵达深空</x:v>
      </x:c>
      <x:c r="C47" s="62" t="n">
        <x:v>1</x:v>
      </x:c>
      <x:c r="D47" s="62" t="n">
        <x:v>9600</x:v>
      </x:c>
      <x:c r="E47" s="62" t="str"/>
      <x:c r="F47" s="62" t="n">
        <x:f>IF(AND(ISNUMBER(C47),ISNUMBER(D47)),C47*D47,"待补")</x:f>
        <x:v>9600</x:v>
      </x:c>
      <x:c r="G47" s="61" t="str">
        <x:v>统一道具字典</x:v>
      </x:c>
      <x:c r="H47" s="61" t="str"/>
      <x:c r="I47" s="61" t="str">
        <x:v>主/心梦商店!第20行</x:v>
      </x:c>
      <x:c r="J47" s="61" t="str">
        <x:v>统一字典优先</x:v>
      </x:c>
      <x:c r="K47" s="43"/>
      <x:c r="L47" s="43"/>
    </x:row>
    <x:row r="48" ht="42" customHeight="1">
      <x:c r="A48" s="61" t="str">
        <x:v>酣眠的祝福</x:v>
      </x:c>
      <x:c r="B48" s="61" t="str">
        <x:v>酣眠的祝福</x:v>
      </x:c>
      <x:c r="C48" s="62" t="n">
        <x:v>1</x:v>
      </x:c>
      <x:c r="D48" s="62" t="n">
        <x:v>4800</x:v>
      </x:c>
      <x:c r="E48" s="62" t="str"/>
      <x:c r="F48" s="62" t="n">
        <x:f>IF(AND(ISNUMBER(C48),ISNUMBER(D48)),C48*D48,"待补")</x:f>
        <x:v>4800</x:v>
      </x:c>
      <x:c r="G48" s="61" t="str">
        <x:v>统一道具字典</x:v>
      </x:c>
      <x:c r="H48" s="61" t="str"/>
      <x:c r="I48" s="61" t="str">
        <x:v>主/心梦商店!第21行</x:v>
      </x:c>
      <x:c r="J48" s="61" t="str">
        <x:v>统一字典优先</x:v>
      </x:c>
      <x:c r="K48" s="43"/>
      <x:c r="L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</x:row>
    <x:row r="51">
      <x:c r="A51" s="65" t="str">
        <x:v>活动节点与最终大奖判定</x:v>
      </x:c>
      <x:c r="B51" s="65"/>
      <x:c r="C51" s="65"/>
      <x:c r="D51" s="65"/>
      <x:c r="E51" s="65"/>
      <x:c r="F51" s="65"/>
      <x:c r="G51" s="43"/>
      <x:c r="H51" s="43"/>
      <x:c r="I51" s="43"/>
      <x:c r="J51" s="43"/>
      <x:c r="K51" s="43"/>
      <x:c r="L51" s="43"/>
    </x:row>
    <x:row r="52" ht="42" customHeight="1">
      <x:c r="A52" s="60" t="str">
        <x:v>轮次/节点</x:v>
      </x:c>
      <x:c r="B52" s="60" t="str">
        <x:v>节点类型</x:v>
      </x:c>
      <x:c r="C52" s="60" t="str">
        <x:v>阈值</x:v>
      </x:c>
      <x:c r="D52" s="60" t="str">
        <x:v>奖励</x:v>
      </x:c>
      <x:c r="E52" s="60" t="str">
        <x:v>到手成本判定</x:v>
      </x:c>
      <x:c r="F52" s="60" t="str">
        <x:v>来源</x:v>
      </x:c>
      <x:c r="G52" s="43"/>
      <x:c r="H52" s="43"/>
      <x:c r="I52" s="43"/>
      <x:c r="J52" s="43"/>
      <x:c r="K52" s="43"/>
      <x:c r="L52" s="43"/>
    </x:row>
  </x:sheetData>
  <x:mergeCells>
    <x:mergeCell ref="A1:L1"/>
    <x:mergeCell ref="A2:L2"/>
    <x:mergeCell ref="A29:J29"/>
    <x:mergeCell ref="A51:F5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《梦境护卫队》首充三卡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来源：主/首充+三卡!A4:V23｜不能把累充与单笔分支全部当作叠加奖励；优化总内容提出调整思路｜主方案优先，补充方案不覆盖主方案。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首充三卡</x:v>
      </x:c>
      <x:c r="C4" s="59"/>
      <x:c r="D4" s="57" t="str">
        <x:v>最终大奖条件说明</x:v>
      </x:c>
      <x:c r="E4" s="58" t="str">
        <x:v>主文档未形成可确认的最终大奖成本</x:v>
      </x:c>
      <x:c r="F4" s="59"/>
      <x:c r="G4" s="57" t="str">
        <x:v>礼包数</x:v>
      </x:c>
      <x:c r="H4" s="58" t="n">
        <x:v>9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待补充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3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44" t="str">
        <x:v>礼包/档位</x:v>
      </x:c>
      <x:c r="B8" s="44" t="str">
        <x:v>支付币种</x:v>
      </x:c>
      <x:c r="C8" s="44" t="str">
        <x:v>标价</x:v>
      </x:c>
      <x:c r="D8" s="44" t="str">
        <x:v>成本折钻</x:v>
      </x:c>
      <x:c r="E8" s="44" t="str">
        <x:v>奖励价值钻</x:v>
      </x:c>
      <x:c r="F8" s="44" t="str">
        <x:v>价值倍率</x:v>
      </x:c>
      <x:c r="G8" s="44" t="str">
        <x:v>重算折数</x:v>
      </x:c>
      <x:c r="H8" s="44" t="str">
        <x:v>原标注折数</x:v>
      </x:c>
      <x:c r="I8" s="44" t="str">
        <x:v>主要到手标的物</x:v>
      </x:c>
      <x:c r="J8" s="44" t="str">
        <x:v>限购</x:v>
      </x:c>
      <x:c r="K8" s="44" t="str">
        <x:v>到手判断</x:v>
      </x:c>
      <x:c r="L8" s="44" t="str">
        <x:v>来源</x:v>
      </x:c>
    </x:row>
    <x:row r="9" ht="42" customHeight="1">
      <x:c r="A9" s="45" t="str">
        <x:v>首充6元-首日</x:v>
      </x:c>
      <x:c r="B9" s="45" t="str">
        <x:v>RMB</x:v>
      </x:c>
      <x:c r="C9" s="45" t="n">
        <x:v>6</x:v>
      </x:c>
      <x:c r="D9" s="67" t="n">
        <x:f>IF(ISNUMBER(C9*10),C9*10,"待核")</x:f>
        <x:v>60</x:v>
      </x:c>
      <x:c r="E9" s="67" t="str">
        <x:v>缺完整估值</x:v>
      </x:c>
      <x:c r="F9" s="67" t="str">
        <x:f>IF(AND(ISNUMBER(D9),ISNUMBER(E9),D9&gt;0),E9/D9,"待核")</x:f>
        <x:v>待核</x:v>
      </x:c>
      <x:c r="G9" s="63" t="str">
        <x:f>IF(AND(ISNUMBER(D9),ISNUMBER(E9),E9&gt;0),D9/E9*10,"待核")</x:f>
        <x:v>待核</x:v>
      </x:c>
      <x:c r="H9" s="45"/>
      <x:c r="I9" s="45" t="str">
        <x:v>喵喵锤×1；梦境招募器×10；史诗符文×1；当天特权卡×1</x:v>
      </x:c>
      <x:c r="J9" s="45" t="n">
        <x:v>1</x:v>
      </x:c>
      <x:c r="K9" s="45" t="str">
        <x:v>源表直购</x:v>
      </x:c>
      <x:c r="L9" s="45" t="str">
        <x:v>主/首充+三卡!A3:V77</x:v>
      </x:c>
    </x:row>
    <x:row r="10" ht="42" customHeight="1">
      <x:c r="A10" s="45" t="str">
        <x:v>累充30元-首档</x:v>
      </x:c>
      <x:c r="B10" s="45" t="str">
        <x:v>RMB</x:v>
      </x:c>
      <x:c r="C10" s="45" t="n">
        <x:v>30</x:v>
      </x:c>
      <x:c r="D10" s="67" t="n">
        <x:f>IF(ISNUMBER(C10*10),C10*10,"待核")</x:f>
        <x:v>300</x:v>
      </x:c>
      <x:c r="E10" s="67" t="str">
        <x:v>缺完整估值</x:v>
      </x:c>
      <x:c r="F10" s="67" t="str">
        <x:f>IF(AND(ISNUMBER(D10),ISNUMBER(E10),D10&gt;0),E10/D10,"待核")</x:f>
        <x:v>待核</x:v>
      </x:c>
      <x:c r="G10" s="63" t="str">
        <x:f>IF(AND(ISNUMBER(D10),ISNUMBER(E10),E10&gt;0),D10/E10*10,"待核")</x:f>
        <x:v>待核</x:v>
      </x:c>
      <x:c r="H10" s="45"/>
      <x:c r="I10" s="45" t="str">
        <x:v>镭射×1；超能特饮×300；金币×3000</x:v>
      </x:c>
      <x:c r="J10" s="45" t="n">
        <x:v>1</x:v>
      </x:c>
      <x:c r="K10" s="45" t="str">
        <x:v>源表累充</x:v>
      </x:c>
      <x:c r="L10" s="45" t="str">
        <x:v>主/首充+三卡!A3:V77</x:v>
      </x:c>
    </x:row>
    <x:row r="11" ht="42" customHeight="1">
      <x:c r="A11" s="45" t="str">
        <x:v>累充30元-阶段奖励</x:v>
      </x:c>
      <x:c r="B11" s="45" t="str">
        <x:v>RMB</x:v>
      </x:c>
      <x:c r="C11" s="45" t="n">
        <x:v>30</x:v>
      </x:c>
      <x:c r="D11" s="67" t="n">
        <x:f>IF(ISNUMBER(C11*10),C11*10,"待核")</x:f>
        <x:v>300</x:v>
      </x:c>
      <x:c r="E11" s="67" t="n">
        <x:v>1300</x:v>
      </x:c>
      <x:c r="F11" s="67" t="n">
        <x:f>IF(AND(ISNUMBER(D11),ISNUMBER(E11),D11&gt;0),E11/D11,"待核")</x:f>
        <x:v>4.333333333333333</x:v>
      </x:c>
      <x:c r="G11" s="63" t="n">
        <x:f>IF(AND(ISNUMBER(D11),ISNUMBER(E11),E11&gt;0),D11/E11*10,"待核")</x:f>
        <x:v>2.307692307692308</x:v>
      </x:c>
      <x:c r="H11" s="45"/>
      <x:c r="I11" s="45" t="str">
        <x:v>星之初愿×5；梦境招募器×10；装备图纸×250</x:v>
      </x:c>
      <x:c r="J11" s="45" t="n">
        <x:v>1</x:v>
      </x:c>
      <x:c r="K11" s="45" t="str">
        <x:v>源表累充</x:v>
      </x:c>
      <x:c r="L11" s="45" t="str">
        <x:v>主/首充+三卡!A3:V77</x:v>
      </x:c>
    </x:row>
    <x:row r="12" ht="42" customHeight="1">
      <x:c r="A12" s="45" t="str">
        <x:v>累充68元-首档</x:v>
      </x:c>
      <x:c r="B12" s="45" t="str">
        <x:v>RMB</x:v>
      </x:c>
      <x:c r="C12" s="45" t="n">
        <x:v>68</x:v>
      </x:c>
      <x:c r="D12" s="67" t="n">
        <x:f>IF(ISNUMBER(C12*10),C12*10,"待核")</x:f>
        <x:v>680</x:v>
      </x:c>
      <x:c r="E12" s="67" t="str">
        <x:v>缺完整估值</x:v>
      </x:c>
      <x:c r="F12" s="67" t="str">
        <x:f>IF(AND(ISNUMBER(D12),ISNUMBER(E12),D12&gt;0),E12/D12,"待核")</x:f>
        <x:v>待核</x:v>
      </x:c>
      <x:c r="G12" s="63" t="str">
        <x:f>IF(AND(ISNUMBER(D12),ISNUMBER(E12),E12&gt;0),D12/E12*10,"待核")</x:f>
        <x:v>待核</x:v>
      </x:c>
      <x:c r="H12" s="45"/>
      <x:c r="I12" s="45" t="str">
        <x:v>无心睡眠×1；装备图纸×100；金币×5000</x:v>
      </x:c>
      <x:c r="J12" s="45" t="n">
        <x:v>1</x:v>
      </x:c>
      <x:c r="K12" s="45" t="str">
        <x:v>源表累充</x:v>
      </x:c>
      <x:c r="L12" s="45" t="str">
        <x:v>主/首充+三卡!A3:V77</x:v>
      </x:c>
    </x:row>
    <x:row r="13" ht="42" customHeight="1">
      <x:c r="A13" s="45" t="str">
        <x:v>累充68元-阶段奖励</x:v>
      </x:c>
      <x:c r="B13" s="45" t="str">
        <x:v>RMB</x:v>
      </x:c>
      <x:c r="C13" s="45" t="n">
        <x:v>68</x:v>
      </x:c>
      <x:c r="D13" s="67" t="n">
        <x:f>IF(ISNUMBER(C13*10),C13*10,"待核")</x:f>
        <x:v>680</x:v>
      </x:c>
      <x:c r="E13" s="67" t="n">
        <x:v>2300</x:v>
      </x:c>
      <x:c r="F13" s="67" t="n">
        <x:f>IF(AND(ISNUMBER(D13),ISNUMBER(E13),D13&gt;0),E13/D13,"待核")</x:f>
        <x:v>3.3823529411764706</x:v>
      </x:c>
      <x:c r="G13" s="63" t="n">
        <x:f>IF(AND(ISNUMBER(D13),ISNUMBER(E13),E13&gt;0),D13/E13*10,"待核")</x:f>
        <x:v>2.956521739130435</x:v>
      </x:c>
      <x:c r="H13" s="45"/>
      <x:c r="I13" s="45" t="str">
        <x:v>星辉秘契×5；梦境招募器×30</x:v>
      </x:c>
      <x:c r="J13" s="45" t="n">
        <x:v>1</x:v>
      </x:c>
      <x:c r="K13" s="45" t="str">
        <x:v>源表累充</x:v>
      </x:c>
      <x:c r="L13" s="45" t="str">
        <x:v>主/首充+三卡!A3:V77</x:v>
      </x:c>
    </x:row>
    <x:row r="14" ht="42" customHeight="1">
      <x:c r="A14" s="45" t="str">
        <x:v>单笔68元-首档</x:v>
      </x:c>
      <x:c r="B14" s="45" t="str">
        <x:v>RMB</x:v>
      </x:c>
      <x:c r="C14" s="45" t="n">
        <x:v>68</x:v>
      </x:c>
      <x:c r="D14" s="67" t="n">
        <x:f>IF(ISNUMBER(C14*10),C14*10,"待核")</x:f>
        <x:v>680</x:v>
      </x:c>
      <x:c r="E14" s="67" t="str">
        <x:v>缺完整估值</x:v>
      </x:c>
      <x:c r="F14" s="67" t="str">
        <x:f>IF(AND(ISNUMBER(D14),ISNUMBER(E14),D14&gt;0),E14/D14,"待核")</x:f>
        <x:v>待核</x:v>
      </x:c>
      <x:c r="G14" s="63" t="str">
        <x:f>IF(AND(ISNUMBER(D14),ISNUMBER(E14),E14&gt;0),D14/E14*10,"待核")</x:f>
        <x:v>待核</x:v>
      </x:c>
      <x:c r="H14" s="45"/>
      <x:c r="I14" s="45" t="str">
        <x:v>镭射×1；无心睡眠×1；超能特饮×200</x:v>
      </x:c>
      <x:c r="J14" s="45" t="n">
        <x:v>1</x:v>
      </x:c>
      <x:c r="K14" s="45" t="str">
        <x:v>源表单笔</x:v>
      </x:c>
      <x:c r="L14" s="45" t="str">
        <x:v>主/首充+三卡!A3:V77</x:v>
      </x:c>
    </x:row>
    <x:row r="15" ht="42" customHeight="1">
      <x:c r="A15" s="45" t="str">
        <x:v>单笔68元-阶段奖励</x:v>
      </x:c>
      <x:c r="B15" s="45" t="str">
        <x:v>RMB</x:v>
      </x:c>
      <x:c r="C15" s="45" t="n">
        <x:v>68</x:v>
      </x:c>
      <x:c r="D15" s="67" t="n">
        <x:f>IF(ISNUMBER(C15*10),C15*10,"待核")</x:f>
        <x:v>680</x:v>
      </x:c>
      <x:c r="E15" s="67" t="str">
        <x:v>缺完整估值</x:v>
      </x:c>
      <x:c r="F15" s="67" t="str">
        <x:f>IF(AND(ISNUMBER(D15),ISNUMBER(E15),D15&gt;0),E15/D15,"待核")</x:f>
        <x:v>待核</x:v>
      </x:c>
      <x:c r="G15" s="63" t="str">
        <x:f>IF(AND(ISNUMBER(D15),ISNUMBER(E15),E15&gt;0),D15/E15*10,"待核")</x:f>
        <x:v>待核</x:v>
      </x:c>
      <x:c r="H15" s="45"/>
      <x:c r="I15" s="45" t="str">
        <x:v>镭射×5；装备图纸×300</x:v>
      </x:c>
      <x:c r="J15" s="45" t="n">
        <x:v>1</x:v>
      </x:c>
      <x:c r="K15" s="45" t="str">
        <x:v>源表单笔</x:v>
      </x:c>
      <x:c r="L15" s="45" t="str">
        <x:v>主/首充+三卡!A3:V77</x:v>
      </x:c>
    </x:row>
    <x:row r="16" ht="42" customHeight="1">
      <x:c r="A16" s="45" t="str">
        <x:v>单笔128元-首档</x:v>
      </x:c>
      <x:c r="B16" s="45" t="str">
        <x:v>RMB</x:v>
      </x:c>
      <x:c r="C16" s="45" t="n">
        <x:v>128</x:v>
      </x:c>
      <x:c r="D16" s="67" t="n">
        <x:f>IF(ISNUMBER(C16*10),C16*10,"待核")</x:f>
        <x:v>1280</x:v>
      </x:c>
      <x:c r="E16" s="67" t="str">
        <x:v>缺完整估值</x:v>
      </x:c>
      <x:c r="F16" s="67" t="str">
        <x:f>IF(AND(ISNUMBER(D16),ISNUMBER(E16),D16&gt;0),E16/D16,"待核")</x:f>
        <x:v>待核</x:v>
      </x:c>
      <x:c r="G16" s="63" t="str">
        <x:f>IF(AND(ISNUMBER(D16),ISNUMBER(E16),E16&gt;0),D16/E16*10,"待核")</x:f>
        <x:v>待核</x:v>
      </x:c>
      <x:c r="H16" s="45"/>
      <x:c r="I16" s="45" t="str">
        <x:v>紫色勇者服×1；紫色勇者发饰×1；金币×3000</x:v>
      </x:c>
      <x:c r="J16" s="45" t="n">
        <x:v>1</x:v>
      </x:c>
      <x:c r="K16" s="45" t="str">
        <x:v>源表单笔</x:v>
      </x:c>
      <x:c r="L16" s="45" t="str">
        <x:v>主/首充+三卡!A3:V77</x:v>
      </x:c>
    </x:row>
    <x:row r="17" ht="42" customHeight="1">
      <x:c r="A17" s="45" t="str">
        <x:v>单笔128元-阶段奖励</x:v>
      </x:c>
      <x:c r="B17" s="45" t="str">
        <x:v>RMB</x:v>
      </x:c>
      <x:c r="C17" s="45" t="n">
        <x:v>128</x:v>
      </x:c>
      <x:c r="D17" s="67" t="n">
        <x:f>IF(ISNUMBER(C17*10),C17*10,"待核")</x:f>
        <x:v>1280</x:v>
      </x:c>
      <x:c r="E17" s="67" t="n">
        <x:v>2690</x:v>
      </x:c>
      <x:c r="F17" s="67" t="n">
        <x:f>IF(AND(ISNUMBER(D17),ISNUMBER(E17),D17&gt;0),E17/D17,"待核")</x:f>
        <x:v>2.1015625</x:v>
      </x:c>
      <x:c r="G17" s="63" t="n">
        <x:f>IF(AND(ISNUMBER(D17),ISNUMBER(E17),E17&gt;0),D17/E17*10,"待核")</x:f>
        <x:v>4.758364312267657</x:v>
      </x:c>
      <x:c r="H17" s="45"/>
      <x:c r="I17" s="45" t="str">
        <x:v>星辉秘契×8；金币×9000</x:v>
      </x:c>
      <x:c r="J17" s="45" t="n">
        <x:v>1</x:v>
      </x:c>
      <x:c r="K17" s="45" t="str">
        <x:v>源表单笔</x:v>
      </x:c>
      <x:c r="L17" s="45" t="str">
        <x:v>主/首充+三卡!A3:V77</x:v>
      </x:c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</x:row>
    <x:row r="20">
      <x:c r="A20" s="64" t="str">
        <x:v>奖励明细：数量 × 统一道具单价</x:v>
      </x:c>
      <x:c r="B20" s="64"/>
      <x:c r="C20" s="64"/>
      <x:c r="D20" s="64"/>
      <x:c r="E20" s="64"/>
      <x:c r="F20" s="64"/>
      <x:c r="G20" s="64"/>
      <x:c r="H20" s="64"/>
      <x:c r="I20" s="64"/>
      <x:c r="J20" s="64"/>
      <x:c r="K20" s="43"/>
      <x:c r="L20" s="43"/>
    </x:row>
    <x:row r="21" ht="42" customHeight="1">
      <x:c r="A21" s="60" t="str">
        <x:v>礼包</x:v>
      </x:c>
      <x:c r="B21" s="60" t="str">
        <x:v>标的物</x:v>
      </x:c>
      <x:c r="C21" s="60" t="str">
        <x:v>数量</x:v>
      </x:c>
      <x:c r="D21" s="60" t="str">
        <x:v>统一单价钻</x:v>
      </x:c>
      <x:c r="E21" s="60" t="str">
        <x:v>活动单价钻</x:v>
      </x:c>
      <x:c r="F21" s="60" t="str">
        <x:v>奖励价值钻</x:v>
      </x:c>
      <x:c r="G21" s="60" t="str">
        <x:v>估值依据</x:v>
      </x:c>
      <x:c r="H21" s="60" t="str">
        <x:v>差异/缺失</x:v>
      </x:c>
      <x:c r="I21" s="60" t="str">
        <x:v>来源</x:v>
      </x:c>
      <x:c r="J21" s="60" t="str">
        <x:v>备注</x:v>
      </x:c>
      <x:c r="K21" s="43"/>
      <x:c r="L21" s="43"/>
    </x:row>
    <x:row r="22" ht="42" customHeight="1">
      <x:c r="A22" s="61" t="str">
        <x:v>首充6元-首日</x:v>
      </x:c>
      <x:c r="B22" s="61" t="str">
        <x:v>喵喵锤</x:v>
      </x:c>
      <x:c r="C22" s="62" t="n">
        <x:v>1</x:v>
      </x:c>
      <x:c r="D22" s="62" t="str">
        <x:v>待补</x:v>
      </x:c>
      <x:c r="E22" s="62" t="n">
        <x:v>4000</x:v>
      </x:c>
      <x:c r="F22" s="62" t="str">
        <x:f>IF(AND(ISNUMBER(C22),ISNUMBER(D22)),C22*D22,"待补")</x:f>
        <x:v>待补</x:v>
      </x:c>
      <x:c r="G22" s="61" t="str">
        <x:v>缺统一单价</x:v>
      </x:c>
      <x:c r="H22" s="61" t="str">
        <x:v>名称未在主字典匹配</x:v>
      </x:c>
      <x:c r="I22" s="61" t="str">
        <x:v>主/首充+三卡!A3:V77</x:v>
      </x:c>
      <x:c r="J22" s="61" t="str">
        <x:v>统一字典优先</x:v>
      </x:c>
      <x:c r="K22" s="43"/>
      <x:c r="L22" s="43"/>
    </x:row>
    <x:row r="23" ht="42" customHeight="1">
      <x:c r="A23" s="61" t="str">
        <x:v>首充6元-首日</x:v>
      </x:c>
      <x:c r="B23" s="61" t="str">
        <x:v>梦境招募器</x:v>
      </x:c>
      <x:c r="C23" s="62" t="n">
        <x:v>10</x:v>
      </x:c>
      <x:c r="D23" s="62" t="n">
        <x:v>30</x:v>
      </x:c>
      <x:c r="E23" s="62" t="str"/>
      <x:c r="F23" s="62" t="n">
        <x:f>IF(AND(ISNUMBER(C23),ISNUMBER(D23)),C23*D23,"待补")</x:f>
        <x:v>300</x:v>
      </x:c>
      <x:c r="G23" s="61" t="str">
        <x:v>统一道具字典</x:v>
      </x:c>
      <x:c r="H23" s="61" t="str"/>
      <x:c r="I23" s="61" t="str">
        <x:v>主/首充+三卡!A3:V77</x:v>
      </x:c>
      <x:c r="J23" s="61" t="str">
        <x:v>统一字典优先</x:v>
      </x:c>
      <x:c r="K23" s="43"/>
      <x:c r="L23" s="43"/>
    </x:row>
    <x:row r="24" ht="42" customHeight="1">
      <x:c r="A24" s="61" t="str">
        <x:v>首充6元-首日</x:v>
      </x:c>
      <x:c r="B24" s="61" t="str">
        <x:v>史诗符文</x:v>
      </x:c>
      <x:c r="C24" s="62" t="n">
        <x:v>1</x:v>
      </x:c>
      <x:c r="D24" s="62" t="n">
        <x:v>1024</x:v>
      </x:c>
      <x:c r="E24" s="62" t="n">
        <x:v>256</x:v>
      </x:c>
      <x:c r="F24" s="62" t="n">
        <x:f>IF(AND(ISNUMBER(C24),ISNUMBER(D24)),C24*D24,"待补")</x:f>
        <x:v>1024</x:v>
      </x:c>
      <x:c r="G24" s="61" t="str">
        <x:v>统一道具字典</x:v>
      </x:c>
      <x:c r="H24" s="61" t="str"/>
      <x:c r="I24" s="61" t="str">
        <x:v>主/首充+三卡!A3:V77</x:v>
      </x:c>
      <x:c r="J24" s="61" t="str">
        <x:v>统一字典优先</x:v>
      </x:c>
      <x:c r="K24" s="43"/>
      <x:c r="L24" s="43"/>
    </x:row>
    <x:row r="25" ht="42" customHeight="1">
      <x:c r="A25" s="61" t="str">
        <x:v>首充6元-首日</x:v>
      </x:c>
      <x:c r="B25" s="61" t="str">
        <x:v>当天特权卡</x:v>
      </x:c>
      <x:c r="C25" s="62" t="n">
        <x:v>1</x:v>
      </x:c>
      <x:c r="D25" s="62" t="str">
        <x:v>待补</x:v>
      </x:c>
      <x:c r="E25" s="62" t="n">
        <x:v>300</x:v>
      </x:c>
      <x:c r="F25" s="62" t="str">
        <x:f>IF(AND(ISNUMBER(C25),ISNUMBER(D25)),C25*D25,"待补")</x:f>
        <x:v>待补</x:v>
      </x:c>
      <x:c r="G25" s="61" t="str">
        <x:v>缺统一单价</x:v>
      </x:c>
      <x:c r="H25" s="61" t="str">
        <x:v>名称未在主字典匹配</x:v>
      </x:c>
      <x:c r="I25" s="61" t="str">
        <x:v>主/首充+三卡!A3:V77</x:v>
      </x:c>
      <x:c r="J25" s="61" t="str">
        <x:v>统一字典优先</x:v>
      </x:c>
      <x:c r="K25" s="43"/>
      <x:c r="L25" s="43"/>
    </x:row>
    <x:row r="26" ht="42" customHeight="1">
      <x:c r="A26" s="61" t="str">
        <x:v>累充30元-首档</x:v>
      </x:c>
      <x:c r="B26" s="61" t="str">
        <x:v>镭射</x:v>
      </x:c>
      <x:c r="C26" s="62" t="n">
        <x:v>1</x:v>
      </x:c>
      <x:c r="D26" s="62" t="str">
        <x:v>待补</x:v>
      </x:c>
      <x:c r="E26" s="62" t="n">
        <x:v>480</x:v>
      </x:c>
      <x:c r="F26" s="62" t="str">
        <x:f>IF(AND(ISNUMBER(C26),ISNUMBER(D26)),C26*D26,"待补")</x:f>
        <x:v>待补</x:v>
      </x:c>
      <x:c r="G26" s="61" t="str">
        <x:v>缺统一单价</x:v>
      </x:c>
      <x:c r="H26" s="61" t="str">
        <x:v>名称未在主字典匹配</x:v>
      </x:c>
      <x:c r="I26" s="61" t="str">
        <x:v>主/首充+三卡!A3:V77</x:v>
      </x:c>
      <x:c r="J26" s="61" t="str">
        <x:v>统一字典优先</x:v>
      </x:c>
      <x:c r="K26" s="43"/>
      <x:c r="L26" s="43"/>
    </x:row>
    <x:row r="27" ht="42" customHeight="1">
      <x:c r="A27" s="61" t="str">
        <x:v>累充30元-首档</x:v>
      </x:c>
      <x:c r="B27" s="61" t="str">
        <x:v>超能特饮</x:v>
      </x:c>
      <x:c r="C27" s="62" t="n">
        <x:v>300</x:v>
      </x:c>
      <x:c r="D27" s="62" t="n">
        <x:v>2</x:v>
      </x:c>
      <x:c r="E27" s="62" t="str"/>
      <x:c r="F27" s="62" t="n">
        <x:f>IF(AND(ISNUMBER(C27),ISNUMBER(D27)),C27*D27,"待补")</x:f>
        <x:v>600</x:v>
      </x:c>
      <x:c r="G27" s="61" t="str">
        <x:v>统一道具字典</x:v>
      </x:c>
      <x:c r="H27" s="61" t="str"/>
      <x:c r="I27" s="61" t="str">
        <x:v>主/首充+三卡!A3:V77</x:v>
      </x:c>
      <x:c r="J27" s="61" t="str">
        <x:v>统一字典优先</x:v>
      </x:c>
      <x:c r="K27" s="43"/>
      <x:c r="L27" s="43"/>
    </x:row>
    <x:row r="28" ht="42" customHeight="1">
      <x:c r="A28" s="61" t="str">
        <x:v>累充30元-首档</x:v>
      </x:c>
      <x:c r="B28" s="61" t="str">
        <x:v>金币</x:v>
      </x:c>
      <x:c r="C28" s="62" t="n">
        <x:v>3000</x:v>
      </x:c>
      <x:c r="D28" s="62" t="n">
        <x:v>0.05</x:v>
      </x:c>
      <x:c r="E28" s="62" t="str"/>
      <x:c r="F28" s="62" t="n">
        <x:f>IF(AND(ISNUMBER(C28),ISNUMBER(D28)),C28*D28,"待补")</x:f>
        <x:v>150</x:v>
      </x:c>
      <x:c r="G28" s="61" t="str">
        <x:v>统一道具字典</x:v>
      </x:c>
      <x:c r="H28" s="61" t="str"/>
      <x:c r="I28" s="61" t="str">
        <x:v>主/首充+三卡!A3:V77</x:v>
      </x:c>
      <x:c r="J28" s="61" t="str">
        <x:v>统一字典优先</x:v>
      </x:c>
      <x:c r="K28" s="43"/>
      <x:c r="L28" s="43"/>
    </x:row>
    <x:row r="29" ht="42" customHeight="1">
      <x:c r="A29" s="61" t="str">
        <x:v>累充30元-阶段奖励</x:v>
      </x:c>
      <x:c r="B29" s="61" t="str">
        <x:v>星之初愿</x:v>
      </x:c>
      <x:c r="C29" s="62" t="n">
        <x:v>5</x:v>
      </x:c>
      <x:c r="D29" s="62" t="n">
        <x:v>50</x:v>
      </x:c>
      <x:c r="E29" s="62" t="str"/>
      <x:c r="F29" s="62" t="n">
        <x:f>IF(AND(ISNUMBER(C29),ISNUMBER(D29)),C29*D29,"待补")</x:f>
        <x:v>250</x:v>
      </x:c>
      <x:c r="G29" s="61" t="str">
        <x:v>统一道具字典</x:v>
      </x:c>
      <x:c r="H29" s="61" t="str"/>
      <x:c r="I29" s="61" t="str">
        <x:v>主/首充+三卡!A3:V77</x:v>
      </x:c>
      <x:c r="J29" s="61" t="str">
        <x:v>统一字典优先</x:v>
      </x:c>
      <x:c r="K29" s="43"/>
      <x:c r="L29" s="43"/>
    </x:row>
    <x:row r="30" ht="42" customHeight="1">
      <x:c r="A30" s="61" t="str">
        <x:v>累充30元-阶段奖励</x:v>
      </x:c>
      <x:c r="B30" s="61" t="str">
        <x:v>梦境招募器</x:v>
      </x:c>
      <x:c r="C30" s="62" t="n">
        <x:v>10</x:v>
      </x:c>
      <x:c r="D30" s="62" t="n">
        <x:v>30</x:v>
      </x:c>
      <x:c r="E30" s="62" t="str"/>
      <x:c r="F30" s="62" t="n">
        <x:f>IF(AND(ISNUMBER(C30),ISNUMBER(D30)),C30*D30,"待补")</x:f>
        <x:v>300</x:v>
      </x:c>
      <x:c r="G30" s="61" t="str">
        <x:v>统一道具字典</x:v>
      </x:c>
      <x:c r="H30" s="61" t="str"/>
      <x:c r="I30" s="61" t="str">
        <x:v>主/首充+三卡!A3:V77</x:v>
      </x:c>
      <x:c r="J30" s="61" t="str">
        <x:v>统一字典优先</x:v>
      </x:c>
      <x:c r="K30" s="43"/>
      <x:c r="L30" s="43"/>
    </x:row>
    <x:row r="31" ht="42" customHeight="1">
      <x:c r="A31" s="61" t="str">
        <x:v>累充30元-阶段奖励</x:v>
      </x:c>
      <x:c r="B31" s="61" t="str">
        <x:v>装备图纸</x:v>
      </x:c>
      <x:c r="C31" s="62" t="n">
        <x:v>250</x:v>
      </x:c>
      <x:c r="D31" s="62" t="n">
        <x:v>3</x:v>
      </x:c>
      <x:c r="E31" s="62" t="str"/>
      <x:c r="F31" s="62" t="n">
        <x:f>IF(AND(ISNUMBER(C31),ISNUMBER(D31)),C31*D31,"待补")</x:f>
        <x:v>750</x:v>
      </x:c>
      <x:c r="G31" s="61" t="str">
        <x:v>统一道具字典</x:v>
      </x:c>
      <x:c r="H31" s="61" t="str"/>
      <x:c r="I31" s="61" t="str">
        <x:v>主/首充+三卡!A3:V77</x:v>
      </x:c>
      <x:c r="J31" s="61" t="str">
        <x:v>统一字典优先</x:v>
      </x:c>
      <x:c r="K31" s="43"/>
      <x:c r="L31" s="43"/>
    </x:row>
    <x:row r="32" ht="42" customHeight="1">
      <x:c r="A32" s="61" t="str">
        <x:v>累充68元-首档</x:v>
      </x:c>
      <x:c r="B32" s="61" t="str">
        <x:v>无心睡眠</x:v>
      </x:c>
      <x:c r="C32" s="62" t="n">
        <x:v>1</x:v>
      </x:c>
      <x:c r="D32" s="62" t="str">
        <x:v>待补</x:v>
      </x:c>
      <x:c r="E32" s="62" t="n">
        <x:v>4000</x:v>
      </x:c>
      <x:c r="F32" s="62" t="str">
        <x:f>IF(AND(ISNUMBER(C32),ISNUMBER(D32)),C32*D32,"待补")</x:f>
        <x:v>待补</x:v>
      </x:c>
      <x:c r="G32" s="61" t="str">
        <x:v>缺统一单价</x:v>
      </x:c>
      <x:c r="H32" s="61" t="str">
        <x:v>名称未在主字典匹配</x:v>
      </x:c>
      <x:c r="I32" s="61" t="str">
        <x:v>主/首充+三卡!A3:V77</x:v>
      </x:c>
      <x:c r="J32" s="61" t="str">
        <x:v>统一字典优先</x:v>
      </x:c>
      <x:c r="K32" s="43"/>
      <x:c r="L32" s="43"/>
    </x:row>
    <x:row r="33" ht="42" customHeight="1">
      <x:c r="A33" s="61" t="str">
        <x:v>累充68元-首档</x:v>
      </x:c>
      <x:c r="B33" s="61" t="str">
        <x:v>装备图纸</x:v>
      </x:c>
      <x:c r="C33" s="62" t="n">
        <x:v>100</x:v>
      </x:c>
      <x:c r="D33" s="62" t="n">
        <x:v>3</x:v>
      </x:c>
      <x:c r="E33" s="62" t="str"/>
      <x:c r="F33" s="62" t="n">
        <x:f>IF(AND(ISNUMBER(C33),ISNUMBER(D33)),C33*D33,"待补")</x:f>
        <x:v>300</x:v>
      </x:c>
      <x:c r="G33" s="61" t="str">
        <x:v>统一道具字典</x:v>
      </x:c>
      <x:c r="H33" s="61" t="str"/>
      <x:c r="I33" s="61" t="str">
        <x:v>主/首充+三卡!A3:V77</x:v>
      </x:c>
      <x:c r="J33" s="61" t="str">
        <x:v>统一字典优先</x:v>
      </x:c>
      <x:c r="K33" s="43"/>
      <x:c r="L33" s="43"/>
    </x:row>
    <x:row r="34" ht="42" customHeight="1">
      <x:c r="A34" s="61" t="str">
        <x:v>累充68元-首档</x:v>
      </x:c>
      <x:c r="B34" s="61" t="str">
        <x:v>金币</x:v>
      </x:c>
      <x:c r="C34" s="62" t="n">
        <x:v>5000</x:v>
      </x:c>
      <x:c r="D34" s="62" t="n">
        <x:v>0.05</x:v>
      </x:c>
      <x:c r="E34" s="62" t="str"/>
      <x:c r="F34" s="62" t="n">
        <x:f>IF(AND(ISNUMBER(C34),ISNUMBER(D34)),C34*D34,"待补")</x:f>
        <x:v>250</x:v>
      </x:c>
      <x:c r="G34" s="61" t="str">
        <x:v>统一道具字典</x:v>
      </x:c>
      <x:c r="H34" s="61" t="str"/>
      <x:c r="I34" s="61" t="str">
        <x:v>主/首充+三卡!A3:V77</x:v>
      </x:c>
      <x:c r="J34" s="61" t="str">
        <x:v>统一字典优先</x:v>
      </x:c>
      <x:c r="K34" s="43"/>
      <x:c r="L34" s="43"/>
    </x:row>
    <x:row r="35" ht="42" customHeight="1">
      <x:c r="A35" s="61" t="str">
        <x:v>累充68元-阶段奖励</x:v>
      </x:c>
      <x:c r="B35" s="61" t="str">
        <x:v>星辉秘契</x:v>
      </x:c>
      <x:c r="C35" s="62" t="n">
        <x:v>5</x:v>
      </x:c>
      <x:c r="D35" s="62" t="n">
        <x:v>280</x:v>
      </x:c>
      <x:c r="E35" s="62" t="str"/>
      <x:c r="F35" s="62" t="n">
        <x:f>IF(AND(ISNUMBER(C35),ISNUMBER(D35)),C35*D35,"待补")</x:f>
        <x:v>1400</x:v>
      </x:c>
      <x:c r="G35" s="61" t="str">
        <x:v>统一道具字典</x:v>
      </x:c>
      <x:c r="H35" s="61" t="str"/>
      <x:c r="I35" s="61" t="str">
        <x:v>主/首充+三卡!A3:V77</x:v>
      </x:c>
      <x:c r="J35" s="61" t="str">
        <x:v>统一字典优先</x:v>
      </x:c>
      <x:c r="K35" s="43"/>
      <x:c r="L35" s="43"/>
    </x:row>
    <x:row r="36" ht="42" customHeight="1">
      <x:c r="A36" s="61" t="str">
        <x:v>累充68元-阶段奖励</x:v>
      </x:c>
      <x:c r="B36" s="61" t="str">
        <x:v>梦境招募器</x:v>
      </x:c>
      <x:c r="C36" s="62" t="n">
        <x:v>30</x:v>
      </x:c>
      <x:c r="D36" s="62" t="n">
        <x:v>30</x:v>
      </x:c>
      <x:c r="E36" s="62" t="str"/>
      <x:c r="F36" s="62" t="n">
        <x:f>IF(AND(ISNUMBER(C36),ISNUMBER(D36)),C36*D36,"待补")</x:f>
        <x:v>900</x:v>
      </x:c>
      <x:c r="G36" s="61" t="str">
        <x:v>统一道具字典</x:v>
      </x:c>
      <x:c r="H36" s="61" t="str"/>
      <x:c r="I36" s="61" t="str">
        <x:v>主/首充+三卡!A3:V77</x:v>
      </x:c>
      <x:c r="J36" s="61" t="str">
        <x:v>统一字典优先</x:v>
      </x:c>
      <x:c r="K36" s="43"/>
      <x:c r="L36" s="43"/>
    </x:row>
    <x:row r="37" ht="42" customHeight="1">
      <x:c r="A37" s="61" t="str">
        <x:v>单笔68元-首档</x:v>
      </x:c>
      <x:c r="B37" s="61" t="str">
        <x:v>镭射</x:v>
      </x:c>
      <x:c r="C37" s="62" t="n">
        <x:v>1</x:v>
      </x:c>
      <x:c r="D37" s="62" t="str">
        <x:v>待补</x:v>
      </x:c>
      <x:c r="E37" s="62" t="n">
        <x:v>480</x:v>
      </x:c>
      <x:c r="F37" s="62" t="str">
        <x:f>IF(AND(ISNUMBER(C37),ISNUMBER(D37)),C37*D37,"待补")</x:f>
        <x:v>待补</x:v>
      </x:c>
      <x:c r="G37" s="61" t="str">
        <x:v>缺统一单价</x:v>
      </x:c>
      <x:c r="H37" s="61" t="str">
        <x:v>名称未在主字典匹配</x:v>
      </x:c>
      <x:c r="I37" s="61" t="str">
        <x:v>主/首充+三卡!A3:V77</x:v>
      </x:c>
      <x:c r="J37" s="61" t="str">
        <x:v>统一字典优先</x:v>
      </x:c>
      <x:c r="K37" s="43"/>
      <x:c r="L37" s="43"/>
    </x:row>
    <x:row r="38" ht="42" customHeight="1">
      <x:c r="A38" s="61" t="str">
        <x:v>单笔68元-首档</x:v>
      </x:c>
      <x:c r="B38" s="61" t="str">
        <x:v>无心睡眠</x:v>
      </x:c>
      <x:c r="C38" s="62" t="n">
        <x:v>1</x:v>
      </x:c>
      <x:c r="D38" s="62" t="str">
        <x:v>待补</x:v>
      </x:c>
      <x:c r="E38" s="62" t="n">
        <x:v>4000</x:v>
      </x:c>
      <x:c r="F38" s="62" t="str">
        <x:f>IF(AND(ISNUMBER(C38),ISNUMBER(D38)),C38*D38,"待补")</x:f>
        <x:v>待补</x:v>
      </x:c>
      <x:c r="G38" s="61" t="str">
        <x:v>缺统一单价</x:v>
      </x:c>
      <x:c r="H38" s="61" t="str">
        <x:v>名称未在主字典匹配</x:v>
      </x:c>
      <x:c r="I38" s="61" t="str">
        <x:v>主/首充+三卡!A3:V77</x:v>
      </x:c>
      <x:c r="J38" s="61" t="str">
        <x:v>统一字典优先</x:v>
      </x:c>
      <x:c r="K38" s="43"/>
      <x:c r="L38" s="43"/>
    </x:row>
    <x:row r="39" ht="42" customHeight="1">
      <x:c r="A39" s="61" t="str">
        <x:v>单笔68元-首档</x:v>
      </x:c>
      <x:c r="B39" s="61" t="str">
        <x:v>超能特饮</x:v>
      </x:c>
      <x:c r="C39" s="62" t="n">
        <x:v>200</x:v>
      </x:c>
      <x:c r="D39" s="62" t="n">
        <x:v>2</x:v>
      </x:c>
      <x:c r="E39" s="62" t="str"/>
      <x:c r="F39" s="62" t="n">
        <x:f>IF(AND(ISNUMBER(C39),ISNUMBER(D39)),C39*D39,"待补")</x:f>
        <x:v>400</x:v>
      </x:c>
      <x:c r="G39" s="61" t="str">
        <x:v>统一道具字典</x:v>
      </x:c>
      <x:c r="H39" s="61" t="str"/>
      <x:c r="I39" s="61" t="str">
        <x:v>主/首充+三卡!A3:V77</x:v>
      </x:c>
      <x:c r="J39" s="61" t="str">
        <x:v>统一字典优先</x:v>
      </x:c>
      <x:c r="K39" s="43"/>
      <x:c r="L39" s="43"/>
    </x:row>
    <x:row r="40" ht="42" customHeight="1">
      <x:c r="A40" s="61" t="str">
        <x:v>单笔68元-阶段奖励</x:v>
      </x:c>
      <x:c r="B40" s="61" t="str">
        <x:v>镭射</x:v>
      </x:c>
      <x:c r="C40" s="62" t="n">
        <x:v>5</x:v>
      </x:c>
      <x:c r="D40" s="62" t="str">
        <x:v>待补</x:v>
      </x:c>
      <x:c r="E40" s="62" t="n">
        <x:v>480</x:v>
      </x:c>
      <x:c r="F40" s="62" t="str">
        <x:f>IF(AND(ISNUMBER(C40),ISNUMBER(D40)),C40*D40,"待补")</x:f>
        <x:v>待补</x:v>
      </x:c>
      <x:c r="G40" s="61" t="str">
        <x:v>缺统一单价</x:v>
      </x:c>
      <x:c r="H40" s="61" t="str">
        <x:v>名称未在主字典匹配</x:v>
      </x:c>
      <x:c r="I40" s="61" t="str">
        <x:v>主/首充+三卡!A3:V77</x:v>
      </x:c>
      <x:c r="J40" s="61" t="str">
        <x:v>统一字典优先</x:v>
      </x:c>
      <x:c r="K40" s="43"/>
      <x:c r="L40" s="43"/>
    </x:row>
    <x:row r="41" ht="42" customHeight="1">
      <x:c r="A41" s="61" t="str">
        <x:v>单笔68元-阶段奖励</x:v>
      </x:c>
      <x:c r="B41" s="61" t="str">
        <x:v>装备图纸</x:v>
      </x:c>
      <x:c r="C41" s="62" t="n">
        <x:v>300</x:v>
      </x:c>
      <x:c r="D41" s="62" t="n">
        <x:v>3</x:v>
      </x:c>
      <x:c r="E41" s="62" t="str"/>
      <x:c r="F41" s="62" t="n">
        <x:f>IF(AND(ISNUMBER(C41),ISNUMBER(D41)),C41*D41,"待补")</x:f>
        <x:v>900</x:v>
      </x:c>
      <x:c r="G41" s="61" t="str">
        <x:v>统一道具字典</x:v>
      </x:c>
      <x:c r="H41" s="61" t="str"/>
      <x:c r="I41" s="61" t="str">
        <x:v>主/首充+三卡!A3:V77</x:v>
      </x:c>
      <x:c r="J41" s="61" t="str">
        <x:v>统一字典优先</x:v>
      </x:c>
      <x:c r="K41" s="43"/>
      <x:c r="L41" s="43"/>
    </x:row>
    <x:row r="42" ht="42" customHeight="1">
      <x:c r="A42" s="61" t="str">
        <x:v>单笔128元-首档</x:v>
      </x:c>
      <x:c r="B42" s="61" t="str">
        <x:v>紫色勇者服</x:v>
      </x:c>
      <x:c r="C42" s="62" t="n">
        <x:v>1</x:v>
      </x:c>
      <x:c r="D42" s="62" t="str">
        <x:v>待补</x:v>
      </x:c>
      <x:c r="E42" s="62" t="n">
        <x:v>4000</x:v>
      </x:c>
      <x:c r="F42" s="62" t="str">
        <x:f>IF(AND(ISNUMBER(C42),ISNUMBER(D42)),C42*D42,"待补")</x:f>
        <x:v>待补</x:v>
      </x:c>
      <x:c r="G42" s="61" t="str">
        <x:v>缺统一单价</x:v>
      </x:c>
      <x:c r="H42" s="61" t="str">
        <x:v>名称未在主字典匹配</x:v>
      </x:c>
      <x:c r="I42" s="61" t="str">
        <x:v>主/首充+三卡!A3:V77</x:v>
      </x:c>
      <x:c r="J42" s="61" t="str">
        <x:v>统一字典优先</x:v>
      </x:c>
      <x:c r="K42" s="43"/>
      <x:c r="L42" s="43"/>
    </x:row>
    <x:row r="43" ht="42" customHeight="1">
      <x:c r="A43" s="61" t="str">
        <x:v>单笔128元-首档</x:v>
      </x:c>
      <x:c r="B43" s="61" t="str">
        <x:v>紫色勇者发饰</x:v>
      </x:c>
      <x:c r="C43" s="62" t="n">
        <x:v>1</x:v>
      </x:c>
      <x:c r="D43" s="62" t="str">
        <x:v>待补</x:v>
      </x:c>
      <x:c r="E43" s="62" t="n">
        <x:v>1000</x:v>
      </x:c>
      <x:c r="F43" s="62" t="str">
        <x:f>IF(AND(ISNUMBER(C43),ISNUMBER(D43)),C43*D43,"待补")</x:f>
        <x:v>待补</x:v>
      </x:c>
      <x:c r="G43" s="61" t="str">
        <x:v>缺统一单价</x:v>
      </x:c>
      <x:c r="H43" s="61" t="str">
        <x:v>名称未在主字典匹配</x:v>
      </x:c>
      <x:c r="I43" s="61" t="str">
        <x:v>主/首充+三卡!A3:V77</x:v>
      </x:c>
      <x:c r="J43" s="61" t="str">
        <x:v>统一字典优先</x:v>
      </x:c>
      <x:c r="K43" s="43"/>
      <x:c r="L43" s="43"/>
    </x:row>
    <x:row r="44" ht="42" customHeight="1">
      <x:c r="A44" s="61" t="str">
        <x:v>单笔128元-首档</x:v>
      </x:c>
      <x:c r="B44" s="61" t="str">
        <x:v>金币</x:v>
      </x:c>
      <x:c r="C44" s="62" t="n">
        <x:v>3000</x:v>
      </x:c>
      <x:c r="D44" s="62" t="n">
        <x:v>0.05</x:v>
      </x:c>
      <x:c r="E44" s="62" t="str"/>
      <x:c r="F44" s="62" t="n">
        <x:f>IF(AND(ISNUMBER(C44),ISNUMBER(D44)),C44*D44,"待补")</x:f>
        <x:v>150</x:v>
      </x:c>
      <x:c r="G44" s="61" t="str">
        <x:v>统一道具字典</x:v>
      </x:c>
      <x:c r="H44" s="61" t="str"/>
      <x:c r="I44" s="61" t="str">
        <x:v>主/首充+三卡!A3:V77</x:v>
      </x:c>
      <x:c r="J44" s="61" t="str">
        <x:v>统一字典优先</x:v>
      </x:c>
      <x:c r="K44" s="43"/>
      <x:c r="L44" s="43"/>
    </x:row>
    <x:row r="45" ht="42" customHeight="1">
      <x:c r="A45" s="61" t="str">
        <x:v>单笔128元-阶段奖励</x:v>
      </x:c>
      <x:c r="B45" s="61" t="str">
        <x:v>星辉秘契</x:v>
      </x:c>
      <x:c r="C45" s="62" t="n">
        <x:v>8</x:v>
      </x:c>
      <x:c r="D45" s="62" t="n">
        <x:v>280</x:v>
      </x:c>
      <x:c r="E45" s="62" t="str"/>
      <x:c r="F45" s="62" t="n">
        <x:f>IF(AND(ISNUMBER(C45),ISNUMBER(D45)),C45*D45,"待补")</x:f>
        <x:v>2240</x:v>
      </x:c>
      <x:c r="G45" s="61" t="str">
        <x:v>统一道具字典</x:v>
      </x:c>
      <x:c r="H45" s="61" t="str"/>
      <x:c r="I45" s="61" t="str">
        <x:v>主/首充+三卡!A3:V77</x:v>
      </x:c>
      <x:c r="J45" s="61" t="str">
        <x:v>统一字典优先</x:v>
      </x:c>
      <x:c r="K45" s="43"/>
      <x:c r="L45" s="43"/>
    </x:row>
    <x:row r="46" ht="42" customHeight="1">
      <x:c r="A46" s="61" t="str">
        <x:v>单笔128元-阶段奖励</x:v>
      </x:c>
      <x:c r="B46" s="61" t="str">
        <x:v>金币</x:v>
      </x:c>
      <x:c r="C46" s="62" t="n">
        <x:v>9000</x:v>
      </x:c>
      <x:c r="D46" s="62" t="n">
        <x:v>0.05</x:v>
      </x:c>
      <x:c r="E46" s="62" t="str"/>
      <x:c r="F46" s="62" t="n">
        <x:f>IF(AND(ISNUMBER(C46),ISNUMBER(D46)),C46*D46,"待补")</x:f>
        <x:v>450</x:v>
      </x:c>
      <x:c r="G46" s="61" t="str">
        <x:v>统一道具字典</x:v>
      </x:c>
      <x:c r="H46" s="61" t="str"/>
      <x:c r="I46" s="61" t="str">
        <x:v>主/首充+三卡!A3:V77</x:v>
      </x:c>
      <x:c r="J46" s="61" t="str">
        <x:v>统一字典优先</x:v>
      </x:c>
      <x:c r="K46" s="43"/>
      <x:c r="L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</x:row>
    <x:row r="49">
      <x:c r="A49" s="65" t="str">
        <x:v>活动节点与最终大奖判定</x:v>
      </x:c>
      <x:c r="B49" s="65"/>
      <x:c r="C49" s="65"/>
      <x:c r="D49" s="65"/>
      <x:c r="E49" s="65"/>
      <x:c r="F49" s="65"/>
      <x:c r="G49" s="43"/>
      <x:c r="H49" s="43"/>
      <x:c r="I49" s="43"/>
      <x:c r="J49" s="43"/>
      <x:c r="K49" s="43"/>
      <x:c r="L49" s="43"/>
    </x:row>
    <x:row r="50" ht="42" customHeight="1">
      <x:c r="A50" s="60" t="str">
        <x:v>轮次/节点</x:v>
      </x:c>
      <x:c r="B50" s="60" t="str">
        <x:v>节点类型</x:v>
      </x:c>
      <x:c r="C50" s="60" t="str">
        <x:v>阈值</x:v>
      </x:c>
      <x:c r="D50" s="60" t="str">
        <x:v>奖励</x:v>
      </x:c>
      <x:c r="E50" s="60" t="str">
        <x:v>到手成本判定</x:v>
      </x:c>
      <x:c r="F50" s="60" t="str">
        <x:v>来源</x:v>
      </x:c>
      <x:c r="G50" s="43"/>
      <x:c r="H50" s="43"/>
      <x:c r="I50" s="43"/>
      <x:c r="J50" s="43"/>
      <x:c r="K50" s="43"/>
      <x:c r="L50" s="43"/>
    </x:row>
  </x:sheetData>
  <x:mergeCells>
    <x:mergeCell ref="A1:L1"/>
    <x:mergeCell ref="A2:L2"/>
    <x:mergeCell ref="A20:J20"/>
    <x:mergeCell ref="A49:F49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《梦境护卫队》双月卡周卡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来源：主/首充+三卡!A28:V44；优化总内容!A4:I4｜特权卡每日60钻+2招募；福利卡100钻+10体力；双卡另有奖励，非属性价值全折钻｜主方案优先，补充方案不覆盖主方案。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双月卡周卡</x:v>
      </x:c>
      <x:c r="C4" s="59"/>
      <x:c r="D4" s="57" t="str">
        <x:v>最终大奖条件说明</x:v>
      </x:c>
      <x:c r="E4" s="58" t="str">
        <x:v>主文档未形成可确认的最终大奖成本</x:v>
      </x:c>
      <x:c r="F4" s="59"/>
      <x:c r="G4" s="57" t="str">
        <x:v>礼包数</x:v>
      </x:c>
      <x:c r="H4" s="58" t="n">
        <x:v>3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待补充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2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44" t="str">
        <x:v>礼包/档位</x:v>
      </x:c>
      <x:c r="B8" s="44" t="str">
        <x:v>支付币种</x:v>
      </x:c>
      <x:c r="C8" s="44" t="str">
        <x:v>标价</x:v>
      </x:c>
      <x:c r="D8" s="44" t="str">
        <x:v>成本折钻</x:v>
      </x:c>
      <x:c r="E8" s="44" t="str">
        <x:v>奖励价值钻</x:v>
      </x:c>
      <x:c r="F8" s="44" t="str">
        <x:v>价值倍率</x:v>
      </x:c>
      <x:c r="G8" s="44" t="str">
        <x:v>重算折数</x:v>
      </x:c>
      <x:c r="H8" s="44" t="str">
        <x:v>原标注折数</x:v>
      </x:c>
      <x:c r="I8" s="44" t="str">
        <x:v>主要到手标的物</x:v>
      </x:c>
      <x:c r="J8" s="44" t="str">
        <x:v>限购</x:v>
      </x:c>
      <x:c r="K8" s="44" t="str">
        <x:v>到手判断</x:v>
      </x:c>
      <x:c r="L8" s="44" t="str">
        <x:v>来源</x:v>
      </x:c>
    </x:row>
    <x:row r="9" ht="42" customHeight="1">
      <x:c r="A9" s="45" t="str">
        <x:v>特权月卡-每日</x:v>
      </x:c>
      <x:c r="B9" s="45" t="str">
        <x:v>RMB</x:v>
      </x:c>
      <x:c r="C9" s="45" t="n">
        <x:v>18</x:v>
      </x:c>
      <x:c r="D9" s="67" t="n">
        <x:f>IF(ISNUMBER(C9*10),C9*10,"待核")</x:f>
        <x:v>180</x:v>
      </x:c>
      <x:c r="E9" s="67" t="n">
        <x:v>120</x:v>
      </x:c>
      <x:c r="F9" s="67" t="n">
        <x:f>IF(AND(ISNUMBER(D9),ISNUMBER(E9),D9&gt;0),E9/D9,"待核")</x:f>
        <x:v>0.6666666666666666</x:v>
      </x:c>
      <x:c r="G9" s="63" t="n">
        <x:f>IF(AND(ISNUMBER(D9),ISNUMBER(E9),E9&gt;0),D9/E9*10,"待核")</x:f>
        <x:v>15</x:v>
      </x:c>
      <x:c r="H9" s="45"/>
      <x:c r="I9" s="45" t="str">
        <x:v>钻石×60；梦境招募器×2</x:v>
      </x:c>
      <x:c r="J9" s="45" t="n">
        <x:v>1</x:v>
      </x:c>
      <x:c r="K9" s="45" t="str">
        <x:v>价格映射待核</x:v>
      </x:c>
      <x:c r="L9" s="45" t="str">
        <x:v>主/首充+三卡!A3:V77</x:v>
      </x:c>
    </x:row>
    <x:row r="10" ht="42" customHeight="1">
      <x:c r="A10" s="45" t="str">
        <x:v>福利月卡-每日</x:v>
      </x:c>
      <x:c r="B10" s="45" t="str">
        <x:v>RMB</x:v>
      </x:c>
      <x:c r="C10" s="45" t="n">
        <x:v>30</x:v>
      </x:c>
      <x:c r="D10" s="67" t="n">
        <x:f>IF(ISNUMBER(C10*10),C10*10,"待核")</x:f>
        <x:v>300</x:v>
      </x:c>
      <x:c r="E10" s="67" t="n">
        <x:v>120</x:v>
      </x:c>
      <x:c r="F10" s="67" t="n">
        <x:f>IF(AND(ISNUMBER(D10),ISNUMBER(E10),D10&gt;0),E10/D10,"待核")</x:f>
        <x:v>0.4</x:v>
      </x:c>
      <x:c r="G10" s="63" t="n">
        <x:f>IF(AND(ISNUMBER(D10),ISNUMBER(E10),E10&gt;0),D10/E10*10,"待核")</x:f>
        <x:v>25</x:v>
      </x:c>
      <x:c r="H10" s="45"/>
      <x:c r="I10" s="45" t="str">
        <x:v>钻石×100；体力×10</x:v>
      </x:c>
      <x:c r="J10" s="45" t="n">
        <x:v>1</x:v>
      </x:c>
      <x:c r="K10" s="45" t="str">
        <x:v>价格映射待核</x:v>
      </x:c>
      <x:c r="L10" s="45" t="str">
        <x:v>主/首充+三卡!A3:V77</x:v>
      </x:c>
    </x:row>
    <x:row r="11" ht="42" customHeight="1">
      <x:c r="A11" s="45" t="str">
        <x:v>特权周卡-付费7日</x:v>
      </x:c>
      <x:c r="B11" s="45" t="str">
        <x:v>RMB</x:v>
      </x:c>
      <x:c r="C11" s="45" t="n">
        <x:v>12</x:v>
      </x:c>
      <x:c r="D11" s="67" t="n">
        <x:f>IF(ISNUMBER(C11*10),C11*10,"待核")</x:f>
        <x:v>120</x:v>
      </x:c>
      <x:c r="E11" s="67" t="str">
        <x:v>缺完整估值</x:v>
      </x:c>
      <x:c r="F11" s="67" t="str">
        <x:f>IF(AND(ISNUMBER(D11),ISNUMBER(E11),D11&gt;0),E11/D11,"待核")</x:f>
        <x:v>待核</x:v>
      </x:c>
      <x:c r="G11" s="63" t="str">
        <x:f>IF(AND(ISNUMBER(D11),ISNUMBER(E11),E11&gt;0),D11/E11*10,"待核")</x:f>
        <x:v>待核</x:v>
      </x:c>
      <x:c r="H11" s="45"/>
      <x:c r="I11" s="45" t="str">
        <x:v>钻石×900；金币吸尘器×7</x:v>
      </x:c>
      <x:c r="J11" s="45" t="n">
        <x:v>1</x:v>
      </x:c>
      <x:c r="K11" s="45" t="str">
        <x:v>源表周卡</x:v>
      </x:c>
      <x:c r="L11" s="45" t="str">
        <x:v>主/首充+三卡!A3:V77</x:v>
      </x:c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</x:row>
    <x:row r="14">
      <x:c r="A14" s="64" t="str">
        <x:v>奖励明细：数量 × 统一道具单价</x:v>
      </x:c>
      <x:c r="B14" s="64"/>
      <x:c r="C14" s="64"/>
      <x:c r="D14" s="64"/>
      <x:c r="E14" s="64"/>
      <x:c r="F14" s="64"/>
      <x:c r="G14" s="64"/>
      <x:c r="H14" s="64"/>
      <x:c r="I14" s="64"/>
      <x:c r="J14" s="64"/>
      <x:c r="K14" s="43"/>
      <x:c r="L14" s="43"/>
    </x:row>
    <x:row r="15" ht="42" customHeight="1">
      <x:c r="A15" s="44" t="str">
        <x:v>礼包</x:v>
      </x:c>
      <x:c r="B15" s="44" t="str">
        <x:v>标的物</x:v>
      </x:c>
      <x:c r="C15" s="44" t="str">
        <x:v>数量</x:v>
      </x:c>
      <x:c r="D15" s="44" t="str">
        <x:v>统一单价钻</x:v>
      </x:c>
      <x:c r="E15" s="44" t="str">
        <x:v>活动单价钻</x:v>
      </x:c>
      <x:c r="F15" s="44" t="str">
        <x:v>奖励价值钻</x:v>
      </x:c>
      <x:c r="G15" s="44" t="str">
        <x:v>估值依据</x:v>
      </x:c>
      <x:c r="H15" s="44" t="str">
        <x:v>差异/缺失</x:v>
      </x:c>
      <x:c r="I15" s="44" t="str">
        <x:v>来源</x:v>
      </x:c>
      <x:c r="J15" s="44" t="str">
        <x:v>备注</x:v>
      </x:c>
      <x:c r="K15" s="43"/>
      <x:c r="L15" s="43"/>
    </x:row>
    <x:row r="16" ht="42" customHeight="1">
      <x:c r="A16" s="45" t="str">
        <x:v>特权月卡-每日</x:v>
      </x:c>
      <x:c r="B16" s="45" t="str">
        <x:v>钻石</x:v>
      </x:c>
      <x:c r="C16" s="67" t="n">
        <x:v>60</x:v>
      </x:c>
      <x:c r="D16" s="67" t="n">
        <x:v>1</x:v>
      </x:c>
      <x:c r="E16" s="67" t="str"/>
      <x:c r="F16" s="67" t="n">
        <x:f>IF(AND(ISNUMBER(C16),ISNUMBER(D16)),C16*D16,"待补")</x:f>
        <x:v>60</x:v>
      </x:c>
      <x:c r="G16" s="45" t="str">
        <x:v>统一道具字典</x:v>
      </x:c>
      <x:c r="H16" s="45" t="str"/>
      <x:c r="I16" s="45" t="str">
        <x:v>主/首充+三卡!A3:V77</x:v>
      </x:c>
      <x:c r="J16" s="45" t="str">
        <x:v>统一字典优先</x:v>
      </x:c>
      <x:c r="K16" s="43"/>
      <x:c r="L16" s="43"/>
    </x:row>
    <x:row r="17" ht="42" customHeight="1">
      <x:c r="A17" s="45" t="str">
        <x:v>特权月卡-每日</x:v>
      </x:c>
      <x:c r="B17" s="45" t="str">
        <x:v>梦境招募器</x:v>
      </x:c>
      <x:c r="C17" s="67" t="n">
        <x:v>2</x:v>
      </x:c>
      <x:c r="D17" s="67" t="n">
        <x:v>30</x:v>
      </x:c>
      <x:c r="E17" s="67" t="str"/>
      <x:c r="F17" s="67" t="n">
        <x:f>IF(AND(ISNUMBER(C17),ISNUMBER(D17)),C17*D17,"待补")</x:f>
        <x:v>60</x:v>
      </x:c>
      <x:c r="G17" s="45" t="str">
        <x:v>统一道具字典</x:v>
      </x:c>
      <x:c r="H17" s="45" t="str"/>
      <x:c r="I17" s="45" t="str">
        <x:v>主/首充+三卡!A3:V77</x:v>
      </x:c>
      <x:c r="J17" s="45" t="str">
        <x:v>统一字典优先</x:v>
      </x:c>
      <x:c r="K17" s="43"/>
      <x:c r="L17" s="43"/>
    </x:row>
    <x:row r="18" ht="42" customHeight="1">
      <x:c r="A18" s="45" t="str">
        <x:v>福利月卡-每日</x:v>
      </x:c>
      <x:c r="B18" s="45" t="str">
        <x:v>钻石</x:v>
      </x:c>
      <x:c r="C18" s="67" t="n">
        <x:v>100</x:v>
      </x:c>
      <x:c r="D18" s="67" t="n">
        <x:v>1</x:v>
      </x:c>
      <x:c r="E18" s="67" t="str"/>
      <x:c r="F18" s="67" t="n">
        <x:f>IF(AND(ISNUMBER(C18),ISNUMBER(D18)),C18*D18,"待补")</x:f>
        <x:v>100</x:v>
      </x:c>
      <x:c r="G18" s="45" t="str">
        <x:v>统一道具字典</x:v>
      </x:c>
      <x:c r="H18" s="45" t="str"/>
      <x:c r="I18" s="45" t="str">
        <x:v>主/首充+三卡!A3:V77</x:v>
      </x:c>
      <x:c r="J18" s="45" t="str">
        <x:v>统一字典优先</x:v>
      </x:c>
      <x:c r="K18" s="43"/>
      <x:c r="L18" s="43"/>
    </x:row>
    <x:row r="19" ht="42" customHeight="1">
      <x:c r="A19" s="45" t="str">
        <x:v>福利月卡-每日</x:v>
      </x:c>
      <x:c r="B19" s="45" t="str">
        <x:v>体力</x:v>
      </x:c>
      <x:c r="C19" s="67" t="n">
        <x:v>10</x:v>
      </x:c>
      <x:c r="D19" s="67" t="n">
        <x:v>2</x:v>
      </x:c>
      <x:c r="E19" s="67" t="str"/>
      <x:c r="F19" s="67" t="n">
        <x:f>IF(AND(ISNUMBER(C19),ISNUMBER(D19)),C19*D19,"待补")</x:f>
        <x:v>20</x:v>
      </x:c>
      <x:c r="G19" s="45" t="str">
        <x:v>统一道具字典</x:v>
      </x:c>
      <x:c r="H19" s="45" t="str"/>
      <x:c r="I19" s="45" t="str">
        <x:v>主/首充+三卡!A3:V77</x:v>
      </x:c>
      <x:c r="J19" s="45" t="str">
        <x:v>统一字典优先</x:v>
      </x:c>
      <x:c r="K19" s="43"/>
      <x:c r="L19" s="43"/>
    </x:row>
    <x:row r="20" ht="42" customHeight="1">
      <x:c r="A20" s="45" t="str">
        <x:v>特权周卡-付费7日</x:v>
      </x:c>
      <x:c r="B20" s="45" t="str">
        <x:v>钻石</x:v>
      </x:c>
      <x:c r="C20" s="67" t="n">
        <x:v>900</x:v>
      </x:c>
      <x:c r="D20" s="67" t="n">
        <x:v>1</x:v>
      </x:c>
      <x:c r="E20" s="67" t="str"/>
      <x:c r="F20" s="67" t="n">
        <x:f>IF(AND(ISNUMBER(C20),ISNUMBER(D20)),C20*D20,"待补")</x:f>
        <x:v>900</x:v>
      </x:c>
      <x:c r="G20" s="45" t="str">
        <x:v>统一道具字典</x:v>
      </x:c>
      <x:c r="H20" s="45" t="str"/>
      <x:c r="I20" s="45" t="str">
        <x:v>主/首充+三卡!A3:V77</x:v>
      </x:c>
      <x:c r="J20" s="45" t="str">
        <x:v>统一字典优先</x:v>
      </x:c>
      <x:c r="K20" s="43"/>
      <x:c r="L20" s="43"/>
    </x:row>
    <x:row r="21" ht="42" customHeight="1">
      <x:c r="A21" s="45" t="str">
        <x:v>特权周卡-付费7日</x:v>
      </x:c>
      <x:c r="B21" s="45" t="str">
        <x:v>金币吸尘器</x:v>
      </x:c>
      <x:c r="C21" s="67" t="n">
        <x:v>7</x:v>
      </x:c>
      <x:c r="D21" s="67" t="str">
        <x:v>待补</x:v>
      </x:c>
      <x:c r="E21" s="67" t="str"/>
      <x:c r="F21" s="67" t="str">
        <x:f>IF(AND(ISNUMBER(C21),ISNUMBER(D21)),C21*D21,"待补")</x:f>
        <x:v>待补</x:v>
      </x:c>
      <x:c r="G21" s="45" t="str">
        <x:v>缺统一单价</x:v>
      </x:c>
      <x:c r="H21" s="45" t="str">
        <x:v>名称未在主字典匹配</x:v>
      </x:c>
      <x:c r="I21" s="45" t="str">
        <x:v>主/首充+三卡!A3:V77</x:v>
      </x:c>
      <x:c r="J21" s="45" t="str">
        <x:v>统一字典优先</x:v>
      </x:c>
      <x:c r="K21" s="43"/>
      <x:c r="L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</x:row>
    <x:row r="24">
      <x:c r="A24" s="65" t="str">
        <x:v>活动节点与最终大奖判定</x:v>
      </x:c>
      <x:c r="B24" s="65"/>
      <x:c r="C24" s="65"/>
      <x:c r="D24" s="65"/>
      <x:c r="E24" s="65"/>
      <x:c r="F24" s="65"/>
      <x:c r="G24" s="43"/>
      <x:c r="H24" s="43"/>
      <x:c r="I24" s="43"/>
      <x:c r="J24" s="43"/>
      <x:c r="K24" s="43"/>
      <x:c r="L24" s="43"/>
    </x:row>
    <x:row r="25" ht="42" customHeight="1">
      <x:c r="A25" s="44" t="str">
        <x:v>轮次/节点</x:v>
      </x:c>
      <x:c r="B25" s="44" t="str">
        <x:v>节点类型</x:v>
      </x:c>
      <x:c r="C25" s="44" t="str">
        <x:v>阈值</x:v>
      </x:c>
      <x:c r="D25" s="44" t="str">
        <x:v>奖励</x:v>
      </x:c>
      <x:c r="E25" s="44" t="str">
        <x:v>到手成本判定</x:v>
      </x:c>
      <x:c r="F25" s="44" t="str">
        <x:v>来源</x:v>
      </x:c>
      <x:c r="G25" s="43"/>
      <x:c r="H25" s="43"/>
      <x:c r="I25" s="43"/>
      <x:c r="J25" s="43"/>
      <x:c r="K25" s="43"/>
      <x:c r="L25" s="43"/>
    </x:row>
  </x:sheetData>
  <x:mergeCells>
    <x:mergeCell ref="A1:L1"/>
    <x:mergeCell ref="A2:L2"/>
    <x:mergeCell ref="A14:J14"/>
    <x:mergeCell ref="A24:F2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《梦境护卫队》体力战令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来源：主/优化总内容!A5:I5；补/战令!A1:Q62｜补表每80经验/级、满级后200经验宝箱；是否双付费档互含待核｜主方案优先，补充方案不覆盖主方案。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体力战令</x:v>
      </x:c>
      <x:c r="C4" s="59"/>
      <x:c r="D4" s="57" t="str">
        <x:v>最终大奖条件说明</x:v>
      </x:c>
      <x:c r="E4" s="58" t="str">
        <x:v>主文档未形成可确认的最终大奖成本</x:v>
      </x:c>
      <x:c r="F4" s="59"/>
      <x:c r="G4" s="57" t="str">
        <x:v>礼包数</x:v>
      </x:c>
      <x:c r="H4" s="58" t="n">
        <x:v>0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待补充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0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60" t="str">
        <x:v>礼包/档位</x:v>
      </x:c>
      <x:c r="B8" s="60" t="str">
        <x:v>支付币种</x:v>
      </x:c>
      <x:c r="C8" s="60" t="str">
        <x:v>标价</x:v>
      </x:c>
      <x:c r="D8" s="60" t="str">
        <x:v>成本折钻</x:v>
      </x:c>
      <x:c r="E8" s="60" t="str">
        <x:v>奖励价值钻</x:v>
      </x:c>
      <x:c r="F8" s="60" t="str">
        <x:v>价值倍率</x:v>
      </x:c>
      <x:c r="G8" s="60" t="str">
        <x:v>重算折数</x:v>
      </x:c>
      <x:c r="H8" s="60" t="str">
        <x:v>原标注折数</x:v>
      </x:c>
      <x:c r="I8" s="60" t="str">
        <x:v>主要到手标的物</x:v>
      </x:c>
      <x:c r="J8" s="60" t="str">
        <x:v>限购</x:v>
      </x:c>
      <x:c r="K8" s="60" t="str">
        <x:v>到手判断</x:v>
      </x:c>
      <x:c r="L8" s="60" t="str">
        <x:v>来源</x:v>
      </x:c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</x:row>
    <x:row r="12">
      <x:c r="A12" s="64" t="str">
        <x:v>奖励明细：数量 × 统一道具单价</x:v>
      </x:c>
      <x:c r="B12" s="64"/>
      <x:c r="C12" s="64"/>
      <x:c r="D12" s="64"/>
      <x:c r="E12" s="64"/>
      <x:c r="F12" s="64"/>
      <x:c r="G12" s="64"/>
      <x:c r="H12" s="64"/>
      <x:c r="I12" s="64"/>
      <x:c r="J12" s="64"/>
      <x:c r="K12" s="43"/>
      <x:c r="L12" s="43"/>
    </x:row>
    <x:row r="13" ht="42" customHeight="1">
      <x:c r="A13" s="44" t="str">
        <x:v>礼包</x:v>
      </x:c>
      <x:c r="B13" s="44" t="str">
        <x:v>标的物</x:v>
      </x:c>
      <x:c r="C13" s="44" t="str">
        <x:v>数量</x:v>
      </x:c>
      <x:c r="D13" s="44" t="str">
        <x:v>统一单价钻</x:v>
      </x:c>
      <x:c r="E13" s="44" t="str">
        <x:v>活动单价钻</x:v>
      </x:c>
      <x:c r="F13" s="44" t="str">
        <x:v>奖励价值钻</x:v>
      </x:c>
      <x:c r="G13" s="44" t="str">
        <x:v>估值依据</x:v>
      </x:c>
      <x:c r="H13" s="44" t="str">
        <x:v>差异/缺失</x:v>
      </x:c>
      <x:c r="I13" s="44" t="str">
        <x:v>来源</x:v>
      </x:c>
      <x:c r="J13" s="44" t="str">
        <x:v>备注</x:v>
      </x:c>
      <x:c r="K13" s="43"/>
      <x:c r="L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</x:row>
    <x:row r="16">
      <x:c r="A16" s="65" t="str">
        <x:v>活动节点与最终大奖判定</x:v>
      </x:c>
      <x:c r="B16" s="65"/>
      <x:c r="C16" s="65"/>
      <x:c r="D16" s="65"/>
      <x:c r="E16" s="65"/>
      <x:c r="F16" s="65"/>
      <x:c r="G16" s="43"/>
      <x:c r="H16" s="43"/>
      <x:c r="I16" s="43"/>
      <x:c r="J16" s="43"/>
      <x:c r="K16" s="43"/>
      <x:c r="L16" s="43"/>
    </x:row>
    <x:row r="17" ht="42" customHeight="1">
      <x:c r="A17" s="44" t="str">
        <x:v>轮次/节点</x:v>
      </x:c>
      <x:c r="B17" s="44" t="str">
        <x:v>节点类型</x:v>
      </x:c>
      <x:c r="C17" s="44" t="str">
        <x:v>阈值</x:v>
      </x:c>
      <x:c r="D17" s="44" t="str">
        <x:v>奖励</x:v>
      </x:c>
      <x:c r="E17" s="44" t="str">
        <x:v>到手成本判定</x:v>
      </x:c>
      <x:c r="F17" s="44" t="str">
        <x:v>来源</x:v>
      </x:c>
      <x:c r="G17" s="43"/>
      <x:c r="H17" s="43"/>
      <x:c r="I17" s="43"/>
      <x:c r="J17" s="43"/>
      <x:c r="K17" s="43"/>
      <x:c r="L17" s="43"/>
    </x:row>
  </x:sheetData>
  <x:mergeCells>
    <x:mergeCell ref="A1:L1"/>
    <x:mergeCell ref="A2:L2"/>
    <x:mergeCell ref="A12:J12"/>
    <x:mergeCell ref="A16:F16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《梦境护卫队》钻石基金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来源：主/优化总内容!A3:I3；补/战令!I69:Q142｜主价格优先；III明确数值待定，不引用旧128/198元为新价｜主方案优先，补充方案不覆盖主方案。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钻石基金</x:v>
      </x:c>
      <x:c r="C4" s="59"/>
      <x:c r="D4" s="57" t="str">
        <x:v>最终大奖条件说明</x:v>
      </x:c>
      <x:c r="E4" s="58" t="str">
        <x:v>主文档未形成可确认的最终大奖成本</x:v>
      </x:c>
      <x:c r="F4" s="59"/>
      <x:c r="G4" s="57" t="str">
        <x:v>礼包数</x:v>
      </x:c>
      <x:c r="H4" s="58" t="n">
        <x:v>0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待补充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0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60" t="str">
        <x:v>礼包/档位</x:v>
      </x:c>
      <x:c r="B8" s="60" t="str">
        <x:v>支付币种</x:v>
      </x:c>
      <x:c r="C8" s="60" t="str">
        <x:v>标价</x:v>
      </x:c>
      <x:c r="D8" s="60" t="str">
        <x:v>成本折钻</x:v>
      </x:c>
      <x:c r="E8" s="60" t="str">
        <x:v>奖励价值钻</x:v>
      </x:c>
      <x:c r="F8" s="60" t="str">
        <x:v>价值倍率</x:v>
      </x:c>
      <x:c r="G8" s="60" t="str">
        <x:v>重算折数</x:v>
      </x:c>
      <x:c r="H8" s="60" t="str">
        <x:v>原标注折数</x:v>
      </x:c>
      <x:c r="I8" s="60" t="str">
        <x:v>主要到手标的物</x:v>
      </x:c>
      <x:c r="J8" s="60" t="str">
        <x:v>限购</x:v>
      </x:c>
      <x:c r="K8" s="60" t="str">
        <x:v>到手判断</x:v>
      </x:c>
      <x:c r="L8" s="60" t="str">
        <x:v>来源</x:v>
      </x:c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</x:row>
    <x:row r="12">
      <x:c r="A12" s="64" t="str">
        <x:v>奖励明细：数量 × 统一道具单价</x:v>
      </x:c>
      <x:c r="B12" s="64"/>
      <x:c r="C12" s="64"/>
      <x:c r="D12" s="64"/>
      <x:c r="E12" s="64"/>
      <x:c r="F12" s="64"/>
      <x:c r="G12" s="64"/>
      <x:c r="H12" s="64"/>
      <x:c r="I12" s="64"/>
      <x:c r="J12" s="64"/>
      <x:c r="K12" s="43"/>
      <x:c r="L12" s="43"/>
    </x:row>
    <x:row r="13" ht="42" customHeight="1">
      <x:c r="A13" s="44" t="str">
        <x:v>礼包</x:v>
      </x:c>
      <x:c r="B13" s="44" t="str">
        <x:v>标的物</x:v>
      </x:c>
      <x:c r="C13" s="44" t="str">
        <x:v>数量</x:v>
      </x:c>
      <x:c r="D13" s="44" t="str">
        <x:v>统一单价钻</x:v>
      </x:c>
      <x:c r="E13" s="44" t="str">
        <x:v>活动单价钻</x:v>
      </x:c>
      <x:c r="F13" s="44" t="str">
        <x:v>奖励价值钻</x:v>
      </x:c>
      <x:c r="G13" s="44" t="str">
        <x:v>估值依据</x:v>
      </x:c>
      <x:c r="H13" s="44" t="str">
        <x:v>差异/缺失</x:v>
      </x:c>
      <x:c r="I13" s="44" t="str">
        <x:v>来源</x:v>
      </x:c>
      <x:c r="J13" s="44" t="str">
        <x:v>备注</x:v>
      </x:c>
      <x:c r="K13" s="43"/>
      <x:c r="L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</x:row>
    <x:row r="16">
      <x:c r="A16" s="65" t="str">
        <x:v>活动节点与最终大奖判定</x:v>
      </x:c>
      <x:c r="B16" s="65"/>
      <x:c r="C16" s="65"/>
      <x:c r="D16" s="65"/>
      <x:c r="E16" s="65"/>
      <x:c r="F16" s="65"/>
      <x:c r="G16" s="43"/>
      <x:c r="H16" s="43"/>
      <x:c r="I16" s="43"/>
      <x:c r="J16" s="43"/>
      <x:c r="K16" s="43"/>
      <x:c r="L16" s="43"/>
    </x:row>
    <x:row r="17" ht="42" customHeight="1">
      <x:c r="A17" s="44" t="str">
        <x:v>轮次/节点</x:v>
      </x:c>
      <x:c r="B17" s="44" t="str">
        <x:v>节点类型</x:v>
      </x:c>
      <x:c r="C17" s="44" t="str">
        <x:v>阈值</x:v>
      </x:c>
      <x:c r="D17" s="44" t="str">
        <x:v>奖励</x:v>
      </x:c>
      <x:c r="E17" s="44" t="str">
        <x:v>到手成本判定</x:v>
      </x:c>
      <x:c r="F17" s="44" t="str">
        <x:v>来源</x:v>
      </x:c>
      <x:c r="G17" s="43"/>
      <x:c r="H17" s="43"/>
      <x:c r="I17" s="43"/>
      <x:c r="J17" s="43"/>
      <x:c r="K17" s="43"/>
      <x:c r="L17" s="43"/>
    </x:row>
  </x:sheetData>
  <x:mergeCells>
    <x:mergeCell ref="A1:L1"/>
    <x:mergeCell ref="A2:L2"/>
    <x:mergeCell ref="A12:J12"/>
    <x:mergeCell ref="A16:F16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《梦境护卫队》载具战令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来源：补/战令!A148:Q176｜主表只有首月后续方向，补表暂定不算已定商品｜主方案优先，补充方案不覆盖主方案。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载具战令</x:v>
      </x:c>
      <x:c r="C4" s="59"/>
      <x:c r="D4" s="57" t="str">
        <x:v>最终大奖条件说明</x:v>
      </x:c>
      <x:c r="E4" s="58" t="str">
        <x:v>主文档未形成可确认的最终大奖成本</x:v>
      </x:c>
      <x:c r="F4" s="59"/>
      <x:c r="G4" s="57" t="str">
        <x:v>礼包数</x:v>
      </x:c>
      <x:c r="H4" s="58" t="n">
        <x:v>0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待补充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0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60" t="str">
        <x:v>礼包/档位</x:v>
      </x:c>
      <x:c r="B8" s="60" t="str">
        <x:v>支付币种</x:v>
      </x:c>
      <x:c r="C8" s="60" t="str">
        <x:v>标价</x:v>
      </x:c>
      <x:c r="D8" s="60" t="str">
        <x:v>成本折钻</x:v>
      </x:c>
      <x:c r="E8" s="60" t="str">
        <x:v>奖励价值钻</x:v>
      </x:c>
      <x:c r="F8" s="60" t="str">
        <x:v>价值倍率</x:v>
      </x:c>
      <x:c r="G8" s="60" t="str">
        <x:v>重算折数</x:v>
      </x:c>
      <x:c r="H8" s="60" t="str">
        <x:v>原标注折数</x:v>
      </x:c>
      <x:c r="I8" s="60" t="str">
        <x:v>主要到手标的物</x:v>
      </x:c>
      <x:c r="J8" s="60" t="str">
        <x:v>限购</x:v>
      </x:c>
      <x:c r="K8" s="60" t="str">
        <x:v>到手判断</x:v>
      </x:c>
      <x:c r="L8" s="60" t="str">
        <x:v>来源</x:v>
      </x:c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</x:row>
    <x:row r="12">
      <x:c r="A12" s="64" t="str">
        <x:v>奖励明细：数量 × 统一道具单价</x:v>
      </x:c>
      <x:c r="B12" s="64"/>
      <x:c r="C12" s="64"/>
      <x:c r="D12" s="64"/>
      <x:c r="E12" s="64"/>
      <x:c r="F12" s="64"/>
      <x:c r="G12" s="64"/>
      <x:c r="H12" s="64"/>
      <x:c r="I12" s="64"/>
      <x:c r="J12" s="64"/>
      <x:c r="K12" s="43"/>
      <x:c r="L12" s="43"/>
    </x:row>
    <x:row r="13" ht="42" customHeight="1">
      <x:c r="A13" s="44" t="str">
        <x:v>礼包</x:v>
      </x:c>
      <x:c r="B13" s="44" t="str">
        <x:v>标的物</x:v>
      </x:c>
      <x:c r="C13" s="44" t="str">
        <x:v>数量</x:v>
      </x:c>
      <x:c r="D13" s="44" t="str">
        <x:v>统一单价钻</x:v>
      </x:c>
      <x:c r="E13" s="44" t="str">
        <x:v>活动单价钻</x:v>
      </x:c>
      <x:c r="F13" s="44" t="str">
        <x:v>奖励价值钻</x:v>
      </x:c>
      <x:c r="G13" s="44" t="str">
        <x:v>估值依据</x:v>
      </x:c>
      <x:c r="H13" s="44" t="str">
        <x:v>差异/缺失</x:v>
      </x:c>
      <x:c r="I13" s="44" t="str">
        <x:v>来源</x:v>
      </x:c>
      <x:c r="J13" s="44" t="str">
        <x:v>备注</x:v>
      </x:c>
      <x:c r="K13" s="43"/>
      <x:c r="L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</x:row>
    <x:row r="16">
      <x:c r="A16" s="65" t="str">
        <x:v>活动节点与最终大奖判定</x:v>
      </x:c>
      <x:c r="B16" s="65"/>
      <x:c r="C16" s="65"/>
      <x:c r="D16" s="65"/>
      <x:c r="E16" s="65"/>
      <x:c r="F16" s="65"/>
      <x:c r="G16" s="43"/>
      <x:c r="H16" s="43"/>
      <x:c r="I16" s="43"/>
      <x:c r="J16" s="43"/>
      <x:c r="K16" s="43"/>
      <x:c r="L16" s="43"/>
    </x:row>
    <x:row r="17" ht="42" customHeight="1">
      <x:c r="A17" s="44" t="str">
        <x:v>轮次/节点</x:v>
      </x:c>
      <x:c r="B17" s="44" t="str">
        <x:v>节点类型</x:v>
      </x:c>
      <x:c r="C17" s="44" t="str">
        <x:v>阈值</x:v>
      </x:c>
      <x:c r="D17" s="44" t="str">
        <x:v>奖励</x:v>
      </x:c>
      <x:c r="E17" s="44" t="str">
        <x:v>到手成本判定</x:v>
      </x:c>
      <x:c r="F17" s="44" t="str">
        <x:v>来源</x:v>
      </x:c>
      <x:c r="G17" s="43"/>
      <x:c r="H17" s="43"/>
      <x:c r="I17" s="43"/>
      <x:c r="J17" s="43"/>
      <x:c r="K17" s="43"/>
      <x:c r="L17" s="43"/>
    </x:row>
  </x:sheetData>
  <x:mergeCells>
    <x:mergeCell ref="A1:L1"/>
    <x:mergeCell ref="A2:L2"/>
    <x:mergeCell ref="A12:J12"/>
    <x:mergeCell ref="A16:F16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《梦境护卫队》星光寻梦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来源：主/优化总内容!A22:I22；补/星光寻梦!A21:Q23｜补表旧2026-08-17至20档已过期；任务50次含消费/支付，不能全称免费｜主方案优先，补充方案不覆盖主方案。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星光寻梦</x:v>
      </x:c>
      <x:c r="C4" s="59"/>
      <x:c r="D4" s="57" t="str">
        <x:v>最终大奖条件说明</x:v>
      </x:c>
      <x:c r="E4" s="58" t="str">
        <x:v>主文档未形成可确认的最终大奖成本</x:v>
      </x:c>
      <x:c r="F4" s="59"/>
      <x:c r="G4" s="57" t="str">
        <x:v>礼包数</x:v>
      </x:c>
      <x:c r="H4" s="58" t="n">
        <x:v>0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待补充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0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60" t="str">
        <x:v>礼包/档位</x:v>
      </x:c>
      <x:c r="B8" s="60" t="str">
        <x:v>支付币种</x:v>
      </x:c>
      <x:c r="C8" s="60" t="str">
        <x:v>标价</x:v>
      </x:c>
      <x:c r="D8" s="60" t="str">
        <x:v>成本折钻</x:v>
      </x:c>
      <x:c r="E8" s="60" t="str">
        <x:v>奖励价值钻</x:v>
      </x:c>
      <x:c r="F8" s="60" t="str">
        <x:v>价值倍率</x:v>
      </x:c>
      <x:c r="G8" s="60" t="str">
        <x:v>重算折数</x:v>
      </x:c>
      <x:c r="H8" s="60" t="str">
        <x:v>原标注折数</x:v>
      </x:c>
      <x:c r="I8" s="60" t="str">
        <x:v>主要到手标的物</x:v>
      </x:c>
      <x:c r="J8" s="60" t="str">
        <x:v>限购</x:v>
      </x:c>
      <x:c r="K8" s="60" t="str">
        <x:v>到手判断</x:v>
      </x:c>
      <x:c r="L8" s="60" t="str">
        <x:v>来源</x:v>
      </x:c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</x:row>
    <x:row r="12">
      <x:c r="A12" s="64" t="str">
        <x:v>奖励明细：数量 × 统一道具单价</x:v>
      </x:c>
      <x:c r="B12" s="64"/>
      <x:c r="C12" s="64"/>
      <x:c r="D12" s="64"/>
      <x:c r="E12" s="64"/>
      <x:c r="F12" s="64"/>
      <x:c r="G12" s="64"/>
      <x:c r="H12" s="64"/>
      <x:c r="I12" s="64"/>
      <x:c r="J12" s="64"/>
      <x:c r="K12" s="43"/>
      <x:c r="L12" s="43"/>
    </x:row>
    <x:row r="13" ht="42" customHeight="1">
      <x:c r="A13" s="44" t="str">
        <x:v>礼包</x:v>
      </x:c>
      <x:c r="B13" s="44" t="str">
        <x:v>标的物</x:v>
      </x:c>
      <x:c r="C13" s="44" t="str">
        <x:v>数量</x:v>
      </x:c>
      <x:c r="D13" s="44" t="str">
        <x:v>统一单价钻</x:v>
      </x:c>
      <x:c r="E13" s="44" t="str">
        <x:v>活动单价钻</x:v>
      </x:c>
      <x:c r="F13" s="44" t="str">
        <x:v>奖励价值钻</x:v>
      </x:c>
      <x:c r="G13" s="44" t="str">
        <x:v>估值依据</x:v>
      </x:c>
      <x:c r="H13" s="44" t="str">
        <x:v>差异/缺失</x:v>
      </x:c>
      <x:c r="I13" s="44" t="str">
        <x:v>来源</x:v>
      </x:c>
      <x:c r="J13" s="44" t="str">
        <x:v>备注</x:v>
      </x:c>
      <x:c r="K13" s="43"/>
      <x:c r="L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</x:row>
    <x:row r="16">
      <x:c r="A16" s="65" t="str">
        <x:v>活动节点与最终大奖判定</x:v>
      </x:c>
      <x:c r="B16" s="65"/>
      <x:c r="C16" s="65"/>
      <x:c r="D16" s="65"/>
      <x:c r="E16" s="65"/>
      <x:c r="F16" s="65"/>
      <x:c r="G16" s="43"/>
      <x:c r="H16" s="43"/>
      <x:c r="I16" s="43"/>
      <x:c r="J16" s="43"/>
      <x:c r="K16" s="43"/>
      <x:c r="L16" s="43"/>
    </x:row>
    <x:row r="17" ht="42" customHeight="1">
      <x:c r="A17" s="44" t="str">
        <x:v>轮次/节点</x:v>
      </x:c>
      <x:c r="B17" s="44" t="str">
        <x:v>节点类型</x:v>
      </x:c>
      <x:c r="C17" s="44" t="str">
        <x:v>阈值</x:v>
      </x:c>
      <x:c r="D17" s="44" t="str">
        <x:v>奖励</x:v>
      </x:c>
      <x:c r="E17" s="44" t="str">
        <x:v>到手成本判定</x:v>
      </x:c>
      <x:c r="F17" s="44" t="str">
        <x:v>来源</x:v>
      </x:c>
      <x:c r="G17" s="43"/>
      <x:c r="H17" s="43"/>
      <x:c r="I17" s="43"/>
      <x:c r="J17" s="43"/>
      <x:c r="K17" s="43"/>
      <x:c r="L17" s="43"/>
    </x:row>
  </x:sheetData>
  <x:mergeCells>
    <x:mergeCell ref="A1:L1"/>
    <x:mergeCell ref="A2:L2"/>
    <x:mergeCell ref="A12:J12"/>
    <x:mergeCell ref="A16:F16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《梦境护卫队》七日挑战宝箱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来源：补/七日活动挑战；关卡宝箱｜仅补模块，不以旧期次自动认定当前开放；未进入确定礼包性价比榜｜主方案优先，补充方案不覆盖主方案。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七日挑战宝箱</x:v>
      </x:c>
      <x:c r="C4" s="59"/>
      <x:c r="D4" s="57" t="str">
        <x:v>最终大奖条件说明</x:v>
      </x:c>
      <x:c r="E4" s="58" t="str">
        <x:v>主文档未形成可确认的最终大奖成本</x:v>
      </x:c>
      <x:c r="F4" s="59"/>
      <x:c r="G4" s="57" t="str">
        <x:v>礼包数</x:v>
      </x:c>
      <x:c r="H4" s="58" t="n">
        <x:v>0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待补充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0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60" t="str">
        <x:v>礼包/档位</x:v>
      </x:c>
      <x:c r="B8" s="60" t="str">
        <x:v>支付币种</x:v>
      </x:c>
      <x:c r="C8" s="60" t="str">
        <x:v>标价</x:v>
      </x:c>
      <x:c r="D8" s="60" t="str">
        <x:v>成本折钻</x:v>
      </x:c>
      <x:c r="E8" s="60" t="str">
        <x:v>奖励价值钻</x:v>
      </x:c>
      <x:c r="F8" s="60" t="str">
        <x:v>价值倍率</x:v>
      </x:c>
      <x:c r="G8" s="60" t="str">
        <x:v>重算折数</x:v>
      </x:c>
      <x:c r="H8" s="60" t="str">
        <x:v>原标注折数</x:v>
      </x:c>
      <x:c r="I8" s="60" t="str">
        <x:v>主要到手标的物</x:v>
      </x:c>
      <x:c r="J8" s="60" t="str">
        <x:v>限购</x:v>
      </x:c>
      <x:c r="K8" s="60" t="str">
        <x:v>到手判断</x:v>
      </x:c>
      <x:c r="L8" s="60" t="str">
        <x:v>来源</x:v>
      </x:c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</x:row>
    <x:row r="12">
      <x:c r="A12" s="64" t="str">
        <x:v>奖励明细：数量 × 统一道具单价</x:v>
      </x:c>
      <x:c r="B12" s="64"/>
      <x:c r="C12" s="64"/>
      <x:c r="D12" s="64"/>
      <x:c r="E12" s="64"/>
      <x:c r="F12" s="64"/>
      <x:c r="G12" s="64"/>
      <x:c r="H12" s="64"/>
      <x:c r="I12" s="64"/>
      <x:c r="J12" s="64"/>
      <x:c r="K12" s="43"/>
      <x:c r="L12" s="43"/>
    </x:row>
    <x:row r="13" ht="42" customHeight="1">
      <x:c r="A13" s="44" t="str">
        <x:v>礼包</x:v>
      </x:c>
      <x:c r="B13" s="44" t="str">
        <x:v>标的物</x:v>
      </x:c>
      <x:c r="C13" s="44" t="str">
        <x:v>数量</x:v>
      </x:c>
      <x:c r="D13" s="44" t="str">
        <x:v>统一单价钻</x:v>
      </x:c>
      <x:c r="E13" s="44" t="str">
        <x:v>活动单价钻</x:v>
      </x:c>
      <x:c r="F13" s="44" t="str">
        <x:v>奖励价值钻</x:v>
      </x:c>
      <x:c r="G13" s="44" t="str">
        <x:v>估值依据</x:v>
      </x:c>
      <x:c r="H13" s="44" t="str">
        <x:v>差异/缺失</x:v>
      </x:c>
      <x:c r="I13" s="44" t="str">
        <x:v>来源</x:v>
      </x:c>
      <x:c r="J13" s="44" t="str">
        <x:v>备注</x:v>
      </x:c>
      <x:c r="K13" s="43"/>
      <x:c r="L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</x:row>
    <x:row r="16">
      <x:c r="A16" s="65" t="str">
        <x:v>活动节点与最终大奖判定</x:v>
      </x:c>
      <x:c r="B16" s="65"/>
      <x:c r="C16" s="65"/>
      <x:c r="D16" s="65"/>
      <x:c r="E16" s="65"/>
      <x:c r="F16" s="65"/>
      <x:c r="G16" s="43"/>
      <x:c r="H16" s="43"/>
      <x:c r="I16" s="43"/>
      <x:c r="J16" s="43"/>
      <x:c r="K16" s="43"/>
      <x:c r="L16" s="43"/>
    </x:row>
    <x:row r="17" ht="42" customHeight="1">
      <x:c r="A17" s="44" t="str">
        <x:v>轮次/节点</x:v>
      </x:c>
      <x:c r="B17" s="44" t="str">
        <x:v>节点类型</x:v>
      </x:c>
      <x:c r="C17" s="44" t="str">
        <x:v>阈值</x:v>
      </x:c>
      <x:c r="D17" s="44" t="str">
        <x:v>奖励</x:v>
      </x:c>
      <x:c r="E17" s="44" t="str">
        <x:v>到手成本判定</x:v>
      </x:c>
      <x:c r="F17" s="44" t="str">
        <x:v>来源</x:v>
      </x:c>
      <x:c r="G17" s="43"/>
      <x:c r="H17" s="43"/>
      <x:c r="I17" s="43"/>
      <x:c r="J17" s="43"/>
      <x:c r="K17" s="43"/>
      <x:c r="L17" s="43"/>
    </x:row>
  </x:sheetData>
  <x:mergeCells>
    <x:mergeCell ref="A1:L1"/>
    <x:mergeCell ref="A2:L2"/>
    <x:mergeCell ref="A12:J12"/>
    <x:mergeCell ref="A16:F16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  <x:col min="8" max="8" width="15" hidden="0" customWidth="1"/>
    <x:col min="9" max="9" width="39" hidden="0" customWidth="1"/>
    <x:col min="10" max="10" width="12" hidden="0" customWidth="1"/>
    <x:col min="11" max="11" width="38" hidden="0" customWidth="1"/>
    <x:col min="12" max="12" width="39" hidden="0" customWidth="1"/>
  </x:cols>
  <x:sheetData>
    <x:row r="1" ht="36" customHeight="1">
      <x:c r="A1" s="41" t="str">
        <x:v>《梦境护卫队》后续活动池 · 礼包性价比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34" customHeight="1">
      <x:c r="A2" s="42" t="str">
        <x:v>来源：主/优化总内容!A25:I28｜不从旧表填成已确定上线版本；大富翁SVN文件可作为后续核对源｜主方案优先，补充方案不覆盖主方案。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34" customHeight="1">
      <x:c r="A4" s="57" t="str">
        <x:v>活动模块</x:v>
      </x:c>
      <x:c r="B4" s="58" t="str">
        <x:v>后续活动池</x:v>
      </x:c>
      <x:c r="C4" s="59"/>
      <x:c r="D4" s="57" t="str">
        <x:v>最终大奖条件说明</x:v>
      </x:c>
      <x:c r="E4" s="58" t="str">
        <x:v>主文档未形成可确认的最终大奖成本</x:v>
      </x:c>
      <x:c r="F4" s="59"/>
      <x:c r="G4" s="57" t="str">
        <x:v>礼包数</x:v>
      </x:c>
      <x:c r="H4" s="58" t="n">
        <x:v>0</x:v>
      </x:c>
      <x:c r="I4" s="43"/>
      <x:c r="J4" s="43"/>
      <x:c r="K4" s="43"/>
      <x:c r="L4" s="43"/>
    </x:row>
    <x:row r="5" ht="34" customHeight="1">
      <x:c r="A5" s="57" t="str">
        <x:v>最终大奖/标的物</x:v>
      </x:c>
      <x:c r="B5" s="58" t="str">
        <x:v>待补充</x:v>
      </x:c>
      <x:c r="C5" s="59"/>
      <x:c r="D5" s="57" t="str">
        <x:v>钻石/RMB换算</x:v>
      </x:c>
      <x:c r="E5" s="58" t="str">
        <x:v>10钻=1元（价值字典惯例）</x:v>
      </x:c>
      <x:c r="F5" s="59"/>
      <x:c r="G5" s="57" t="str">
        <x:v>可计算价值条目</x:v>
      </x:c>
      <x:c r="H5" s="58" t="n">
        <x:v>0</x:v>
      </x:c>
      <x:c r="I5" s="43"/>
      <x:c r="J5" s="43"/>
      <x:c r="K5" s="43"/>
      <x:c r="L5" s="43"/>
    </x:row>
    <x:row r="6" ht="34" customHeight="1">
      <x:c r="A6" s="57" t="str">
        <x:v>最终大奖条件成本（钻）</x:v>
      </x:c>
      <x:c r="B6" s="58" t="str">
        <x:v>待核</x:v>
      </x:c>
      <x:c r="C6" s="59"/>
      <x:c r="D6" s="57" t="str">
        <x:v>折数定义</x:v>
      </x:c>
      <x:c r="E6" s="58" t="str">
        <x:v>成本钻÷奖励价值钻×10</x:v>
      </x:c>
      <x:c r="F6" s="59"/>
      <x:c r="G6" s="57" t="str">
        <x:v>缺失或冲突</x:v>
      </x:c>
      <x:c r="H6" s="58" t="str">
        <x:v>见状态列/来源</x:v>
      </x:c>
      <x:c r="I6" s="43"/>
      <x:c r="J6" s="43"/>
      <x:c r="K6" s="43"/>
      <x:c r="L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</x:row>
    <x:row r="8" ht="42" customHeight="1">
      <x:c r="A8" s="60" t="str">
        <x:v>礼包/档位</x:v>
      </x:c>
      <x:c r="B8" s="60" t="str">
        <x:v>支付币种</x:v>
      </x:c>
      <x:c r="C8" s="60" t="str">
        <x:v>标价</x:v>
      </x:c>
      <x:c r="D8" s="60" t="str">
        <x:v>成本折钻</x:v>
      </x:c>
      <x:c r="E8" s="60" t="str">
        <x:v>奖励价值钻</x:v>
      </x:c>
      <x:c r="F8" s="60" t="str">
        <x:v>价值倍率</x:v>
      </x:c>
      <x:c r="G8" s="60" t="str">
        <x:v>重算折数</x:v>
      </x:c>
      <x:c r="H8" s="60" t="str">
        <x:v>原标注折数</x:v>
      </x:c>
      <x:c r="I8" s="60" t="str">
        <x:v>主要到手标的物</x:v>
      </x:c>
      <x:c r="J8" s="60" t="str">
        <x:v>限购</x:v>
      </x:c>
      <x:c r="K8" s="60" t="str">
        <x:v>到手判断</x:v>
      </x:c>
      <x:c r="L8" s="60" t="str">
        <x:v>来源</x:v>
      </x:c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</x:row>
    <x:row r="12">
      <x:c r="A12" s="64" t="str">
        <x:v>奖励明细：数量 × 统一道具单价</x:v>
      </x:c>
      <x:c r="B12" s="64"/>
      <x:c r="C12" s="64"/>
      <x:c r="D12" s="64"/>
      <x:c r="E12" s="64"/>
      <x:c r="F12" s="64"/>
      <x:c r="G12" s="64"/>
      <x:c r="H12" s="64"/>
      <x:c r="I12" s="64"/>
      <x:c r="J12" s="64"/>
      <x:c r="K12" s="43"/>
      <x:c r="L12" s="43"/>
    </x:row>
    <x:row r="13" ht="42" customHeight="1">
      <x:c r="A13" s="44" t="str">
        <x:v>礼包</x:v>
      </x:c>
      <x:c r="B13" s="44" t="str">
        <x:v>标的物</x:v>
      </x:c>
      <x:c r="C13" s="44" t="str">
        <x:v>数量</x:v>
      </x:c>
      <x:c r="D13" s="44" t="str">
        <x:v>统一单价钻</x:v>
      </x:c>
      <x:c r="E13" s="44" t="str">
        <x:v>活动单价钻</x:v>
      </x:c>
      <x:c r="F13" s="44" t="str">
        <x:v>奖励价值钻</x:v>
      </x:c>
      <x:c r="G13" s="44" t="str">
        <x:v>估值依据</x:v>
      </x:c>
      <x:c r="H13" s="44" t="str">
        <x:v>差异/缺失</x:v>
      </x:c>
      <x:c r="I13" s="44" t="str">
        <x:v>来源</x:v>
      </x:c>
      <x:c r="J13" s="44" t="str">
        <x:v>备注</x:v>
      </x:c>
      <x:c r="K13" s="43"/>
      <x:c r="L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</x:row>
    <x:row r="16">
      <x:c r="A16" s="65" t="str">
        <x:v>活动节点与最终大奖判定</x:v>
      </x:c>
      <x:c r="B16" s="65"/>
      <x:c r="C16" s="65"/>
      <x:c r="D16" s="65"/>
      <x:c r="E16" s="65"/>
      <x:c r="F16" s="65"/>
      <x:c r="G16" s="43"/>
      <x:c r="H16" s="43"/>
      <x:c r="I16" s="43"/>
      <x:c r="J16" s="43"/>
      <x:c r="K16" s="43"/>
      <x:c r="L16" s="43"/>
    </x:row>
    <x:row r="17" ht="42" customHeight="1">
      <x:c r="A17" s="44" t="str">
        <x:v>轮次/节点</x:v>
      </x:c>
      <x:c r="B17" s="44" t="str">
        <x:v>节点类型</x:v>
      </x:c>
      <x:c r="C17" s="44" t="str">
        <x:v>阈值</x:v>
      </x:c>
      <x:c r="D17" s="44" t="str">
        <x:v>奖励</x:v>
      </x:c>
      <x:c r="E17" s="44" t="str">
        <x:v>到手成本判定</x:v>
      </x:c>
      <x:c r="F17" s="44" t="str">
        <x:v>来源</x:v>
      </x:c>
      <x:c r="G17" s="43"/>
      <x:c r="H17" s="43"/>
      <x:c r="I17" s="43"/>
      <x:c r="J17" s="43"/>
      <x:c r="K17" s="43"/>
      <x:c r="L17" s="43"/>
    </x:row>
  </x:sheetData>
  <x:mergeCells>
    <x:mergeCell ref="A1:L1"/>
    <x:mergeCell ref="A2:L2"/>
    <x:mergeCell ref="A12:J12"/>
    <x:mergeCell ref="A16:F16"/>
  </x:mergeCells>
  <x:pageMargins left="0.7" right="0.7" top="0.75" bottom="0.75" header="0.3" footer="0.3"/>
</x:worksheet>
</file>