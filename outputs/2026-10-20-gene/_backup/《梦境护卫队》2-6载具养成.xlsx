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fh_xml\策划文档\数值文档\"/>
    </mc:Choice>
  </mc:AlternateContent>
  <bookViews>
    <workbookView windowWidth="27945" windowHeight="11925" firstSheet="2" activeTab="4"/>
  </bookViews>
  <sheets>
    <sheet name="说明" sheetId="1" r:id="rId1"/>
    <sheet name="养成规划" sheetId="2" r:id="rId2"/>
    <sheet name="载具属性" sheetId="4" r:id="rId3"/>
    <sheet name="载具产出" sheetId="7" r:id="rId4"/>
    <sheet name="载具预期" sheetId="14" r:id="rId5"/>
    <sheet name="价值表" sheetId="12" r:id="rId6"/>
    <sheet name="Sheet1" sheetId="15" r:id="rId7"/>
  </sheets>
  <externalReferences>
    <externalReference r:id="rId8"/>
  </externalReferenc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<sst xmlns="http://schemas.openxmlformats.org/spreadsheetml/2006/main" count="2989" uniqueCount="500">
  <si>
    <t>梦灵养成</t>
  </si>
  <si>
    <t>说明</t>
  </si>
  <si>
    <t>梦灵升级</t>
  </si>
  <si>
    <t>梦灵属性=梦灵初始属性×（1＋（梦灵等级－1）×等级系数）</t>
  </si>
  <si>
    <t>梦灵升级消耗【能量特饮】＋【金币】</t>
  </si>
  <si>
    <t>梦灵升级本质上是上阵编队位置的升级，替换梦灵，等级继承</t>
  </si>
  <si>
    <t>梦灵升级不能超过上阵编队最低等级位置10级</t>
  </si>
  <si>
    <t>梦灵升星</t>
  </si>
  <si>
    <t>梦灵升星属性＝梦灵等级属性×（1+品质系数）＋梦灵初始属性×升星系数×（品质id-1）</t>
  </si>
  <si>
    <t>梦灵升星消耗【本体碎片】＋【金币】</t>
  </si>
  <si>
    <t>梦灵升星到一定阶段后，需要【进阶石】</t>
  </si>
  <si>
    <t>关联配置</t>
  </si>
  <si>
    <t>配置</t>
  </si>
  <si>
    <t>字段</t>
  </si>
  <si>
    <t>值</t>
  </si>
  <si>
    <t>D_单位_unit_data</t>
  </si>
  <si>
    <t>D_道具_item_data</t>
  </si>
  <si>
    <t>*涉及梦灵道具与梦灵初始品质</t>
  </si>
  <si>
    <t>*预留最后一行</t>
  </si>
  <si>
    <t>本页结束</t>
  </si>
  <si>
    <t>养成属性</t>
  </si>
  <si>
    <t>属性规划</t>
  </si>
  <si>
    <t>功能开启</t>
  </si>
  <si>
    <t>29天+50关</t>
  </si>
  <si>
    <t>设计思路</t>
  </si>
  <si>
    <t>属性总览</t>
  </si>
  <si>
    <t>载具耐久</t>
  </si>
  <si>
    <t>攻击力</t>
  </si>
  <si>
    <t>载具强化</t>
  </si>
  <si>
    <t>零件升级</t>
  </si>
  <si>
    <t>总坑深</t>
  </si>
  <si>
    <t>数量</t>
  </si>
  <si>
    <t>零件</t>
  </si>
  <si>
    <t>金币</t>
  </si>
  <si>
    <t>史诗零件碎片</t>
  </si>
  <si>
    <t>传说零件碎片</t>
  </si>
  <si>
    <t>神话零件碎片</t>
  </si>
  <si>
    <t>创世零件碎片</t>
  </si>
  <si>
    <t>史诗零件升级</t>
  </si>
  <si>
    <t>传说零件升级</t>
  </si>
  <si>
    <t>神话零件升级</t>
  </si>
  <si>
    <t>创世零件升级</t>
  </si>
  <si>
    <t>载具养成数值和消耗</t>
  </si>
  <si>
    <t>养成数值</t>
  </si>
  <si>
    <t>*升下级消耗</t>
  </si>
  <si>
    <t>金币消耗</t>
  </si>
  <si>
    <t>耐久加成</t>
  </si>
  <si>
    <t>攻击加成</t>
  </si>
  <si>
    <t>载具零件</t>
  </si>
  <si>
    <t>等级</t>
  </si>
  <si>
    <t>升级消耗</t>
  </si>
  <si>
    <t>升级总消耗</t>
  </si>
  <si>
    <t>史诗零件</t>
  </si>
  <si>
    <t>传说零件</t>
  </si>
  <si>
    <t>神话零件</t>
  </si>
  <si>
    <t>创世零件</t>
  </si>
  <si>
    <t>零件消耗</t>
  </si>
  <si>
    <t>当前耐久</t>
  </si>
  <si>
    <t>零件总消耗</t>
  </si>
  <si>
    <t>载具</t>
  </si>
  <si>
    <t>强化数值</t>
  </si>
  <si>
    <t>招募释放</t>
  </si>
  <si>
    <t>效果</t>
  </si>
  <si>
    <t>参数</t>
  </si>
  <si>
    <t>质变属性</t>
  </si>
  <si>
    <t>受到伤害-1</t>
  </si>
  <si>
    <t>受到伤害-2</t>
  </si>
  <si>
    <t>受到伤害-3</t>
  </si>
  <si>
    <t>受到伤害-4</t>
  </si>
  <si>
    <t>受到伤害-5</t>
  </si>
  <si>
    <t>受到伤害-6</t>
  </si>
  <si>
    <t>缩短咻咻锤0.1秒技能冷却</t>
  </si>
  <si>
    <t>缩短咻咻锤0.2秒技能冷却</t>
  </si>
  <si>
    <t>缩短咻咻锤0.3秒技能冷却</t>
  </si>
  <si>
    <t>缩短咻咻锤0.4秒技能冷却</t>
  </si>
  <si>
    <t>缩短咻咻锤0.5秒技能冷却</t>
  </si>
  <si>
    <t>缩短咻咻锤0.6秒技能冷却</t>
  </si>
  <si>
    <t>适配职业</t>
  </si>
  <si>
    <t>定位</t>
  </si>
  <si>
    <t>套装效果</t>
  </si>
  <si>
    <t>核心零件</t>
  </si>
  <si>
    <t>零件2</t>
  </si>
  <si>
    <t>零件3</t>
  </si>
  <si>
    <t>零件4</t>
  </si>
  <si>
    <t>招募阶段</t>
  </si>
  <si>
    <t>招募所需次数</t>
  </si>
  <si>
    <t>载具品质</t>
  </si>
  <si>
    <t>类别</t>
  </si>
  <si>
    <t>预期</t>
  </si>
  <si>
    <t>通用1</t>
  </si>
  <si>
    <t>卖便宜，通用前场补伤害</t>
  </si>
  <si>
    <r>
      <rPr>
        <sz val="11"/>
        <color rgb="FF000000"/>
        <rFont val="等线"/>
        <charset val="134"/>
        <scheme val="minor"/>
      </rPr>
      <t>【美梦陷阱】</t>
    </r>
    <r>
      <rPr>
        <sz val="11"/>
        <color rgb="FF000000"/>
        <rFont val="等线"/>
        <charset val="134"/>
      </rPr>
      <t xml:space="preserve">
在场上爆炸3枚美梦陷阱，怪物触碰时将爆炸造成X%伤害。陷阱爆炸后60秒可以重新激活，最多重新激活8次
lv5 爆炸后将在原地形成美梦力场（每秒造成4%陷阱爆炸伤害）
lv10 爆炸范围变大80%
lv15 受近战怪物伤害降低10%
lv20 梦灵学会奥义时，在随机位置额外放置1枚陷阱
lv25 陷阱伤害+30%
lv30 初始陷阱数量+2</t>
    </r>
  </si>
  <si>
    <t>攻</t>
  </si>
  <si>
    <t>控</t>
  </si>
  <si>
    <t>防</t>
  </si>
  <si>
    <t>硬硬护板</t>
  </si>
  <si>
    <t>抵抗</t>
  </si>
  <si>
    <t>载具护盾+%d</t>
  </si>
  <si>
    <t>通用2</t>
  </si>
  <si>
    <t>橙色品质过度</t>
  </si>
  <si>
    <r>
      <rPr>
        <sz val="11"/>
        <color rgb="FF000000"/>
        <rFont val="等线"/>
        <charset val="134"/>
        <scheme val="minor"/>
      </rPr>
      <t>【铁布衫】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载具血量每减少25%，立即获得1000点护盾，护盾持续20秒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铁布衫持续期间，载具受到的伤害降低25%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铁布衫激活时，击退附近怪物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载具对攻击者造成队长300%的伤害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铁布衫结束后，队长立即释放1次弹簧锤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铁布衫将提供1600护盾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铁布衫激活时，召唤物将获得60%护盾量</t>
    </r>
  </si>
  <si>
    <t>厚到离谱壳</t>
  </si>
  <si>
    <t>载具耐久+%d</t>
  </si>
  <si>
    <t>召唤</t>
  </si>
  <si>
    <t>城防精灵</t>
  </si>
  <si>
    <r>
      <rPr>
        <sz val="11"/>
        <color rgb="FF000000"/>
        <rFont val="等线"/>
        <charset val="134"/>
        <scheme val="minor"/>
      </rPr>
      <t>【紧急维护】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进入战斗后，获得1个备用维修包。当载具血量低于50%时，队长把维修包丢向载具，持续修复3000点血量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维修包额外修复600点载具血量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维修包将让所有召唤物恢复至满血，并充满召唤职业梦灵的能量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载具对攻击者造成队长300%的伤害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修复期间队长将释放1次暴力飞锤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维修包额外修复1200点载具血量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修复结束时，维修包掉落1个挂件</t>
    </r>
  </si>
  <si>
    <r>
      <rPr>
        <sz val="11"/>
        <color rgb="FF000000"/>
        <rFont val="等线"/>
        <charset val="134"/>
        <scheme val="minor"/>
      </rPr>
      <t>召唤（防）</t>
    </r>
    <r>
      <rPr>
        <sz val="11"/>
        <color rgb="FF000000"/>
        <rFont val="等线"/>
        <charset val="134"/>
      </rPr>
      <t xml:space="preserve">
每次召唤载具获得5点生命</t>
    </r>
  </si>
  <si>
    <t>你打你疼板</t>
  </si>
  <si>
    <t>反击</t>
  </si>
  <si>
    <t>载具对攻击者造成队长%d%的伤害</t>
  </si>
  <si>
    <t>辅助</t>
  </si>
  <si>
    <t>爆燃改装</t>
  </si>
  <si>
    <r>
      <rPr>
        <sz val="11"/>
        <color rgb="FF000000"/>
        <rFont val="等线"/>
        <charset val="134"/>
        <scheme val="minor"/>
      </rPr>
      <t>【超频加速】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怪物进入前半场时，所有上阵梦灵进入超频状态，10秒内攻击速度和充能速度+100%，冷却150秒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超频状态持续时间+3秒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辅助梦灵获得大招时，立即刷新爆燃改装冷却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载具对攻击者造成队长400%的伤害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超频状态下每击杀10个怪物，超频状态持续时间+1秒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超频状态下暴击伤害+300%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超频状态下暴击率+10%</t>
    </r>
  </si>
  <si>
    <r>
      <rPr>
        <sz val="11"/>
        <color rgb="FF000000"/>
        <rFont val="等线"/>
        <charset val="134"/>
        <scheme val="minor"/>
      </rPr>
      <t>辅助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梦灵充能速度+30%</t>
    </r>
  </si>
  <si>
    <t>半场增伤钮</t>
  </si>
  <si>
    <t>压制</t>
  </si>
  <si>
    <t>对半场内怪物伤害增加%d%</t>
  </si>
  <si>
    <t>控制</t>
  </si>
  <si>
    <t>能量手环</t>
  </si>
  <si>
    <r>
      <rPr>
        <sz val="11"/>
        <color rgb="FF000000"/>
        <rFont val="等线"/>
        <charset val="134"/>
        <scheme val="minor"/>
      </rPr>
      <t>【思维增幅器】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所有上阵梦灵对被控制的单位最终伤害+5%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所有上阵梦灵对被控制的单位最终伤害+2%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控制梦灵每3次攻击后，下次攻击强化，范围扩大50%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载具对攻击者造成队长400%的伤害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控制梦灵获得奥义时，直接释放强化攻击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强化攻击会使怪物受到的暴击伤害+100%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场上每多1名控制梦灵，对被控制单位的最终伤害5%</t>
    </r>
  </si>
  <si>
    <r>
      <rPr>
        <sz val="11"/>
        <color rgb="FF000000"/>
        <rFont val="等线"/>
        <charset val="134"/>
        <scheme val="minor"/>
      </rPr>
      <t>控制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载具受攻击有X%概率使攻击者眩晕1秒</t>
    </r>
  </si>
  <si>
    <t>小弟补个胎</t>
  </si>
  <si>
    <t>每次召唤召唤物获得%d点耐久</t>
  </si>
  <si>
    <t>射手</t>
  </si>
  <si>
    <t>击退，拉开输出空间</t>
  </si>
  <si>
    <r>
      <rPr>
        <sz val="11"/>
        <color rgb="FF000000"/>
        <rFont val="等线"/>
        <charset val="134"/>
        <scheme val="minor"/>
      </rPr>
      <t>【进军之墙】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载具血量每降低20%，召唤一排铁头娃进行3轮攻击，大幅击退面前的怪物。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铁头娃将造成X%伤害，被击退的怪物眩晕3秒。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铁头娃将眩晕怪物共6秒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射手学会奥义时，立即释放1次铁头娃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受肉盾怪伤害降低15%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每多1名射手，铁头娃攻击轮数+1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地造成的伤害+40%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射手释放奥义时，将召唤小型铁头娃（效果为铁头娃的30%）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（参考蔚蓝地鼠的表现）</t>
    </r>
  </si>
  <si>
    <r>
      <rPr>
        <sz val="11"/>
        <color rgb="FF000000"/>
        <rFont val="等线"/>
        <charset val="134"/>
        <scheme val="minor"/>
      </rPr>
      <t>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怪物距离越远伤害越高</t>
    </r>
  </si>
  <si>
    <t>波波套盾机</t>
  </si>
  <si>
    <t>每个波次开始时，载具获得%d点护盾</t>
  </si>
  <si>
    <t>战士</t>
  </si>
  <si>
    <t>免伤，增加输出周期</t>
  </si>
  <si>
    <r>
      <rPr>
        <sz val="11"/>
        <color rgb="FF000000"/>
        <rFont val="等线"/>
        <charset val="134"/>
        <scheme val="minor"/>
      </rPr>
      <t>城墙受到伤害时有6%概率触发无敌，抵挡此次伤害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无敌盾触发时，城墙血量+30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无敌盾触发概率+3%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受远程怪伤害降低15%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场上每多1名战士，触发概率+0.3%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无敌盾触发后3秒内，载具受到伤害-15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无敌盾触发时，所有战士攻击速度提升100%，持续5秒</t>
    </r>
  </si>
  <si>
    <r>
      <rPr>
        <sz val="11"/>
        <color rgb="FF000000"/>
        <rFont val="等线"/>
        <charset val="134"/>
        <scheme val="minor"/>
      </rPr>
      <t>战士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对前半场怪物伤害增加</t>
    </r>
  </si>
  <si>
    <t>漏电小线圈</t>
  </si>
  <si>
    <t>载具每损失20%生命，电击附近敌人造成%d%伤害</t>
  </si>
  <si>
    <t>法师</t>
  </si>
  <si>
    <t>聚怪，增加输出覆盖</t>
  </si>
  <si>
    <r>
      <rPr>
        <sz val="11"/>
        <color rgb="FF000000"/>
        <rFont val="等线"/>
        <charset val="134"/>
        <scheme val="minor"/>
      </rPr>
      <t>无情铁手从两侧向屏幕中心挤压造成X%伤害，冷却40秒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被挤压的怪物将减速5秒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法师获得祝福时，触发1次无情铁手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受到精英和首领伤害降低15%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场上每多1名法师，无情铁手大小增加30%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无情铁手伤害增加40%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法师释放奥义时，触发1次无情铁手</t>
    </r>
  </si>
  <si>
    <r>
      <rPr>
        <sz val="11"/>
        <color rgb="FF000000"/>
        <rFont val="等线"/>
        <charset val="134"/>
        <scheme val="minor"/>
      </rPr>
      <t>法师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奥义伤害增加</t>
    </r>
  </si>
  <si>
    <t>前三波按钮</t>
  </si>
  <si>
    <t>梦灵对前三波怪物伤害+%d%</t>
  </si>
  <si>
    <t>毒系</t>
  </si>
  <si>
    <t>上毒，减速，延长毒覆盖</t>
  </si>
  <si>
    <r>
      <rPr>
        <sz val="11"/>
        <color rgb="FF000000"/>
        <rFont val="等线"/>
        <charset val="134"/>
        <scheme val="minor"/>
      </rPr>
      <t>每75秒释放毒雾，对范围内怪物造成600%伤害及3秒的60%减速，之后每秒造成60%中毒伤害，持续10秒。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毒雾范围+50%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毒雾有50%概率额外释放1次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受高速怪伤害降低15%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场上每多1名毒系梦灵，毒雾造成的最终伤害增加60%（包含lv30效果）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毒雾伤害增加40%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毒雾会立即结算1次怪物身上叠加的所有中毒效果</t>
    </r>
  </si>
  <si>
    <r>
      <rPr>
        <sz val="11"/>
        <color rgb="FF000000"/>
        <rFont val="等线"/>
        <charset val="134"/>
        <scheme val="minor"/>
      </rPr>
      <t>毒系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异常伤害增加</t>
    </r>
  </si>
  <si>
    <t>暴击放大镜</t>
  </si>
  <si>
    <t>暴击伤害+%d%</t>
  </si>
  <si>
    <t>通用3</t>
  </si>
  <si>
    <t>卖最贵+通用+前期弱</t>
  </si>
  <si>
    <r>
      <rPr>
        <sz val="11"/>
        <color rgb="FF1F2329"/>
        <rFont val="等线"/>
        <charset val="134"/>
        <scheme val="minor"/>
      </rPr>
      <t>载具血量首次低于30%时触发因果逆转，载具所受伤害20%将转变为载具血量，持续12秒（100%免伤+受伤转恢复）。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lv5 载具所受伤害50%将转变为载具血量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lv10 因果逆转结束后，立即充满所有梦灵的能量，且接下来5秒内攻速+100%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lv15 受远程怪物伤害降低15%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lv20 因果逆转持续时间+3秒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lv25 因果逆转结束后，所有英雄伤害+20%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lv30 因果逆转结束后，载具立即获得1000点护盾</t>
    </r>
  </si>
  <si>
    <t>特殊</t>
  </si>
  <si>
    <t>挨打充电宝</t>
  </si>
  <si>
    <t>载具受到攻击时，梦灵充能冷却缩减+%d%</t>
  </si>
  <si>
    <t>快修小泵</t>
  </si>
  <si>
    <t>当城墙血量低于30%时，持续修复%d血量</t>
  </si>
  <si>
    <t>打我会晕钉</t>
  </si>
  <si>
    <t>载具受攻击有%d%概率使攻击者眩晕2秒</t>
  </si>
  <si>
    <t>越打越疼贴</t>
  </si>
  <si>
    <t>怪物攻击城墙后，受到伤害+%d%</t>
  </si>
  <si>
    <t>爆爆火花塞</t>
  </si>
  <si>
    <t>攻击有10%概率造成%d%范围伤害</t>
  </si>
  <si>
    <t>三下蓄力阀</t>
  </si>
  <si>
    <t>每充能3次，下一次造成额外%d%伤害，持续5秒</t>
  </si>
  <si>
    <t>毒火加班芯</t>
  </si>
  <si>
    <t>梦灵持续伤害有30%概率最终伤害+%d%</t>
  </si>
  <si>
    <t>残血补刀镜</t>
  </si>
  <si>
    <t>梦灵对低于50%怪物血量，造成额外%d%伤害</t>
  </si>
  <si>
    <t>不许死保险</t>
  </si>
  <si>
    <t>受到致命伤害，免疫所有受到的伤害，持续%d秒</t>
  </si>
  <si>
    <t>越残越猛芯</t>
  </si>
  <si>
    <t>载具生命每降低10%，所有梦灵最终伤害+%d%</t>
  </si>
  <si>
    <t>乖乖减伤器</t>
  </si>
  <si>
    <t>怪物受到控制/魅惑后，造成伤害降低%d%</t>
  </si>
  <si>
    <t>套装快进芯</t>
  </si>
  <si>
    <t>载具的套装效果-15%冷却，伤害+%d%</t>
  </si>
  <si>
    <t>载具抽卡</t>
  </si>
  <si>
    <t>道具</t>
  </si>
  <si>
    <t>价值</t>
  </si>
  <si>
    <t>零件核心</t>
  </si>
  <si>
    <t>非R</t>
  </si>
  <si>
    <t>小R</t>
  </si>
  <si>
    <t>中R</t>
  </si>
  <si>
    <t>大R</t>
  </si>
  <si>
    <t>预期关卡</t>
  </si>
  <si>
    <t>#结构：碎片比例越来越低，本体比例越来越高</t>
  </si>
  <si>
    <t>抽奖等级</t>
  </si>
  <si>
    <t>exp</t>
  </si>
  <si>
    <t>总产出</t>
  </si>
  <si>
    <t>性价比</t>
  </si>
  <si>
    <t>载具总产出</t>
  </si>
  <si>
    <t>[{1,1,[800100041]}]</t>
  </si>
  <si>
    <t>[{1,1,[800100041]}],[{6,6,[800100042]}],[{12,12,[800100043]}],[{24,24,[800100044]}]</t>
  </si>
  <si>
    <t>玩家层级</t>
  </si>
  <si>
    <t>每日产出</t>
  </si>
  <si>
    <t>预留</t>
  </si>
  <si>
    <t>[{6,6,[800100042]}]</t>
  </si>
  <si>
    <t>[{8,8,[800100045]}],[{16,16,[800100046]}],[{24,24,[800100047]}]</t>
  </si>
  <si>
    <t>[{12,12,[800100043]}]</t>
  </si>
  <si>
    <t>[{7,7,[800100048]}],[{28,28,[800100049]}],[{42,42,[800100050]}],[{63,63,[800100051]}],[{84,84,[800100052]}],[{103,103,[800100053]}]</t>
  </si>
  <si>
    <t>[{24,24,[800100044]}]</t>
  </si>
  <si>
    <t>[{5,5,[800100054]}],[{85,85,[800100055]}],[{165,165,[800100056]}],[{245,245,[800100057]}]</t>
  </si>
  <si>
    <t>[{8,8,[800100045]}]</t>
  </si>
  <si>
    <t>[{1,1,[800100058]}],[{203,203,[800100059]}],[{406,406,[800100060]}],[{609,609,[800100061]}]</t>
  </si>
  <si>
    <t>[{16,16,[800100046]}]</t>
  </si>
  <si>
    <t>[{24,24,[800100047]}]</t>
  </si>
  <si>
    <t>[{7,7,[800100048]}]</t>
  </si>
  <si>
    <t>载具玩法</t>
  </si>
  <si>
    <t>载具抽奖</t>
  </si>
  <si>
    <t>[{28,28,[800100049]}]</t>
  </si>
  <si>
    <t>[{42,42,[800100050]}]</t>
  </si>
  <si>
    <t>[{63,63,[800100051]}]</t>
  </si>
  <si>
    <t>[{84,84,[800100052]}]</t>
  </si>
  <si>
    <t>[{103,103,[800100053]}]</t>
  </si>
  <si>
    <t>[{5,5,[800100054]}]</t>
  </si>
  <si>
    <t>[{85,85,[800100055]}]</t>
  </si>
  <si>
    <t>[{165,165,[800100056]}]</t>
  </si>
  <si>
    <t>[{245,245,[800100057]}]</t>
  </si>
  <si>
    <t>载具战令</t>
  </si>
  <si>
    <t>[{1,1,[800100058]}]</t>
  </si>
  <si>
    <t>战令礼包</t>
  </si>
  <si>
    <t>[{203,203,[800100059]}]</t>
  </si>
  <si>
    <t>[{406,406,[800100060]}]</t>
  </si>
  <si>
    <t>秘藏摇杆</t>
  </si>
  <si>
    <t>[{609,609,[800100061]}]</t>
  </si>
  <si>
    <t>日周月礼包</t>
  </si>
  <si>
    <t>价格</t>
  </si>
  <si>
    <t>限购</t>
  </si>
  <si>
    <t>折扣</t>
  </si>
  <si>
    <t>日礼包</t>
  </si>
  <si>
    <t>周礼包</t>
  </si>
  <si>
    <t>月礼包</t>
  </si>
  <si>
    <t>载具关卡产出</t>
  </si>
  <si>
    <t>每日次数</t>
  </si>
  <si>
    <t>关卡数</t>
  </si>
  <si>
    <t>解锁等级</t>
  </si>
  <si>
    <t>预期天数</t>
  </si>
  <si>
    <t>零件价值</t>
  </si>
  <si>
    <t>材料价值</t>
  </si>
  <si>
    <t>精良Ⅰ</t>
  </si>
  <si>
    <t>精良Ⅱ</t>
  </si>
  <si>
    <t>精良Ⅲ</t>
  </si>
  <si>
    <t>精良Ⅳ</t>
  </si>
  <si>
    <t>精良Ⅴ</t>
  </si>
  <si>
    <t>豪华Ⅰ</t>
  </si>
  <si>
    <t>豪华Ⅱ</t>
  </si>
  <si>
    <t>豪华Ⅲ</t>
  </si>
  <si>
    <t>豪华Ⅳ</t>
  </si>
  <si>
    <t>豪华Ⅴ</t>
  </si>
  <si>
    <t>珍惜Ⅰ</t>
  </si>
  <si>
    <t>珍惜Ⅱ</t>
  </si>
  <si>
    <t>珍惜Ⅲ</t>
  </si>
  <si>
    <t>珍惜Ⅳ</t>
  </si>
  <si>
    <t>珍惜Ⅴ</t>
  </si>
  <si>
    <t>卓越Ⅰ</t>
  </si>
  <si>
    <t>卓越Ⅱ</t>
  </si>
  <si>
    <t>卓越Ⅲ</t>
  </si>
  <si>
    <t>卓越Ⅳ</t>
  </si>
  <si>
    <t>卓越Ⅴ</t>
  </si>
  <si>
    <t>传世Ⅰ</t>
  </si>
  <si>
    <t>传世Ⅱ</t>
  </si>
  <si>
    <t>传世Ⅲ</t>
  </si>
  <si>
    <t>传世Ⅳ</t>
  </si>
  <si>
    <t>传世Ⅴ</t>
  </si>
  <si>
    <t>瑰宝Ⅰ</t>
  </si>
  <si>
    <t>瑰宝Ⅱ</t>
  </si>
  <si>
    <t>瑰宝Ⅲ</t>
  </si>
  <si>
    <t>瑰宝Ⅳ</t>
  </si>
  <si>
    <t>瑰宝Ⅴ</t>
  </si>
  <si>
    <t>非凡Ⅰ</t>
  </si>
  <si>
    <t>非凡Ⅱ</t>
  </si>
  <si>
    <t>非凡Ⅲ</t>
  </si>
  <si>
    <t>非凡Ⅳ</t>
  </si>
  <si>
    <t>非凡Ⅴ</t>
  </si>
  <si>
    <t>至臻Ⅰ</t>
  </si>
  <si>
    <t>至臻Ⅱ</t>
  </si>
  <si>
    <t>至臻Ⅲ</t>
  </si>
  <si>
    <t>至臻Ⅳ</t>
  </si>
  <si>
    <t>至臻Ⅴ</t>
  </si>
  <si>
    <t>宝箱概率</t>
  </si>
  <si>
    <t>零件积分</t>
  </si>
  <si>
    <t>碎片宝箱</t>
  </si>
  <si>
    <t>解锁关卡</t>
  </si>
  <si>
    <t/>
  </si>
  <si>
    <t>首通章节</t>
  </si>
  <si>
    <t>首通关卡</t>
  </si>
  <si>
    <t>首通奖励</t>
  </si>
  <si>
    <t>id</t>
  </si>
  <si>
    <t>奖励</t>
  </si>
  <si>
    <t>奖励id</t>
  </si>
  <si>
    <t>奖励数量</t>
  </si>
  <si>
    <t>迷廊挑战门票</t>
  </si>
  <si>
    <t>零件币</t>
  </si>
  <si>
    <t>六角螺栓</t>
  </si>
  <si>
    <t>维修扳手</t>
  </si>
  <si>
    <t>十字螺丝刀</t>
  </si>
  <si>
    <t>橡胶密封圈</t>
  </si>
  <si>
    <t>小齿轮</t>
  </si>
  <si>
    <t>减震弹簧</t>
  </si>
  <si>
    <t>扭矩扳手</t>
  </si>
  <si>
    <t>散热风扇</t>
  </si>
  <si>
    <t>刹车油管</t>
  </si>
  <si>
    <t>诊断扫描仪</t>
  </si>
  <si>
    <t>校准芯片</t>
  </si>
  <si>
    <t>侦察摄像头</t>
  </si>
  <si>
    <t>激光雷达头</t>
  </si>
  <si>
    <t>仪表控制面板</t>
  </si>
  <si>
    <t>轮毂电机</t>
  </si>
  <si>
    <t>燃料箱组件</t>
  </si>
  <si>
    <t>高能蓄电池</t>
  </si>
  <si>
    <t>主推进喷射器</t>
  </si>
  <si>
    <t>尾翼稳定器</t>
  </si>
  <si>
    <t>反应堆核心</t>
  </si>
  <si>
    <t>护盾发生器</t>
  </si>
  <si>
    <t>买五个后原价</t>
  </si>
  <si>
    <t>产出占比</t>
  </si>
  <si>
    <t>补发模块</t>
  </si>
  <si>
    <t>产出</t>
  </si>
  <si>
    <t>抽奖产出</t>
  </si>
  <si>
    <t>等级预期</t>
  </si>
  <si>
    <t>天数</t>
  </si>
  <si>
    <t>超R</t>
  </si>
  <si>
    <t>补发关卡</t>
  </si>
  <si>
    <t>碾压</t>
  </si>
  <si>
    <t>关卡</t>
  </si>
  <si>
    <t>城墙血量</t>
  </si>
  <si>
    <t>强化</t>
  </si>
  <si>
    <t>升星</t>
  </si>
  <si>
    <t>城墙练度</t>
  </si>
  <si>
    <t>卡池等级</t>
  </si>
  <si>
    <t>祝福ID</t>
  </si>
  <si>
    <t>排序</t>
  </si>
  <si>
    <t>level</t>
  </si>
  <si>
    <t>order</t>
  </si>
  <si>
    <t>光环·宿舍夜谈</t>
  </si>
  <si>
    <t>光环·友圈社牛</t>
  </si>
  <si>
    <t>主要投放途径</t>
  </si>
  <si>
    <t>光环·天劫查重</t>
  </si>
  <si>
    <t>序号</t>
  </si>
  <si>
    <t>道具ID</t>
  </si>
  <si>
    <t>道具名称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</si>
  <si>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</si>
  <si>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</si>
  <si>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</si>
  <si>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</si>
  <si>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</si>
  <si>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</si>
  <si>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</si>
  <si>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光环·拼手速</t>
  </si>
  <si>
    <t>钻石</t>
  </si>
  <si>
    <t>货币类</t>
  </si>
  <si>
    <t>任务/成就/主线三星</t>
  </si>
  <si>
    <t>充值</t>
  </si>
  <si>
    <t>做各阶层的能力阶梯</t>
  </si>
  <si>
    <t>光环·海王撒网</t>
  </si>
  <si>
    <t>体力</t>
  </si>
  <si>
    <t>快捷购买</t>
  </si>
  <si>
    <t>日周月商店</t>
  </si>
  <si>
    <t>光环·电量续航</t>
  </si>
  <si>
    <t>星珀</t>
  </si>
  <si>
    <t>每日特惠</t>
  </si>
  <si>
    <t>排行冲刺</t>
  </si>
  <si>
    <t>做中R的付费质感（前期中R）</t>
  </si>
  <si>
    <t>光环·科学养生</t>
  </si>
  <si>
    <t>战令宝箱</t>
  </si>
  <si>
    <t>红温警告</t>
  </si>
  <si>
    <t>每日特惠宝箱</t>
  </si>
  <si>
    <t>咩菲特的雕像</t>
  </si>
  <si>
    <t>织梦宝箱</t>
  </si>
  <si>
    <t>闪电五连鞭</t>
  </si>
  <si>
    <t>筑梦快递箱</t>
  </si>
  <si>
    <t>十万伏特</t>
  </si>
  <si>
    <t>筑梦典藏箱</t>
  </si>
  <si>
    <t>抢课仙人的手速</t>
  </si>
  <si>
    <t>能量特饮2</t>
  </si>
  <si>
    <t>能量特饮</t>
  </si>
  <si>
    <t>梦灵类</t>
  </si>
  <si>
    <t>体力产出</t>
  </si>
  <si>
    <t>做非R的基础体验</t>
  </si>
  <si>
    <t>5G光速加载</t>
  </si>
  <si>
    <t>梦境招募券</t>
  </si>
  <si>
    <t>情绪净化/主线任务</t>
  </si>
  <si>
    <t>商店购买</t>
  </si>
  <si>
    <t>做各阶层的能力阶梯（前期质变）</t>
  </si>
  <si>
    <t>永动充电宝</t>
  </si>
  <si>
    <t>梦愿水晶</t>
  </si>
  <si>
    <t>招募累计</t>
  </si>
  <si>
    <t>心愿招募</t>
  </si>
  <si>
    <t>量子枸杞</t>
  </si>
  <si>
    <t>神灯</t>
  </si>
  <si>
    <t>限定招募</t>
  </si>
  <si>
    <t>做大R的付费边界（后期质变）</t>
  </si>
  <si>
    <t>已读不回</t>
  </si>
  <si>
    <t>稀有梦灵</t>
  </si>
  <si>
    <t>英雄招募</t>
  </si>
  <si>
    <t>内卷的呼吸</t>
  </si>
  <si>
    <t>史诗梦灵</t>
  </si>
  <si>
    <t>直男秘剑·多喝热水</t>
  </si>
  <si>
    <t>传说梦灵</t>
  </si>
  <si>
    <t>神话梦灵</t>
  </si>
  <si>
    <t>奶茶功德</t>
  </si>
  <si>
    <t>彩虹梦灵</t>
  </si>
  <si>
    <t>稀有梦灵碎片</t>
  </si>
  <si>
    <t>节能零元购</t>
  </si>
  <si>
    <t>史诗梦灵碎片</t>
  </si>
  <si>
    <t>检讨仙人的手速</t>
  </si>
  <si>
    <t>传说梦灵碎片</t>
  </si>
  <si>
    <t>班主任的凝视</t>
  </si>
  <si>
    <t>神话梦灵碎片</t>
  </si>
  <si>
    <t>彩虹梦灵碎片</t>
  </si>
  <si>
    <t>装备强化书</t>
  </si>
  <si>
    <t>装备类</t>
  </si>
  <si>
    <t>做非R长线活跃养成</t>
  </si>
  <si>
    <t>粉笔头的复仇</t>
  </si>
  <si>
    <t>锻造晶石</t>
  </si>
  <si>
    <t>装备洗练</t>
  </si>
  <si>
    <t>主线装备箱</t>
  </si>
  <si>
    <t>组队装备箱</t>
  </si>
  <si>
    <t>随机普通装备</t>
  </si>
  <si>
    <t>扩了么</t>
  </si>
  <si>
    <t>随机优秀装备</t>
  </si>
  <si>
    <t>随机稀有装备</t>
  </si>
  <si>
    <t>随机史诗装备</t>
  </si>
  <si>
    <t>群聊复读机</t>
  </si>
  <si>
    <t>随机传说装备</t>
  </si>
  <si>
    <t>随机神话装备</t>
  </si>
  <si>
    <t>早八瞬移术</t>
  </si>
  <si>
    <t>随机创世装备</t>
  </si>
  <si>
    <t>会议时间相对论</t>
  </si>
  <si>
    <t>买一送一</t>
  </si>
  <si>
    <t>初愿摇杆</t>
  </si>
  <si>
    <t>宝石类</t>
  </si>
  <si>
    <t>宝石低抽</t>
  </si>
  <si>
    <t>宝石高抽</t>
  </si>
  <si>
    <t>裂开了</t>
  </si>
  <si>
    <t>符引结晶</t>
  </si>
  <si>
    <t>低级洗练石</t>
  </si>
  <si>
    <t>幻梦晶核</t>
  </si>
  <si>
    <t>高级洗练石</t>
  </si>
  <si>
    <t>做中R的付费质感</t>
  </si>
  <si>
    <t>普通符文</t>
  </si>
  <si>
    <t>白宝石</t>
  </si>
  <si>
    <t>和你爆了</t>
  </si>
  <si>
    <t>优秀符文</t>
  </si>
  <si>
    <t>绿宝石</t>
  </si>
  <si>
    <t>稀有符文</t>
  </si>
  <si>
    <t>蓝宝石</t>
  </si>
  <si>
    <t>史诗符文</t>
  </si>
  <si>
    <t>紫宝石</t>
  </si>
  <si>
    <t>留着过年</t>
  </si>
  <si>
    <t>传说符文</t>
  </si>
  <si>
    <t>橙宝石</t>
  </si>
  <si>
    <t>爱的魔力转圈圈</t>
  </si>
  <si>
    <t>神话符文</t>
  </si>
  <si>
    <t>红宝石</t>
  </si>
  <si>
    <t>做大R的付费质感</t>
  </si>
  <si>
    <t>北斗高精</t>
  </si>
  <si>
    <t>创世符文</t>
  </si>
  <si>
    <t>彩宝石</t>
  </si>
  <si>
    <t>做大R的付费边界</t>
  </si>
  <si>
    <t>强力老鼠胶</t>
  </si>
  <si>
    <t>聚精会神</t>
  </si>
  <si>
    <t>织梦微尘</t>
  </si>
  <si>
    <t>基因类</t>
  </si>
  <si>
    <t>基因低级材料</t>
  </si>
  <si>
    <t>凛冬将至</t>
  </si>
  <si>
    <t>潜能棱晶</t>
  </si>
  <si>
    <t>主线三星</t>
  </si>
  <si>
    <t>基因高级材料</t>
  </si>
  <si>
    <t>燃起来了</t>
  </si>
  <si>
    <t>加速沙漏</t>
  </si>
  <si>
    <t>通过SS类活动做分层</t>
  </si>
  <si>
    <t>雷霆嘎巴</t>
  </si>
  <si>
    <t>你有毒啊</t>
  </si>
  <si>
    <t>抽奖道具</t>
  </si>
  <si>
    <t>运营活动</t>
  </si>
  <si>
    <t>蜗牛竞速</t>
  </si>
  <si>
    <t>史诗梦灵皮肤</t>
  </si>
  <si>
    <t>传说梦灵皮肤</t>
  </si>
  <si>
    <t>蓄能</t>
  </si>
  <si>
    <t>神话梦灵皮肤</t>
  </si>
  <si>
    <t>弹墙</t>
  </si>
  <si>
    <t>传说武器皮肤</t>
  </si>
  <si>
    <t>聚爆</t>
  </si>
  <si>
    <t>神话武器皮肤</t>
  </si>
  <si>
    <t>身外身</t>
  </si>
  <si>
    <t>绞杀</t>
  </si>
  <si>
    <t>传说时装皮肤</t>
  </si>
  <si>
    <t>做中小R的钻销体系+大R的付费隔绝</t>
  </si>
  <si>
    <t>缠绕</t>
  </si>
  <si>
    <t>神话时装皮肤</t>
  </si>
  <si>
    <t>JOJO的面具</t>
  </si>
  <si>
    <t>黄金弓箭</t>
  </si>
  <si>
    <t>传说船体皮肤</t>
  </si>
  <si>
    <t>防狼喷雾</t>
  </si>
  <si>
    <t>神话船体皮肤</t>
  </si>
  <si>
    <t>高能</t>
  </si>
  <si>
    <t>聚集</t>
  </si>
  <si>
    <t>4合1</t>
  </si>
  <si>
    <t>猎杀</t>
  </si>
  <si>
    <t>超频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</si>
</sst>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%"/>
    <numFmt numFmtId="177" formatCode="0_ "/>
    <numFmt numFmtId="178" formatCode="[=0]&quot;&quot;;General"/>
    <numFmt numFmtId="179" formatCode="0.00###%"/>
    <numFmt numFmtId="180" formatCode="0.0%"/>
    <numFmt numFmtId="181" formatCode="0.0_ "/>
    <numFmt numFmtId="182" formatCode="0_);[Red]\(0\)"/>
  </numFmts>
  <fonts count="51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name val="Microsoft YaHei"/>
      <charset val="134"/>
    </font>
    <font>
      <sz val="11"/>
      <color theme="1"/>
      <name val="等线"/>
      <charset val="134"/>
      <scheme val="minor"/>
    </font>
    <font>
      <sz val="9"/>
      <color rgb="FF000000"/>
      <name val="å®ä½"/>
      <charset val="134"/>
    </font>
    <font>
      <b/>
      <sz val="10"/>
      <color rgb="FFFA7D0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b/>
      <sz val="10"/>
      <color rgb="FFFF0000"/>
      <name val="微软雅黑"/>
      <charset val="134"/>
    </font>
    <font>
      <sz val="10"/>
      <color rgb="FF000000"/>
      <name val="微软雅黑"/>
      <charset val="134"/>
    </font>
    <font>
      <b/>
      <sz val="12"/>
      <color rgb="FFFFFFFF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等线"/>
      <charset val="134"/>
      <scheme val="minor"/>
    </font>
    <font>
      <sz val="11"/>
      <name val="宋体"/>
      <charset val="134"/>
    </font>
    <font>
      <b/>
      <sz val="11"/>
      <name val="等线"/>
      <charset val="134"/>
      <scheme val="minor"/>
    </font>
    <font>
      <b/>
      <sz val="10"/>
      <color theme="4"/>
      <name val="微软雅黑"/>
      <charset val="134"/>
    </font>
    <font>
      <sz val="10"/>
      <color rgb="FF000000"/>
      <name val="Microsoft YaHei"/>
      <charset val="134"/>
    </font>
    <font>
      <b/>
      <sz val="11"/>
      <name val="宋体"/>
      <charset val="134"/>
    </font>
    <font>
      <sz val="12"/>
      <name val="微软雅黑"/>
      <charset val="134"/>
    </font>
    <font>
      <sz val="10"/>
      <color rgb="FFFF0000"/>
      <name val="微软雅黑"/>
      <charset val="134"/>
    </font>
    <font>
      <b/>
      <sz val="10"/>
      <color theme="0"/>
      <name val="微软雅黑"/>
      <charset val="134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1F2329"/>
      <name val="等线"/>
      <charset val="134"/>
      <scheme val="minor"/>
    </font>
    <font>
      <b/>
      <sz val="14"/>
      <name val="等线"/>
      <charset val="134"/>
      <scheme val="minor"/>
    </font>
    <font>
      <sz val="12"/>
      <color rgb="FFD9D9D9"/>
      <name val="等线"/>
      <charset val="134"/>
      <scheme val="minor"/>
    </font>
    <font>
      <b/>
      <sz val="12"/>
      <color rgb="FFD9D9D9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sz val="1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  <font>
      <sz val="11"/>
      <color rgb="FF1F2329"/>
      <name val="等线"/>
      <charset val="134"/>
    </font>
  </fonts>
  <fills count="4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" fillId="15" borderId="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6" borderId="11" applyNumberFormat="0" applyAlignment="0" applyProtection="0">
      <alignment vertical="center"/>
    </xf>
    <xf numFmtId="0" fontId="39" fillId="17" borderId="12" applyNumberFormat="0" applyAlignment="0" applyProtection="0">
      <alignment vertical="center"/>
    </xf>
    <xf numFmtId="0" fontId="40" fillId="17" borderId="11" applyNumberFormat="0" applyAlignment="0" applyProtection="0">
      <alignment vertical="center"/>
    </xf>
    <xf numFmtId="0" fontId="41" fillId="18" borderId="13" applyNumberFormat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/>
    <xf numFmtId="49" fontId="6" fillId="3" borderId="2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8" fillId="5" borderId="0" xfId="0" applyFont="1" applyFill="1">
      <alignment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7" borderId="0" xfId="0" applyFill="1">
      <alignment vertical="center"/>
    </xf>
    <xf numFmtId="0" fontId="1" fillId="7" borderId="0" xfId="0" applyFont="1" applyFill="1">
      <alignment vertical="center"/>
    </xf>
    <xf numFmtId="0" fontId="11" fillId="8" borderId="0" xfId="0" applyFont="1" applyFill="1">
      <alignment vertical="center"/>
    </xf>
    <xf numFmtId="0" fontId="2" fillId="8" borderId="0" xfId="0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0" fontId="7" fillId="7" borderId="0" xfId="0" applyFont="1" applyFill="1">
      <alignment vertical="center"/>
    </xf>
    <xf numFmtId="0" fontId="14" fillId="0" borderId="0" xfId="0" applyFont="1">
      <alignment vertical="center"/>
    </xf>
    <xf numFmtId="0" fontId="14" fillId="2" borderId="0" xfId="0" applyFont="1" applyFill="1">
      <alignment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" fillId="9" borderId="5" xfId="0" applyFont="1" applyFill="1" applyBorder="1" applyAlignment="1">
      <alignment horizontal="center" vertical="center"/>
    </xf>
    <xf numFmtId="177" fontId="1" fillId="0" borderId="5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7" fontId="1" fillId="7" borderId="5" xfId="0" applyNumberFormat="1" applyFont="1" applyFill="1" applyBorder="1" applyAlignment="1">
      <alignment horizontal="center" vertical="center"/>
    </xf>
    <xf numFmtId="178" fontId="1" fillId="7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left" vertical="center"/>
    </xf>
    <xf numFmtId="0" fontId="1" fillId="7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9" fillId="0" borderId="6" xfId="0" applyNumberFormat="1" applyFont="1" applyBorder="1" applyAlignment="1">
      <alignment horizontal="center" vertical="center"/>
    </xf>
    <xf numFmtId="0" fontId="9" fillId="0" borderId="6" xfId="0" applyNumberFormat="1" applyFont="1" applyBorder="1" applyAlignment="1">
      <alignment horizontal="left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9" fontId="16" fillId="0" borderId="6" xfId="0" applyNumberFormat="1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180" fontId="16" fillId="0" borderId="6" xfId="0" applyNumberFormat="1" applyFont="1" applyFill="1" applyBorder="1" applyAlignment="1" applyProtection="1">
      <alignment horizontal="center" vertical="center"/>
    </xf>
    <xf numFmtId="10" fontId="16" fillId="0" borderId="6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6" fillId="0" borderId="6" xfId="0" applyNumberFormat="1" applyFont="1" applyFill="1" applyBorder="1" applyAlignment="1">
      <alignment horizontal="center" vertical="center"/>
    </xf>
    <xf numFmtId="181" fontId="16" fillId="0" borderId="6" xfId="0" applyNumberFormat="1" applyFont="1" applyFill="1" applyBorder="1" applyAlignment="1">
      <alignment horizontal="center" vertical="center"/>
    </xf>
    <xf numFmtId="9" fontId="16" fillId="0" borderId="6" xfId="3" applyFont="1" applyFill="1" applyBorder="1" applyAlignment="1">
      <alignment horizontal="center" vertical="center"/>
    </xf>
    <xf numFmtId="178" fontId="16" fillId="0" borderId="6" xfId="0" applyNumberFormat="1" applyFont="1" applyFill="1" applyBorder="1" applyAlignment="1">
      <alignment horizontal="center" vertical="center"/>
    </xf>
    <xf numFmtId="177" fontId="16" fillId="0" borderId="6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78" fontId="1" fillId="9" borderId="6" xfId="0" applyNumberFormat="1" applyFont="1" applyFill="1" applyBorder="1" applyAlignment="1">
      <alignment horizontal="center" vertical="center"/>
    </xf>
    <xf numFmtId="182" fontId="1" fillId="9" borderId="6" xfId="0" applyNumberFormat="1" applyFont="1" applyFill="1" applyBorder="1" applyAlignment="1">
      <alignment horizontal="center" vertical="center"/>
    </xf>
    <xf numFmtId="9" fontId="16" fillId="0" borderId="6" xfId="0" applyNumberFormat="1" applyFont="1" applyFill="1" applyBorder="1" applyAlignment="1">
      <alignment horizontal="center" vertical="center"/>
    </xf>
    <xf numFmtId="178" fontId="16" fillId="9" borderId="6" xfId="0" applyNumberFormat="1" applyFont="1" applyFill="1" applyBorder="1" applyAlignment="1">
      <alignment horizontal="center" vertical="center"/>
    </xf>
    <xf numFmtId="178" fontId="1" fillId="11" borderId="6" xfId="0" applyNumberFormat="1" applyFont="1" applyFill="1" applyBorder="1" applyAlignment="1">
      <alignment horizontal="center" vertical="center"/>
    </xf>
    <xf numFmtId="178" fontId="1" fillId="10" borderId="6" xfId="0" applyNumberFormat="1" applyFont="1" applyFill="1" applyBorder="1" applyAlignment="1">
      <alignment horizontal="center" vertical="center"/>
    </xf>
    <xf numFmtId="0" fontId="0" fillId="10" borderId="0" xfId="0" applyFill="1">
      <alignment vertical="center"/>
    </xf>
    <xf numFmtId="178" fontId="16" fillId="11" borderId="6" xfId="0" applyNumberFormat="1" applyFont="1" applyFill="1" applyBorder="1" applyAlignment="1">
      <alignment horizontal="center" vertical="center"/>
    </xf>
    <xf numFmtId="9" fontId="16" fillId="11" borderId="6" xfId="3" applyFont="1" applyFill="1" applyBorder="1" applyAlignment="1">
      <alignment horizontal="center" vertical="center"/>
    </xf>
    <xf numFmtId="0" fontId="16" fillId="11" borderId="6" xfId="3" applyNumberFormat="1" applyFont="1" applyFill="1" applyBorder="1" applyAlignment="1">
      <alignment horizontal="center" vertical="center"/>
    </xf>
    <xf numFmtId="178" fontId="9" fillId="11" borderId="6" xfId="0" applyNumberFormat="1" applyFont="1" applyFill="1" applyBorder="1" applyAlignment="1">
      <alignment horizontal="center" vertical="center"/>
    </xf>
    <xf numFmtId="9" fontId="16" fillId="11" borderId="6" xfId="3" applyNumberFormat="1" applyFont="1" applyFill="1" applyBorder="1" applyAlignment="1">
      <alignment horizontal="center" vertical="center"/>
    </xf>
    <xf numFmtId="9" fontId="16" fillId="9" borderId="6" xfId="3" applyFont="1" applyFill="1" applyBorder="1" applyAlignment="1">
      <alignment horizontal="center" vertical="center"/>
    </xf>
    <xf numFmtId="0" fontId="16" fillId="9" borderId="6" xfId="3" applyNumberFormat="1" applyFont="1" applyFill="1" applyBorder="1" applyAlignment="1">
      <alignment horizontal="center" vertical="center"/>
    </xf>
    <xf numFmtId="178" fontId="9" fillId="9" borderId="6" xfId="0" applyNumberFormat="1" applyFont="1" applyFill="1" applyBorder="1" applyAlignment="1">
      <alignment horizontal="center" vertical="center"/>
    </xf>
    <xf numFmtId="9" fontId="16" fillId="9" borderId="6" xfId="3" applyNumberFormat="1" applyFont="1" applyFill="1" applyBorder="1" applyAlignment="1">
      <alignment horizontal="center" vertical="center"/>
    </xf>
    <xf numFmtId="9" fontId="0" fillId="0" borderId="0" xfId="3" applyFont="1">
      <alignment vertical="center"/>
    </xf>
    <xf numFmtId="0" fontId="0" fillId="0" borderId="0" xfId="3" applyNumberFormat="1" applyFont="1">
      <alignment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/>
    </xf>
    <xf numFmtId="0" fontId="11" fillId="12" borderId="0" xfId="0" applyFont="1" applyFill="1">
      <alignment vertical="center"/>
    </xf>
    <xf numFmtId="0" fontId="20" fillId="0" borderId="0" xfId="0" applyFo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16" fillId="0" borderId="0" xfId="0" applyNumberFormat="1" applyFont="1" applyFill="1" applyAlignment="1">
      <alignment horizontal="center" vertical="center"/>
    </xf>
    <xf numFmtId="0" fontId="21" fillId="13" borderId="0" xfId="0" applyNumberFormat="1" applyFont="1" applyFill="1" applyAlignment="1">
      <alignment horizontal="center" vertical="center"/>
    </xf>
    <xf numFmtId="0" fontId="1" fillId="9" borderId="6" xfId="0" applyNumberFormat="1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14" borderId="7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2" fillId="0" borderId="0" xfId="0" applyFont="1" applyAlignment="1"/>
    <xf numFmtId="0" fontId="28" fillId="8" borderId="0" xfId="0" applyFont="1" applyFill="1">
      <alignment vertical="center"/>
    </xf>
    <xf numFmtId="0" fontId="29" fillId="0" borderId="0" xfId="0" applyFont="1">
      <alignment vertical="center"/>
    </xf>
    <xf numFmtId="0" fontId="28" fillId="12" borderId="0" xfId="0" applyFont="1" applyFill="1">
      <alignment vertical="center"/>
    </xf>
    <xf numFmtId="0" fontId="12" fillId="2" borderId="0" xfId="0" applyFont="1" applyFill="1">
      <alignment vertical="center"/>
    </xf>
    <xf numFmtId="0" fontId="1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298;&#26790;&#22659;&#25252;&#21355;&#38431;&#12299;6-1&#21830;&#19994;&#21270;&#25968;&#2054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商店"/>
      <sheetName val="新商店"/>
      <sheetName val="首充"/>
      <sheetName val="日月周礼包"/>
      <sheetName val="大小月卡"/>
      <sheetName val="每周周卡"/>
      <sheetName val="战令"/>
      <sheetName val="钻石基金"/>
      <sheetName val="每日特惠"/>
      <sheetName val="章节礼包"/>
      <sheetName val="1商店"/>
      <sheetName val="1.0首月活动"/>
      <sheetName val="1.1首发抽奖"/>
      <sheetName val="2.0次月活动"/>
      <sheetName val="2.1次月签到"/>
      <sheetName val="招募冲刺"/>
      <sheetName val="符文冲刺"/>
      <sheetName val="秘宝冲刺"/>
      <sheetName val="1.0联动活动"/>
      <sheetName val="2.0大富翁抽奖"/>
      <sheetName val="2.1大富翁签到"/>
      <sheetName val="粉卡抽奖"/>
      <sheetName val="粉卡试炼"/>
      <sheetName val="粉卡保底计算"/>
      <sheetName val="红卡皮肤转盘"/>
      <sheetName val="符文焕新"/>
      <sheetName val="价值表"/>
      <sheetName val="草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O3">
            <v>600</v>
          </cell>
          <cell r="P3">
            <v>4</v>
          </cell>
        </row>
        <row r="4">
          <cell r="O4">
            <v>1000</v>
          </cell>
          <cell r="P4">
            <v>3</v>
          </cell>
        </row>
        <row r="5">
          <cell r="O5">
            <v>1000</v>
          </cell>
          <cell r="P5">
            <v>3</v>
          </cell>
        </row>
        <row r="6">
          <cell r="O6">
            <v>1500</v>
          </cell>
          <cell r="P6">
            <v>2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说明"/>
  <dimension ref="A1:J24"/>
  <sheetViews>
    <sheetView workbookViewId="0">
      <selection activeCell="D6" sqref="D6:D9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20.4285714285714" customWidth="1"/>
    <col min="5" max="7" width="9.71428571428571" customWidth="1"/>
  </cols>
  <sheetData>
    <row r="1" ht="18" spans="1:10">
      <c r="A1" s="122" t="inlineStr">
        <is>
          <t>载具养成</t>
        </is>
      </c>
      <c r="B1" s="27"/>
      <c r="C1" s="122"/>
      <c r="D1" s="27"/>
      <c r="E1" s="27"/>
      <c r="F1" s="27"/>
      <c r="G1" s="27"/>
    </row>
    <row r="2" ht="18" spans="1:10">
      <c r="A2" s="123"/>
      <c r="B2" s="29"/>
      <c r="C2" s="118"/>
      <c r="D2" s="29"/>
      <c r="E2" s="29"/>
      <c r="F2" s="29"/>
      <c r="G2" s="29"/>
    </row>
    <row r="3" ht="18" spans="1:10">
      <c r="A3" s="124" t="s">
        <v>1</v>
      </c>
      <c r="B3" s="105"/>
      <c r="C3" s="124"/>
      <c r="D3" s="105"/>
      <c r="E3" s="105"/>
      <c r="F3" s="105"/>
      <c r="G3" s="105"/>
    </row>
    <row r="4" ht="18" spans="1:10">
      <c r="A4" s="123"/>
      <c r="B4" s="29"/>
      <c r="C4" s="118"/>
      <c r="D4" s="29"/>
      <c r="E4" s="29"/>
      <c r="F4" s="29"/>
      <c r="G4" s="29"/>
    </row>
    <row r="5" ht="18" spans="1:10">
      <c r="A5" s="123"/>
      <c r="B5" s="125"/>
      <c r="C5" s="118" t="inlineStr">
        <is>
          <t>载具强化与零件</t>
        </is>
      </c>
      <c r="D5" s="29"/>
      <c r="E5" s="29"/>
      <c r="F5" s="29"/>
      <c r="G5" s="29"/>
    </row>
    <row r="6" ht="18" spans="1:10">
      <c r="A6" s="123"/>
      <c r="B6" s="29"/>
      <c r="C6" s="29"/>
      <c r="D6" s="29" t="inlineStr">
        <is>
          <t>载具属性=载具强化（耐久）+零件升级（攻击力/耐久），总坑深见「载具属性」</t>
        </is>
      </c>
      <c r="E6" s="29"/>
      <c r="F6" s="29"/>
      <c r="G6" s="29"/>
      <c r="H6" s="29"/>
      <c r="I6" s="29"/>
      <c r="J6" s="29"/>
    </row>
    <row r="7" ht="18" spans="1:10">
      <c r="A7" s="123"/>
      <c r="B7" s="29"/>
      <c r="C7" s="29"/>
      <c r="D7" s="29" t="inlineStr">
        <is>
          <t>零件升级消耗【零件碎片】+【金币】；零件品质 史诗/传说/神话/创世，碎片价值200/400/800/1600钻</t>
        </is>
      </c>
      <c r="E7" s="29"/>
      <c r="F7" s="29"/>
      <c r="G7" s="29"/>
      <c r="H7" s="29"/>
      <c r="I7" s="29"/>
      <c r="J7" s="29"/>
    </row>
    <row r="8" ht="18" spans="1:10">
      <c r="A8" s="123"/>
      <c r="B8" s="29"/>
      <c r="C8" s="29"/>
      <c r="D8" s="29" t="inlineStr">
        <is>
          <t>零件抽取产出见「载具产出」，各分层拿到的零件见「载具预期」</t>
        </is>
      </c>
      <c r="E8" s="29"/>
      <c r="F8" s="29"/>
      <c r="G8" s="29"/>
      <c r="H8" s="29"/>
      <c r="I8" s="29"/>
      <c r="J8" s="29"/>
    </row>
    <row r="9" ht="18" spans="1:10">
      <c r="A9" s="123"/>
      <c r="B9" s="29"/>
      <c r="C9" s="29"/>
      <c r="D9" s="29" t="inlineStr">
        <is>
          <t>开放：配置为开服第22天+第60章（「养成规划」写的29天+50关已过时）</t>
        </is>
      </c>
      <c r="E9" s="29"/>
      <c r="F9" s="29"/>
      <c r="G9" s="29"/>
      <c r="H9" s="29"/>
      <c r="I9" s="29"/>
      <c r="J9" s="29"/>
    </row>
    <row r="10" ht="18" spans="1:10">
      <c r="A10" s="123"/>
      <c r="B10" s="29"/>
      <c r="C10" s="29"/>
      <c r="D10" s="29"/>
      <c r="E10" s="29"/>
      <c r="F10" s="29"/>
      <c r="G10" s="29"/>
      <c r="H10" s="29"/>
      <c r="I10" s="29"/>
      <c r="J10" s="29"/>
    </row>
    <row r="11" ht="18" spans="1:10">
      <c r="A11" s="123"/>
      <c r="B11" s="125"/>
      <c r="C11" s="118" t="inlineStr">
        <is>
          <t>载具技能</t>
        </is>
      </c>
      <c r="D11" s="29"/>
      <c r="E11" s="29"/>
      <c r="F11" s="29"/>
      <c r="G11" s="29"/>
      <c r="H11" s="29"/>
      <c r="I11" s="29"/>
      <c r="J11" s="29"/>
    </row>
    <row r="12" ht="18" spans="1:10">
      <c r="A12" s="123"/>
      <c r="B12" s="29"/>
      <c r="C12" s="29"/>
      <c r="D12" s="29" t="inlineStr">
        <is>
          <t>零件技能（耐久、反伤、半场增伤、护盾等）见「载具属性」G519起</t>
        </is>
      </c>
      <c r="E12" s="29"/>
      <c r="F12" s="29"/>
      <c r="G12" s="29"/>
      <c r="H12" s="29"/>
      <c r="I12" s="29"/>
      <c r="J12" s="29"/>
    </row>
    <row r="13" ht="18" spans="1:10">
      <c r="A13" s="123"/>
      <c r="B13" s="29"/>
      <c r="C13" s="29"/>
      <c r="D13" s="29"/>
      <c r="E13" s="29"/>
      <c r="F13" s="29"/>
      <c r="G13" s="29"/>
      <c r="H13" s="29"/>
      <c r="I13" s="29"/>
      <c r="J13" s="29"/>
    </row>
    <row r="14" ht="18" spans="1:10">
      <c r="A14" s="123"/>
      <c r="B14" s="29"/>
      <c r="C14" s="29"/>
      <c r="D14" s="29"/>
      <c r="E14" s="29"/>
      <c r="F14" s="29"/>
      <c r="G14" s="29"/>
      <c r="H14" s="29"/>
      <c r="I14" s="29"/>
      <c r="J14" s="29"/>
    </row>
    <row r="15" ht="18" spans="1:10">
      <c r="A15" s="123"/>
      <c r="B15" s="29"/>
      <c r="C15" s="29"/>
      <c r="D15" s="29"/>
      <c r="E15" s="29"/>
      <c r="F15" s="29"/>
      <c r="G15" s="29"/>
      <c r="H15" s="29"/>
      <c r="I15" s="29"/>
      <c r="J15" s="29"/>
    </row>
    <row r="16" ht="18" spans="1:10">
      <c r="A16" s="123"/>
      <c r="B16" s="125"/>
      <c r="C16" s="118" t="s">
        <v>11</v>
      </c>
      <c r="D16" s="29"/>
      <c r="E16" s="29"/>
      <c r="F16" s="29"/>
      <c r="G16" s="29"/>
    </row>
    <row r="17" ht="18" spans="1:7">
      <c r="A17" s="123"/>
      <c r="B17" s="29"/>
      <c r="C17" s="118"/>
      <c r="D17" s="29"/>
      <c r="E17" s="29"/>
      <c r="F17" s="29"/>
      <c r="G17" s="29"/>
    </row>
    <row r="18" ht="18" spans="1:7">
      <c r="A18" s="123"/>
      <c r="B18" s="29"/>
      <c r="C18" s="118"/>
      <c r="D18" s="126" t="s">
        <v>12</v>
      </c>
      <c r="E18" s="126" t="s">
        <v>13</v>
      </c>
      <c r="F18" s="126" t="s">
        <v>14</v>
      </c>
      <c r="G18" s="29" t="s">
        <v>1</v>
      </c>
    </row>
    <row r="19" ht="18" spans="1:7">
      <c r="A19" s="123"/>
      <c r="B19" s="29"/>
      <c r="C19" s="118"/>
      <c r="D19" s="126" t="inlineStr">
        <is>
          <t>Z_载具养成_vehicle_data</t>
        </is>
      </c>
      <c r="E19" s="126"/>
      <c r="F19" s="126"/>
      <c r="G19" s="29" t="inlineStr">
        <is>
          <t>*强化、零件、技能</t>
        </is>
      </c>
    </row>
    <row r="20" ht="18" spans="1:7">
      <c r="A20" s="123"/>
      <c r="B20" s="29"/>
      <c r="C20" s="118"/>
      <c r="D20" s="126" t="inlineStr">
        <is>
          <t>D_道具_item_data</t>
        </is>
      </c>
      <c r="E20" s="126"/>
      <c r="F20" s="126"/>
      <c r="G20" s="29" t="inlineStr">
        <is>
          <t>*零件、碎片道具</t>
        </is>
      </c>
    </row>
    <row r="21" ht="18" spans="1:7">
      <c r="A21" s="123"/>
      <c r="B21" s="29"/>
      <c r="C21" s="118"/>
      <c r="D21" s="126"/>
      <c r="E21" s="126"/>
      <c r="F21" s="126"/>
      <c r="G21" s="29"/>
    </row>
    <row r="22" ht="18" spans="1:7">
      <c r="A22" s="123"/>
      <c r="B22" s="29"/>
      <c r="C22" s="118"/>
      <c r="D22" s="126"/>
      <c r="E22" s="126"/>
      <c r="F22" s="126"/>
      <c r="G22" s="29" t="s">
        <v>18</v>
      </c>
    </row>
    <row r="23" ht="18" spans="1:7">
      <c r="A23" s="123"/>
      <c r="B23" s="29"/>
      <c r="C23" s="118"/>
      <c r="D23" s="29"/>
      <c r="E23" s="29"/>
      <c r="F23" s="29"/>
      <c r="G23" s="29"/>
    </row>
    <row r="24" ht="18" spans="1:7">
      <c r="A24" s="122" t="s">
        <v>19</v>
      </c>
      <c r="B24" s="27"/>
      <c r="C24" s="122"/>
      <c r="D24" s="27"/>
      <c r="E24" s="27"/>
      <c r="F24" s="27"/>
      <c r="G24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养成属性">
    <tabColor rgb="FFFFFFFF"/>
  </sheetPr>
  <dimension ref="A1:L21"/>
  <sheetViews>
    <sheetView workbookViewId="0">
      <selection activeCell="H40" sqref="H40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9.71428571428571" customWidth="1"/>
    <col min="5" max="6" width="13.4285714285714" customWidth="1"/>
    <col min="7" max="12" width="9.71428571428571" customWidth="1"/>
  </cols>
  <sheetData>
    <row r="1" ht="15.75" spans="1:12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ht="15.75" spans="1:12">
      <c r="A2" s="29"/>
      <c r="B2" s="29"/>
      <c r="C2" s="30"/>
      <c r="D2" s="29"/>
      <c r="E2" s="29"/>
      <c r="F2" s="29"/>
      <c r="G2" s="29"/>
      <c r="H2" s="29"/>
      <c r="I2" s="29"/>
      <c r="J2" s="29"/>
      <c r="K2" s="29"/>
      <c r="L2" s="29"/>
    </row>
    <row r="3" ht="18" spans="1:12">
      <c r="A3" s="33"/>
      <c r="B3" s="34"/>
      <c r="C3" s="118" t="s">
        <v>21</v>
      </c>
      <c r="D3" s="29"/>
      <c r="E3" s="29"/>
      <c r="F3" s="29"/>
      <c r="G3" s="29"/>
      <c r="H3" s="29"/>
      <c r="I3" s="29"/>
      <c r="J3" s="29"/>
      <c r="K3" s="29"/>
      <c r="L3" s="33"/>
    </row>
    <row r="4" ht="15.75" spans="1:12">
      <c r="A4" s="33"/>
      <c r="B4" s="33"/>
      <c r="C4" s="97"/>
      <c r="D4" s="29"/>
      <c r="E4" s="29"/>
      <c r="F4" s="29"/>
      <c r="G4" s="29"/>
      <c r="H4" s="29"/>
      <c r="I4" s="29"/>
      <c r="J4" s="29"/>
      <c r="K4" s="29"/>
      <c r="L4" s="33"/>
    </row>
    <row r="5" ht="15.75" spans="1:12">
      <c r="A5" s="29"/>
      <c r="B5" s="119"/>
      <c r="C5" s="120"/>
      <c r="D5" s="121" t="s">
        <v>22</v>
      </c>
      <c r="E5" s="29"/>
      <c r="F5" s="29"/>
      <c r="G5" s="29"/>
      <c r="H5" s="102"/>
      <c r="I5" s="102"/>
      <c r="J5" s="102"/>
      <c r="K5" s="102"/>
      <c r="L5" s="29"/>
    </row>
    <row r="6" ht="15.75" spans="1:12">
      <c r="A6" s="29"/>
      <c r="B6" s="119"/>
      <c r="C6" s="120"/>
      <c r="D6" s="121"/>
      <c r="E6" s="29" t="s">
        <v>23</v>
      </c>
      <c r="F6" s="29"/>
      <c r="G6" s="29"/>
      <c r="H6" s="102"/>
      <c r="I6" s="102"/>
      <c r="J6" s="102"/>
      <c r="K6" s="102"/>
      <c r="L6" s="29"/>
    </row>
    <row r="7" ht="15.75" spans="1:12">
      <c r="A7" s="29"/>
      <c r="B7" s="119"/>
      <c r="C7" s="120"/>
      <c r="D7" s="121"/>
      <c r="E7" s="29"/>
      <c r="F7" s="29"/>
      <c r="G7" s="29"/>
      <c r="H7" s="102"/>
      <c r="I7" s="102"/>
      <c r="J7" s="102"/>
      <c r="K7" s="102"/>
      <c r="L7" s="29"/>
    </row>
    <row r="8" ht="15.75" spans="1:12">
      <c r="A8" s="29"/>
      <c r="B8" s="119"/>
      <c r="C8" s="120"/>
      <c r="D8" s="121"/>
      <c r="E8" s="29"/>
      <c r="F8" s="29"/>
      <c r="G8" s="29"/>
      <c r="H8" s="102"/>
      <c r="I8" s="102"/>
      <c r="J8" s="102"/>
      <c r="K8" s="102"/>
      <c r="L8" s="29"/>
    </row>
    <row r="9" ht="15.75" spans="1:12">
      <c r="A9" s="29"/>
      <c r="B9" s="119"/>
      <c r="C9" s="120"/>
      <c r="D9" s="121"/>
      <c r="E9" s="29"/>
      <c r="F9" s="29"/>
      <c r="G9" s="29"/>
      <c r="H9" s="102"/>
      <c r="I9" s="102"/>
      <c r="J9" s="102"/>
      <c r="K9" s="102"/>
      <c r="L9" s="29"/>
    </row>
    <row r="10" ht="15.75" spans="1:12">
      <c r="A10" s="29"/>
      <c r="B10" s="119"/>
      <c r="C10" s="120"/>
      <c r="D10" s="121"/>
      <c r="E10" s="29"/>
      <c r="F10" s="29"/>
      <c r="G10" s="29"/>
      <c r="H10" s="102"/>
      <c r="I10" s="102"/>
      <c r="J10" s="102"/>
      <c r="K10" s="102"/>
      <c r="L10" s="29"/>
    </row>
    <row r="11" ht="15.75" spans="1:12">
      <c r="A11" s="29"/>
      <c r="B11" s="119"/>
      <c r="C11" s="120"/>
      <c r="D11" s="121"/>
      <c r="E11" s="29"/>
      <c r="F11" s="29"/>
      <c r="G11" s="29"/>
      <c r="H11" s="102"/>
      <c r="I11" s="102"/>
      <c r="J11" s="102"/>
      <c r="K11" s="102"/>
      <c r="L11" s="29"/>
    </row>
    <row r="12" ht="15.75" spans="1:12">
      <c r="A12" s="29"/>
      <c r="B12" s="119"/>
      <c r="C12" s="120"/>
      <c r="D12" s="121"/>
      <c r="E12" s="29"/>
      <c r="F12" s="29"/>
      <c r="G12" s="29"/>
      <c r="H12" s="102"/>
      <c r="I12" s="102"/>
      <c r="J12" s="102"/>
      <c r="K12" s="102"/>
      <c r="L12" s="29"/>
    </row>
    <row r="13" ht="15.75" spans="1:12">
      <c r="A13" s="29"/>
      <c r="B13" s="119"/>
      <c r="C13" s="120"/>
      <c r="D13" s="121"/>
      <c r="E13" s="29"/>
      <c r="F13" s="29"/>
      <c r="G13" s="29"/>
      <c r="H13" s="102"/>
      <c r="I13" s="102"/>
      <c r="J13" s="102"/>
      <c r="K13" s="102"/>
      <c r="L13" s="29"/>
    </row>
    <row r="14" ht="15.75" spans="1:12">
      <c r="A14" s="29"/>
      <c r="B14" s="119"/>
      <c r="C14" s="120"/>
      <c r="D14" s="121"/>
      <c r="E14" s="29"/>
      <c r="F14" s="29"/>
      <c r="G14" s="29"/>
      <c r="H14" s="102"/>
      <c r="I14" s="102"/>
      <c r="J14" s="102"/>
      <c r="K14" s="102"/>
      <c r="L14" s="29"/>
    </row>
    <row r="15" ht="15.75" spans="1:12">
      <c r="A15" s="29"/>
      <c r="B15" s="119"/>
      <c r="C15" s="120"/>
      <c r="D15" s="121"/>
      <c r="E15" s="29"/>
      <c r="F15" s="29"/>
      <c r="G15" s="29"/>
      <c r="H15" s="102"/>
      <c r="I15" s="102"/>
      <c r="J15" s="102"/>
      <c r="K15" s="102"/>
      <c r="L15" s="29"/>
    </row>
    <row r="16" ht="15.75" spans="1:12">
      <c r="A16" s="29"/>
      <c r="B16" s="119"/>
      <c r="C16" s="120"/>
      <c r="D16" s="121"/>
      <c r="E16" s="29"/>
      <c r="F16" s="29"/>
      <c r="G16" s="29"/>
      <c r="H16" s="102"/>
      <c r="I16" s="102"/>
      <c r="J16" s="102"/>
      <c r="K16" s="102"/>
      <c r="L16" s="29"/>
    </row>
    <row r="17" ht="15.75" spans="1:12">
      <c r="A17" s="29"/>
      <c r="B17" s="119"/>
      <c r="C17" s="120"/>
      <c r="D17" s="121"/>
      <c r="E17" s="29"/>
      <c r="F17" s="29"/>
      <c r="G17" s="29"/>
      <c r="H17" s="102"/>
      <c r="I17" s="102"/>
      <c r="J17" s="102"/>
      <c r="K17" s="102"/>
      <c r="L17" s="29"/>
    </row>
    <row r="18" ht="15.75" spans="1:12">
      <c r="A18" s="29"/>
      <c r="B18" s="119"/>
      <c r="C18" s="120"/>
      <c r="D18" s="121"/>
      <c r="E18" s="29"/>
      <c r="F18" s="29"/>
      <c r="G18" s="29"/>
      <c r="H18" s="102"/>
      <c r="I18" s="102"/>
      <c r="J18" s="102"/>
      <c r="K18" s="102"/>
      <c r="L18" s="29"/>
    </row>
    <row r="19" ht="15.75" spans="1:12">
      <c r="A19" s="29"/>
      <c r="B19" s="119"/>
      <c r="C19" s="120"/>
      <c r="D19" s="121"/>
      <c r="E19" s="29"/>
      <c r="F19" s="29"/>
      <c r="G19" s="29"/>
      <c r="H19" s="102"/>
      <c r="I19" s="102"/>
      <c r="J19" s="102"/>
      <c r="K19" s="102"/>
      <c r="L19" s="29"/>
    </row>
    <row r="20" ht="15.75" spans="1:12">
      <c r="A20" s="29"/>
      <c r="B20" s="29"/>
      <c r="C20" s="30"/>
      <c r="D20" s="29"/>
      <c r="E20" s="29"/>
      <c r="F20" s="29"/>
      <c r="G20" s="29"/>
      <c r="H20" s="29"/>
      <c r="I20" s="29"/>
      <c r="J20" s="29"/>
      <c r="K20" s="29"/>
      <c r="L20" s="29"/>
    </row>
    <row r="21" ht="15.75" spans="1:12">
      <c r="A21" s="27" t="s">
        <v>19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梦灵升星">
    <tabColor rgb="FFFFFFFF"/>
  </sheetPr>
  <dimension ref="A1:X1000"/>
  <sheetViews>
    <sheetView showGridLines="0" workbookViewId="0">
      <selection activeCell="G15" sqref="G15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14" customWidth="1"/>
    <col min="5" max="5" width="13" customWidth="1"/>
    <col min="6" max="6" width="13.5714285714286" customWidth="1"/>
    <col min="7" max="7" width="14.2857142857143" customWidth="1"/>
    <col min="8" max="29" width="13.7142857142857" customWidth="1"/>
    <col min="30" max="30" width="12.8571428571429"/>
    <col min="31" max="33" width="16" customWidth="1"/>
    <col min="34" max="34" width="18.5714285714286" customWidth="1"/>
    <col min="35" max="35" width="10.8571428571429" customWidth="1"/>
    <col min="36" max="36" width="16" customWidth="1"/>
    <col min="37" max="37" width="13.4285714285714" customWidth="1"/>
  </cols>
  <sheetData>
    <row r="1" ht="15.75" spans="1:13">
      <c r="A1" s="27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ht="15.75" spans="1:13">
      <c r="A2" s="29"/>
      <c r="B2" s="29"/>
      <c r="C2" s="30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ht="15.75" spans="1:13">
      <c r="A3" s="33"/>
      <c r="B3" s="34"/>
      <c r="C3" s="42" t="s">
        <v>21</v>
      </c>
      <c r="D3" s="29"/>
      <c r="E3" s="29"/>
      <c r="F3" s="29"/>
      <c r="G3" s="29"/>
      <c r="H3" s="29"/>
      <c r="I3" s="29"/>
      <c r="J3" s="29"/>
      <c r="K3" s="29"/>
      <c r="L3" s="29"/>
      <c r="M3" s="29"/>
    </row>
    <row r="4" ht="15.75" spans="1:13">
      <c r="A4" s="33"/>
      <c r="B4" s="33"/>
      <c r="C4" s="97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ht="15.75" spans="1:13">
      <c r="A5" s="29"/>
      <c r="B5" s="29"/>
      <c r="C5" s="30"/>
      <c r="D5" s="98" t="s">
        <v>25</v>
      </c>
      <c r="E5" s="98" t="s">
        <v>26</v>
      </c>
      <c r="F5" s="98" t="s">
        <v>27</v>
      </c>
      <c r="G5" s="29"/>
      <c r="H5" s="29"/>
      <c r="I5" s="29"/>
      <c r="J5" s="29"/>
      <c r="K5" s="29"/>
      <c r="L5" s="29"/>
    </row>
    <row r="6" ht="15.75" spans="1:13">
      <c r="A6" s="29"/>
      <c r="B6" s="29"/>
      <c r="C6" s="30"/>
      <c r="D6" s="99" t="s">
        <v>28</v>
      </c>
      <c r="E6" s="100">
        <f>SUM(F98:F497)</f>
        <v>38950</v>
      </c>
      <c r="F6" s="101"/>
      <c r="G6" s="29"/>
      <c r="H6" s="29"/>
      <c r="I6" s="29"/>
      <c r="J6" s="29"/>
      <c r="K6" s="29"/>
      <c r="L6" s="29"/>
    </row>
    <row r="7" ht="15.75" spans="1:13">
      <c r="A7" s="29"/>
      <c r="B7" s="29"/>
      <c r="C7" s="30"/>
      <c r="D7" s="99" t="s">
        <v>29</v>
      </c>
      <c r="E7" s="100" cm="1">
        <f t="array" ref="E7">SUMPRODUCT(L30:O30,$L$93:$O$93)</f>
        <v>25200</v>
      </c>
      <c r="F7" s="100" cm="1">
        <f t="array" ref="F7">SUMPRODUCT(P30:S30,P93:S93)</f>
        <v>9720</v>
      </c>
      <c r="G7" s="29"/>
      <c r="H7" s="29"/>
      <c r="K7" s="29"/>
      <c r="L7" s="29"/>
      <c r="M7" s="29"/>
    </row>
    <row r="8" ht="15.75" spans="1:13">
      <c r="A8" s="33"/>
      <c r="E8" s="29"/>
      <c r="F8" s="29"/>
      <c r="G8" s="29"/>
      <c r="H8" s="29"/>
      <c r="K8" s="29"/>
      <c r="L8" s="29"/>
      <c r="M8" s="29"/>
    </row>
    <row r="9" ht="15.75" spans="1:13">
      <c r="A9" s="29"/>
      <c r="B9" s="29"/>
      <c r="C9" s="30"/>
      <c r="D9" s="29"/>
      <c r="E9" s="29"/>
      <c r="F9" s="102">
        <f>_xlfn.XLOOKUP(F10,价值表!$F:$F,价值表!$H:$H)</f>
        <v>1</v>
      </c>
      <c r="G9" s="102">
        <f>_xlfn.XLOOKUP(G10,价值表!$F:$F,价值表!$H:$H)</f>
        <v>0.05</v>
      </c>
      <c r="H9" s="102">
        <f>_xlfn.XLOOKUP(H10,价值表!$F:$F,价值表!$H:$H)</f>
        <v>200</v>
      </c>
      <c r="I9" s="102">
        <f>_xlfn.XLOOKUP(I10,价值表!$F:$F,价值表!$H:$H)</f>
        <v>400</v>
      </c>
      <c r="J9" s="102">
        <f>_xlfn.XLOOKUP(J10,价值表!$F:$F,价值表!$H:$H)</f>
        <v>800</v>
      </c>
      <c r="K9" s="102">
        <f>_xlfn.XLOOKUP(K10,价值表!$F:$F,价值表!$H:$H)</f>
        <v>1600</v>
      </c>
      <c r="L9" s="29"/>
      <c r="M9" s="29"/>
    </row>
    <row r="10" ht="15.75" spans="1:13">
      <c r="A10" s="29"/>
      <c r="B10" s="29"/>
      <c r="C10" s="30"/>
      <c r="D10" s="98" t="s">
        <v>30</v>
      </c>
      <c r="E10" s="98" t="s">
        <v>31</v>
      </c>
      <c r="F10" s="98" t="s">
        <v>32</v>
      </c>
      <c r="G10" s="98" t="s">
        <v>33</v>
      </c>
      <c r="H10" s="98" t="s">
        <v>34</v>
      </c>
      <c r="I10" s="98" t="s">
        <v>35</v>
      </c>
      <c r="J10" s="98" t="s">
        <v>36</v>
      </c>
      <c r="K10" s="98" t="s">
        <v>37</v>
      </c>
      <c r="L10" s="98" t="s">
        <v>30</v>
      </c>
      <c r="M10" s="29"/>
    </row>
    <row r="11" ht="17.25" spans="1:13">
      <c r="A11" s="29"/>
      <c r="B11" s="102"/>
      <c r="C11" s="42"/>
      <c r="D11" s="99" t="s">
        <v>28</v>
      </c>
      <c r="E11" s="103">
        <v>1</v>
      </c>
      <c r="F11" s="103">
        <f>SUM(H98:H497)*F9</f>
        <v>1024950</v>
      </c>
      <c r="G11" s="103"/>
      <c r="H11" s="103"/>
      <c r="I11" s="103"/>
      <c r="J11" s="103"/>
      <c r="K11" s="103"/>
      <c r="L11" s="103">
        <f>SUM(F11:K11)*E11</f>
        <v>1024950</v>
      </c>
      <c r="M11" s="29"/>
    </row>
    <row r="12" ht="17.25" spans="1:13">
      <c r="A12" s="29"/>
      <c r="B12" s="29"/>
      <c r="C12" s="30"/>
      <c r="D12" s="99" t="s">
        <v>38</v>
      </c>
      <c r="E12" s="103">
        <v>3</v>
      </c>
      <c r="F12" s="103"/>
      <c r="G12" s="104">
        <f>SUM(H33:H92)*G9</f>
        <v>10841.25</v>
      </c>
      <c r="H12" s="103">
        <f>SUM($F$33:$F$92)*H$9</f>
        <v>1211000</v>
      </c>
      <c r="I12" s="103"/>
      <c r="J12" s="103"/>
      <c r="K12" s="103"/>
      <c r="L12" s="104">
        <f>SUM(F12:K12)*E12</f>
        <v>3665523.75</v>
      </c>
      <c r="M12" s="29"/>
    </row>
    <row r="13" ht="17.25" spans="1:13">
      <c r="A13" s="29"/>
      <c r="B13" s="29"/>
      <c r="C13" s="30"/>
      <c r="D13" s="99" t="s">
        <v>39</v>
      </c>
      <c r="E13" s="103">
        <v>4</v>
      </c>
      <c r="F13" s="103"/>
      <c r="G13" s="104">
        <f>SUM(I33:I92)*G9</f>
        <v>18068.75</v>
      </c>
      <c r="H13" s="103"/>
      <c r="I13" s="103">
        <f>SUM($F$33:$F$92)*I$9</f>
        <v>2422000</v>
      </c>
      <c r="J13" s="103"/>
      <c r="K13" s="103"/>
      <c r="L13" s="104">
        <f>SUM(F13:K13)*E13</f>
        <v>9760275</v>
      </c>
      <c r="M13" s="29"/>
    </row>
    <row r="14" ht="17.25" spans="1:13">
      <c r="A14" s="29"/>
      <c r="B14" s="29"/>
      <c r="C14" s="30"/>
      <c r="D14" s="99" t="s">
        <v>40</v>
      </c>
      <c r="E14" s="103">
        <v>6</v>
      </c>
      <c r="F14" s="103"/>
      <c r="G14" s="104">
        <f>SUM(J33:J92)*G9</f>
        <v>28910</v>
      </c>
      <c r="H14" s="103"/>
      <c r="I14" s="103"/>
      <c r="J14" s="103">
        <f>SUM($F$33:$F$92)*J$9</f>
        <v>4844000</v>
      </c>
      <c r="K14" s="103"/>
      <c r="L14" s="104">
        <f>SUM(F14:K14)*E14</f>
        <v>29237460</v>
      </c>
      <c r="M14" s="29"/>
    </row>
    <row r="15" ht="17.25" spans="1:13">
      <c r="A15" s="29"/>
      <c r="B15" s="29"/>
      <c r="C15" s="30"/>
      <c r="D15" s="99" t="s">
        <v>41</v>
      </c>
      <c r="E15" s="103">
        <v>8</v>
      </c>
      <c r="F15" s="103"/>
      <c r="G15" s="104">
        <f>SUM(K33:K92)*G9</f>
        <v>43365</v>
      </c>
      <c r="H15" s="103"/>
      <c r="I15" s="103"/>
      <c r="J15" s="103"/>
      <c r="K15" s="103">
        <f>SUM($F$33:$F$92)*K$9</f>
        <v>9688000</v>
      </c>
      <c r="L15" s="104">
        <f>SUM(F15:K15)*E15</f>
        <v>77850920</v>
      </c>
      <c r="M15" s="29"/>
    </row>
    <row r="16" ht="15.75" spans="1:13">
      <c r="A16" s="29"/>
      <c r="B16" s="29"/>
      <c r="C16" s="30"/>
      <c r="D16" s="102"/>
      <c r="E16" s="102"/>
      <c r="F16" s="29"/>
      <c r="G16" s="29"/>
      <c r="H16" s="29"/>
      <c r="I16" s="29"/>
      <c r="J16" s="29"/>
      <c r="K16" s="29"/>
      <c r="L16" s="29"/>
      <c r="M16" s="29"/>
    </row>
    <row r="17" ht="15.75" spans="1:19">
      <c r="A17" s="29"/>
      <c r="B17" s="29"/>
      <c r="C17" s="30"/>
      <c r="D17" s="102"/>
      <c r="E17" s="102"/>
      <c r="F17" s="29"/>
      <c r="G17" s="29"/>
      <c r="H17" s="29"/>
      <c r="I17" s="29"/>
      <c r="J17" s="29"/>
      <c r="K17" s="29"/>
      <c r="L17" s="29"/>
      <c r="M17" s="29"/>
    </row>
    <row r="18" ht="15.75" spans="1:19">
      <c r="A18" s="29"/>
      <c r="B18" s="29"/>
      <c r="C18" s="30"/>
      <c r="D18" s="102"/>
      <c r="E18" s="102"/>
      <c r="F18" s="29"/>
      <c r="G18" s="29"/>
      <c r="H18" s="29"/>
      <c r="I18" s="29"/>
      <c r="J18" s="29"/>
      <c r="K18" s="29"/>
      <c r="L18" s="29"/>
      <c r="M18" s="29"/>
    </row>
    <row r="19" ht="15.75" spans="1:19">
      <c r="A19" s="29"/>
      <c r="B19" s="29"/>
      <c r="C19" s="30"/>
      <c r="D19" s="102"/>
      <c r="E19" s="102"/>
      <c r="F19" s="29"/>
      <c r="G19" s="29"/>
      <c r="H19" s="29"/>
      <c r="I19" s="29"/>
      <c r="J19" s="29"/>
      <c r="K19" s="29"/>
      <c r="L19" s="29"/>
      <c r="M19" s="29"/>
    </row>
    <row r="20" ht="15.75" spans="1:19">
      <c r="A20" s="29"/>
      <c r="B20" s="29"/>
      <c r="C20" s="30"/>
      <c r="D20" s="102"/>
      <c r="E20" s="102"/>
      <c r="F20" s="29"/>
      <c r="G20" s="29"/>
      <c r="H20" s="29"/>
      <c r="I20" s="29"/>
      <c r="J20" s="29"/>
      <c r="K20" s="29"/>
      <c r="L20" s="29"/>
      <c r="M20" s="29"/>
    </row>
    <row r="21" ht="15.75" spans="1:19">
      <c r="A21" s="29"/>
      <c r="B21" s="29"/>
      <c r="C21" s="30"/>
      <c r="D21" s="102"/>
      <c r="E21" s="102"/>
      <c r="F21" s="29"/>
      <c r="G21" s="29"/>
      <c r="H21" s="29"/>
      <c r="I21" s="29"/>
      <c r="J21" s="29"/>
      <c r="K21" s="29"/>
      <c r="L21" s="29"/>
      <c r="M21" s="29"/>
    </row>
    <row r="22" ht="15.75" spans="1:19">
      <c r="A22" s="29"/>
      <c r="B22" s="29"/>
      <c r="C22" s="30"/>
      <c r="D22" s="102"/>
      <c r="E22" s="102"/>
      <c r="F22" s="29"/>
      <c r="G22" s="29"/>
      <c r="H22" s="29"/>
      <c r="I22" s="29"/>
      <c r="J22" s="29"/>
      <c r="K22" s="29"/>
      <c r="L22" s="29"/>
      <c r="M22" s="29"/>
    </row>
    <row r="23" ht="15.75" spans="1:19">
      <c r="A23" s="29"/>
      <c r="B23" s="29"/>
      <c r="C23" s="30"/>
      <c r="D23" s="102"/>
      <c r="E23" s="102"/>
      <c r="F23" s="29"/>
      <c r="G23" s="29"/>
      <c r="H23" s="29"/>
      <c r="I23" s="29"/>
      <c r="J23" s="29"/>
      <c r="K23" s="29"/>
      <c r="L23" s="29"/>
      <c r="M23" s="29"/>
    </row>
    <row r="24" ht="15.75" spans="1:19">
      <c r="A24" s="29"/>
      <c r="B24" s="29"/>
      <c r="C24" s="30"/>
      <c r="D24" s="102"/>
      <c r="E24" s="102"/>
      <c r="F24" s="29"/>
      <c r="G24" s="29"/>
      <c r="H24" s="29"/>
      <c r="I24" s="29"/>
      <c r="J24" s="29"/>
      <c r="K24" s="29"/>
      <c r="L24" s="29"/>
      <c r="M24" s="29"/>
    </row>
    <row r="25" ht="15.75" spans="1:19">
      <c r="A25" s="29"/>
      <c r="B25" s="29"/>
      <c r="C25" s="30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ht="15.75" spans="1:19">
      <c r="A26" s="105" t="s">
        <v>42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</row>
    <row r="27" ht="15.75" spans="1:19">
      <c r="A27" s="29"/>
      <c r="B27" s="29"/>
      <c r="C27" s="30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 ht="15.75" spans="1:19">
      <c r="A28" s="33"/>
      <c r="B28" s="34"/>
      <c r="C28" s="42" t="s">
        <v>43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ht="15.75" spans="1:19">
      <c r="A29" s="33"/>
      <c r="B29" s="29"/>
      <c r="C29" s="42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ht="16.5" spans="1:19">
      <c r="A30" s="33"/>
      <c r="B30" s="29"/>
      <c r="C30" s="42"/>
      <c r="D30" s="29"/>
      <c r="E30" s="29"/>
      <c r="F30" s="106" t="s">
        <v>44</v>
      </c>
      <c r="G30" s="29"/>
      <c r="H30" s="106" t="s">
        <v>44</v>
      </c>
      <c r="I30" s="29"/>
      <c r="J30" s="29"/>
      <c r="L30" s="102">
        <v>2</v>
      </c>
      <c r="M30" s="102">
        <v>2</v>
      </c>
      <c r="N30" s="102">
        <v>2</v>
      </c>
      <c r="O30" s="70">
        <v>2</v>
      </c>
      <c r="P30" s="70">
        <v>1</v>
      </c>
      <c r="Q30" s="70">
        <v>2</v>
      </c>
      <c r="R30" s="70">
        <v>4</v>
      </c>
      <c r="S30" s="70">
        <v>6</v>
      </c>
    </row>
    <row r="31" ht="16.5" spans="1:19">
      <c r="A31" s="33"/>
      <c r="B31" s="29"/>
      <c r="C31" s="42"/>
      <c r="D31" s="29"/>
      <c r="E31" s="29"/>
      <c r="H31" s="64" t="s">
        <v>45</v>
      </c>
      <c r="I31" s="29"/>
      <c r="J31" s="29"/>
      <c r="K31" s="29"/>
      <c r="L31" s="64" t="s">
        <v>46</v>
      </c>
      <c r="M31" s="29"/>
      <c r="N31" s="29"/>
      <c r="O31" s="29"/>
      <c r="P31" s="64" t="s">
        <v>47</v>
      </c>
      <c r="Q31" s="29"/>
      <c r="R31" s="29"/>
      <c r="S31" s="29"/>
    </row>
    <row r="32" ht="16.5" spans="1:19">
      <c r="A32" s="33"/>
      <c r="B32" s="29"/>
      <c r="C32" s="42"/>
      <c r="D32" s="2" t="s">
        <v>48</v>
      </c>
      <c r="E32" s="64" t="s">
        <v>49</v>
      </c>
      <c r="F32" s="64" t="s">
        <v>50</v>
      </c>
      <c r="G32" s="64" t="s">
        <v>51</v>
      </c>
      <c r="H32" s="64" t="s">
        <v>52</v>
      </c>
      <c r="I32" s="64" t="s">
        <v>53</v>
      </c>
      <c r="J32" s="64" t="s">
        <v>54</v>
      </c>
      <c r="K32" s="64" t="s">
        <v>55</v>
      </c>
      <c r="L32" s="64" t="s">
        <v>52</v>
      </c>
      <c r="M32" s="64" t="s">
        <v>53</v>
      </c>
      <c r="N32" s="64" t="s">
        <v>54</v>
      </c>
      <c r="O32" s="64" t="s">
        <v>55</v>
      </c>
      <c r="P32" s="64" t="s">
        <v>52</v>
      </c>
      <c r="Q32" s="64" t="s">
        <v>53</v>
      </c>
      <c r="R32" s="64" t="s">
        <v>54</v>
      </c>
      <c r="S32" s="64" t="s">
        <v>55</v>
      </c>
    </row>
    <row r="33" ht="16.5" spans="1:24">
      <c r="A33" s="33"/>
      <c r="B33" s="29"/>
      <c r="C33" s="42"/>
      <c r="D33" s="61" t="s">
        <v>32</v>
      </c>
      <c r="E33" s="71">
        <v>0</v>
      </c>
      <c r="F33" s="71">
        <v>10</v>
      </c>
      <c r="G33" s="71">
        <f>SUM($F$33:F33)</f>
        <v>10</v>
      </c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</row>
    <row r="34" ht="16.5" spans="1:24">
      <c r="A34" s="33"/>
      <c r="B34" s="29"/>
      <c r="C34" s="42"/>
      <c r="D34" s="61" t="s">
        <v>32</v>
      </c>
      <c r="E34" s="71">
        <f>E33+1</f>
        <v>1</v>
      </c>
      <c r="F34" s="71">
        <v>5</v>
      </c>
      <c r="G34" s="71">
        <f>SUM($F$33:F34)</f>
        <v>15</v>
      </c>
      <c r="H34" s="71">
        <v>1500</v>
      </c>
      <c r="I34" s="71">
        <v>2500</v>
      </c>
      <c r="J34" s="71">
        <v>4000</v>
      </c>
      <c r="K34" s="71">
        <v>6000</v>
      </c>
      <c r="L34" s="71">
        <v>30</v>
      </c>
      <c r="M34" s="71">
        <v>45</v>
      </c>
      <c r="N34" s="71">
        <v>60</v>
      </c>
      <c r="O34" s="71">
        <v>75</v>
      </c>
      <c r="P34" s="71">
        <v>6</v>
      </c>
      <c r="Q34" s="71">
        <v>9</v>
      </c>
      <c r="R34" s="71">
        <v>12</v>
      </c>
      <c r="S34" s="71">
        <v>15</v>
      </c>
      <c r="U34" t="str">
        <f>"[{2,"&amp;H34&amp;"}]"</f>
        <v>[{2,1500}]</v>
      </c>
      <c r="V34" t="str">
        <f>"[{2,"&amp;I34&amp;"}]"</f>
        <v>[{2,2500}]</v>
      </c>
      <c r="W34" t="str">
        <f>"[{2,"&amp;J34&amp;"}]"</f>
        <v>[{2,4000}]</v>
      </c>
      <c r="X34" t="str">
        <f>"[{2,"&amp;K34&amp;"}]"</f>
        <v>[{2,6000}]</v>
      </c>
    </row>
    <row r="35" ht="16.5" spans="1:24">
      <c r="A35" s="33"/>
      <c r="B35" s="29"/>
      <c r="C35" s="42"/>
      <c r="D35" s="61" t="s">
        <v>32</v>
      </c>
      <c r="E35" s="71">
        <f t="shared" ref="E35:E49" si="0">E34+1</f>
        <v>2</v>
      </c>
      <c r="F35" s="71">
        <v>5</v>
      </c>
      <c r="G35" s="71">
        <f>SUM($F$33:F35)</f>
        <v>20</v>
      </c>
      <c r="H35" s="71">
        <f>H34+75</f>
        <v>1575</v>
      </c>
      <c r="I35" s="71">
        <f>I34+125</f>
        <v>2625</v>
      </c>
      <c r="J35" s="71">
        <f>J34+200</f>
        <v>4200</v>
      </c>
      <c r="K35" s="71">
        <f>K34+300</f>
        <v>6300</v>
      </c>
      <c r="L35" s="71">
        <f t="shared" ref="L35:S35" si="1">L$34*$E35</f>
        <v>60</v>
      </c>
      <c r="M35" s="71">
        <f t="shared" si="1"/>
        <v>90</v>
      </c>
      <c r="N35" s="71">
        <f t="shared" si="1"/>
        <v>120</v>
      </c>
      <c r="O35" s="71">
        <f t="shared" si="1"/>
        <v>150</v>
      </c>
      <c r="P35" s="71">
        <f t="shared" si="1"/>
        <v>12</v>
      </c>
      <c r="Q35" s="71">
        <f t="shared" si="1"/>
        <v>18</v>
      </c>
      <c r="R35" s="71">
        <f t="shared" si="1"/>
        <v>24</v>
      </c>
      <c r="S35" s="71">
        <f t="shared" si="1"/>
        <v>30</v>
      </c>
      <c r="U35" t="str">
        <f t="shared" ref="U35:U66" si="2">"[{2,"&amp;H35&amp;"}]"</f>
        <v>[{2,1575}]</v>
      </c>
      <c r="V35" t="str">
        <f t="shared" ref="V35:V66" si="3">"[{2,"&amp;I35&amp;"}]"</f>
        <v>[{2,2625}]</v>
      </c>
      <c r="W35" t="str">
        <f t="shared" ref="W35:W66" si="4">"[{2,"&amp;J35&amp;"}]"</f>
        <v>[{2,4200}]</v>
      </c>
      <c r="X35" t="str">
        <f t="shared" ref="X35:X66" si="5">"[{2,"&amp;K35&amp;"}]"</f>
        <v>[{2,6300}]</v>
      </c>
    </row>
    <row r="36" ht="16.5" spans="1:24">
      <c r="A36" s="33"/>
      <c r="B36" s="29"/>
      <c r="C36" s="42"/>
      <c r="D36" s="61" t="s">
        <v>32</v>
      </c>
      <c r="E36" s="71">
        <f t="shared" si="0"/>
        <v>3</v>
      </c>
      <c r="F36" s="71">
        <v>5</v>
      </c>
      <c r="G36" s="71">
        <f>SUM($F$33:F36)</f>
        <v>25</v>
      </c>
      <c r="H36" s="71">
        <f t="shared" ref="H36:H67" si="6">H35+75</f>
        <v>1650</v>
      </c>
      <c r="I36" s="71">
        <f t="shared" ref="I36:I67" si="7">I35+125</f>
        <v>2750</v>
      </c>
      <c r="J36" s="71">
        <f t="shared" ref="J36:J67" si="8">J35+200</f>
        <v>4400</v>
      </c>
      <c r="K36" s="71">
        <f t="shared" ref="K36:K67" si="9">K35+300</f>
        <v>6600</v>
      </c>
      <c r="L36" s="71">
        <f t="shared" ref="L36:L67" si="10">L$34*$E36</f>
        <v>90</v>
      </c>
      <c r="M36" s="71">
        <f t="shared" ref="M36:M67" si="11">M$34*$E36</f>
        <v>135</v>
      </c>
      <c r="N36" s="71">
        <f t="shared" ref="N36:N67" si="12">N$34*$E36</f>
        <v>180</v>
      </c>
      <c r="O36" s="71">
        <f t="shared" ref="O36:O67" si="13">O$34*$E36</f>
        <v>225</v>
      </c>
      <c r="P36" s="71">
        <f t="shared" ref="P36:P67" si="14">P$34*$E36</f>
        <v>18</v>
      </c>
      <c r="Q36" s="71">
        <f t="shared" ref="Q36:Q67" si="15">Q$34*$E36</f>
        <v>27</v>
      </c>
      <c r="R36" s="71">
        <f t="shared" ref="R36:R67" si="16">R$34*$E36</f>
        <v>36</v>
      </c>
      <c r="S36" s="71">
        <f t="shared" ref="S36:S67" si="17">S$34*$E36</f>
        <v>45</v>
      </c>
      <c r="U36" t="str">
        <f t="shared" si="2"/>
        <v>[{2,1650}]</v>
      </c>
      <c r="V36" t="str">
        <f t="shared" si="3"/>
        <v>[{2,2750}]</v>
      </c>
      <c r="W36" t="str">
        <f t="shared" si="4"/>
        <v>[{2,4400}]</v>
      </c>
      <c r="X36" t="str">
        <f t="shared" si="5"/>
        <v>[{2,6600}]</v>
      </c>
    </row>
    <row r="37" ht="16.5" spans="1:24">
      <c r="A37" s="33"/>
      <c r="B37" s="29"/>
      <c r="C37" s="42"/>
      <c r="D37" s="61" t="s">
        <v>32</v>
      </c>
      <c r="E37" s="71">
        <f t="shared" si="0"/>
        <v>4</v>
      </c>
      <c r="F37" s="71">
        <v>5</v>
      </c>
      <c r="G37" s="71">
        <f>SUM($F$33:F37)</f>
        <v>30</v>
      </c>
      <c r="H37" s="71">
        <f t="shared" si="6"/>
        <v>1725</v>
      </c>
      <c r="I37" s="71">
        <f t="shared" si="7"/>
        <v>2875</v>
      </c>
      <c r="J37" s="71">
        <f t="shared" si="8"/>
        <v>4600</v>
      </c>
      <c r="K37" s="71">
        <f t="shared" si="9"/>
        <v>6900</v>
      </c>
      <c r="L37" s="71">
        <f t="shared" si="10"/>
        <v>120</v>
      </c>
      <c r="M37" s="71">
        <f t="shared" si="11"/>
        <v>180</v>
      </c>
      <c r="N37" s="71">
        <f t="shared" si="12"/>
        <v>240</v>
      </c>
      <c r="O37" s="71">
        <f t="shared" si="13"/>
        <v>300</v>
      </c>
      <c r="P37" s="71">
        <f t="shared" si="14"/>
        <v>24</v>
      </c>
      <c r="Q37" s="71">
        <f t="shared" si="15"/>
        <v>36</v>
      </c>
      <c r="R37" s="71">
        <f t="shared" si="16"/>
        <v>48</v>
      </c>
      <c r="S37" s="71">
        <f t="shared" si="17"/>
        <v>60</v>
      </c>
      <c r="U37" t="str">
        <f t="shared" si="2"/>
        <v>[{2,1725}]</v>
      </c>
      <c r="V37" t="str">
        <f t="shared" si="3"/>
        <v>[{2,2875}]</v>
      </c>
      <c r="W37" t="str">
        <f t="shared" si="4"/>
        <v>[{2,4600}]</v>
      </c>
      <c r="X37" t="str">
        <f t="shared" si="5"/>
        <v>[{2,6900}]</v>
      </c>
    </row>
    <row r="38" ht="16.5" spans="1:24">
      <c r="A38" s="33"/>
      <c r="B38" s="29"/>
      <c r="C38" s="42"/>
      <c r="D38" s="61" t="s">
        <v>32</v>
      </c>
      <c r="E38" s="71">
        <f t="shared" si="0"/>
        <v>5</v>
      </c>
      <c r="F38" s="71">
        <v>10</v>
      </c>
      <c r="G38" s="71">
        <f>SUM($F$33:F38)</f>
        <v>40</v>
      </c>
      <c r="H38" s="71">
        <f t="shared" si="6"/>
        <v>1800</v>
      </c>
      <c r="I38" s="71">
        <f t="shared" si="7"/>
        <v>3000</v>
      </c>
      <c r="J38" s="71">
        <f t="shared" si="8"/>
        <v>4800</v>
      </c>
      <c r="K38" s="71">
        <f t="shared" si="9"/>
        <v>7200</v>
      </c>
      <c r="L38" s="71">
        <f t="shared" si="10"/>
        <v>150</v>
      </c>
      <c r="M38" s="71">
        <f t="shared" si="11"/>
        <v>225</v>
      </c>
      <c r="N38" s="71">
        <f t="shared" si="12"/>
        <v>300</v>
      </c>
      <c r="O38" s="71">
        <f t="shared" si="13"/>
        <v>375</v>
      </c>
      <c r="P38" s="71">
        <f t="shared" si="14"/>
        <v>30</v>
      </c>
      <c r="Q38" s="71">
        <f t="shared" si="15"/>
        <v>45</v>
      </c>
      <c r="R38" s="71">
        <f t="shared" si="16"/>
        <v>60</v>
      </c>
      <c r="S38" s="71">
        <f t="shared" si="17"/>
        <v>75</v>
      </c>
      <c r="U38" t="str">
        <f t="shared" si="2"/>
        <v>[{2,1800}]</v>
      </c>
      <c r="V38" t="str">
        <f t="shared" si="3"/>
        <v>[{2,3000}]</v>
      </c>
      <c r="W38" t="str">
        <f t="shared" si="4"/>
        <v>[{2,4800}]</v>
      </c>
      <c r="X38" t="str">
        <f t="shared" si="5"/>
        <v>[{2,7200}]</v>
      </c>
    </row>
    <row r="39" ht="16.5" spans="1:24">
      <c r="A39" s="33"/>
      <c r="B39" s="29"/>
      <c r="C39" s="42"/>
      <c r="D39" s="61" t="s">
        <v>32</v>
      </c>
      <c r="E39" s="71">
        <f t="shared" si="0"/>
        <v>6</v>
      </c>
      <c r="F39" s="71">
        <v>10</v>
      </c>
      <c r="G39" s="71">
        <f>SUM($F$33:F39)</f>
        <v>50</v>
      </c>
      <c r="H39" s="71">
        <f t="shared" si="6"/>
        <v>1875</v>
      </c>
      <c r="I39" s="71">
        <f t="shared" si="7"/>
        <v>3125</v>
      </c>
      <c r="J39" s="71">
        <f t="shared" si="8"/>
        <v>5000</v>
      </c>
      <c r="K39" s="71">
        <f t="shared" si="9"/>
        <v>7500</v>
      </c>
      <c r="L39" s="71">
        <f t="shared" si="10"/>
        <v>180</v>
      </c>
      <c r="M39" s="71">
        <f t="shared" si="11"/>
        <v>270</v>
      </c>
      <c r="N39" s="71">
        <f t="shared" si="12"/>
        <v>360</v>
      </c>
      <c r="O39" s="71">
        <f t="shared" si="13"/>
        <v>450</v>
      </c>
      <c r="P39" s="71">
        <f t="shared" si="14"/>
        <v>36</v>
      </c>
      <c r="Q39" s="71">
        <f t="shared" si="15"/>
        <v>54</v>
      </c>
      <c r="R39" s="71">
        <f t="shared" si="16"/>
        <v>72</v>
      </c>
      <c r="S39" s="71">
        <f t="shared" si="17"/>
        <v>90</v>
      </c>
      <c r="U39" t="str">
        <f t="shared" si="2"/>
        <v>[{2,1875}]</v>
      </c>
      <c r="V39" t="str">
        <f t="shared" si="3"/>
        <v>[{2,3125}]</v>
      </c>
      <c r="W39" t="str">
        <f t="shared" si="4"/>
        <v>[{2,5000}]</v>
      </c>
      <c r="X39" t="str">
        <f t="shared" si="5"/>
        <v>[{2,7500}]</v>
      </c>
    </row>
    <row r="40" ht="16.5" spans="1:24">
      <c r="A40" s="33"/>
      <c r="B40" s="29"/>
      <c r="C40" s="42"/>
      <c r="D40" s="61" t="s">
        <v>32</v>
      </c>
      <c r="E40" s="71">
        <f t="shared" si="0"/>
        <v>7</v>
      </c>
      <c r="F40" s="71">
        <v>10</v>
      </c>
      <c r="G40" s="71">
        <f>SUM($F$33:F40)</f>
        <v>60</v>
      </c>
      <c r="H40" s="71">
        <f t="shared" si="6"/>
        <v>1950</v>
      </c>
      <c r="I40" s="71">
        <f t="shared" si="7"/>
        <v>3250</v>
      </c>
      <c r="J40" s="71">
        <f t="shared" si="8"/>
        <v>5200</v>
      </c>
      <c r="K40" s="71">
        <f t="shared" si="9"/>
        <v>7800</v>
      </c>
      <c r="L40" s="71">
        <f t="shared" si="10"/>
        <v>210</v>
      </c>
      <c r="M40" s="71">
        <f t="shared" si="11"/>
        <v>315</v>
      </c>
      <c r="N40" s="71">
        <f t="shared" si="12"/>
        <v>420</v>
      </c>
      <c r="O40" s="71">
        <f t="shared" si="13"/>
        <v>525</v>
      </c>
      <c r="P40" s="71">
        <f t="shared" si="14"/>
        <v>42</v>
      </c>
      <c r="Q40" s="71">
        <f t="shared" si="15"/>
        <v>63</v>
      </c>
      <c r="R40" s="71">
        <f t="shared" si="16"/>
        <v>84</v>
      </c>
      <c r="S40" s="71">
        <f t="shared" si="17"/>
        <v>105</v>
      </c>
      <c r="U40" t="str">
        <f t="shared" si="2"/>
        <v>[{2,1950}]</v>
      </c>
      <c r="V40" t="str">
        <f t="shared" si="3"/>
        <v>[{2,3250}]</v>
      </c>
      <c r="W40" t="str">
        <f t="shared" si="4"/>
        <v>[{2,5200}]</v>
      </c>
      <c r="X40" t="str">
        <f t="shared" si="5"/>
        <v>[{2,7800}]</v>
      </c>
    </row>
    <row r="41" ht="16.5" spans="1:24">
      <c r="A41" s="33"/>
      <c r="B41" s="29"/>
      <c r="C41" s="42"/>
      <c r="D41" s="61" t="s">
        <v>32</v>
      </c>
      <c r="E41" s="71">
        <f t="shared" si="0"/>
        <v>8</v>
      </c>
      <c r="F41" s="71">
        <v>10</v>
      </c>
      <c r="G41" s="71">
        <f>SUM($F$33:F41)</f>
        <v>70</v>
      </c>
      <c r="H41" s="71">
        <f t="shared" si="6"/>
        <v>2025</v>
      </c>
      <c r="I41" s="71">
        <f t="shared" si="7"/>
        <v>3375</v>
      </c>
      <c r="J41" s="71">
        <f t="shared" si="8"/>
        <v>5400</v>
      </c>
      <c r="K41" s="71">
        <f t="shared" si="9"/>
        <v>8100</v>
      </c>
      <c r="L41" s="71">
        <f t="shared" si="10"/>
        <v>240</v>
      </c>
      <c r="M41" s="71">
        <f t="shared" si="11"/>
        <v>360</v>
      </c>
      <c r="N41" s="71">
        <f t="shared" si="12"/>
        <v>480</v>
      </c>
      <c r="O41" s="71">
        <f t="shared" si="13"/>
        <v>600</v>
      </c>
      <c r="P41" s="71">
        <f t="shared" si="14"/>
        <v>48</v>
      </c>
      <c r="Q41" s="71">
        <f t="shared" si="15"/>
        <v>72</v>
      </c>
      <c r="R41" s="71">
        <f t="shared" si="16"/>
        <v>96</v>
      </c>
      <c r="S41" s="71">
        <f t="shared" si="17"/>
        <v>120</v>
      </c>
      <c r="U41" t="str">
        <f t="shared" si="2"/>
        <v>[{2,2025}]</v>
      </c>
      <c r="V41" t="str">
        <f t="shared" si="3"/>
        <v>[{2,3375}]</v>
      </c>
      <c r="W41" t="str">
        <f t="shared" si="4"/>
        <v>[{2,5400}]</v>
      </c>
      <c r="X41" t="str">
        <f t="shared" si="5"/>
        <v>[{2,8100}]</v>
      </c>
    </row>
    <row r="42" ht="16.5" spans="1:24">
      <c r="A42" s="33"/>
      <c r="B42" s="29"/>
      <c r="C42" s="42"/>
      <c r="D42" s="61" t="s">
        <v>32</v>
      </c>
      <c r="E42" s="71">
        <f t="shared" si="0"/>
        <v>9</v>
      </c>
      <c r="F42" s="71">
        <v>10</v>
      </c>
      <c r="G42" s="71">
        <f>SUM($F$33:F42)</f>
        <v>80</v>
      </c>
      <c r="H42" s="71">
        <f t="shared" si="6"/>
        <v>2100</v>
      </c>
      <c r="I42" s="71">
        <f t="shared" si="7"/>
        <v>3500</v>
      </c>
      <c r="J42" s="71">
        <f t="shared" si="8"/>
        <v>5600</v>
      </c>
      <c r="K42" s="71">
        <f t="shared" si="9"/>
        <v>8400</v>
      </c>
      <c r="L42" s="71">
        <f t="shared" si="10"/>
        <v>270</v>
      </c>
      <c r="M42" s="71">
        <f t="shared" si="11"/>
        <v>405</v>
      </c>
      <c r="N42" s="71">
        <f t="shared" si="12"/>
        <v>540</v>
      </c>
      <c r="O42" s="71">
        <f t="shared" si="13"/>
        <v>675</v>
      </c>
      <c r="P42" s="71">
        <f t="shared" si="14"/>
        <v>54</v>
      </c>
      <c r="Q42" s="71">
        <f t="shared" si="15"/>
        <v>81</v>
      </c>
      <c r="R42" s="71">
        <f t="shared" si="16"/>
        <v>108</v>
      </c>
      <c r="S42" s="71">
        <f t="shared" si="17"/>
        <v>135</v>
      </c>
      <c r="U42" t="str">
        <f t="shared" si="2"/>
        <v>[{2,2100}]</v>
      </c>
      <c r="V42" t="str">
        <f t="shared" si="3"/>
        <v>[{2,3500}]</v>
      </c>
      <c r="W42" t="str">
        <f t="shared" si="4"/>
        <v>[{2,5600}]</v>
      </c>
      <c r="X42" t="str">
        <f t="shared" si="5"/>
        <v>[{2,8400}]</v>
      </c>
    </row>
    <row r="43" ht="16.5" spans="1:24">
      <c r="A43" s="33"/>
      <c r="B43" s="29"/>
      <c r="C43" s="42"/>
      <c r="D43" s="61" t="s">
        <v>32</v>
      </c>
      <c r="E43" s="71">
        <f t="shared" si="0"/>
        <v>10</v>
      </c>
      <c r="F43" s="71">
        <v>25</v>
      </c>
      <c r="G43" s="71">
        <f>SUM($F$33:F43)</f>
        <v>105</v>
      </c>
      <c r="H43" s="71">
        <f t="shared" si="6"/>
        <v>2175</v>
      </c>
      <c r="I43" s="71">
        <f t="shared" si="7"/>
        <v>3625</v>
      </c>
      <c r="J43" s="71">
        <f t="shared" si="8"/>
        <v>5800</v>
      </c>
      <c r="K43" s="71">
        <f t="shared" si="9"/>
        <v>8700</v>
      </c>
      <c r="L43" s="71">
        <f t="shared" si="10"/>
        <v>300</v>
      </c>
      <c r="M43" s="71">
        <f t="shared" si="11"/>
        <v>450</v>
      </c>
      <c r="N43" s="71">
        <f t="shared" si="12"/>
        <v>600</v>
      </c>
      <c r="O43" s="71">
        <f t="shared" si="13"/>
        <v>750</v>
      </c>
      <c r="P43" s="71">
        <f t="shared" si="14"/>
        <v>60</v>
      </c>
      <c r="Q43" s="71">
        <f t="shared" si="15"/>
        <v>90</v>
      </c>
      <c r="R43" s="71">
        <f t="shared" si="16"/>
        <v>120</v>
      </c>
      <c r="S43" s="71">
        <f t="shared" si="17"/>
        <v>150</v>
      </c>
      <c r="U43" t="str">
        <f t="shared" si="2"/>
        <v>[{2,2175}]</v>
      </c>
      <c r="V43" t="str">
        <f t="shared" si="3"/>
        <v>[{2,3625}]</v>
      </c>
      <c r="W43" t="str">
        <f t="shared" si="4"/>
        <v>[{2,5800}]</v>
      </c>
      <c r="X43" t="str">
        <f t="shared" si="5"/>
        <v>[{2,8700}]</v>
      </c>
    </row>
    <row r="44" ht="16.5" spans="1:24">
      <c r="A44" s="33"/>
      <c r="B44" s="29"/>
      <c r="C44" s="42"/>
      <c r="D44" s="61" t="s">
        <v>32</v>
      </c>
      <c r="E44" s="71">
        <f t="shared" si="0"/>
        <v>11</v>
      </c>
      <c r="F44" s="71">
        <v>25</v>
      </c>
      <c r="G44" s="71">
        <f>SUM($F$33:F44)</f>
        <v>130</v>
      </c>
      <c r="H44" s="71">
        <f t="shared" si="6"/>
        <v>2250</v>
      </c>
      <c r="I44" s="71">
        <f t="shared" si="7"/>
        <v>3750</v>
      </c>
      <c r="J44" s="71">
        <f t="shared" si="8"/>
        <v>6000</v>
      </c>
      <c r="K44" s="71">
        <f t="shared" si="9"/>
        <v>9000</v>
      </c>
      <c r="L44" s="71">
        <f t="shared" si="10"/>
        <v>330</v>
      </c>
      <c r="M44" s="71">
        <f t="shared" si="11"/>
        <v>495</v>
      </c>
      <c r="N44" s="71">
        <f t="shared" si="12"/>
        <v>660</v>
      </c>
      <c r="O44" s="71">
        <f t="shared" si="13"/>
        <v>825</v>
      </c>
      <c r="P44" s="71">
        <f t="shared" si="14"/>
        <v>66</v>
      </c>
      <c r="Q44" s="71">
        <f t="shared" si="15"/>
        <v>99</v>
      </c>
      <c r="R44" s="71">
        <f t="shared" si="16"/>
        <v>132</v>
      </c>
      <c r="S44" s="71">
        <f t="shared" si="17"/>
        <v>165</v>
      </c>
      <c r="U44" t="str">
        <f t="shared" si="2"/>
        <v>[{2,2250}]</v>
      </c>
      <c r="V44" t="str">
        <f t="shared" si="3"/>
        <v>[{2,3750}]</v>
      </c>
      <c r="W44" t="str">
        <f t="shared" si="4"/>
        <v>[{2,6000}]</v>
      </c>
      <c r="X44" t="str">
        <f t="shared" si="5"/>
        <v>[{2,9000}]</v>
      </c>
    </row>
    <row r="45" ht="16.5" spans="1:24">
      <c r="A45" s="33"/>
      <c r="B45" s="29"/>
      <c r="C45" s="42"/>
      <c r="D45" s="61" t="s">
        <v>32</v>
      </c>
      <c r="E45" s="71">
        <f t="shared" si="0"/>
        <v>12</v>
      </c>
      <c r="F45" s="71">
        <v>25</v>
      </c>
      <c r="G45" s="71">
        <f>SUM($F$33:F45)</f>
        <v>155</v>
      </c>
      <c r="H45" s="71">
        <f t="shared" si="6"/>
        <v>2325</v>
      </c>
      <c r="I45" s="71">
        <f t="shared" si="7"/>
        <v>3875</v>
      </c>
      <c r="J45" s="71">
        <f t="shared" si="8"/>
        <v>6200</v>
      </c>
      <c r="K45" s="71">
        <f t="shared" si="9"/>
        <v>9300</v>
      </c>
      <c r="L45" s="71">
        <f t="shared" si="10"/>
        <v>360</v>
      </c>
      <c r="M45" s="71">
        <f t="shared" si="11"/>
        <v>540</v>
      </c>
      <c r="N45" s="71">
        <f t="shared" si="12"/>
        <v>720</v>
      </c>
      <c r="O45" s="71">
        <f t="shared" si="13"/>
        <v>900</v>
      </c>
      <c r="P45" s="71">
        <f t="shared" si="14"/>
        <v>72</v>
      </c>
      <c r="Q45" s="71">
        <f t="shared" si="15"/>
        <v>108</v>
      </c>
      <c r="R45" s="71">
        <f t="shared" si="16"/>
        <v>144</v>
      </c>
      <c r="S45" s="71">
        <f t="shared" si="17"/>
        <v>180</v>
      </c>
      <c r="U45" t="str">
        <f t="shared" si="2"/>
        <v>[{2,2325}]</v>
      </c>
      <c r="V45" t="str">
        <f t="shared" si="3"/>
        <v>[{2,3875}]</v>
      </c>
      <c r="W45" t="str">
        <f t="shared" si="4"/>
        <v>[{2,6200}]</v>
      </c>
      <c r="X45" t="str">
        <f t="shared" si="5"/>
        <v>[{2,9300}]</v>
      </c>
    </row>
    <row r="46" ht="16.5" spans="1:24">
      <c r="A46" s="33"/>
      <c r="B46" s="29"/>
      <c r="C46" s="42"/>
      <c r="D46" s="61" t="s">
        <v>32</v>
      </c>
      <c r="E46" s="71">
        <f t="shared" si="0"/>
        <v>13</v>
      </c>
      <c r="F46" s="71">
        <v>25</v>
      </c>
      <c r="G46" s="71">
        <f>SUM($F$33:F46)</f>
        <v>180</v>
      </c>
      <c r="H46" s="71">
        <f t="shared" si="6"/>
        <v>2400</v>
      </c>
      <c r="I46" s="71">
        <f t="shared" si="7"/>
        <v>4000</v>
      </c>
      <c r="J46" s="71">
        <f t="shared" si="8"/>
        <v>6400</v>
      </c>
      <c r="K46" s="71">
        <f t="shared" si="9"/>
        <v>9600</v>
      </c>
      <c r="L46" s="71">
        <f t="shared" si="10"/>
        <v>390</v>
      </c>
      <c r="M46" s="71">
        <f t="shared" si="11"/>
        <v>585</v>
      </c>
      <c r="N46" s="71">
        <f t="shared" si="12"/>
        <v>780</v>
      </c>
      <c r="O46" s="71">
        <f t="shared" si="13"/>
        <v>975</v>
      </c>
      <c r="P46" s="71">
        <f t="shared" si="14"/>
        <v>78</v>
      </c>
      <c r="Q46" s="71">
        <f t="shared" si="15"/>
        <v>117</v>
      </c>
      <c r="R46" s="71">
        <f t="shared" si="16"/>
        <v>156</v>
      </c>
      <c r="S46" s="71">
        <f t="shared" si="17"/>
        <v>195</v>
      </c>
      <c r="U46" t="str">
        <f t="shared" si="2"/>
        <v>[{2,2400}]</v>
      </c>
      <c r="V46" t="str">
        <f t="shared" si="3"/>
        <v>[{2,4000}]</v>
      </c>
      <c r="W46" t="str">
        <f t="shared" si="4"/>
        <v>[{2,6400}]</v>
      </c>
      <c r="X46" t="str">
        <f t="shared" si="5"/>
        <v>[{2,9600}]</v>
      </c>
    </row>
    <row r="47" ht="16.5" spans="1:24">
      <c r="A47" s="33"/>
      <c r="B47" s="29"/>
      <c r="C47" s="42"/>
      <c r="D47" s="61" t="s">
        <v>32</v>
      </c>
      <c r="E47" s="71">
        <f t="shared" si="0"/>
        <v>14</v>
      </c>
      <c r="F47" s="71">
        <v>25</v>
      </c>
      <c r="G47" s="71">
        <f>SUM($F$33:F47)</f>
        <v>205</v>
      </c>
      <c r="H47" s="71">
        <f t="shared" si="6"/>
        <v>2475</v>
      </c>
      <c r="I47" s="71">
        <f t="shared" si="7"/>
        <v>4125</v>
      </c>
      <c r="J47" s="71">
        <f t="shared" si="8"/>
        <v>6600</v>
      </c>
      <c r="K47" s="71">
        <f t="shared" si="9"/>
        <v>9900</v>
      </c>
      <c r="L47" s="71">
        <f t="shared" si="10"/>
        <v>420</v>
      </c>
      <c r="M47" s="71">
        <f t="shared" si="11"/>
        <v>630</v>
      </c>
      <c r="N47" s="71">
        <f t="shared" si="12"/>
        <v>840</v>
      </c>
      <c r="O47" s="71">
        <f t="shared" si="13"/>
        <v>1050</v>
      </c>
      <c r="P47" s="71">
        <f t="shared" si="14"/>
        <v>84</v>
      </c>
      <c r="Q47" s="71">
        <f t="shared" si="15"/>
        <v>126</v>
      </c>
      <c r="R47" s="71">
        <f t="shared" si="16"/>
        <v>168</v>
      </c>
      <c r="S47" s="71">
        <f t="shared" si="17"/>
        <v>210</v>
      </c>
      <c r="U47" t="str">
        <f t="shared" si="2"/>
        <v>[{2,2475}]</v>
      </c>
      <c r="V47" t="str">
        <f t="shared" si="3"/>
        <v>[{2,4125}]</v>
      </c>
      <c r="W47" t="str">
        <f t="shared" si="4"/>
        <v>[{2,6600}]</v>
      </c>
      <c r="X47" t="str">
        <f t="shared" si="5"/>
        <v>[{2,9900}]</v>
      </c>
    </row>
    <row r="48" ht="16.5" spans="1:24">
      <c r="A48" s="33"/>
      <c r="B48" s="29"/>
      <c r="C48" s="42"/>
      <c r="D48" s="61" t="s">
        <v>32</v>
      </c>
      <c r="E48" s="71">
        <f t="shared" si="0"/>
        <v>15</v>
      </c>
      <c r="F48" s="71">
        <v>50</v>
      </c>
      <c r="G48" s="71">
        <f>SUM($F$33:F48)</f>
        <v>255</v>
      </c>
      <c r="H48" s="71">
        <f t="shared" si="6"/>
        <v>2550</v>
      </c>
      <c r="I48" s="71">
        <f t="shared" si="7"/>
        <v>4250</v>
      </c>
      <c r="J48" s="71">
        <f t="shared" si="8"/>
        <v>6800</v>
      </c>
      <c r="K48" s="71">
        <f t="shared" si="9"/>
        <v>10200</v>
      </c>
      <c r="L48" s="71">
        <f t="shared" si="10"/>
        <v>450</v>
      </c>
      <c r="M48" s="71">
        <f t="shared" si="11"/>
        <v>675</v>
      </c>
      <c r="N48" s="71">
        <f t="shared" si="12"/>
        <v>900</v>
      </c>
      <c r="O48" s="71">
        <f t="shared" si="13"/>
        <v>1125</v>
      </c>
      <c r="P48" s="71">
        <f t="shared" si="14"/>
        <v>90</v>
      </c>
      <c r="Q48" s="71">
        <f t="shared" si="15"/>
        <v>135</v>
      </c>
      <c r="R48" s="71">
        <f t="shared" si="16"/>
        <v>180</v>
      </c>
      <c r="S48" s="71">
        <f t="shared" si="17"/>
        <v>225</v>
      </c>
      <c r="U48" t="str">
        <f t="shared" si="2"/>
        <v>[{2,2550}]</v>
      </c>
      <c r="V48" t="str">
        <f t="shared" si="3"/>
        <v>[{2,4250}]</v>
      </c>
      <c r="W48" t="str">
        <f t="shared" si="4"/>
        <v>[{2,6800}]</v>
      </c>
      <c r="X48" t="str">
        <f t="shared" si="5"/>
        <v>[{2,10200}]</v>
      </c>
    </row>
    <row r="49" ht="16.5" spans="1:24">
      <c r="A49" s="33"/>
      <c r="B49" s="29"/>
      <c r="C49" s="42"/>
      <c r="D49" s="61" t="s">
        <v>32</v>
      </c>
      <c r="E49" s="71">
        <f t="shared" si="0"/>
        <v>16</v>
      </c>
      <c r="F49" s="71">
        <v>50</v>
      </c>
      <c r="G49" s="71">
        <f>SUM($F$33:F49)</f>
        <v>305</v>
      </c>
      <c r="H49" s="71">
        <f t="shared" si="6"/>
        <v>2625</v>
      </c>
      <c r="I49" s="71">
        <f t="shared" si="7"/>
        <v>4375</v>
      </c>
      <c r="J49" s="71">
        <f t="shared" si="8"/>
        <v>7000</v>
      </c>
      <c r="K49" s="71">
        <f t="shared" si="9"/>
        <v>10500</v>
      </c>
      <c r="L49" s="71">
        <f t="shared" si="10"/>
        <v>480</v>
      </c>
      <c r="M49" s="71">
        <f t="shared" si="11"/>
        <v>720</v>
      </c>
      <c r="N49" s="71">
        <f t="shared" si="12"/>
        <v>960</v>
      </c>
      <c r="O49" s="71">
        <f t="shared" si="13"/>
        <v>1200</v>
      </c>
      <c r="P49" s="71">
        <f t="shared" si="14"/>
        <v>96</v>
      </c>
      <c r="Q49" s="71">
        <f t="shared" si="15"/>
        <v>144</v>
      </c>
      <c r="R49" s="71">
        <f t="shared" si="16"/>
        <v>192</v>
      </c>
      <c r="S49" s="71">
        <f t="shared" si="17"/>
        <v>240</v>
      </c>
      <c r="U49" t="str">
        <f t="shared" si="2"/>
        <v>[{2,2625}]</v>
      </c>
      <c r="V49" t="str">
        <f t="shared" si="3"/>
        <v>[{2,4375}]</v>
      </c>
      <c r="W49" t="str">
        <f t="shared" si="4"/>
        <v>[{2,7000}]</v>
      </c>
      <c r="X49" t="str">
        <f t="shared" si="5"/>
        <v>[{2,10500}]</v>
      </c>
    </row>
    <row r="50" ht="16.5" spans="1:24">
      <c r="A50" s="33"/>
      <c r="B50" s="29"/>
      <c r="C50" s="42"/>
      <c r="D50" s="61" t="s">
        <v>32</v>
      </c>
      <c r="E50" s="71">
        <f t="shared" ref="E50:E75" si="18">E49+1</f>
        <v>17</v>
      </c>
      <c r="F50" s="71">
        <v>50</v>
      </c>
      <c r="G50" s="71">
        <f>SUM($F$33:F50)</f>
        <v>355</v>
      </c>
      <c r="H50" s="71">
        <f t="shared" si="6"/>
        <v>2700</v>
      </c>
      <c r="I50" s="71">
        <f t="shared" si="7"/>
        <v>4500</v>
      </c>
      <c r="J50" s="71">
        <f t="shared" si="8"/>
        <v>7200</v>
      </c>
      <c r="K50" s="71">
        <f t="shared" si="9"/>
        <v>10800</v>
      </c>
      <c r="L50" s="71">
        <f t="shared" si="10"/>
        <v>510</v>
      </c>
      <c r="M50" s="71">
        <f t="shared" si="11"/>
        <v>765</v>
      </c>
      <c r="N50" s="71">
        <f t="shared" si="12"/>
        <v>1020</v>
      </c>
      <c r="O50" s="71">
        <f t="shared" si="13"/>
        <v>1275</v>
      </c>
      <c r="P50" s="71">
        <f t="shared" si="14"/>
        <v>102</v>
      </c>
      <c r="Q50" s="71">
        <f t="shared" si="15"/>
        <v>153</v>
      </c>
      <c r="R50" s="71">
        <f t="shared" si="16"/>
        <v>204</v>
      </c>
      <c r="S50" s="71">
        <f t="shared" si="17"/>
        <v>255</v>
      </c>
      <c r="U50" t="str">
        <f t="shared" si="2"/>
        <v>[{2,2700}]</v>
      </c>
      <c r="V50" t="str">
        <f t="shared" si="3"/>
        <v>[{2,4500}]</v>
      </c>
      <c r="W50" t="str">
        <f t="shared" si="4"/>
        <v>[{2,7200}]</v>
      </c>
      <c r="X50" t="str">
        <f t="shared" si="5"/>
        <v>[{2,10800}]</v>
      </c>
    </row>
    <row r="51" ht="16.5" spans="1:24">
      <c r="A51" s="33"/>
      <c r="B51" s="29"/>
      <c r="C51" s="42"/>
      <c r="D51" s="61" t="s">
        <v>32</v>
      </c>
      <c r="E51" s="71">
        <f t="shared" si="18"/>
        <v>18</v>
      </c>
      <c r="F51" s="71">
        <v>50</v>
      </c>
      <c r="G51" s="71">
        <f>SUM($F$33:F51)</f>
        <v>405</v>
      </c>
      <c r="H51" s="71">
        <f t="shared" si="6"/>
        <v>2775</v>
      </c>
      <c r="I51" s="71">
        <f t="shared" si="7"/>
        <v>4625</v>
      </c>
      <c r="J51" s="71">
        <f t="shared" si="8"/>
        <v>7400</v>
      </c>
      <c r="K51" s="71">
        <f t="shared" si="9"/>
        <v>11100</v>
      </c>
      <c r="L51" s="71">
        <f t="shared" si="10"/>
        <v>540</v>
      </c>
      <c r="M51" s="71">
        <f t="shared" si="11"/>
        <v>810</v>
      </c>
      <c r="N51" s="71">
        <f t="shared" si="12"/>
        <v>1080</v>
      </c>
      <c r="O51" s="71">
        <f t="shared" si="13"/>
        <v>1350</v>
      </c>
      <c r="P51" s="71">
        <f t="shared" si="14"/>
        <v>108</v>
      </c>
      <c r="Q51" s="71">
        <f t="shared" si="15"/>
        <v>162</v>
      </c>
      <c r="R51" s="71">
        <f t="shared" si="16"/>
        <v>216</v>
      </c>
      <c r="S51" s="71">
        <f t="shared" si="17"/>
        <v>270</v>
      </c>
      <c r="U51" t="str">
        <f t="shared" si="2"/>
        <v>[{2,2775}]</v>
      </c>
      <c r="V51" t="str">
        <f t="shared" si="3"/>
        <v>[{2,4625}]</v>
      </c>
      <c r="W51" t="str">
        <f t="shared" si="4"/>
        <v>[{2,7400}]</v>
      </c>
      <c r="X51" t="str">
        <f t="shared" si="5"/>
        <v>[{2,11100}]</v>
      </c>
    </row>
    <row r="52" ht="16.5" spans="1:24">
      <c r="A52" s="33"/>
      <c r="B52" s="29"/>
      <c r="C52" s="42"/>
      <c r="D52" s="61" t="s">
        <v>32</v>
      </c>
      <c r="E52" s="71">
        <f t="shared" si="18"/>
        <v>19</v>
      </c>
      <c r="F52" s="71">
        <v>50</v>
      </c>
      <c r="G52" s="71">
        <f>SUM($F$33:F52)</f>
        <v>455</v>
      </c>
      <c r="H52" s="71">
        <f t="shared" si="6"/>
        <v>2850</v>
      </c>
      <c r="I52" s="71">
        <f t="shared" si="7"/>
        <v>4750</v>
      </c>
      <c r="J52" s="71">
        <f t="shared" si="8"/>
        <v>7600</v>
      </c>
      <c r="K52" s="71">
        <f t="shared" si="9"/>
        <v>11400</v>
      </c>
      <c r="L52" s="71">
        <f t="shared" si="10"/>
        <v>570</v>
      </c>
      <c r="M52" s="71">
        <f t="shared" si="11"/>
        <v>855</v>
      </c>
      <c r="N52" s="71">
        <f t="shared" si="12"/>
        <v>1140</v>
      </c>
      <c r="O52" s="71">
        <f t="shared" si="13"/>
        <v>1425</v>
      </c>
      <c r="P52" s="71">
        <f t="shared" si="14"/>
        <v>114</v>
      </c>
      <c r="Q52" s="71">
        <f t="shared" si="15"/>
        <v>171</v>
      </c>
      <c r="R52" s="71">
        <f t="shared" si="16"/>
        <v>228</v>
      </c>
      <c r="S52" s="71">
        <f t="shared" si="17"/>
        <v>285</v>
      </c>
      <c r="U52" t="str">
        <f t="shared" si="2"/>
        <v>[{2,2850}]</v>
      </c>
      <c r="V52" t="str">
        <f t="shared" si="3"/>
        <v>[{2,4750}]</v>
      </c>
      <c r="W52" t="str">
        <f t="shared" si="4"/>
        <v>[{2,7600}]</v>
      </c>
      <c r="X52" t="str">
        <f t="shared" si="5"/>
        <v>[{2,11400}]</v>
      </c>
    </row>
    <row r="53" ht="16.5" spans="1:24">
      <c r="A53" s="33"/>
      <c r="B53" s="29"/>
      <c r="C53" s="42"/>
      <c r="D53" s="61" t="s">
        <v>32</v>
      </c>
      <c r="E53" s="71">
        <f t="shared" si="18"/>
        <v>20</v>
      </c>
      <c r="F53" s="71">
        <v>70</v>
      </c>
      <c r="G53" s="71">
        <f>SUM($F$33:F53)</f>
        <v>525</v>
      </c>
      <c r="H53" s="71">
        <f t="shared" si="6"/>
        <v>2925</v>
      </c>
      <c r="I53" s="71">
        <f t="shared" si="7"/>
        <v>4875</v>
      </c>
      <c r="J53" s="71">
        <f t="shared" si="8"/>
        <v>7800</v>
      </c>
      <c r="K53" s="71">
        <f t="shared" si="9"/>
        <v>11700</v>
      </c>
      <c r="L53" s="71">
        <f t="shared" si="10"/>
        <v>600</v>
      </c>
      <c r="M53" s="71">
        <f t="shared" si="11"/>
        <v>900</v>
      </c>
      <c r="N53" s="71">
        <f t="shared" si="12"/>
        <v>1200</v>
      </c>
      <c r="O53" s="71">
        <f t="shared" si="13"/>
        <v>1500</v>
      </c>
      <c r="P53" s="71">
        <f t="shared" si="14"/>
        <v>120</v>
      </c>
      <c r="Q53" s="71">
        <f t="shared" si="15"/>
        <v>180</v>
      </c>
      <c r="R53" s="71">
        <f t="shared" si="16"/>
        <v>240</v>
      </c>
      <c r="S53" s="71">
        <f t="shared" si="17"/>
        <v>300</v>
      </c>
      <c r="U53" t="str">
        <f t="shared" si="2"/>
        <v>[{2,2925}]</v>
      </c>
      <c r="V53" t="str">
        <f t="shared" si="3"/>
        <v>[{2,4875}]</v>
      </c>
      <c r="W53" t="str">
        <f t="shared" si="4"/>
        <v>[{2,7800}]</v>
      </c>
      <c r="X53" t="str">
        <f t="shared" si="5"/>
        <v>[{2,11700}]</v>
      </c>
    </row>
    <row r="54" ht="16.5" spans="1:24">
      <c r="A54" s="33"/>
      <c r="B54" s="29"/>
      <c r="C54" s="42"/>
      <c r="D54" s="61" t="s">
        <v>32</v>
      </c>
      <c r="E54" s="71">
        <f t="shared" si="18"/>
        <v>21</v>
      </c>
      <c r="F54" s="71">
        <v>70</v>
      </c>
      <c r="G54" s="71">
        <f>SUM($F$33:F54)</f>
        <v>595</v>
      </c>
      <c r="H54" s="71">
        <f t="shared" si="6"/>
        <v>3000</v>
      </c>
      <c r="I54" s="71">
        <f t="shared" si="7"/>
        <v>5000</v>
      </c>
      <c r="J54" s="71">
        <f t="shared" si="8"/>
        <v>8000</v>
      </c>
      <c r="K54" s="71">
        <f t="shared" si="9"/>
        <v>12000</v>
      </c>
      <c r="L54" s="71">
        <f t="shared" si="10"/>
        <v>630</v>
      </c>
      <c r="M54" s="71">
        <f t="shared" si="11"/>
        <v>945</v>
      </c>
      <c r="N54" s="71">
        <f t="shared" si="12"/>
        <v>1260</v>
      </c>
      <c r="O54" s="71">
        <f t="shared" si="13"/>
        <v>1575</v>
      </c>
      <c r="P54" s="71">
        <f t="shared" si="14"/>
        <v>126</v>
      </c>
      <c r="Q54" s="71">
        <f t="shared" si="15"/>
        <v>189</v>
      </c>
      <c r="R54" s="71">
        <f t="shared" si="16"/>
        <v>252</v>
      </c>
      <c r="S54" s="71">
        <f t="shared" si="17"/>
        <v>315</v>
      </c>
      <c r="U54" t="str">
        <f t="shared" si="2"/>
        <v>[{2,3000}]</v>
      </c>
      <c r="V54" t="str">
        <f t="shared" si="3"/>
        <v>[{2,5000}]</v>
      </c>
      <c r="W54" t="str">
        <f t="shared" si="4"/>
        <v>[{2,8000}]</v>
      </c>
      <c r="X54" t="str">
        <f t="shared" si="5"/>
        <v>[{2,12000}]</v>
      </c>
    </row>
    <row r="55" ht="16.5" spans="1:24">
      <c r="A55" s="33"/>
      <c r="B55" s="29"/>
      <c r="C55" s="42"/>
      <c r="D55" s="61" t="s">
        <v>32</v>
      </c>
      <c r="E55" s="71">
        <f t="shared" si="18"/>
        <v>22</v>
      </c>
      <c r="F55" s="71">
        <v>70</v>
      </c>
      <c r="G55" s="71">
        <f>SUM($F$33:F55)</f>
        <v>665</v>
      </c>
      <c r="H55" s="71">
        <f t="shared" si="6"/>
        <v>3075</v>
      </c>
      <c r="I55" s="71">
        <f t="shared" si="7"/>
        <v>5125</v>
      </c>
      <c r="J55" s="71">
        <f t="shared" si="8"/>
        <v>8200</v>
      </c>
      <c r="K55" s="71">
        <f t="shared" si="9"/>
        <v>12300</v>
      </c>
      <c r="L55" s="71">
        <f t="shared" si="10"/>
        <v>660</v>
      </c>
      <c r="M55" s="71">
        <f t="shared" si="11"/>
        <v>990</v>
      </c>
      <c r="N55" s="71">
        <f t="shared" si="12"/>
        <v>1320</v>
      </c>
      <c r="O55" s="71">
        <f t="shared" si="13"/>
        <v>1650</v>
      </c>
      <c r="P55" s="71">
        <f t="shared" si="14"/>
        <v>132</v>
      </c>
      <c r="Q55" s="71">
        <f t="shared" si="15"/>
        <v>198</v>
      </c>
      <c r="R55" s="71">
        <f t="shared" si="16"/>
        <v>264</v>
      </c>
      <c r="S55" s="71">
        <f t="shared" si="17"/>
        <v>330</v>
      </c>
      <c r="U55" t="str">
        <f t="shared" si="2"/>
        <v>[{2,3075}]</v>
      </c>
      <c r="V55" t="str">
        <f t="shared" si="3"/>
        <v>[{2,5125}]</v>
      </c>
      <c r="W55" t="str">
        <f t="shared" si="4"/>
        <v>[{2,8200}]</v>
      </c>
      <c r="X55" t="str">
        <f t="shared" si="5"/>
        <v>[{2,12300}]</v>
      </c>
    </row>
    <row r="56" ht="16.5" spans="1:24">
      <c r="A56" s="33"/>
      <c r="B56" s="29"/>
      <c r="C56" s="42"/>
      <c r="D56" s="61" t="s">
        <v>32</v>
      </c>
      <c r="E56" s="71">
        <f t="shared" si="18"/>
        <v>23</v>
      </c>
      <c r="F56" s="71">
        <v>70</v>
      </c>
      <c r="G56" s="71">
        <f>SUM($F$33:F56)</f>
        <v>735</v>
      </c>
      <c r="H56" s="71">
        <f t="shared" si="6"/>
        <v>3150</v>
      </c>
      <c r="I56" s="71">
        <f t="shared" si="7"/>
        <v>5250</v>
      </c>
      <c r="J56" s="71">
        <f t="shared" si="8"/>
        <v>8400</v>
      </c>
      <c r="K56" s="71">
        <f t="shared" si="9"/>
        <v>12600</v>
      </c>
      <c r="L56" s="71">
        <f t="shared" si="10"/>
        <v>690</v>
      </c>
      <c r="M56" s="71">
        <f t="shared" si="11"/>
        <v>1035</v>
      </c>
      <c r="N56" s="71">
        <f t="shared" si="12"/>
        <v>1380</v>
      </c>
      <c r="O56" s="71">
        <f t="shared" si="13"/>
        <v>1725</v>
      </c>
      <c r="P56" s="71">
        <f t="shared" si="14"/>
        <v>138</v>
      </c>
      <c r="Q56" s="71">
        <f t="shared" si="15"/>
        <v>207</v>
      </c>
      <c r="R56" s="71">
        <f t="shared" si="16"/>
        <v>276</v>
      </c>
      <c r="S56" s="71">
        <f t="shared" si="17"/>
        <v>345</v>
      </c>
      <c r="U56" t="str">
        <f t="shared" si="2"/>
        <v>[{2,3150}]</v>
      </c>
      <c r="V56" t="str">
        <f t="shared" si="3"/>
        <v>[{2,5250}]</v>
      </c>
      <c r="W56" t="str">
        <f t="shared" si="4"/>
        <v>[{2,8400}]</v>
      </c>
      <c r="X56" t="str">
        <f t="shared" si="5"/>
        <v>[{2,12600}]</v>
      </c>
    </row>
    <row r="57" ht="16.5" spans="1:24">
      <c r="A57" s="33"/>
      <c r="B57" s="29"/>
      <c r="C57" s="42"/>
      <c r="D57" s="61" t="s">
        <v>32</v>
      </c>
      <c r="E57" s="71">
        <f t="shared" si="18"/>
        <v>24</v>
      </c>
      <c r="F57" s="71">
        <v>70</v>
      </c>
      <c r="G57" s="71">
        <f>SUM($F$33:F57)</f>
        <v>805</v>
      </c>
      <c r="H57" s="71">
        <f t="shared" si="6"/>
        <v>3225</v>
      </c>
      <c r="I57" s="71">
        <f t="shared" si="7"/>
        <v>5375</v>
      </c>
      <c r="J57" s="71">
        <f t="shared" si="8"/>
        <v>8600</v>
      </c>
      <c r="K57" s="71">
        <f t="shared" si="9"/>
        <v>12900</v>
      </c>
      <c r="L57" s="71">
        <f t="shared" si="10"/>
        <v>720</v>
      </c>
      <c r="M57" s="71">
        <f t="shared" si="11"/>
        <v>1080</v>
      </c>
      <c r="N57" s="71">
        <f t="shared" si="12"/>
        <v>1440</v>
      </c>
      <c r="O57" s="71">
        <f t="shared" si="13"/>
        <v>1800</v>
      </c>
      <c r="P57" s="71">
        <f t="shared" si="14"/>
        <v>144</v>
      </c>
      <c r="Q57" s="71">
        <f t="shared" si="15"/>
        <v>216</v>
      </c>
      <c r="R57" s="71">
        <f t="shared" si="16"/>
        <v>288</v>
      </c>
      <c r="S57" s="71">
        <f t="shared" si="17"/>
        <v>360</v>
      </c>
      <c r="U57" t="str">
        <f t="shared" si="2"/>
        <v>[{2,3225}]</v>
      </c>
      <c r="V57" t="str">
        <f t="shared" si="3"/>
        <v>[{2,5375}]</v>
      </c>
      <c r="W57" t="str">
        <f t="shared" si="4"/>
        <v>[{2,8600}]</v>
      </c>
      <c r="X57" t="str">
        <f t="shared" si="5"/>
        <v>[{2,12900}]</v>
      </c>
    </row>
    <row r="58" ht="16.5" spans="1:24">
      <c r="A58" s="33"/>
      <c r="B58" s="29"/>
      <c r="C58" s="42"/>
      <c r="D58" s="61" t="s">
        <v>32</v>
      </c>
      <c r="E58" s="71">
        <f t="shared" si="18"/>
        <v>25</v>
      </c>
      <c r="F58" s="71">
        <v>90</v>
      </c>
      <c r="G58" s="71">
        <f>SUM($F$33:F58)</f>
        <v>895</v>
      </c>
      <c r="H58" s="71">
        <f t="shared" si="6"/>
        <v>3300</v>
      </c>
      <c r="I58" s="71">
        <f t="shared" si="7"/>
        <v>5500</v>
      </c>
      <c r="J58" s="71">
        <f t="shared" si="8"/>
        <v>8800</v>
      </c>
      <c r="K58" s="71">
        <f t="shared" si="9"/>
        <v>13200</v>
      </c>
      <c r="L58" s="71">
        <f t="shared" si="10"/>
        <v>750</v>
      </c>
      <c r="M58" s="71">
        <f t="shared" si="11"/>
        <v>1125</v>
      </c>
      <c r="N58" s="71">
        <f t="shared" si="12"/>
        <v>1500</v>
      </c>
      <c r="O58" s="71">
        <f t="shared" si="13"/>
        <v>1875</v>
      </c>
      <c r="P58" s="71">
        <f t="shared" si="14"/>
        <v>150</v>
      </c>
      <c r="Q58" s="71">
        <f t="shared" si="15"/>
        <v>225</v>
      </c>
      <c r="R58" s="71">
        <f t="shared" si="16"/>
        <v>300</v>
      </c>
      <c r="S58" s="71">
        <f t="shared" si="17"/>
        <v>375</v>
      </c>
      <c r="U58" t="str">
        <f t="shared" si="2"/>
        <v>[{2,3300}]</v>
      </c>
      <c r="V58" t="str">
        <f t="shared" si="3"/>
        <v>[{2,5500}]</v>
      </c>
      <c r="W58" t="str">
        <f t="shared" si="4"/>
        <v>[{2,8800}]</v>
      </c>
      <c r="X58" t="str">
        <f t="shared" si="5"/>
        <v>[{2,13200}]</v>
      </c>
    </row>
    <row r="59" ht="16.5" spans="1:24">
      <c r="A59" s="33"/>
      <c r="B59" s="29"/>
      <c r="C59" s="42"/>
      <c r="D59" s="61" t="s">
        <v>32</v>
      </c>
      <c r="E59" s="71">
        <f t="shared" si="18"/>
        <v>26</v>
      </c>
      <c r="F59" s="71">
        <v>90</v>
      </c>
      <c r="G59" s="71">
        <f>SUM($F$33:F59)</f>
        <v>985</v>
      </c>
      <c r="H59" s="71">
        <f t="shared" si="6"/>
        <v>3375</v>
      </c>
      <c r="I59" s="71">
        <f t="shared" si="7"/>
        <v>5625</v>
      </c>
      <c r="J59" s="71">
        <f t="shared" si="8"/>
        <v>9000</v>
      </c>
      <c r="K59" s="71">
        <f t="shared" si="9"/>
        <v>13500</v>
      </c>
      <c r="L59" s="71">
        <f t="shared" si="10"/>
        <v>780</v>
      </c>
      <c r="M59" s="71">
        <f t="shared" si="11"/>
        <v>1170</v>
      </c>
      <c r="N59" s="71">
        <f t="shared" si="12"/>
        <v>1560</v>
      </c>
      <c r="O59" s="71">
        <f t="shared" si="13"/>
        <v>1950</v>
      </c>
      <c r="P59" s="71">
        <f t="shared" si="14"/>
        <v>156</v>
      </c>
      <c r="Q59" s="71">
        <f t="shared" si="15"/>
        <v>234</v>
      </c>
      <c r="R59" s="71">
        <f t="shared" si="16"/>
        <v>312</v>
      </c>
      <c r="S59" s="71">
        <f t="shared" si="17"/>
        <v>390</v>
      </c>
      <c r="U59" t="str">
        <f t="shared" si="2"/>
        <v>[{2,3375}]</v>
      </c>
      <c r="V59" t="str">
        <f t="shared" si="3"/>
        <v>[{2,5625}]</v>
      </c>
      <c r="W59" t="str">
        <f t="shared" si="4"/>
        <v>[{2,9000}]</v>
      </c>
      <c r="X59" t="str">
        <f t="shared" si="5"/>
        <v>[{2,13500}]</v>
      </c>
    </row>
    <row r="60" ht="16.5" spans="1:24">
      <c r="A60" s="33"/>
      <c r="B60" s="29"/>
      <c r="C60" s="42"/>
      <c r="D60" s="61" t="s">
        <v>32</v>
      </c>
      <c r="E60" s="71">
        <f t="shared" si="18"/>
        <v>27</v>
      </c>
      <c r="F60" s="71">
        <v>90</v>
      </c>
      <c r="G60" s="71">
        <f>SUM($F$33:F60)</f>
        <v>1075</v>
      </c>
      <c r="H60" s="71">
        <f t="shared" si="6"/>
        <v>3450</v>
      </c>
      <c r="I60" s="71">
        <f t="shared" si="7"/>
        <v>5750</v>
      </c>
      <c r="J60" s="71">
        <f t="shared" si="8"/>
        <v>9200</v>
      </c>
      <c r="K60" s="71">
        <f t="shared" si="9"/>
        <v>13800</v>
      </c>
      <c r="L60" s="71">
        <f t="shared" si="10"/>
        <v>810</v>
      </c>
      <c r="M60" s="71">
        <f t="shared" si="11"/>
        <v>1215</v>
      </c>
      <c r="N60" s="71">
        <f t="shared" si="12"/>
        <v>1620</v>
      </c>
      <c r="O60" s="71">
        <f t="shared" si="13"/>
        <v>2025</v>
      </c>
      <c r="P60" s="71">
        <f t="shared" si="14"/>
        <v>162</v>
      </c>
      <c r="Q60" s="71">
        <f t="shared" si="15"/>
        <v>243</v>
      </c>
      <c r="R60" s="71">
        <f t="shared" si="16"/>
        <v>324</v>
      </c>
      <c r="S60" s="71">
        <f t="shared" si="17"/>
        <v>405</v>
      </c>
      <c r="U60" t="str">
        <f t="shared" si="2"/>
        <v>[{2,3450}]</v>
      </c>
      <c r="V60" t="str">
        <f t="shared" si="3"/>
        <v>[{2,5750}]</v>
      </c>
      <c r="W60" t="str">
        <f t="shared" si="4"/>
        <v>[{2,9200}]</v>
      </c>
      <c r="X60" t="str">
        <f t="shared" si="5"/>
        <v>[{2,13800}]</v>
      </c>
    </row>
    <row r="61" ht="16.5" spans="1:24">
      <c r="A61" s="33"/>
      <c r="B61" s="29"/>
      <c r="C61" s="42"/>
      <c r="D61" s="61" t="s">
        <v>32</v>
      </c>
      <c r="E61" s="71">
        <f t="shared" si="18"/>
        <v>28</v>
      </c>
      <c r="F61" s="71">
        <v>90</v>
      </c>
      <c r="G61" s="71">
        <f>SUM($F$33:F61)</f>
        <v>1165</v>
      </c>
      <c r="H61" s="71">
        <f t="shared" si="6"/>
        <v>3525</v>
      </c>
      <c r="I61" s="71">
        <f t="shared" si="7"/>
        <v>5875</v>
      </c>
      <c r="J61" s="71">
        <f t="shared" si="8"/>
        <v>9400</v>
      </c>
      <c r="K61" s="71">
        <f t="shared" si="9"/>
        <v>14100</v>
      </c>
      <c r="L61" s="71">
        <f t="shared" si="10"/>
        <v>840</v>
      </c>
      <c r="M61" s="71">
        <f t="shared" si="11"/>
        <v>1260</v>
      </c>
      <c r="N61" s="71">
        <f t="shared" si="12"/>
        <v>1680</v>
      </c>
      <c r="O61" s="71">
        <f t="shared" si="13"/>
        <v>2100</v>
      </c>
      <c r="P61" s="71">
        <f t="shared" si="14"/>
        <v>168</v>
      </c>
      <c r="Q61" s="71">
        <f t="shared" si="15"/>
        <v>252</v>
      </c>
      <c r="R61" s="71">
        <f t="shared" si="16"/>
        <v>336</v>
      </c>
      <c r="S61" s="71">
        <f t="shared" si="17"/>
        <v>420</v>
      </c>
      <c r="U61" t="str">
        <f t="shared" si="2"/>
        <v>[{2,3525}]</v>
      </c>
      <c r="V61" t="str">
        <f t="shared" si="3"/>
        <v>[{2,5875}]</v>
      </c>
      <c r="W61" t="str">
        <f t="shared" si="4"/>
        <v>[{2,9400}]</v>
      </c>
      <c r="X61" t="str">
        <f t="shared" si="5"/>
        <v>[{2,14100}]</v>
      </c>
    </row>
    <row r="62" ht="16.5" spans="1:24">
      <c r="A62" s="33"/>
      <c r="B62" s="29"/>
      <c r="C62" s="42"/>
      <c r="D62" s="61" t="s">
        <v>32</v>
      </c>
      <c r="E62" s="71">
        <f t="shared" si="18"/>
        <v>29</v>
      </c>
      <c r="F62" s="71">
        <v>90</v>
      </c>
      <c r="G62" s="71">
        <f>SUM($F$33:F62)</f>
        <v>1255</v>
      </c>
      <c r="H62" s="71">
        <f t="shared" si="6"/>
        <v>3600</v>
      </c>
      <c r="I62" s="71">
        <f t="shared" si="7"/>
        <v>6000</v>
      </c>
      <c r="J62" s="71">
        <f t="shared" si="8"/>
        <v>9600</v>
      </c>
      <c r="K62" s="71">
        <f t="shared" si="9"/>
        <v>14400</v>
      </c>
      <c r="L62" s="71">
        <f t="shared" si="10"/>
        <v>870</v>
      </c>
      <c r="M62" s="71">
        <f t="shared" si="11"/>
        <v>1305</v>
      </c>
      <c r="N62" s="71">
        <f t="shared" si="12"/>
        <v>1740</v>
      </c>
      <c r="O62" s="71">
        <f t="shared" si="13"/>
        <v>2175</v>
      </c>
      <c r="P62" s="71">
        <f t="shared" si="14"/>
        <v>174</v>
      </c>
      <c r="Q62" s="71">
        <f t="shared" si="15"/>
        <v>261</v>
      </c>
      <c r="R62" s="71">
        <f t="shared" si="16"/>
        <v>348</v>
      </c>
      <c r="S62" s="71">
        <f t="shared" si="17"/>
        <v>435</v>
      </c>
      <c r="U62" t="str">
        <f t="shared" si="2"/>
        <v>[{2,3600}]</v>
      </c>
      <c r="V62" t="str">
        <f t="shared" si="3"/>
        <v>[{2,6000}]</v>
      </c>
      <c r="W62" t="str">
        <f t="shared" si="4"/>
        <v>[{2,9600}]</v>
      </c>
      <c r="X62" t="str">
        <f t="shared" si="5"/>
        <v>[{2,14400}]</v>
      </c>
    </row>
    <row r="63" ht="16.5" spans="1:24">
      <c r="A63" s="33"/>
      <c r="B63" s="29"/>
      <c r="C63" s="42"/>
      <c r="D63" s="61" t="s">
        <v>32</v>
      </c>
      <c r="E63" s="71">
        <f t="shared" si="18"/>
        <v>30</v>
      </c>
      <c r="F63" s="71">
        <v>110</v>
      </c>
      <c r="G63" s="71">
        <f>SUM($F$33:F63)</f>
        <v>1365</v>
      </c>
      <c r="H63" s="71">
        <f t="shared" si="6"/>
        <v>3675</v>
      </c>
      <c r="I63" s="71">
        <f t="shared" si="7"/>
        <v>6125</v>
      </c>
      <c r="J63" s="71">
        <f t="shared" si="8"/>
        <v>9800</v>
      </c>
      <c r="K63" s="71">
        <f t="shared" si="9"/>
        <v>14700</v>
      </c>
      <c r="L63" s="71">
        <f t="shared" si="10"/>
        <v>900</v>
      </c>
      <c r="M63" s="71">
        <f t="shared" si="11"/>
        <v>1350</v>
      </c>
      <c r="N63" s="71">
        <f t="shared" si="12"/>
        <v>1800</v>
      </c>
      <c r="O63" s="71">
        <f t="shared" si="13"/>
        <v>2250</v>
      </c>
      <c r="P63" s="71">
        <f t="shared" si="14"/>
        <v>180</v>
      </c>
      <c r="Q63" s="71">
        <f t="shared" si="15"/>
        <v>270</v>
      </c>
      <c r="R63" s="71">
        <f t="shared" si="16"/>
        <v>360</v>
      </c>
      <c r="S63" s="71">
        <f t="shared" si="17"/>
        <v>450</v>
      </c>
      <c r="U63" t="str">
        <f t="shared" si="2"/>
        <v>[{2,3675}]</v>
      </c>
      <c r="V63" t="str">
        <f t="shared" si="3"/>
        <v>[{2,6125}]</v>
      </c>
      <c r="W63" t="str">
        <f t="shared" si="4"/>
        <v>[{2,9800}]</v>
      </c>
      <c r="X63" t="str">
        <f t="shared" si="5"/>
        <v>[{2,14700}]</v>
      </c>
    </row>
    <row r="64" ht="16.5" spans="1:24">
      <c r="A64" s="33"/>
      <c r="B64" s="29"/>
      <c r="C64" s="42"/>
      <c r="D64" s="61" t="s">
        <v>32</v>
      </c>
      <c r="E64" s="71">
        <f t="shared" si="18"/>
        <v>31</v>
      </c>
      <c r="F64" s="71">
        <v>110</v>
      </c>
      <c r="G64" s="71">
        <f>SUM($F$33:F64)</f>
        <v>1475</v>
      </c>
      <c r="H64" s="71">
        <f t="shared" si="6"/>
        <v>3750</v>
      </c>
      <c r="I64" s="71">
        <f t="shared" si="7"/>
        <v>6250</v>
      </c>
      <c r="J64" s="71">
        <f t="shared" si="8"/>
        <v>10000</v>
      </c>
      <c r="K64" s="71">
        <f t="shared" si="9"/>
        <v>15000</v>
      </c>
      <c r="L64" s="71">
        <f t="shared" si="10"/>
        <v>930</v>
      </c>
      <c r="M64" s="71">
        <f t="shared" si="11"/>
        <v>1395</v>
      </c>
      <c r="N64" s="71">
        <f t="shared" si="12"/>
        <v>1860</v>
      </c>
      <c r="O64" s="71">
        <f t="shared" si="13"/>
        <v>2325</v>
      </c>
      <c r="P64" s="71">
        <f t="shared" si="14"/>
        <v>186</v>
      </c>
      <c r="Q64" s="71">
        <f t="shared" si="15"/>
        <v>279</v>
      </c>
      <c r="R64" s="71">
        <f t="shared" si="16"/>
        <v>372</v>
      </c>
      <c r="S64" s="71">
        <f t="shared" si="17"/>
        <v>465</v>
      </c>
      <c r="U64" t="str">
        <f t="shared" si="2"/>
        <v>[{2,3750}]</v>
      </c>
      <c r="V64" t="str">
        <f t="shared" si="3"/>
        <v>[{2,6250}]</v>
      </c>
      <c r="W64" t="str">
        <f t="shared" si="4"/>
        <v>[{2,10000}]</v>
      </c>
      <c r="X64" t="str">
        <f t="shared" si="5"/>
        <v>[{2,15000}]</v>
      </c>
    </row>
    <row r="65" ht="16.5" spans="1:24">
      <c r="A65" s="33"/>
      <c r="B65" s="29"/>
      <c r="C65" s="42"/>
      <c r="D65" s="61" t="s">
        <v>32</v>
      </c>
      <c r="E65" s="71">
        <f t="shared" si="18"/>
        <v>32</v>
      </c>
      <c r="F65" s="71">
        <v>110</v>
      </c>
      <c r="G65" s="71">
        <f>SUM($F$33:F65)</f>
        <v>1585</v>
      </c>
      <c r="H65" s="71">
        <f t="shared" si="6"/>
        <v>3825</v>
      </c>
      <c r="I65" s="71">
        <f t="shared" si="7"/>
        <v>6375</v>
      </c>
      <c r="J65" s="71">
        <f t="shared" si="8"/>
        <v>10200</v>
      </c>
      <c r="K65" s="71">
        <f t="shared" si="9"/>
        <v>15300</v>
      </c>
      <c r="L65" s="71">
        <f t="shared" si="10"/>
        <v>960</v>
      </c>
      <c r="M65" s="71">
        <f t="shared" si="11"/>
        <v>1440</v>
      </c>
      <c r="N65" s="71">
        <f t="shared" si="12"/>
        <v>1920</v>
      </c>
      <c r="O65" s="71">
        <f t="shared" si="13"/>
        <v>2400</v>
      </c>
      <c r="P65" s="71">
        <f t="shared" si="14"/>
        <v>192</v>
      </c>
      <c r="Q65" s="71">
        <f t="shared" si="15"/>
        <v>288</v>
      </c>
      <c r="R65" s="71">
        <f t="shared" si="16"/>
        <v>384</v>
      </c>
      <c r="S65" s="71">
        <f t="shared" si="17"/>
        <v>480</v>
      </c>
      <c r="U65" t="str">
        <f t="shared" si="2"/>
        <v>[{2,3825}]</v>
      </c>
      <c r="V65" t="str">
        <f t="shared" si="3"/>
        <v>[{2,6375}]</v>
      </c>
      <c r="W65" t="str">
        <f t="shared" si="4"/>
        <v>[{2,10200}]</v>
      </c>
      <c r="X65" t="str">
        <f t="shared" si="5"/>
        <v>[{2,15300}]</v>
      </c>
    </row>
    <row r="66" ht="16.5" spans="1:24">
      <c r="A66" s="33"/>
      <c r="B66" s="29"/>
      <c r="C66" s="42"/>
      <c r="D66" s="61" t="s">
        <v>32</v>
      </c>
      <c r="E66" s="71">
        <f t="shared" si="18"/>
        <v>33</v>
      </c>
      <c r="F66" s="71">
        <v>110</v>
      </c>
      <c r="G66" s="71">
        <f>SUM($F$33:F66)</f>
        <v>1695</v>
      </c>
      <c r="H66" s="71">
        <f t="shared" si="6"/>
        <v>3900</v>
      </c>
      <c r="I66" s="71">
        <f t="shared" si="7"/>
        <v>6500</v>
      </c>
      <c r="J66" s="71">
        <f t="shared" si="8"/>
        <v>10400</v>
      </c>
      <c r="K66" s="71">
        <f t="shared" si="9"/>
        <v>15600</v>
      </c>
      <c r="L66" s="71">
        <f t="shared" si="10"/>
        <v>990</v>
      </c>
      <c r="M66" s="71">
        <f t="shared" si="11"/>
        <v>1485</v>
      </c>
      <c r="N66" s="71">
        <f t="shared" si="12"/>
        <v>1980</v>
      </c>
      <c r="O66" s="71">
        <f t="shared" si="13"/>
        <v>2475</v>
      </c>
      <c r="P66" s="71">
        <f t="shared" si="14"/>
        <v>198</v>
      </c>
      <c r="Q66" s="71">
        <f t="shared" si="15"/>
        <v>297</v>
      </c>
      <c r="R66" s="71">
        <f t="shared" si="16"/>
        <v>396</v>
      </c>
      <c r="S66" s="71">
        <f t="shared" si="17"/>
        <v>495</v>
      </c>
      <c r="U66" t="str">
        <f t="shared" si="2"/>
        <v>[{2,3900}]</v>
      </c>
      <c r="V66" t="str">
        <f t="shared" si="3"/>
        <v>[{2,6500}]</v>
      </c>
      <c r="W66" t="str">
        <f t="shared" si="4"/>
        <v>[{2,10400}]</v>
      </c>
      <c r="X66" t="str">
        <f t="shared" si="5"/>
        <v>[{2,15600}]</v>
      </c>
    </row>
    <row r="67" ht="16.5" spans="1:24">
      <c r="A67" s="33"/>
      <c r="B67" s="29"/>
      <c r="C67" s="42"/>
      <c r="D67" s="61" t="s">
        <v>32</v>
      </c>
      <c r="E67" s="71">
        <f t="shared" si="18"/>
        <v>34</v>
      </c>
      <c r="F67" s="71">
        <v>110</v>
      </c>
      <c r="G67" s="71">
        <f>SUM($F$33:F67)</f>
        <v>1805</v>
      </c>
      <c r="H67" s="71">
        <f t="shared" si="6"/>
        <v>3975</v>
      </c>
      <c r="I67" s="71">
        <f t="shared" si="7"/>
        <v>6625</v>
      </c>
      <c r="J67" s="71">
        <f t="shared" si="8"/>
        <v>10600</v>
      </c>
      <c r="K67" s="71">
        <f t="shared" si="9"/>
        <v>15900</v>
      </c>
      <c r="L67" s="71">
        <f t="shared" si="10"/>
        <v>1020</v>
      </c>
      <c r="M67" s="71">
        <f t="shared" si="11"/>
        <v>1530</v>
      </c>
      <c r="N67" s="71">
        <f t="shared" si="12"/>
        <v>2040</v>
      </c>
      <c r="O67" s="71">
        <f t="shared" si="13"/>
        <v>2550</v>
      </c>
      <c r="P67" s="71">
        <f t="shared" si="14"/>
        <v>204</v>
      </c>
      <c r="Q67" s="71">
        <f t="shared" si="15"/>
        <v>306</v>
      </c>
      <c r="R67" s="71">
        <f t="shared" si="16"/>
        <v>408</v>
      </c>
      <c r="S67" s="71">
        <f t="shared" si="17"/>
        <v>510</v>
      </c>
      <c r="U67" t="str">
        <f t="shared" ref="U67:U93" si="19">"[{2,"&amp;H67&amp;"}]"</f>
        <v>[{2,3975}]</v>
      </c>
      <c r="V67" t="str">
        <f t="shared" ref="V67:V93" si="20">"[{2,"&amp;I67&amp;"}]"</f>
        <v>[{2,6625}]</v>
      </c>
      <c r="W67" t="str">
        <f t="shared" ref="W67:W93" si="21">"[{2,"&amp;J67&amp;"}]"</f>
        <v>[{2,10600}]</v>
      </c>
      <c r="X67" t="str">
        <f t="shared" ref="X67:X93" si="22">"[{2,"&amp;K67&amp;"}]"</f>
        <v>[{2,15900}]</v>
      </c>
    </row>
    <row r="68" ht="16.5" spans="1:24">
      <c r="A68" s="33"/>
      <c r="B68" s="29"/>
      <c r="C68" s="42"/>
      <c r="D68" s="61" t="s">
        <v>32</v>
      </c>
      <c r="E68" s="71">
        <f t="shared" si="18"/>
        <v>35</v>
      </c>
      <c r="F68" s="71">
        <v>130</v>
      </c>
      <c r="G68" s="71">
        <f>SUM($F$33:F68)</f>
        <v>1935</v>
      </c>
      <c r="H68" s="71">
        <f t="shared" ref="H68:H92" si="23">H67+75</f>
        <v>4050</v>
      </c>
      <c r="I68" s="71">
        <f t="shared" ref="I68:I92" si="24">I67+125</f>
        <v>6750</v>
      </c>
      <c r="J68" s="71">
        <f t="shared" ref="J68:J92" si="25">J67+200</f>
        <v>10800</v>
      </c>
      <c r="K68" s="71">
        <f t="shared" ref="K68:K92" si="26">K67+300</f>
        <v>16200</v>
      </c>
      <c r="L68" s="71">
        <f t="shared" ref="L68:L92" si="27">L$34*$E68</f>
        <v>1050</v>
      </c>
      <c r="M68" s="71">
        <f t="shared" ref="M68:M92" si="28">M$34*$E68</f>
        <v>1575</v>
      </c>
      <c r="N68" s="71">
        <f t="shared" ref="N68:N92" si="29">N$34*$E68</f>
        <v>2100</v>
      </c>
      <c r="O68" s="71">
        <f t="shared" ref="O68:O92" si="30">O$34*$E68</f>
        <v>2625</v>
      </c>
      <c r="P68" s="71">
        <f t="shared" ref="P68:P92" si="31">P$34*$E68</f>
        <v>210</v>
      </c>
      <c r="Q68" s="71">
        <f t="shared" ref="Q68:Q92" si="32">Q$34*$E68</f>
        <v>315</v>
      </c>
      <c r="R68" s="71">
        <f t="shared" ref="R68:R92" si="33">R$34*$E68</f>
        <v>420</v>
      </c>
      <c r="S68" s="71">
        <f t="shared" ref="S68:S92" si="34">S$34*$E68</f>
        <v>525</v>
      </c>
      <c r="U68" t="str">
        <f t="shared" si="19"/>
        <v>[{2,4050}]</v>
      </c>
      <c r="V68" t="str">
        <f t="shared" si="20"/>
        <v>[{2,6750}]</v>
      </c>
      <c r="W68" t="str">
        <f t="shared" si="21"/>
        <v>[{2,10800}]</v>
      </c>
      <c r="X68" t="str">
        <f t="shared" si="22"/>
        <v>[{2,16200}]</v>
      </c>
    </row>
    <row r="69" ht="16.5" spans="1:24">
      <c r="A69" s="33"/>
      <c r="B69" s="29"/>
      <c r="C69" s="42"/>
      <c r="D69" s="61" t="s">
        <v>32</v>
      </c>
      <c r="E69" s="71">
        <f t="shared" si="18"/>
        <v>36</v>
      </c>
      <c r="F69" s="71">
        <v>130</v>
      </c>
      <c r="G69" s="71">
        <f>SUM($F$33:F69)</f>
        <v>2065</v>
      </c>
      <c r="H69" s="71">
        <f t="shared" si="23"/>
        <v>4125</v>
      </c>
      <c r="I69" s="71">
        <f t="shared" si="24"/>
        <v>6875</v>
      </c>
      <c r="J69" s="71">
        <f t="shared" si="25"/>
        <v>11000</v>
      </c>
      <c r="K69" s="71">
        <f t="shared" si="26"/>
        <v>16500</v>
      </c>
      <c r="L69" s="71">
        <f t="shared" si="27"/>
        <v>1080</v>
      </c>
      <c r="M69" s="71">
        <f t="shared" si="28"/>
        <v>1620</v>
      </c>
      <c r="N69" s="71">
        <f t="shared" si="29"/>
        <v>2160</v>
      </c>
      <c r="O69" s="71">
        <f t="shared" si="30"/>
        <v>2700</v>
      </c>
      <c r="P69" s="71">
        <f t="shared" si="31"/>
        <v>216</v>
      </c>
      <c r="Q69" s="71">
        <f t="shared" si="32"/>
        <v>324</v>
      </c>
      <c r="R69" s="71">
        <f t="shared" si="33"/>
        <v>432</v>
      </c>
      <c r="S69" s="71">
        <f t="shared" si="34"/>
        <v>540</v>
      </c>
      <c r="U69" t="str">
        <f t="shared" si="19"/>
        <v>[{2,4125}]</v>
      </c>
      <c r="V69" t="str">
        <f t="shared" si="20"/>
        <v>[{2,6875}]</v>
      </c>
      <c r="W69" t="str">
        <f t="shared" si="21"/>
        <v>[{2,11000}]</v>
      </c>
      <c r="X69" t="str">
        <f t="shared" si="22"/>
        <v>[{2,16500}]</v>
      </c>
    </row>
    <row r="70" ht="16.5" spans="1:24">
      <c r="A70" s="33"/>
      <c r="B70" s="29"/>
      <c r="C70" s="42"/>
      <c r="D70" s="61" t="s">
        <v>32</v>
      </c>
      <c r="E70" s="71">
        <f t="shared" si="18"/>
        <v>37</v>
      </c>
      <c r="F70" s="71">
        <v>130</v>
      </c>
      <c r="G70" s="71">
        <f>SUM($F$33:F70)</f>
        <v>2195</v>
      </c>
      <c r="H70" s="71">
        <f t="shared" si="23"/>
        <v>4200</v>
      </c>
      <c r="I70" s="71">
        <f t="shared" si="24"/>
        <v>7000</v>
      </c>
      <c r="J70" s="71">
        <f t="shared" si="25"/>
        <v>11200</v>
      </c>
      <c r="K70" s="71">
        <f t="shared" si="26"/>
        <v>16800</v>
      </c>
      <c r="L70" s="71">
        <f t="shared" si="27"/>
        <v>1110</v>
      </c>
      <c r="M70" s="71">
        <f t="shared" si="28"/>
        <v>1665</v>
      </c>
      <c r="N70" s="71">
        <f t="shared" si="29"/>
        <v>2220</v>
      </c>
      <c r="O70" s="71">
        <f t="shared" si="30"/>
        <v>2775</v>
      </c>
      <c r="P70" s="71">
        <f t="shared" si="31"/>
        <v>222</v>
      </c>
      <c r="Q70" s="71">
        <f t="shared" si="32"/>
        <v>333</v>
      </c>
      <c r="R70" s="71">
        <f t="shared" si="33"/>
        <v>444</v>
      </c>
      <c r="S70" s="71">
        <f t="shared" si="34"/>
        <v>555</v>
      </c>
      <c r="U70" t="str">
        <f t="shared" si="19"/>
        <v>[{2,4200}]</v>
      </c>
      <c r="V70" t="str">
        <f t="shared" si="20"/>
        <v>[{2,7000}]</v>
      </c>
      <c r="W70" t="str">
        <f t="shared" si="21"/>
        <v>[{2,11200}]</v>
      </c>
      <c r="X70" t="str">
        <f t="shared" si="22"/>
        <v>[{2,16800}]</v>
      </c>
    </row>
    <row r="71" ht="16.5" spans="1:24">
      <c r="A71" s="33"/>
      <c r="B71" s="29"/>
      <c r="C71" s="42"/>
      <c r="D71" s="61" t="s">
        <v>32</v>
      </c>
      <c r="E71" s="71">
        <f t="shared" si="18"/>
        <v>38</v>
      </c>
      <c r="F71" s="71">
        <v>130</v>
      </c>
      <c r="G71" s="71">
        <f>SUM($F$33:F71)</f>
        <v>2325</v>
      </c>
      <c r="H71" s="71">
        <f t="shared" si="23"/>
        <v>4275</v>
      </c>
      <c r="I71" s="71">
        <f t="shared" si="24"/>
        <v>7125</v>
      </c>
      <c r="J71" s="71">
        <f t="shared" si="25"/>
        <v>11400</v>
      </c>
      <c r="K71" s="71">
        <f t="shared" si="26"/>
        <v>17100</v>
      </c>
      <c r="L71" s="71">
        <f t="shared" si="27"/>
        <v>1140</v>
      </c>
      <c r="M71" s="71">
        <f t="shared" si="28"/>
        <v>1710</v>
      </c>
      <c r="N71" s="71">
        <f t="shared" si="29"/>
        <v>2280</v>
      </c>
      <c r="O71" s="71">
        <f t="shared" si="30"/>
        <v>2850</v>
      </c>
      <c r="P71" s="71">
        <f t="shared" si="31"/>
        <v>228</v>
      </c>
      <c r="Q71" s="71">
        <f t="shared" si="32"/>
        <v>342</v>
      </c>
      <c r="R71" s="71">
        <f t="shared" si="33"/>
        <v>456</v>
      </c>
      <c r="S71" s="71">
        <f t="shared" si="34"/>
        <v>570</v>
      </c>
      <c r="U71" t="str">
        <f t="shared" si="19"/>
        <v>[{2,4275}]</v>
      </c>
      <c r="V71" t="str">
        <f t="shared" si="20"/>
        <v>[{2,7125}]</v>
      </c>
      <c r="W71" t="str">
        <f t="shared" si="21"/>
        <v>[{2,11400}]</v>
      </c>
      <c r="X71" t="str">
        <f t="shared" si="22"/>
        <v>[{2,17100}]</v>
      </c>
    </row>
    <row r="72" ht="16.5" spans="1:24">
      <c r="A72" s="33"/>
      <c r="B72" s="29"/>
      <c r="C72" s="42"/>
      <c r="D72" s="61" t="s">
        <v>32</v>
      </c>
      <c r="E72" s="71">
        <f t="shared" si="18"/>
        <v>39</v>
      </c>
      <c r="F72" s="71">
        <v>130</v>
      </c>
      <c r="G72" s="71">
        <f>SUM($F$33:F72)</f>
        <v>2455</v>
      </c>
      <c r="H72" s="71">
        <f t="shared" si="23"/>
        <v>4350</v>
      </c>
      <c r="I72" s="71">
        <f t="shared" si="24"/>
        <v>7250</v>
      </c>
      <c r="J72" s="71">
        <f t="shared" si="25"/>
        <v>11600</v>
      </c>
      <c r="K72" s="71">
        <f t="shared" si="26"/>
        <v>17400</v>
      </c>
      <c r="L72" s="71">
        <f t="shared" si="27"/>
        <v>1170</v>
      </c>
      <c r="M72" s="71">
        <f t="shared" si="28"/>
        <v>1755</v>
      </c>
      <c r="N72" s="71">
        <f t="shared" si="29"/>
        <v>2340</v>
      </c>
      <c r="O72" s="71">
        <f t="shared" si="30"/>
        <v>2925</v>
      </c>
      <c r="P72" s="71">
        <f t="shared" si="31"/>
        <v>234</v>
      </c>
      <c r="Q72" s="71">
        <f t="shared" si="32"/>
        <v>351</v>
      </c>
      <c r="R72" s="71">
        <f t="shared" si="33"/>
        <v>468</v>
      </c>
      <c r="S72" s="71">
        <f t="shared" si="34"/>
        <v>585</v>
      </c>
      <c r="U72" t="str">
        <f t="shared" si="19"/>
        <v>[{2,4350}]</v>
      </c>
      <c r="V72" t="str">
        <f t="shared" si="20"/>
        <v>[{2,7250}]</v>
      </c>
      <c r="W72" t="str">
        <f t="shared" si="21"/>
        <v>[{2,11600}]</v>
      </c>
      <c r="X72" t="str">
        <f t="shared" si="22"/>
        <v>[{2,17400}]</v>
      </c>
    </row>
    <row r="73" ht="16.5" spans="1:24">
      <c r="A73" s="33"/>
      <c r="B73" s="29"/>
      <c r="C73" s="42"/>
      <c r="D73" s="61" t="s">
        <v>32</v>
      </c>
      <c r="E73" s="71">
        <f t="shared" si="18"/>
        <v>40</v>
      </c>
      <c r="F73" s="71">
        <v>150</v>
      </c>
      <c r="G73" s="71">
        <f>SUM($F$33:F73)</f>
        <v>2605</v>
      </c>
      <c r="H73" s="71">
        <f t="shared" si="23"/>
        <v>4425</v>
      </c>
      <c r="I73" s="71">
        <f t="shared" si="24"/>
        <v>7375</v>
      </c>
      <c r="J73" s="71">
        <f t="shared" si="25"/>
        <v>11800</v>
      </c>
      <c r="K73" s="71">
        <f t="shared" si="26"/>
        <v>17700</v>
      </c>
      <c r="L73" s="71">
        <f t="shared" si="27"/>
        <v>1200</v>
      </c>
      <c r="M73" s="71">
        <f t="shared" si="28"/>
        <v>1800</v>
      </c>
      <c r="N73" s="71">
        <f t="shared" si="29"/>
        <v>2400</v>
      </c>
      <c r="O73" s="71">
        <f t="shared" si="30"/>
        <v>3000</v>
      </c>
      <c r="P73" s="71">
        <f t="shared" si="31"/>
        <v>240</v>
      </c>
      <c r="Q73" s="71">
        <f t="shared" si="32"/>
        <v>360</v>
      </c>
      <c r="R73" s="71">
        <f t="shared" si="33"/>
        <v>480</v>
      </c>
      <c r="S73" s="71">
        <f t="shared" si="34"/>
        <v>600</v>
      </c>
      <c r="U73" t="str">
        <f t="shared" si="19"/>
        <v>[{2,4425}]</v>
      </c>
      <c r="V73" t="str">
        <f t="shared" si="20"/>
        <v>[{2,7375}]</v>
      </c>
      <c r="W73" t="str">
        <f t="shared" si="21"/>
        <v>[{2,11800}]</v>
      </c>
      <c r="X73" t="str">
        <f t="shared" si="22"/>
        <v>[{2,17700}]</v>
      </c>
    </row>
    <row r="74" ht="16.5" spans="1:24">
      <c r="A74" s="33"/>
      <c r="B74" s="29"/>
      <c r="C74" s="42"/>
      <c r="D74" s="61" t="s">
        <v>32</v>
      </c>
      <c r="E74" s="71">
        <f t="shared" si="18"/>
        <v>41</v>
      </c>
      <c r="F74" s="71">
        <v>150</v>
      </c>
      <c r="G74" s="71">
        <f>SUM($F$33:F74)</f>
        <v>2755</v>
      </c>
      <c r="H74" s="71">
        <f t="shared" si="23"/>
        <v>4500</v>
      </c>
      <c r="I74" s="71">
        <f t="shared" si="24"/>
        <v>7500</v>
      </c>
      <c r="J74" s="71">
        <f t="shared" si="25"/>
        <v>12000</v>
      </c>
      <c r="K74" s="71">
        <f t="shared" si="26"/>
        <v>18000</v>
      </c>
      <c r="L74" s="71">
        <f t="shared" si="27"/>
        <v>1230</v>
      </c>
      <c r="M74" s="71">
        <f t="shared" si="28"/>
        <v>1845</v>
      </c>
      <c r="N74" s="71">
        <f t="shared" si="29"/>
        <v>2460</v>
      </c>
      <c r="O74" s="71">
        <f t="shared" si="30"/>
        <v>3075</v>
      </c>
      <c r="P74" s="71">
        <f t="shared" si="31"/>
        <v>246</v>
      </c>
      <c r="Q74" s="71">
        <f t="shared" si="32"/>
        <v>369</v>
      </c>
      <c r="R74" s="71">
        <f t="shared" si="33"/>
        <v>492</v>
      </c>
      <c r="S74" s="71">
        <f t="shared" si="34"/>
        <v>615</v>
      </c>
      <c r="U74" t="str">
        <f t="shared" si="19"/>
        <v>[{2,4500}]</v>
      </c>
      <c r="V74" t="str">
        <f t="shared" si="20"/>
        <v>[{2,7500}]</v>
      </c>
      <c r="W74" t="str">
        <f t="shared" si="21"/>
        <v>[{2,12000}]</v>
      </c>
      <c r="X74" t="str">
        <f t="shared" si="22"/>
        <v>[{2,18000}]</v>
      </c>
    </row>
    <row r="75" ht="16.5" spans="1:24">
      <c r="A75" s="33"/>
      <c r="B75" s="29"/>
      <c r="C75" s="42"/>
      <c r="D75" s="61" t="s">
        <v>32</v>
      </c>
      <c r="E75" s="71">
        <f t="shared" si="18"/>
        <v>42</v>
      </c>
      <c r="F75" s="71">
        <v>150</v>
      </c>
      <c r="G75" s="71">
        <f>SUM($F$33:F75)</f>
        <v>2905</v>
      </c>
      <c r="H75" s="71">
        <f t="shared" si="23"/>
        <v>4575</v>
      </c>
      <c r="I75" s="71">
        <f t="shared" si="24"/>
        <v>7625</v>
      </c>
      <c r="J75" s="71">
        <f t="shared" si="25"/>
        <v>12200</v>
      </c>
      <c r="K75" s="71">
        <f t="shared" si="26"/>
        <v>18300</v>
      </c>
      <c r="L75" s="71">
        <f t="shared" si="27"/>
        <v>1260</v>
      </c>
      <c r="M75" s="71">
        <f t="shared" si="28"/>
        <v>1890</v>
      </c>
      <c r="N75" s="71">
        <f t="shared" si="29"/>
        <v>2520</v>
      </c>
      <c r="O75" s="71">
        <f t="shared" si="30"/>
        <v>3150</v>
      </c>
      <c r="P75" s="71">
        <f t="shared" si="31"/>
        <v>252</v>
      </c>
      <c r="Q75" s="71">
        <f t="shared" si="32"/>
        <v>378</v>
      </c>
      <c r="R75" s="71">
        <f t="shared" si="33"/>
        <v>504</v>
      </c>
      <c r="S75" s="71">
        <f t="shared" si="34"/>
        <v>630</v>
      </c>
      <c r="U75" t="str">
        <f t="shared" si="19"/>
        <v>[{2,4575}]</v>
      </c>
      <c r="V75" t="str">
        <f t="shared" si="20"/>
        <v>[{2,7625}]</v>
      </c>
      <c r="W75" t="str">
        <f t="shared" si="21"/>
        <v>[{2,12200}]</v>
      </c>
      <c r="X75" t="str">
        <f t="shared" si="22"/>
        <v>[{2,18300}]</v>
      </c>
    </row>
    <row r="76" ht="16.5" spans="1:24">
      <c r="A76" s="33"/>
      <c r="B76" s="29"/>
      <c r="C76" s="42"/>
      <c r="D76" s="61" t="s">
        <v>32</v>
      </c>
      <c r="E76" s="71">
        <f t="shared" ref="E76:E83" si="35">E75+1</f>
        <v>43</v>
      </c>
      <c r="F76" s="71">
        <v>150</v>
      </c>
      <c r="G76" s="71">
        <f>SUM($F$33:F76)</f>
        <v>3055</v>
      </c>
      <c r="H76" s="71">
        <f t="shared" si="23"/>
        <v>4650</v>
      </c>
      <c r="I76" s="71">
        <f t="shared" si="24"/>
        <v>7750</v>
      </c>
      <c r="J76" s="71">
        <f t="shared" si="25"/>
        <v>12400</v>
      </c>
      <c r="K76" s="71">
        <f t="shared" si="26"/>
        <v>18600</v>
      </c>
      <c r="L76" s="71">
        <f t="shared" si="27"/>
        <v>1290</v>
      </c>
      <c r="M76" s="71">
        <f t="shared" si="28"/>
        <v>1935</v>
      </c>
      <c r="N76" s="71">
        <f t="shared" si="29"/>
        <v>2580</v>
      </c>
      <c r="O76" s="71">
        <f t="shared" si="30"/>
        <v>3225</v>
      </c>
      <c r="P76" s="71">
        <f t="shared" si="31"/>
        <v>258</v>
      </c>
      <c r="Q76" s="71">
        <f t="shared" si="32"/>
        <v>387</v>
      </c>
      <c r="R76" s="71">
        <f t="shared" si="33"/>
        <v>516</v>
      </c>
      <c r="S76" s="71">
        <f t="shared" si="34"/>
        <v>645</v>
      </c>
      <c r="U76" t="str">
        <f t="shared" si="19"/>
        <v>[{2,4650}]</v>
      </c>
      <c r="V76" t="str">
        <f t="shared" si="20"/>
        <v>[{2,7750}]</v>
      </c>
      <c r="W76" t="str">
        <f t="shared" si="21"/>
        <v>[{2,12400}]</v>
      </c>
      <c r="X76" t="str">
        <f t="shared" si="22"/>
        <v>[{2,18600}]</v>
      </c>
    </row>
    <row r="77" ht="16.5" spans="1:24">
      <c r="A77" s="33"/>
      <c r="B77" s="29"/>
      <c r="C77" s="42"/>
      <c r="D77" s="61" t="s">
        <v>32</v>
      </c>
      <c r="E77" s="71">
        <f t="shared" si="35"/>
        <v>44</v>
      </c>
      <c r="F77" s="71">
        <v>150</v>
      </c>
      <c r="G77" s="71">
        <f>SUM($F$33:F77)</f>
        <v>3205</v>
      </c>
      <c r="H77" s="71">
        <f t="shared" si="23"/>
        <v>4725</v>
      </c>
      <c r="I77" s="71">
        <f t="shared" si="24"/>
        <v>7875</v>
      </c>
      <c r="J77" s="71">
        <f t="shared" si="25"/>
        <v>12600</v>
      </c>
      <c r="K77" s="71">
        <f t="shared" si="26"/>
        <v>18900</v>
      </c>
      <c r="L77" s="71">
        <f t="shared" si="27"/>
        <v>1320</v>
      </c>
      <c r="M77" s="71">
        <f t="shared" si="28"/>
        <v>1980</v>
      </c>
      <c r="N77" s="71">
        <f t="shared" si="29"/>
        <v>2640</v>
      </c>
      <c r="O77" s="71">
        <f t="shared" si="30"/>
        <v>3300</v>
      </c>
      <c r="P77" s="71">
        <f t="shared" si="31"/>
        <v>264</v>
      </c>
      <c r="Q77" s="71">
        <f t="shared" si="32"/>
        <v>396</v>
      </c>
      <c r="R77" s="71">
        <f t="shared" si="33"/>
        <v>528</v>
      </c>
      <c r="S77" s="71">
        <f t="shared" si="34"/>
        <v>660</v>
      </c>
      <c r="U77" t="str">
        <f t="shared" si="19"/>
        <v>[{2,4725}]</v>
      </c>
      <c r="V77" t="str">
        <f t="shared" si="20"/>
        <v>[{2,7875}]</v>
      </c>
      <c r="W77" t="str">
        <f t="shared" si="21"/>
        <v>[{2,12600}]</v>
      </c>
      <c r="X77" t="str">
        <f t="shared" si="22"/>
        <v>[{2,18900}]</v>
      </c>
    </row>
    <row r="78" ht="16.5" spans="1:24">
      <c r="A78" s="33"/>
      <c r="B78" s="29"/>
      <c r="C78" s="42"/>
      <c r="D78" s="61" t="s">
        <v>32</v>
      </c>
      <c r="E78" s="71">
        <f t="shared" si="35"/>
        <v>45</v>
      </c>
      <c r="F78" s="71">
        <v>170</v>
      </c>
      <c r="G78" s="71">
        <f>SUM($F$33:F78)</f>
        <v>3375</v>
      </c>
      <c r="H78" s="71">
        <f t="shared" si="23"/>
        <v>4800</v>
      </c>
      <c r="I78" s="71">
        <f t="shared" si="24"/>
        <v>8000</v>
      </c>
      <c r="J78" s="71">
        <f t="shared" si="25"/>
        <v>12800</v>
      </c>
      <c r="K78" s="71">
        <f t="shared" si="26"/>
        <v>19200</v>
      </c>
      <c r="L78" s="71">
        <f t="shared" si="27"/>
        <v>1350</v>
      </c>
      <c r="M78" s="71">
        <f t="shared" si="28"/>
        <v>2025</v>
      </c>
      <c r="N78" s="71">
        <f t="shared" si="29"/>
        <v>2700</v>
      </c>
      <c r="O78" s="71">
        <f t="shared" si="30"/>
        <v>3375</v>
      </c>
      <c r="P78" s="71">
        <f t="shared" si="31"/>
        <v>270</v>
      </c>
      <c r="Q78" s="71">
        <f t="shared" si="32"/>
        <v>405</v>
      </c>
      <c r="R78" s="71">
        <f t="shared" si="33"/>
        <v>540</v>
      </c>
      <c r="S78" s="71">
        <f t="shared" si="34"/>
        <v>675</v>
      </c>
      <c r="U78" t="str">
        <f t="shared" si="19"/>
        <v>[{2,4800}]</v>
      </c>
      <c r="V78" t="str">
        <f t="shared" si="20"/>
        <v>[{2,8000}]</v>
      </c>
      <c r="W78" t="str">
        <f t="shared" si="21"/>
        <v>[{2,12800}]</v>
      </c>
      <c r="X78" t="str">
        <f t="shared" si="22"/>
        <v>[{2,19200}]</v>
      </c>
    </row>
    <row r="79" ht="16.5" spans="1:24">
      <c r="A79" s="33"/>
      <c r="B79" s="29"/>
      <c r="C79" s="42"/>
      <c r="D79" s="61" t="s">
        <v>32</v>
      </c>
      <c r="E79" s="71">
        <f t="shared" si="35"/>
        <v>46</v>
      </c>
      <c r="F79" s="71">
        <v>170</v>
      </c>
      <c r="G79" s="71">
        <f>SUM($F$33:F79)</f>
        <v>3545</v>
      </c>
      <c r="H79" s="71">
        <f t="shared" si="23"/>
        <v>4875</v>
      </c>
      <c r="I79" s="71">
        <f t="shared" si="24"/>
        <v>8125</v>
      </c>
      <c r="J79" s="71">
        <f t="shared" si="25"/>
        <v>13000</v>
      </c>
      <c r="K79" s="71">
        <f t="shared" si="26"/>
        <v>19500</v>
      </c>
      <c r="L79" s="71">
        <f t="shared" si="27"/>
        <v>1380</v>
      </c>
      <c r="M79" s="71">
        <f t="shared" si="28"/>
        <v>2070</v>
      </c>
      <c r="N79" s="71">
        <f t="shared" si="29"/>
        <v>2760</v>
      </c>
      <c r="O79" s="71">
        <f t="shared" si="30"/>
        <v>3450</v>
      </c>
      <c r="P79" s="71">
        <f t="shared" si="31"/>
        <v>276</v>
      </c>
      <c r="Q79" s="71">
        <f t="shared" si="32"/>
        <v>414</v>
      </c>
      <c r="R79" s="71">
        <f t="shared" si="33"/>
        <v>552</v>
      </c>
      <c r="S79" s="71">
        <f t="shared" si="34"/>
        <v>690</v>
      </c>
      <c r="U79" t="str">
        <f t="shared" si="19"/>
        <v>[{2,4875}]</v>
      </c>
      <c r="V79" t="str">
        <f t="shared" si="20"/>
        <v>[{2,8125}]</v>
      </c>
      <c r="W79" t="str">
        <f t="shared" si="21"/>
        <v>[{2,13000}]</v>
      </c>
      <c r="X79" t="str">
        <f t="shared" si="22"/>
        <v>[{2,19500}]</v>
      </c>
    </row>
    <row r="80" ht="16.5" spans="1:24">
      <c r="A80" s="33"/>
      <c r="B80" s="29"/>
      <c r="C80" s="42"/>
      <c r="D80" s="61" t="s">
        <v>32</v>
      </c>
      <c r="E80" s="71">
        <f t="shared" si="35"/>
        <v>47</v>
      </c>
      <c r="F80" s="71">
        <v>170</v>
      </c>
      <c r="G80" s="71">
        <f>SUM($F$33:F80)</f>
        <v>3715</v>
      </c>
      <c r="H80" s="71">
        <f t="shared" si="23"/>
        <v>4950</v>
      </c>
      <c r="I80" s="71">
        <f t="shared" si="24"/>
        <v>8250</v>
      </c>
      <c r="J80" s="71">
        <f t="shared" si="25"/>
        <v>13200</v>
      </c>
      <c r="K80" s="71">
        <f t="shared" si="26"/>
        <v>19800</v>
      </c>
      <c r="L80" s="71">
        <f t="shared" si="27"/>
        <v>1410</v>
      </c>
      <c r="M80" s="71">
        <f t="shared" si="28"/>
        <v>2115</v>
      </c>
      <c r="N80" s="71">
        <f t="shared" si="29"/>
        <v>2820</v>
      </c>
      <c r="O80" s="71">
        <f t="shared" si="30"/>
        <v>3525</v>
      </c>
      <c r="P80" s="71">
        <f t="shared" si="31"/>
        <v>282</v>
      </c>
      <c r="Q80" s="71">
        <f t="shared" si="32"/>
        <v>423</v>
      </c>
      <c r="R80" s="71">
        <f t="shared" si="33"/>
        <v>564</v>
      </c>
      <c r="S80" s="71">
        <f t="shared" si="34"/>
        <v>705</v>
      </c>
      <c r="U80" t="str">
        <f t="shared" si="19"/>
        <v>[{2,4950}]</v>
      </c>
      <c r="V80" t="str">
        <f t="shared" si="20"/>
        <v>[{2,8250}]</v>
      </c>
      <c r="W80" t="str">
        <f t="shared" si="21"/>
        <v>[{2,13200}]</v>
      </c>
      <c r="X80" t="str">
        <f t="shared" si="22"/>
        <v>[{2,19800}]</v>
      </c>
    </row>
    <row r="81" ht="16.5" spans="1:24">
      <c r="A81" s="33"/>
      <c r="B81" s="29"/>
      <c r="C81" s="42"/>
      <c r="D81" s="61" t="s">
        <v>32</v>
      </c>
      <c r="E81" s="71">
        <f t="shared" si="35"/>
        <v>48</v>
      </c>
      <c r="F81" s="71">
        <v>170</v>
      </c>
      <c r="G81" s="71">
        <f>SUM($F$33:F81)</f>
        <v>3885</v>
      </c>
      <c r="H81" s="71">
        <f t="shared" si="23"/>
        <v>5025</v>
      </c>
      <c r="I81" s="71">
        <f t="shared" si="24"/>
        <v>8375</v>
      </c>
      <c r="J81" s="71">
        <f t="shared" si="25"/>
        <v>13400</v>
      </c>
      <c r="K81" s="71">
        <f t="shared" si="26"/>
        <v>20100</v>
      </c>
      <c r="L81" s="71">
        <f t="shared" si="27"/>
        <v>1440</v>
      </c>
      <c r="M81" s="71">
        <f t="shared" si="28"/>
        <v>2160</v>
      </c>
      <c r="N81" s="71">
        <f t="shared" si="29"/>
        <v>2880</v>
      </c>
      <c r="O81" s="71">
        <f t="shared" si="30"/>
        <v>3600</v>
      </c>
      <c r="P81" s="71">
        <f t="shared" si="31"/>
        <v>288</v>
      </c>
      <c r="Q81" s="71">
        <f t="shared" si="32"/>
        <v>432</v>
      </c>
      <c r="R81" s="71">
        <f t="shared" si="33"/>
        <v>576</v>
      </c>
      <c r="S81" s="71">
        <f t="shared" si="34"/>
        <v>720</v>
      </c>
      <c r="U81" t="str">
        <f t="shared" si="19"/>
        <v>[{2,5025}]</v>
      </c>
      <c r="V81" t="str">
        <f t="shared" si="20"/>
        <v>[{2,8375}]</v>
      </c>
      <c r="W81" t="str">
        <f t="shared" si="21"/>
        <v>[{2,13400}]</v>
      </c>
      <c r="X81" t="str">
        <f t="shared" si="22"/>
        <v>[{2,20100}]</v>
      </c>
    </row>
    <row r="82" ht="16.5" spans="1:24">
      <c r="A82" s="33"/>
      <c r="B82" s="29"/>
      <c r="C82" s="42"/>
      <c r="D82" s="61" t="s">
        <v>32</v>
      </c>
      <c r="E82" s="71">
        <f t="shared" si="35"/>
        <v>49</v>
      </c>
      <c r="F82" s="71">
        <v>170</v>
      </c>
      <c r="G82" s="71">
        <f>SUM($F$33:F82)</f>
        <v>4055</v>
      </c>
      <c r="H82" s="71">
        <f t="shared" si="23"/>
        <v>5100</v>
      </c>
      <c r="I82" s="71">
        <f t="shared" si="24"/>
        <v>8500</v>
      </c>
      <c r="J82" s="71">
        <f t="shared" si="25"/>
        <v>13600</v>
      </c>
      <c r="K82" s="71">
        <f t="shared" si="26"/>
        <v>20400</v>
      </c>
      <c r="L82" s="71">
        <f t="shared" si="27"/>
        <v>1470</v>
      </c>
      <c r="M82" s="71">
        <f t="shared" si="28"/>
        <v>2205</v>
      </c>
      <c r="N82" s="71">
        <f t="shared" si="29"/>
        <v>2940</v>
      </c>
      <c r="O82" s="71">
        <f t="shared" si="30"/>
        <v>3675</v>
      </c>
      <c r="P82" s="71">
        <f t="shared" si="31"/>
        <v>294</v>
      </c>
      <c r="Q82" s="71">
        <f t="shared" si="32"/>
        <v>441</v>
      </c>
      <c r="R82" s="71">
        <f t="shared" si="33"/>
        <v>588</v>
      </c>
      <c r="S82" s="71">
        <f t="shared" si="34"/>
        <v>735</v>
      </c>
      <c r="U82" t="str">
        <f t="shared" si="19"/>
        <v>[{2,5100}]</v>
      </c>
      <c r="V82" t="str">
        <f t="shared" si="20"/>
        <v>[{2,8500}]</v>
      </c>
      <c r="W82" t="str">
        <f t="shared" si="21"/>
        <v>[{2,13600}]</v>
      </c>
      <c r="X82" t="str">
        <f t="shared" si="22"/>
        <v>[{2,20400}]</v>
      </c>
    </row>
    <row r="83" ht="16.5" spans="1:24">
      <c r="A83" s="33"/>
      <c r="B83" s="29"/>
      <c r="C83" s="42"/>
      <c r="D83" s="61" t="s">
        <v>32</v>
      </c>
      <c r="E83" s="71">
        <f t="shared" si="35"/>
        <v>50</v>
      </c>
      <c r="F83" s="71">
        <v>190</v>
      </c>
      <c r="G83" s="71">
        <f>SUM($F$33:F83)</f>
        <v>4245</v>
      </c>
      <c r="H83" s="71">
        <f t="shared" si="23"/>
        <v>5175</v>
      </c>
      <c r="I83" s="71">
        <f t="shared" si="24"/>
        <v>8625</v>
      </c>
      <c r="J83" s="71">
        <f t="shared" si="25"/>
        <v>13800</v>
      </c>
      <c r="K83" s="71">
        <f t="shared" si="26"/>
        <v>20700</v>
      </c>
      <c r="L83" s="71">
        <f t="shared" si="27"/>
        <v>1500</v>
      </c>
      <c r="M83" s="71">
        <f t="shared" si="28"/>
        <v>2250</v>
      </c>
      <c r="N83" s="71">
        <f t="shared" si="29"/>
        <v>3000</v>
      </c>
      <c r="O83" s="71">
        <f t="shared" si="30"/>
        <v>3750</v>
      </c>
      <c r="P83" s="71">
        <f t="shared" si="31"/>
        <v>300</v>
      </c>
      <c r="Q83" s="71">
        <f t="shared" si="32"/>
        <v>450</v>
      </c>
      <c r="R83" s="71">
        <f t="shared" si="33"/>
        <v>600</v>
      </c>
      <c r="S83" s="71">
        <f t="shared" si="34"/>
        <v>750</v>
      </c>
      <c r="U83" t="str">
        <f t="shared" si="19"/>
        <v>[{2,5175}]</v>
      </c>
      <c r="V83" t="str">
        <f t="shared" si="20"/>
        <v>[{2,8625}]</v>
      </c>
      <c r="W83" t="str">
        <f t="shared" si="21"/>
        <v>[{2,13800}]</v>
      </c>
      <c r="X83" t="str">
        <f t="shared" si="22"/>
        <v>[{2,20700}]</v>
      </c>
    </row>
    <row r="84" ht="16.5" spans="1:24">
      <c r="A84" s="33"/>
      <c r="B84" s="29"/>
      <c r="C84" s="42"/>
      <c r="D84" s="61" t="s">
        <v>32</v>
      </c>
      <c r="E84" s="71">
        <f t="shared" ref="E84:E93" si="36">E83+1</f>
        <v>51</v>
      </c>
      <c r="F84" s="71">
        <v>190</v>
      </c>
      <c r="G84" s="71">
        <f>SUM($F$33:F84)</f>
        <v>4435</v>
      </c>
      <c r="H84" s="71">
        <f t="shared" si="23"/>
        <v>5250</v>
      </c>
      <c r="I84" s="71">
        <f t="shared" si="24"/>
        <v>8750</v>
      </c>
      <c r="J84" s="71">
        <f t="shared" si="25"/>
        <v>14000</v>
      </c>
      <c r="K84" s="71">
        <f t="shared" si="26"/>
        <v>21000</v>
      </c>
      <c r="L84" s="71">
        <f t="shared" si="27"/>
        <v>1530</v>
      </c>
      <c r="M84" s="71">
        <f t="shared" si="28"/>
        <v>2295</v>
      </c>
      <c r="N84" s="71">
        <f t="shared" si="29"/>
        <v>3060</v>
      </c>
      <c r="O84" s="71">
        <f t="shared" si="30"/>
        <v>3825</v>
      </c>
      <c r="P84" s="71">
        <f t="shared" si="31"/>
        <v>306</v>
      </c>
      <c r="Q84" s="71">
        <f t="shared" si="32"/>
        <v>459</v>
      </c>
      <c r="R84" s="71">
        <f t="shared" si="33"/>
        <v>612</v>
      </c>
      <c r="S84" s="71">
        <f t="shared" si="34"/>
        <v>765</v>
      </c>
      <c r="U84" t="str">
        <f t="shared" si="19"/>
        <v>[{2,5250}]</v>
      </c>
      <c r="V84" t="str">
        <f t="shared" si="20"/>
        <v>[{2,8750}]</v>
      </c>
      <c r="W84" t="str">
        <f t="shared" si="21"/>
        <v>[{2,14000}]</v>
      </c>
      <c r="X84" t="str">
        <f t="shared" si="22"/>
        <v>[{2,21000}]</v>
      </c>
    </row>
    <row r="85" ht="16.5" spans="1:24">
      <c r="A85" s="33"/>
      <c r="B85" s="29"/>
      <c r="C85" s="42"/>
      <c r="D85" s="61" t="s">
        <v>32</v>
      </c>
      <c r="E85" s="71">
        <f t="shared" si="36"/>
        <v>52</v>
      </c>
      <c r="F85" s="71">
        <v>190</v>
      </c>
      <c r="G85" s="71">
        <f>SUM($F$33:F85)</f>
        <v>4625</v>
      </c>
      <c r="H85" s="71">
        <f t="shared" si="23"/>
        <v>5325</v>
      </c>
      <c r="I85" s="71">
        <f t="shared" si="24"/>
        <v>8875</v>
      </c>
      <c r="J85" s="71">
        <f t="shared" si="25"/>
        <v>14200</v>
      </c>
      <c r="K85" s="71">
        <f t="shared" si="26"/>
        <v>21300</v>
      </c>
      <c r="L85" s="71">
        <f t="shared" si="27"/>
        <v>1560</v>
      </c>
      <c r="M85" s="71">
        <f t="shared" si="28"/>
        <v>2340</v>
      </c>
      <c r="N85" s="71">
        <f t="shared" si="29"/>
        <v>3120</v>
      </c>
      <c r="O85" s="71">
        <f t="shared" si="30"/>
        <v>3900</v>
      </c>
      <c r="P85" s="71">
        <f t="shared" si="31"/>
        <v>312</v>
      </c>
      <c r="Q85" s="71">
        <f t="shared" si="32"/>
        <v>468</v>
      </c>
      <c r="R85" s="71">
        <f t="shared" si="33"/>
        <v>624</v>
      </c>
      <c r="S85" s="71">
        <f t="shared" si="34"/>
        <v>780</v>
      </c>
      <c r="U85" t="str">
        <f t="shared" si="19"/>
        <v>[{2,5325}]</v>
      </c>
      <c r="V85" t="str">
        <f t="shared" si="20"/>
        <v>[{2,8875}]</v>
      </c>
      <c r="W85" t="str">
        <f t="shared" si="21"/>
        <v>[{2,14200}]</v>
      </c>
      <c r="X85" t="str">
        <f t="shared" si="22"/>
        <v>[{2,21300}]</v>
      </c>
    </row>
    <row r="86" ht="16.5" spans="1:24">
      <c r="A86" s="33"/>
      <c r="B86" s="29"/>
      <c r="C86" s="42"/>
      <c r="D86" s="61" t="s">
        <v>32</v>
      </c>
      <c r="E86" s="71">
        <f t="shared" si="36"/>
        <v>53</v>
      </c>
      <c r="F86" s="71">
        <v>190</v>
      </c>
      <c r="G86" s="71">
        <f>SUM($F$33:F86)</f>
        <v>4815</v>
      </c>
      <c r="H86" s="71">
        <f t="shared" si="23"/>
        <v>5400</v>
      </c>
      <c r="I86" s="71">
        <f t="shared" si="24"/>
        <v>9000</v>
      </c>
      <c r="J86" s="71">
        <f t="shared" si="25"/>
        <v>14400</v>
      </c>
      <c r="K86" s="71">
        <f t="shared" si="26"/>
        <v>21600</v>
      </c>
      <c r="L86" s="71">
        <f t="shared" si="27"/>
        <v>1590</v>
      </c>
      <c r="M86" s="71">
        <f t="shared" si="28"/>
        <v>2385</v>
      </c>
      <c r="N86" s="71">
        <f t="shared" si="29"/>
        <v>3180</v>
      </c>
      <c r="O86" s="71">
        <f t="shared" si="30"/>
        <v>3975</v>
      </c>
      <c r="P86" s="71">
        <f t="shared" si="31"/>
        <v>318</v>
      </c>
      <c r="Q86" s="71">
        <f t="shared" si="32"/>
        <v>477</v>
      </c>
      <c r="R86" s="71">
        <f t="shared" si="33"/>
        <v>636</v>
      </c>
      <c r="S86" s="71">
        <f t="shared" si="34"/>
        <v>795</v>
      </c>
      <c r="U86" t="str">
        <f t="shared" si="19"/>
        <v>[{2,5400}]</v>
      </c>
      <c r="V86" t="str">
        <f t="shared" si="20"/>
        <v>[{2,9000}]</v>
      </c>
      <c r="W86" t="str">
        <f t="shared" si="21"/>
        <v>[{2,14400}]</v>
      </c>
      <c r="X86" t="str">
        <f t="shared" si="22"/>
        <v>[{2,21600}]</v>
      </c>
    </row>
    <row r="87" ht="16.5" spans="1:24">
      <c r="A87" s="33"/>
      <c r="B87" s="29"/>
      <c r="C87" s="42"/>
      <c r="D87" s="61" t="s">
        <v>32</v>
      </c>
      <c r="E87" s="71">
        <f t="shared" si="36"/>
        <v>54</v>
      </c>
      <c r="F87" s="71">
        <v>190</v>
      </c>
      <c r="G87" s="71">
        <f>SUM($F$33:F87)</f>
        <v>5005</v>
      </c>
      <c r="H87" s="71">
        <f t="shared" si="23"/>
        <v>5475</v>
      </c>
      <c r="I87" s="71">
        <f t="shared" si="24"/>
        <v>9125</v>
      </c>
      <c r="J87" s="71">
        <f t="shared" si="25"/>
        <v>14600</v>
      </c>
      <c r="K87" s="71">
        <f t="shared" si="26"/>
        <v>21900</v>
      </c>
      <c r="L87" s="71">
        <f t="shared" si="27"/>
        <v>1620</v>
      </c>
      <c r="M87" s="71">
        <f t="shared" si="28"/>
        <v>2430</v>
      </c>
      <c r="N87" s="71">
        <f t="shared" si="29"/>
        <v>3240</v>
      </c>
      <c r="O87" s="71">
        <f t="shared" si="30"/>
        <v>4050</v>
      </c>
      <c r="P87" s="71">
        <f t="shared" si="31"/>
        <v>324</v>
      </c>
      <c r="Q87" s="71">
        <f t="shared" si="32"/>
        <v>486</v>
      </c>
      <c r="R87" s="71">
        <f t="shared" si="33"/>
        <v>648</v>
      </c>
      <c r="S87" s="71">
        <f t="shared" si="34"/>
        <v>810</v>
      </c>
      <c r="U87" t="str">
        <f t="shared" si="19"/>
        <v>[{2,5475}]</v>
      </c>
      <c r="V87" t="str">
        <f t="shared" si="20"/>
        <v>[{2,9125}]</v>
      </c>
      <c r="W87" t="str">
        <f t="shared" si="21"/>
        <v>[{2,14600}]</v>
      </c>
      <c r="X87" t="str">
        <f t="shared" si="22"/>
        <v>[{2,21900}]</v>
      </c>
    </row>
    <row r="88" ht="16.5" spans="1:24">
      <c r="A88" s="33"/>
      <c r="B88" s="29"/>
      <c r="C88" s="42"/>
      <c r="D88" s="61" t="s">
        <v>32</v>
      </c>
      <c r="E88" s="71">
        <f t="shared" si="36"/>
        <v>55</v>
      </c>
      <c r="F88" s="71">
        <v>210</v>
      </c>
      <c r="G88" s="71">
        <f>SUM($F$33:F88)</f>
        <v>5215</v>
      </c>
      <c r="H88" s="71">
        <f t="shared" si="23"/>
        <v>5550</v>
      </c>
      <c r="I88" s="71">
        <f t="shared" si="24"/>
        <v>9250</v>
      </c>
      <c r="J88" s="71">
        <f t="shared" si="25"/>
        <v>14800</v>
      </c>
      <c r="K88" s="71">
        <f t="shared" si="26"/>
        <v>22200</v>
      </c>
      <c r="L88" s="71">
        <f t="shared" si="27"/>
        <v>1650</v>
      </c>
      <c r="M88" s="71">
        <f t="shared" si="28"/>
        <v>2475</v>
      </c>
      <c r="N88" s="71">
        <f t="shared" si="29"/>
        <v>3300</v>
      </c>
      <c r="O88" s="71">
        <f t="shared" si="30"/>
        <v>4125</v>
      </c>
      <c r="P88" s="71">
        <f t="shared" si="31"/>
        <v>330</v>
      </c>
      <c r="Q88" s="71">
        <f t="shared" si="32"/>
        <v>495</v>
      </c>
      <c r="R88" s="71">
        <f t="shared" si="33"/>
        <v>660</v>
      </c>
      <c r="S88" s="71">
        <f t="shared" si="34"/>
        <v>825</v>
      </c>
      <c r="U88" t="str">
        <f t="shared" si="19"/>
        <v>[{2,5550}]</v>
      </c>
      <c r="V88" t="str">
        <f t="shared" si="20"/>
        <v>[{2,9250}]</v>
      </c>
      <c r="W88" t="str">
        <f t="shared" si="21"/>
        <v>[{2,14800}]</v>
      </c>
      <c r="X88" t="str">
        <f t="shared" si="22"/>
        <v>[{2,22200}]</v>
      </c>
    </row>
    <row r="89" ht="16.5" spans="1:24">
      <c r="A89" s="33"/>
      <c r="B89" s="29"/>
      <c r="C89" s="42"/>
      <c r="D89" s="61" t="s">
        <v>32</v>
      </c>
      <c r="E89" s="71">
        <f t="shared" si="36"/>
        <v>56</v>
      </c>
      <c r="F89" s="71">
        <v>210</v>
      </c>
      <c r="G89" s="71">
        <f>SUM($F$33:F89)</f>
        <v>5425</v>
      </c>
      <c r="H89" s="71">
        <f t="shared" si="23"/>
        <v>5625</v>
      </c>
      <c r="I89" s="71">
        <f t="shared" si="24"/>
        <v>9375</v>
      </c>
      <c r="J89" s="71">
        <f t="shared" si="25"/>
        <v>15000</v>
      </c>
      <c r="K89" s="71">
        <f t="shared" si="26"/>
        <v>22500</v>
      </c>
      <c r="L89" s="71">
        <f t="shared" si="27"/>
        <v>1680</v>
      </c>
      <c r="M89" s="71">
        <f t="shared" si="28"/>
        <v>2520</v>
      </c>
      <c r="N89" s="71">
        <f t="shared" si="29"/>
        <v>3360</v>
      </c>
      <c r="O89" s="71">
        <f t="shared" si="30"/>
        <v>4200</v>
      </c>
      <c r="P89" s="71">
        <f t="shared" si="31"/>
        <v>336</v>
      </c>
      <c r="Q89" s="71">
        <f t="shared" si="32"/>
        <v>504</v>
      </c>
      <c r="R89" s="71">
        <f t="shared" si="33"/>
        <v>672</v>
      </c>
      <c r="S89" s="71">
        <f t="shared" si="34"/>
        <v>840</v>
      </c>
      <c r="U89" t="str">
        <f t="shared" si="19"/>
        <v>[{2,5625}]</v>
      </c>
      <c r="V89" t="str">
        <f t="shared" si="20"/>
        <v>[{2,9375}]</v>
      </c>
      <c r="W89" t="str">
        <f t="shared" si="21"/>
        <v>[{2,15000}]</v>
      </c>
      <c r="X89" t="str">
        <f t="shared" si="22"/>
        <v>[{2,22500}]</v>
      </c>
    </row>
    <row r="90" ht="16.5" spans="1:24">
      <c r="A90" s="33"/>
      <c r="B90" s="29"/>
      <c r="C90" s="42"/>
      <c r="D90" s="61" t="s">
        <v>32</v>
      </c>
      <c r="E90" s="71">
        <f t="shared" si="36"/>
        <v>57</v>
      </c>
      <c r="F90" s="71">
        <v>210</v>
      </c>
      <c r="G90" s="71">
        <f>SUM($F$33:F90)</f>
        <v>5635</v>
      </c>
      <c r="H90" s="71">
        <f t="shared" si="23"/>
        <v>5700</v>
      </c>
      <c r="I90" s="71">
        <f t="shared" si="24"/>
        <v>9500</v>
      </c>
      <c r="J90" s="71">
        <f t="shared" si="25"/>
        <v>15200</v>
      </c>
      <c r="K90" s="71">
        <f t="shared" si="26"/>
        <v>22800</v>
      </c>
      <c r="L90" s="71">
        <f t="shared" si="27"/>
        <v>1710</v>
      </c>
      <c r="M90" s="71">
        <f t="shared" si="28"/>
        <v>2565</v>
      </c>
      <c r="N90" s="71">
        <f t="shared" si="29"/>
        <v>3420</v>
      </c>
      <c r="O90" s="71">
        <f t="shared" si="30"/>
        <v>4275</v>
      </c>
      <c r="P90" s="71">
        <f t="shared" si="31"/>
        <v>342</v>
      </c>
      <c r="Q90" s="71">
        <f t="shared" si="32"/>
        <v>513</v>
      </c>
      <c r="R90" s="71">
        <f t="shared" si="33"/>
        <v>684</v>
      </c>
      <c r="S90" s="71">
        <f t="shared" si="34"/>
        <v>855</v>
      </c>
      <c r="U90" t="str">
        <f t="shared" si="19"/>
        <v>[{2,5700}]</v>
      </c>
      <c r="V90" t="str">
        <f t="shared" si="20"/>
        <v>[{2,9500}]</v>
      </c>
      <c r="W90" t="str">
        <f t="shared" si="21"/>
        <v>[{2,15200}]</v>
      </c>
      <c r="X90" t="str">
        <f t="shared" si="22"/>
        <v>[{2,22800}]</v>
      </c>
    </row>
    <row r="91" ht="16.5" spans="1:24">
      <c r="A91" s="33"/>
      <c r="B91" s="29"/>
      <c r="C91" s="42"/>
      <c r="D91" s="61" t="s">
        <v>32</v>
      </c>
      <c r="E91" s="71">
        <f t="shared" si="36"/>
        <v>58</v>
      </c>
      <c r="F91" s="71">
        <v>210</v>
      </c>
      <c r="G91" s="71">
        <f>SUM($F$33:F91)</f>
        <v>5845</v>
      </c>
      <c r="H91" s="71">
        <f t="shared" si="23"/>
        <v>5775</v>
      </c>
      <c r="I91" s="71">
        <f t="shared" si="24"/>
        <v>9625</v>
      </c>
      <c r="J91" s="71">
        <f t="shared" si="25"/>
        <v>15400</v>
      </c>
      <c r="K91" s="71">
        <f t="shared" si="26"/>
        <v>23100</v>
      </c>
      <c r="L91" s="71">
        <f t="shared" si="27"/>
        <v>1740</v>
      </c>
      <c r="M91" s="71">
        <f t="shared" si="28"/>
        <v>2610</v>
      </c>
      <c r="N91" s="71">
        <f t="shared" si="29"/>
        <v>3480</v>
      </c>
      <c r="O91" s="71">
        <f t="shared" si="30"/>
        <v>4350</v>
      </c>
      <c r="P91" s="71">
        <f t="shared" si="31"/>
        <v>348</v>
      </c>
      <c r="Q91" s="71">
        <f t="shared" si="32"/>
        <v>522</v>
      </c>
      <c r="R91" s="71">
        <f t="shared" si="33"/>
        <v>696</v>
      </c>
      <c r="S91" s="71">
        <f t="shared" si="34"/>
        <v>870</v>
      </c>
      <c r="U91" t="str">
        <f t="shared" si="19"/>
        <v>[{2,5775}]</v>
      </c>
      <c r="V91" t="str">
        <f t="shared" si="20"/>
        <v>[{2,9625}]</v>
      </c>
      <c r="W91" t="str">
        <f t="shared" si="21"/>
        <v>[{2,15400}]</v>
      </c>
      <c r="X91" t="str">
        <f t="shared" si="22"/>
        <v>[{2,23100}]</v>
      </c>
    </row>
    <row r="92" ht="16.5" spans="1:24">
      <c r="A92" s="33"/>
      <c r="B92" s="29"/>
      <c r="C92" s="42"/>
      <c r="D92" s="61" t="s">
        <v>32</v>
      </c>
      <c r="E92" s="71">
        <f t="shared" si="36"/>
        <v>59</v>
      </c>
      <c r="F92" s="71">
        <v>210</v>
      </c>
      <c r="G92" s="71">
        <f>SUM($F$33:F92)</f>
        <v>6055</v>
      </c>
      <c r="H92" s="71">
        <f t="shared" si="23"/>
        <v>5850</v>
      </c>
      <c r="I92" s="71">
        <f t="shared" si="24"/>
        <v>9750</v>
      </c>
      <c r="J92" s="71">
        <f t="shared" si="25"/>
        <v>15600</v>
      </c>
      <c r="K92" s="71">
        <f t="shared" si="26"/>
        <v>23400</v>
      </c>
      <c r="L92" s="71">
        <f t="shared" si="27"/>
        <v>1770</v>
      </c>
      <c r="M92" s="71">
        <f t="shared" si="28"/>
        <v>2655</v>
      </c>
      <c r="N92" s="71">
        <f t="shared" si="29"/>
        <v>3540</v>
      </c>
      <c r="O92" s="71">
        <f t="shared" si="30"/>
        <v>4425</v>
      </c>
      <c r="P92" s="71">
        <f t="shared" si="31"/>
        <v>354</v>
      </c>
      <c r="Q92" s="71">
        <f t="shared" si="32"/>
        <v>531</v>
      </c>
      <c r="R92" s="71">
        <f t="shared" si="33"/>
        <v>708</v>
      </c>
      <c r="S92" s="71">
        <f t="shared" si="34"/>
        <v>885</v>
      </c>
      <c r="U92" t="str">
        <f t="shared" si="19"/>
        <v>[{2,5850}]</v>
      </c>
      <c r="V92" t="str">
        <f t="shared" si="20"/>
        <v>[{2,9750}]</v>
      </c>
      <c r="W92" t="str">
        <f t="shared" si="21"/>
        <v>[{2,15600}]</v>
      </c>
      <c r="X92" t="str">
        <f t="shared" si="22"/>
        <v>[{2,23400}]</v>
      </c>
    </row>
    <row r="93" ht="16.5" spans="1:24">
      <c r="A93" s="33"/>
      <c r="B93" s="29"/>
      <c r="C93" s="42"/>
      <c r="D93" s="61" t="s">
        <v>32</v>
      </c>
      <c r="E93" s="71">
        <f t="shared" si="36"/>
        <v>60</v>
      </c>
      <c r="F93" s="71"/>
      <c r="G93" s="71"/>
      <c r="H93" s="71"/>
      <c r="I93" s="71"/>
      <c r="J93" s="71"/>
      <c r="K93" s="71"/>
      <c r="L93" s="71">
        <f>L$34*$E93</f>
        <v>1800</v>
      </c>
      <c r="M93" s="71">
        <f>M$34*$E93</f>
        <v>2700</v>
      </c>
      <c r="N93" s="71">
        <f>N$34*$E93</f>
        <v>3600</v>
      </c>
      <c r="O93" s="71">
        <f>O$34*$E93</f>
        <v>4500</v>
      </c>
      <c r="P93" s="71">
        <f>P$34*$E93</f>
        <v>360</v>
      </c>
      <c r="Q93" s="71">
        <f>Q$34*$E93</f>
        <v>540</v>
      </c>
      <c r="R93" s="71">
        <f>R$34*$E93</f>
        <v>720</v>
      </c>
      <c r="S93" s="71">
        <f>S$34*$E93</f>
        <v>900</v>
      </c>
    </row>
    <row r="94" ht="15.75" spans="1:24">
      <c r="A94" s="33"/>
      <c r="B94" s="29"/>
      <c r="C94" s="42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ht="15.75" spans="1:24">
      <c r="A95" s="33"/>
      <c r="B95" s="29"/>
      <c r="C95" s="42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ht="16.5" spans="1:24">
      <c r="A96" s="33"/>
      <c r="B96" s="29"/>
      <c r="C96" s="42"/>
      <c r="D96" s="29"/>
      <c r="E96" s="29"/>
      <c r="F96" s="29"/>
      <c r="H96" s="64" t="s">
        <v>56</v>
      </c>
      <c r="I96" s="29"/>
      <c r="J96" s="29"/>
      <c r="K96" s="29"/>
      <c r="L96" s="29"/>
      <c r="M96" s="29"/>
    </row>
    <row r="97" ht="16.5" spans="1:13">
      <c r="A97" s="33"/>
      <c r="B97" s="29"/>
      <c r="C97" s="42"/>
      <c r="D97" s="2" t="s">
        <v>48</v>
      </c>
      <c r="E97" s="64" t="s">
        <v>49</v>
      </c>
      <c r="F97" s="64" t="s">
        <v>46</v>
      </c>
      <c r="G97" s="64" t="s">
        <v>57</v>
      </c>
      <c r="H97" s="64" t="s">
        <v>56</v>
      </c>
      <c r="I97" s="64" t="s">
        <v>58</v>
      </c>
      <c r="J97" s="29"/>
      <c r="K97" s="29"/>
      <c r="L97" s="29"/>
      <c r="M97" s="29"/>
    </row>
    <row r="98" ht="16.5" spans="1:13">
      <c r="A98" s="33"/>
      <c r="B98" s="29"/>
      <c r="C98" s="42"/>
      <c r="D98" s="61" t="s">
        <v>59</v>
      </c>
      <c r="E98" s="71">
        <v>1</v>
      </c>
      <c r="F98" s="71"/>
      <c r="G98" s="71"/>
      <c r="H98" s="71"/>
      <c r="I98" s="71">
        <f>SUM($H$98:H98)</f>
        <v>0</v>
      </c>
      <c r="J98" s="29" t="str">
        <f>"[{max_hp,"&amp;F98&amp;"}]"</f>
        <v>[{max_hp,}]</v>
      </c>
      <c r="K98" s="29" t="str">
        <f>"[{63,"&amp;H98&amp;"}]"</f>
        <v>[{63,}]</v>
      </c>
      <c r="L98" s="29"/>
      <c r="M98" s="29"/>
    </row>
    <row r="99" ht="16.5" spans="1:13">
      <c r="A99" s="33"/>
      <c r="B99" s="29"/>
      <c r="C99" s="42"/>
      <c r="D99" s="61" t="s">
        <v>59</v>
      </c>
      <c r="E99" s="71">
        <f t="shared" ref="E99:E157" si="37">E98+1</f>
        <v>2</v>
      </c>
      <c r="F99" s="71">
        <f>G99-G98</f>
        <v>50</v>
      </c>
      <c r="G99" s="71">
        <v>50</v>
      </c>
      <c r="H99" s="71">
        <v>100</v>
      </c>
      <c r="I99" s="71">
        <f>SUM($H$98:H99)</f>
        <v>100</v>
      </c>
      <c r="J99" s="29" t="str">
        <f t="shared" ref="J99:J162" si="38">"[{max_hp,"&amp;F99&amp;"}]"</f>
        <v>[{max_hp,50}]</v>
      </c>
      <c r="K99" s="29" t="str">
        <f t="shared" ref="K99:K162" si="39">"[{63,"&amp;H99&amp;"}]"</f>
        <v>[{63,100}]</v>
      </c>
      <c r="L99" s="29"/>
      <c r="M99" s="29"/>
    </row>
    <row r="100" ht="16.5" spans="1:13">
      <c r="A100" s="33"/>
      <c r="B100" s="29"/>
      <c r="C100" s="42"/>
      <c r="D100" s="61" t="s">
        <v>59</v>
      </c>
      <c r="E100" s="71">
        <f t="shared" si="37"/>
        <v>3</v>
      </c>
      <c r="F100" s="71">
        <f t="shared" ref="F100:F163" si="40">G100-G99</f>
        <v>50</v>
      </c>
      <c r="G100" s="71">
        <v>100</v>
      </c>
      <c r="H100" s="71">
        <v>100</v>
      </c>
      <c r="I100" s="71">
        <f>SUM($H$98:H100)</f>
        <v>200</v>
      </c>
      <c r="J100" s="29" t="str">
        <f t="shared" si="38"/>
        <v>[{max_hp,50}]</v>
      </c>
      <c r="K100" s="29" t="str">
        <f t="shared" si="39"/>
        <v>[{63,100}]</v>
      </c>
      <c r="L100" s="29"/>
      <c r="M100" s="29"/>
    </row>
    <row r="101" ht="16.5" spans="1:13">
      <c r="A101" s="33"/>
      <c r="B101" s="29"/>
      <c r="C101" s="42"/>
      <c r="D101" s="61" t="s">
        <v>59</v>
      </c>
      <c r="E101" s="71">
        <f t="shared" si="37"/>
        <v>4</v>
      </c>
      <c r="F101" s="71">
        <f t="shared" si="40"/>
        <v>50</v>
      </c>
      <c r="G101" s="71">
        <v>150</v>
      </c>
      <c r="H101" s="71">
        <v>100</v>
      </c>
      <c r="I101" s="71">
        <f>SUM($H$98:H101)</f>
        <v>300</v>
      </c>
      <c r="J101" s="29" t="str">
        <f t="shared" si="38"/>
        <v>[{max_hp,50}]</v>
      </c>
      <c r="K101" s="29" t="str">
        <f t="shared" si="39"/>
        <v>[{63,100}]</v>
      </c>
      <c r="L101" s="29"/>
      <c r="M101" s="29"/>
    </row>
    <row r="102" ht="16.5" spans="1:13">
      <c r="A102" s="33"/>
      <c r="B102" s="29"/>
      <c r="C102" s="42"/>
      <c r="D102" s="61" t="s">
        <v>59</v>
      </c>
      <c r="E102" s="71">
        <f t="shared" si="37"/>
        <v>5</v>
      </c>
      <c r="F102" s="71">
        <f t="shared" si="40"/>
        <v>50</v>
      </c>
      <c r="G102" s="71">
        <v>200</v>
      </c>
      <c r="H102" s="71">
        <v>100</v>
      </c>
      <c r="I102" s="71">
        <f>SUM($H$98:H102)</f>
        <v>400</v>
      </c>
      <c r="J102" s="29" t="str">
        <f t="shared" si="38"/>
        <v>[{max_hp,50}]</v>
      </c>
      <c r="K102" s="29" t="str">
        <f t="shared" si="39"/>
        <v>[{63,100}]</v>
      </c>
      <c r="L102" s="29"/>
      <c r="M102" s="29"/>
    </row>
    <row r="103" ht="16.5" spans="1:13">
      <c r="A103" s="33"/>
      <c r="B103" s="29"/>
      <c r="C103" s="42"/>
      <c r="D103" s="61" t="s">
        <v>59</v>
      </c>
      <c r="E103" s="71">
        <f t="shared" si="37"/>
        <v>6</v>
      </c>
      <c r="F103" s="71">
        <f t="shared" si="40"/>
        <v>50</v>
      </c>
      <c r="G103" s="71">
        <v>250</v>
      </c>
      <c r="H103" s="71">
        <v>150</v>
      </c>
      <c r="I103" s="71">
        <f>SUM($H$98:H103)</f>
        <v>550</v>
      </c>
      <c r="J103" s="29" t="str">
        <f t="shared" si="38"/>
        <v>[{max_hp,50}]</v>
      </c>
      <c r="K103" s="29" t="str">
        <f t="shared" si="39"/>
        <v>[{63,150}]</v>
      </c>
      <c r="L103" s="29"/>
      <c r="M103" s="29"/>
    </row>
    <row r="104" ht="16.5" spans="1:13">
      <c r="A104" s="33"/>
      <c r="B104" s="29"/>
      <c r="C104" s="42"/>
      <c r="D104" s="61" t="s">
        <v>59</v>
      </c>
      <c r="E104" s="71">
        <f t="shared" si="37"/>
        <v>7</v>
      </c>
      <c r="F104" s="71">
        <f t="shared" si="40"/>
        <v>50</v>
      </c>
      <c r="G104" s="71">
        <v>300</v>
      </c>
      <c r="H104" s="71">
        <v>150</v>
      </c>
      <c r="I104" s="71">
        <f>SUM($H$98:H104)</f>
        <v>700</v>
      </c>
      <c r="J104" s="29" t="str">
        <f t="shared" si="38"/>
        <v>[{max_hp,50}]</v>
      </c>
      <c r="K104" s="29" t="str">
        <f t="shared" si="39"/>
        <v>[{63,150}]</v>
      </c>
      <c r="L104" s="29"/>
      <c r="M104" s="29"/>
    </row>
    <row r="105" ht="16.5" spans="1:13">
      <c r="A105" s="33"/>
      <c r="B105" s="29"/>
      <c r="C105" s="42"/>
      <c r="D105" s="61" t="s">
        <v>59</v>
      </c>
      <c r="E105" s="71">
        <f t="shared" si="37"/>
        <v>8</v>
      </c>
      <c r="F105" s="71">
        <f t="shared" si="40"/>
        <v>50</v>
      </c>
      <c r="G105" s="71">
        <v>350</v>
      </c>
      <c r="H105" s="71">
        <v>150</v>
      </c>
      <c r="I105" s="71">
        <f>SUM($H$98:H105)</f>
        <v>850</v>
      </c>
      <c r="J105" s="29" t="str">
        <f t="shared" si="38"/>
        <v>[{max_hp,50}]</v>
      </c>
      <c r="K105" s="29" t="str">
        <f t="shared" si="39"/>
        <v>[{63,150}]</v>
      </c>
      <c r="L105" s="29"/>
      <c r="M105" s="29"/>
    </row>
    <row r="106" ht="16.5" spans="1:13">
      <c r="A106" s="33"/>
      <c r="B106" s="29"/>
      <c r="C106" s="42"/>
      <c r="D106" s="61" t="s">
        <v>59</v>
      </c>
      <c r="E106" s="71">
        <f t="shared" si="37"/>
        <v>9</v>
      </c>
      <c r="F106" s="71">
        <f t="shared" si="40"/>
        <v>50</v>
      </c>
      <c r="G106" s="71">
        <v>400</v>
      </c>
      <c r="H106" s="71">
        <v>150</v>
      </c>
      <c r="I106" s="71">
        <f>SUM($H$98:H106)</f>
        <v>1000</v>
      </c>
      <c r="J106" s="29" t="str">
        <f t="shared" si="38"/>
        <v>[{max_hp,50}]</v>
      </c>
      <c r="K106" s="29" t="str">
        <f t="shared" si="39"/>
        <v>[{63,150}]</v>
      </c>
      <c r="L106" s="29"/>
      <c r="M106" s="29"/>
    </row>
    <row r="107" ht="16.5" spans="1:13">
      <c r="A107" s="33"/>
      <c r="B107" s="29"/>
      <c r="C107" s="42"/>
      <c r="D107" s="61" t="s">
        <v>59</v>
      </c>
      <c r="E107" s="71">
        <f t="shared" si="37"/>
        <v>10</v>
      </c>
      <c r="F107" s="71">
        <f t="shared" si="40"/>
        <v>50</v>
      </c>
      <c r="G107" s="71">
        <v>450</v>
      </c>
      <c r="H107" s="71">
        <v>200</v>
      </c>
      <c r="I107" s="71">
        <f>SUM($H$98:H107)</f>
        <v>1200</v>
      </c>
      <c r="J107" s="29" t="str">
        <f t="shared" si="38"/>
        <v>[{max_hp,50}]</v>
      </c>
      <c r="K107" s="29" t="str">
        <f t="shared" si="39"/>
        <v>[{63,200}]</v>
      </c>
      <c r="L107" s="29"/>
      <c r="M107" s="29"/>
    </row>
    <row r="108" ht="16.5" spans="1:13">
      <c r="A108" s="33"/>
      <c r="B108" s="29"/>
      <c r="C108" s="42"/>
      <c r="D108" s="61" t="s">
        <v>59</v>
      </c>
      <c r="E108" s="71">
        <f t="shared" si="37"/>
        <v>11</v>
      </c>
      <c r="F108" s="71">
        <f t="shared" si="40"/>
        <v>50</v>
      </c>
      <c r="G108" s="71">
        <v>500</v>
      </c>
      <c r="H108" s="71">
        <v>200</v>
      </c>
      <c r="I108" s="71">
        <f>SUM($H$98:H108)</f>
        <v>1400</v>
      </c>
      <c r="J108" s="29" t="str">
        <f t="shared" si="38"/>
        <v>[{max_hp,50}]</v>
      </c>
      <c r="K108" s="29" t="str">
        <f t="shared" si="39"/>
        <v>[{63,200}]</v>
      </c>
      <c r="L108" s="29"/>
      <c r="M108" s="29"/>
    </row>
    <row r="109" ht="16.5" spans="1:13">
      <c r="A109" s="33"/>
      <c r="B109" s="29"/>
      <c r="C109" s="42"/>
      <c r="D109" s="61" t="s">
        <v>59</v>
      </c>
      <c r="E109" s="71">
        <f t="shared" si="37"/>
        <v>12</v>
      </c>
      <c r="F109" s="71">
        <f t="shared" si="40"/>
        <v>50</v>
      </c>
      <c r="G109" s="71">
        <v>550</v>
      </c>
      <c r="H109" s="71">
        <v>200</v>
      </c>
      <c r="I109" s="71">
        <f>SUM($H$98:H109)</f>
        <v>1600</v>
      </c>
      <c r="J109" s="29" t="str">
        <f t="shared" si="38"/>
        <v>[{max_hp,50}]</v>
      </c>
      <c r="K109" s="29" t="str">
        <f t="shared" si="39"/>
        <v>[{63,200}]</v>
      </c>
      <c r="L109" s="29"/>
      <c r="M109" s="29"/>
    </row>
    <row r="110" ht="16.5" spans="1:13">
      <c r="A110" s="33"/>
      <c r="B110" s="29"/>
      <c r="C110" s="42"/>
      <c r="D110" s="61" t="s">
        <v>59</v>
      </c>
      <c r="E110" s="71">
        <f t="shared" si="37"/>
        <v>13</v>
      </c>
      <c r="F110" s="71">
        <f t="shared" si="40"/>
        <v>50</v>
      </c>
      <c r="G110" s="71">
        <v>600</v>
      </c>
      <c r="H110" s="71">
        <v>200</v>
      </c>
      <c r="I110" s="71">
        <f>SUM($H$98:H110)</f>
        <v>1800</v>
      </c>
      <c r="J110" s="29" t="str">
        <f t="shared" si="38"/>
        <v>[{max_hp,50}]</v>
      </c>
      <c r="K110" s="29" t="str">
        <f t="shared" si="39"/>
        <v>[{63,200}]</v>
      </c>
      <c r="L110" s="29"/>
      <c r="M110" s="29"/>
    </row>
    <row r="111" ht="16.5" spans="1:13">
      <c r="A111" s="33"/>
      <c r="B111" s="29"/>
      <c r="C111" s="42"/>
      <c r="D111" s="61" t="s">
        <v>59</v>
      </c>
      <c r="E111" s="71">
        <f t="shared" si="37"/>
        <v>14</v>
      </c>
      <c r="F111" s="71">
        <f t="shared" si="40"/>
        <v>50</v>
      </c>
      <c r="G111" s="71">
        <v>650</v>
      </c>
      <c r="H111" s="71">
        <v>250</v>
      </c>
      <c r="I111" s="71">
        <f>SUM($H$98:H111)</f>
        <v>2050</v>
      </c>
      <c r="J111" s="29" t="str">
        <f t="shared" si="38"/>
        <v>[{max_hp,50}]</v>
      </c>
      <c r="K111" s="29" t="str">
        <f t="shared" si="39"/>
        <v>[{63,250}]</v>
      </c>
      <c r="L111" s="29"/>
      <c r="M111" s="29"/>
    </row>
    <row r="112" ht="16.5" spans="1:13">
      <c r="A112" s="33"/>
      <c r="B112" s="29"/>
      <c r="C112" s="42"/>
      <c r="D112" s="61" t="s">
        <v>59</v>
      </c>
      <c r="E112" s="71">
        <f t="shared" si="37"/>
        <v>15</v>
      </c>
      <c r="F112" s="71">
        <f t="shared" si="40"/>
        <v>50</v>
      </c>
      <c r="G112" s="71">
        <v>700</v>
      </c>
      <c r="H112" s="71">
        <v>250</v>
      </c>
      <c r="I112" s="71">
        <f>SUM($H$98:H112)</f>
        <v>2300</v>
      </c>
      <c r="J112" s="29" t="str">
        <f t="shared" si="38"/>
        <v>[{max_hp,50}]</v>
      </c>
      <c r="K112" s="29" t="str">
        <f t="shared" si="39"/>
        <v>[{63,250}]</v>
      </c>
      <c r="L112" s="29"/>
      <c r="M112" s="29"/>
    </row>
    <row r="113" ht="16.5" spans="1:13">
      <c r="A113" s="33"/>
      <c r="B113" s="29"/>
      <c r="C113" s="42"/>
      <c r="D113" s="61" t="s">
        <v>59</v>
      </c>
      <c r="E113" s="71">
        <f t="shared" si="37"/>
        <v>16</v>
      </c>
      <c r="F113" s="71">
        <f t="shared" si="40"/>
        <v>50</v>
      </c>
      <c r="G113" s="71">
        <v>750</v>
      </c>
      <c r="H113" s="71">
        <v>250</v>
      </c>
      <c r="I113" s="71">
        <f>SUM($H$98:H113)</f>
        <v>2550</v>
      </c>
      <c r="J113" s="29" t="str">
        <f t="shared" si="38"/>
        <v>[{max_hp,50}]</v>
      </c>
      <c r="K113" s="29" t="str">
        <f t="shared" si="39"/>
        <v>[{63,250}]</v>
      </c>
      <c r="L113" s="29"/>
      <c r="M113" s="29"/>
    </row>
    <row r="114" ht="16.5" spans="1:13">
      <c r="A114" s="33"/>
      <c r="B114" s="29"/>
      <c r="C114" s="42"/>
      <c r="D114" s="61" t="s">
        <v>59</v>
      </c>
      <c r="E114" s="71">
        <f t="shared" si="37"/>
        <v>17</v>
      </c>
      <c r="F114" s="71">
        <f t="shared" si="40"/>
        <v>50</v>
      </c>
      <c r="G114" s="71">
        <v>800</v>
      </c>
      <c r="H114" s="71">
        <v>250</v>
      </c>
      <c r="I114" s="71">
        <f>SUM($H$98:H114)</f>
        <v>2800</v>
      </c>
      <c r="J114" s="29" t="str">
        <f t="shared" si="38"/>
        <v>[{max_hp,50}]</v>
      </c>
      <c r="K114" s="29" t="str">
        <f t="shared" si="39"/>
        <v>[{63,250}]</v>
      </c>
      <c r="L114" s="29"/>
      <c r="M114" s="29"/>
    </row>
    <row r="115" ht="16.5" spans="1:13">
      <c r="A115" s="33"/>
      <c r="B115" s="29"/>
      <c r="C115" s="42"/>
      <c r="D115" s="61" t="s">
        <v>59</v>
      </c>
      <c r="E115" s="71">
        <f t="shared" si="37"/>
        <v>18</v>
      </c>
      <c r="F115" s="71">
        <f t="shared" si="40"/>
        <v>50</v>
      </c>
      <c r="G115" s="71">
        <v>850</v>
      </c>
      <c r="H115" s="71">
        <v>300</v>
      </c>
      <c r="I115" s="71">
        <f>SUM($H$98:H115)</f>
        <v>3100</v>
      </c>
      <c r="J115" s="29" t="str">
        <f t="shared" si="38"/>
        <v>[{max_hp,50}]</v>
      </c>
      <c r="K115" s="29" t="str">
        <f t="shared" si="39"/>
        <v>[{63,300}]</v>
      </c>
      <c r="L115" s="29"/>
      <c r="M115" s="29"/>
    </row>
    <row r="116" ht="16.5" spans="1:13">
      <c r="A116" s="33"/>
      <c r="B116" s="29"/>
      <c r="C116" s="42"/>
      <c r="D116" s="61" t="s">
        <v>59</v>
      </c>
      <c r="E116" s="71">
        <f t="shared" si="37"/>
        <v>19</v>
      </c>
      <c r="F116" s="71">
        <f t="shared" si="40"/>
        <v>50</v>
      </c>
      <c r="G116" s="71">
        <v>900</v>
      </c>
      <c r="H116" s="71">
        <v>300</v>
      </c>
      <c r="I116" s="71">
        <f>SUM($H$98:H116)</f>
        <v>3400</v>
      </c>
      <c r="J116" s="29" t="str">
        <f t="shared" si="38"/>
        <v>[{max_hp,50}]</v>
      </c>
      <c r="K116" s="29" t="str">
        <f t="shared" si="39"/>
        <v>[{63,300}]</v>
      </c>
      <c r="L116" s="29"/>
      <c r="M116" s="29"/>
    </row>
    <row r="117" ht="16.5" spans="1:13">
      <c r="A117" s="33"/>
      <c r="B117" s="29"/>
      <c r="C117" s="42"/>
      <c r="D117" s="61" t="s">
        <v>59</v>
      </c>
      <c r="E117" s="71">
        <f t="shared" si="37"/>
        <v>20</v>
      </c>
      <c r="F117" s="71">
        <f t="shared" si="40"/>
        <v>50</v>
      </c>
      <c r="G117" s="71">
        <v>950</v>
      </c>
      <c r="H117" s="71">
        <v>300</v>
      </c>
      <c r="I117" s="71">
        <f>SUM($H$98:H117)</f>
        <v>3700</v>
      </c>
      <c r="J117" s="29" t="str">
        <f t="shared" si="38"/>
        <v>[{max_hp,50}]</v>
      </c>
      <c r="K117" s="29" t="str">
        <f t="shared" si="39"/>
        <v>[{63,300}]</v>
      </c>
      <c r="L117" s="29"/>
      <c r="M117" s="29"/>
    </row>
    <row r="118" ht="16.5" spans="1:13">
      <c r="A118" s="33"/>
      <c r="B118" s="29"/>
      <c r="C118" s="42"/>
      <c r="D118" s="61" t="s">
        <v>59</v>
      </c>
      <c r="E118" s="71">
        <f t="shared" si="37"/>
        <v>21</v>
      </c>
      <c r="F118" s="71">
        <f t="shared" si="40"/>
        <v>55</v>
      </c>
      <c r="G118" s="71">
        <v>1005</v>
      </c>
      <c r="H118" s="71">
        <v>300</v>
      </c>
      <c r="I118" s="71">
        <f>SUM($H$98:H118)</f>
        <v>4000</v>
      </c>
      <c r="J118" s="29" t="str">
        <f t="shared" si="38"/>
        <v>[{max_hp,55}]</v>
      </c>
      <c r="K118" s="29" t="str">
        <f t="shared" si="39"/>
        <v>[{63,300}]</v>
      </c>
      <c r="L118" s="29"/>
      <c r="M118" s="29"/>
    </row>
    <row r="119" ht="16.5" spans="1:13">
      <c r="A119" s="33"/>
      <c r="B119" s="29"/>
      <c r="C119" s="42"/>
      <c r="D119" s="61" t="s">
        <v>59</v>
      </c>
      <c r="E119" s="71">
        <f t="shared" si="37"/>
        <v>22</v>
      </c>
      <c r="F119" s="71">
        <f t="shared" si="40"/>
        <v>55</v>
      </c>
      <c r="G119" s="71">
        <v>1060</v>
      </c>
      <c r="H119" s="71">
        <v>350</v>
      </c>
      <c r="I119" s="71">
        <f>SUM($H$98:H119)</f>
        <v>4350</v>
      </c>
      <c r="J119" s="29" t="str">
        <f t="shared" si="38"/>
        <v>[{max_hp,55}]</v>
      </c>
      <c r="K119" s="29" t="str">
        <f t="shared" si="39"/>
        <v>[{63,350}]</v>
      </c>
      <c r="L119" s="29"/>
      <c r="M119" s="29"/>
    </row>
    <row r="120" ht="16.5" spans="1:13">
      <c r="A120" s="33"/>
      <c r="B120" s="29"/>
      <c r="C120" s="42"/>
      <c r="D120" s="61" t="s">
        <v>59</v>
      </c>
      <c r="E120" s="71">
        <f t="shared" si="37"/>
        <v>23</v>
      </c>
      <c r="F120" s="71">
        <f t="shared" si="40"/>
        <v>55</v>
      </c>
      <c r="G120" s="71">
        <v>1115</v>
      </c>
      <c r="H120" s="71">
        <v>350</v>
      </c>
      <c r="I120" s="71">
        <f>SUM($H$98:H120)</f>
        <v>4700</v>
      </c>
      <c r="J120" s="29" t="str">
        <f t="shared" si="38"/>
        <v>[{max_hp,55}]</v>
      </c>
      <c r="K120" s="29" t="str">
        <f t="shared" si="39"/>
        <v>[{63,350}]</v>
      </c>
      <c r="L120" s="29"/>
      <c r="M120" s="29"/>
    </row>
    <row r="121" ht="16.5" spans="1:13">
      <c r="A121" s="33"/>
      <c r="B121" s="29"/>
      <c r="C121" s="42"/>
      <c r="D121" s="61" t="s">
        <v>59</v>
      </c>
      <c r="E121" s="71">
        <f t="shared" si="37"/>
        <v>24</v>
      </c>
      <c r="F121" s="71">
        <f t="shared" si="40"/>
        <v>55</v>
      </c>
      <c r="G121" s="71">
        <v>1170</v>
      </c>
      <c r="H121" s="71">
        <v>350</v>
      </c>
      <c r="I121" s="71">
        <f>SUM($H$98:H121)</f>
        <v>5050</v>
      </c>
      <c r="J121" s="29" t="str">
        <f t="shared" si="38"/>
        <v>[{max_hp,55}]</v>
      </c>
      <c r="K121" s="29" t="str">
        <f t="shared" si="39"/>
        <v>[{63,350}]</v>
      </c>
      <c r="L121" s="29"/>
      <c r="M121" s="29"/>
    </row>
    <row r="122" ht="16.5" spans="1:13">
      <c r="A122" s="33"/>
      <c r="B122" s="29"/>
      <c r="C122" s="42"/>
      <c r="D122" s="61" t="s">
        <v>59</v>
      </c>
      <c r="E122" s="71">
        <f t="shared" si="37"/>
        <v>25</v>
      </c>
      <c r="F122" s="71">
        <f t="shared" si="40"/>
        <v>55</v>
      </c>
      <c r="G122" s="71">
        <v>1225</v>
      </c>
      <c r="H122" s="71">
        <v>350</v>
      </c>
      <c r="I122" s="71">
        <f>SUM($H$98:H122)</f>
        <v>5400</v>
      </c>
      <c r="J122" s="29" t="str">
        <f t="shared" si="38"/>
        <v>[{max_hp,55}]</v>
      </c>
      <c r="K122" s="29" t="str">
        <f t="shared" si="39"/>
        <v>[{63,350}]</v>
      </c>
      <c r="L122" s="29"/>
      <c r="M122" s="29"/>
    </row>
    <row r="123" ht="16.5" spans="1:13">
      <c r="A123" s="33"/>
      <c r="B123" s="29"/>
      <c r="C123" s="42"/>
      <c r="D123" s="61" t="s">
        <v>59</v>
      </c>
      <c r="E123" s="71">
        <f t="shared" si="37"/>
        <v>26</v>
      </c>
      <c r="F123" s="71">
        <f t="shared" si="40"/>
        <v>55</v>
      </c>
      <c r="G123" s="71">
        <v>1280</v>
      </c>
      <c r="H123" s="71">
        <v>400</v>
      </c>
      <c r="I123" s="71">
        <f>SUM($H$98:H123)</f>
        <v>5800</v>
      </c>
      <c r="J123" s="29" t="str">
        <f t="shared" si="38"/>
        <v>[{max_hp,55}]</v>
      </c>
      <c r="K123" s="29" t="str">
        <f t="shared" si="39"/>
        <v>[{63,400}]</v>
      </c>
      <c r="L123" s="29"/>
      <c r="M123" s="29"/>
    </row>
    <row r="124" ht="16.5" spans="1:13">
      <c r="A124" s="33"/>
      <c r="B124" s="29"/>
      <c r="C124" s="42"/>
      <c r="D124" s="61" t="s">
        <v>59</v>
      </c>
      <c r="E124" s="71">
        <f t="shared" si="37"/>
        <v>27</v>
      </c>
      <c r="F124" s="71">
        <f t="shared" si="40"/>
        <v>55</v>
      </c>
      <c r="G124" s="71">
        <v>1335</v>
      </c>
      <c r="H124" s="71">
        <v>400</v>
      </c>
      <c r="I124" s="71">
        <f>SUM($H$98:H124)</f>
        <v>6200</v>
      </c>
      <c r="J124" s="29" t="str">
        <f t="shared" si="38"/>
        <v>[{max_hp,55}]</v>
      </c>
      <c r="K124" s="29" t="str">
        <f t="shared" si="39"/>
        <v>[{63,400}]</v>
      </c>
      <c r="L124" s="29"/>
      <c r="M124" s="29"/>
    </row>
    <row r="125" ht="16.5" spans="1:13">
      <c r="A125" s="33"/>
      <c r="B125" s="29"/>
      <c r="C125" s="42"/>
      <c r="D125" s="61" t="s">
        <v>59</v>
      </c>
      <c r="E125" s="71">
        <f t="shared" si="37"/>
        <v>28</v>
      </c>
      <c r="F125" s="71">
        <f t="shared" si="40"/>
        <v>55</v>
      </c>
      <c r="G125" s="71">
        <v>1390</v>
      </c>
      <c r="H125" s="71">
        <v>400</v>
      </c>
      <c r="I125" s="71">
        <f>SUM($H$98:H125)</f>
        <v>6600</v>
      </c>
      <c r="J125" s="29" t="str">
        <f t="shared" si="38"/>
        <v>[{max_hp,55}]</v>
      </c>
      <c r="K125" s="29" t="str">
        <f t="shared" si="39"/>
        <v>[{63,400}]</v>
      </c>
      <c r="L125" s="29"/>
      <c r="M125" s="29"/>
    </row>
    <row r="126" ht="16.5" spans="1:13">
      <c r="A126" s="33"/>
      <c r="B126" s="29"/>
      <c r="C126" s="42"/>
      <c r="D126" s="61" t="s">
        <v>59</v>
      </c>
      <c r="E126" s="71">
        <f t="shared" si="37"/>
        <v>29</v>
      </c>
      <c r="F126" s="71">
        <f t="shared" si="40"/>
        <v>55</v>
      </c>
      <c r="G126" s="71">
        <v>1445</v>
      </c>
      <c r="H126" s="71">
        <v>400</v>
      </c>
      <c r="I126" s="71">
        <f>SUM($H$98:H126)</f>
        <v>7000</v>
      </c>
      <c r="J126" s="29" t="str">
        <f t="shared" si="38"/>
        <v>[{max_hp,55}]</v>
      </c>
      <c r="K126" s="29" t="str">
        <f t="shared" si="39"/>
        <v>[{63,400}]</v>
      </c>
      <c r="L126" s="29"/>
      <c r="M126" s="29"/>
    </row>
    <row r="127" ht="16.5" spans="1:13">
      <c r="A127" s="33"/>
      <c r="B127" s="29"/>
      <c r="C127" s="42"/>
      <c r="D127" s="61" t="s">
        <v>59</v>
      </c>
      <c r="E127" s="71">
        <f t="shared" si="37"/>
        <v>30</v>
      </c>
      <c r="F127" s="71">
        <f t="shared" si="40"/>
        <v>55</v>
      </c>
      <c r="G127" s="71">
        <v>1500</v>
      </c>
      <c r="H127" s="71">
        <v>450</v>
      </c>
      <c r="I127" s="71">
        <f>SUM($H$98:H127)</f>
        <v>7450</v>
      </c>
      <c r="J127" s="29" t="str">
        <f t="shared" si="38"/>
        <v>[{max_hp,55}]</v>
      </c>
      <c r="K127" s="29" t="str">
        <f t="shared" si="39"/>
        <v>[{63,450}]</v>
      </c>
      <c r="L127" s="29"/>
      <c r="M127" s="29"/>
    </row>
    <row r="128" ht="16.5" spans="1:13">
      <c r="A128" s="33"/>
      <c r="B128" s="29"/>
      <c r="C128" s="42"/>
      <c r="D128" s="61" t="s">
        <v>59</v>
      </c>
      <c r="E128" s="71">
        <f t="shared" si="37"/>
        <v>31</v>
      </c>
      <c r="F128" s="71">
        <f t="shared" si="40"/>
        <v>55</v>
      </c>
      <c r="G128" s="71">
        <v>1555</v>
      </c>
      <c r="H128" s="71">
        <v>450</v>
      </c>
      <c r="I128" s="71">
        <f>SUM($H$98:H128)</f>
        <v>7900</v>
      </c>
      <c r="J128" s="29" t="str">
        <f t="shared" si="38"/>
        <v>[{max_hp,55}]</v>
      </c>
      <c r="K128" s="29" t="str">
        <f t="shared" si="39"/>
        <v>[{63,450}]</v>
      </c>
      <c r="L128" s="29"/>
      <c r="M128" s="29"/>
    </row>
    <row r="129" ht="16.5" spans="1:13">
      <c r="A129" s="33"/>
      <c r="B129" s="29"/>
      <c r="C129" s="42"/>
      <c r="D129" s="61" t="s">
        <v>59</v>
      </c>
      <c r="E129" s="71">
        <f t="shared" si="37"/>
        <v>32</v>
      </c>
      <c r="F129" s="71">
        <f t="shared" si="40"/>
        <v>55</v>
      </c>
      <c r="G129" s="71">
        <v>1610</v>
      </c>
      <c r="H129" s="71">
        <v>450</v>
      </c>
      <c r="I129" s="71">
        <f>SUM($H$98:H129)</f>
        <v>8350</v>
      </c>
      <c r="J129" s="29" t="str">
        <f t="shared" si="38"/>
        <v>[{max_hp,55}]</v>
      </c>
      <c r="K129" s="29" t="str">
        <f t="shared" si="39"/>
        <v>[{63,450}]</v>
      </c>
      <c r="L129" s="29"/>
      <c r="M129" s="29"/>
    </row>
    <row r="130" ht="16.5" spans="1:13">
      <c r="A130" s="33"/>
      <c r="B130" s="29"/>
      <c r="C130" s="42"/>
      <c r="D130" s="61" t="s">
        <v>59</v>
      </c>
      <c r="E130" s="71">
        <f t="shared" si="37"/>
        <v>33</v>
      </c>
      <c r="F130" s="71">
        <f t="shared" si="40"/>
        <v>55</v>
      </c>
      <c r="G130" s="71">
        <v>1665</v>
      </c>
      <c r="H130" s="71">
        <v>450</v>
      </c>
      <c r="I130" s="71">
        <f>SUM($H$98:H130)</f>
        <v>8800</v>
      </c>
      <c r="J130" s="29" t="str">
        <f t="shared" si="38"/>
        <v>[{max_hp,55}]</v>
      </c>
      <c r="K130" s="29" t="str">
        <f t="shared" si="39"/>
        <v>[{63,450}]</v>
      </c>
      <c r="L130" s="29"/>
      <c r="M130" s="29"/>
    </row>
    <row r="131" ht="16.5" spans="1:13">
      <c r="A131" s="33"/>
      <c r="B131" s="29"/>
      <c r="C131" s="42"/>
      <c r="D131" s="61" t="s">
        <v>59</v>
      </c>
      <c r="E131" s="71">
        <f t="shared" si="37"/>
        <v>34</v>
      </c>
      <c r="F131" s="71">
        <f t="shared" si="40"/>
        <v>55</v>
      </c>
      <c r="G131" s="71">
        <v>1720</v>
      </c>
      <c r="H131" s="71">
        <v>500</v>
      </c>
      <c r="I131" s="71">
        <f>SUM($H$98:H131)</f>
        <v>9300</v>
      </c>
      <c r="J131" s="29" t="str">
        <f t="shared" si="38"/>
        <v>[{max_hp,55}]</v>
      </c>
      <c r="K131" s="29" t="str">
        <f t="shared" si="39"/>
        <v>[{63,500}]</v>
      </c>
      <c r="L131" s="29"/>
      <c r="M131" s="29"/>
    </row>
    <row r="132" ht="16.5" spans="1:13">
      <c r="A132" s="33"/>
      <c r="B132" s="29"/>
      <c r="C132" s="42"/>
      <c r="D132" s="61" t="s">
        <v>59</v>
      </c>
      <c r="E132" s="71">
        <f t="shared" si="37"/>
        <v>35</v>
      </c>
      <c r="F132" s="71">
        <f t="shared" si="40"/>
        <v>55</v>
      </c>
      <c r="G132" s="71">
        <v>1775</v>
      </c>
      <c r="H132" s="71">
        <v>500</v>
      </c>
      <c r="I132" s="71">
        <f>SUM($H$98:H132)</f>
        <v>9800</v>
      </c>
      <c r="J132" s="29" t="str">
        <f t="shared" si="38"/>
        <v>[{max_hp,55}]</v>
      </c>
      <c r="K132" s="29" t="str">
        <f t="shared" si="39"/>
        <v>[{63,500}]</v>
      </c>
      <c r="L132" s="29"/>
      <c r="M132" s="29"/>
    </row>
    <row r="133" ht="16.5" spans="1:13">
      <c r="A133" s="33"/>
      <c r="B133" s="29"/>
      <c r="C133" s="42"/>
      <c r="D133" s="61" t="s">
        <v>59</v>
      </c>
      <c r="E133" s="71">
        <f t="shared" si="37"/>
        <v>36</v>
      </c>
      <c r="F133" s="71">
        <f t="shared" si="40"/>
        <v>55</v>
      </c>
      <c r="G133" s="71">
        <v>1830</v>
      </c>
      <c r="H133" s="71">
        <v>500</v>
      </c>
      <c r="I133" s="71">
        <f>SUM($H$98:H133)</f>
        <v>10300</v>
      </c>
      <c r="J133" s="29" t="str">
        <f t="shared" si="38"/>
        <v>[{max_hp,55}]</v>
      </c>
      <c r="K133" s="29" t="str">
        <f t="shared" si="39"/>
        <v>[{63,500}]</v>
      </c>
      <c r="L133" s="29"/>
      <c r="M133" s="29"/>
    </row>
    <row r="134" ht="16.5" spans="1:13">
      <c r="A134" s="33"/>
      <c r="B134" s="29"/>
      <c r="C134" s="42"/>
      <c r="D134" s="61" t="s">
        <v>59</v>
      </c>
      <c r="E134" s="71">
        <f t="shared" si="37"/>
        <v>37</v>
      </c>
      <c r="F134" s="71">
        <f t="shared" si="40"/>
        <v>55</v>
      </c>
      <c r="G134" s="71">
        <v>1885</v>
      </c>
      <c r="H134" s="71">
        <v>500</v>
      </c>
      <c r="I134" s="71">
        <f>SUM($H$98:H134)</f>
        <v>10800</v>
      </c>
      <c r="J134" s="29" t="str">
        <f t="shared" si="38"/>
        <v>[{max_hp,55}]</v>
      </c>
      <c r="K134" s="29" t="str">
        <f t="shared" si="39"/>
        <v>[{63,500}]</v>
      </c>
      <c r="L134" s="29"/>
      <c r="M134" s="29"/>
    </row>
    <row r="135" ht="16.5" spans="1:13">
      <c r="A135" s="33"/>
      <c r="B135" s="29"/>
      <c r="C135" s="42"/>
      <c r="D135" s="61" t="s">
        <v>59</v>
      </c>
      <c r="E135" s="71">
        <f t="shared" si="37"/>
        <v>38</v>
      </c>
      <c r="F135" s="71">
        <f t="shared" si="40"/>
        <v>55</v>
      </c>
      <c r="G135" s="71">
        <v>1940</v>
      </c>
      <c r="H135" s="71">
        <v>550</v>
      </c>
      <c r="I135" s="71">
        <f>SUM($H$98:H135)</f>
        <v>11350</v>
      </c>
      <c r="J135" s="29" t="str">
        <f t="shared" si="38"/>
        <v>[{max_hp,55}]</v>
      </c>
      <c r="K135" s="29" t="str">
        <f t="shared" si="39"/>
        <v>[{63,550}]</v>
      </c>
      <c r="L135" s="29"/>
      <c r="M135" s="29"/>
    </row>
    <row r="136" ht="16.5" spans="1:13">
      <c r="A136" s="33"/>
      <c r="B136" s="29"/>
      <c r="C136" s="42"/>
      <c r="D136" s="61" t="s">
        <v>59</v>
      </c>
      <c r="E136" s="71">
        <f t="shared" si="37"/>
        <v>39</v>
      </c>
      <c r="F136" s="71">
        <f t="shared" si="40"/>
        <v>55</v>
      </c>
      <c r="G136" s="71">
        <v>1995</v>
      </c>
      <c r="H136" s="71">
        <v>550</v>
      </c>
      <c r="I136" s="71">
        <f>SUM($H$98:H136)</f>
        <v>11900</v>
      </c>
      <c r="J136" s="29" t="str">
        <f t="shared" si="38"/>
        <v>[{max_hp,55}]</v>
      </c>
      <c r="K136" s="29" t="str">
        <f t="shared" si="39"/>
        <v>[{63,550}]</v>
      </c>
      <c r="L136" s="29"/>
      <c r="M136" s="29"/>
    </row>
    <row r="137" ht="16.5" spans="1:13">
      <c r="A137" s="33"/>
      <c r="B137" s="29"/>
      <c r="C137" s="42"/>
      <c r="D137" s="61" t="s">
        <v>59</v>
      </c>
      <c r="E137" s="71">
        <f t="shared" si="37"/>
        <v>40</v>
      </c>
      <c r="F137" s="71">
        <f t="shared" si="40"/>
        <v>55</v>
      </c>
      <c r="G137" s="71">
        <v>2050</v>
      </c>
      <c r="H137" s="71">
        <v>550</v>
      </c>
      <c r="I137" s="71">
        <f>SUM($H$98:H137)</f>
        <v>12450</v>
      </c>
      <c r="J137" s="29" t="str">
        <f t="shared" si="38"/>
        <v>[{max_hp,55}]</v>
      </c>
      <c r="K137" s="29" t="str">
        <f t="shared" si="39"/>
        <v>[{63,550}]</v>
      </c>
      <c r="L137" s="29"/>
      <c r="M137" s="29"/>
    </row>
    <row r="138" ht="16.5" spans="1:13">
      <c r="A138" s="33"/>
      <c r="B138" s="29"/>
      <c r="C138" s="42"/>
      <c r="D138" s="61" t="s">
        <v>59</v>
      </c>
      <c r="E138" s="71">
        <f t="shared" si="37"/>
        <v>41</v>
      </c>
      <c r="F138" s="71">
        <f t="shared" si="40"/>
        <v>60</v>
      </c>
      <c r="G138" s="71">
        <v>2110</v>
      </c>
      <c r="H138" s="71">
        <v>550</v>
      </c>
      <c r="I138" s="71">
        <f>SUM($H$98:H138)</f>
        <v>13000</v>
      </c>
      <c r="J138" s="29" t="str">
        <f t="shared" si="38"/>
        <v>[{max_hp,60}]</v>
      </c>
      <c r="K138" s="29" t="str">
        <f t="shared" si="39"/>
        <v>[{63,550}]</v>
      </c>
      <c r="L138" s="29"/>
      <c r="M138" s="29"/>
    </row>
    <row r="139" ht="16.5" spans="1:13">
      <c r="A139" s="33"/>
      <c r="B139" s="29"/>
      <c r="C139" s="42"/>
      <c r="D139" s="61" t="s">
        <v>59</v>
      </c>
      <c r="E139" s="71">
        <f t="shared" si="37"/>
        <v>42</v>
      </c>
      <c r="F139" s="71">
        <f t="shared" si="40"/>
        <v>60</v>
      </c>
      <c r="G139" s="71">
        <v>2170</v>
      </c>
      <c r="H139" s="71">
        <v>600</v>
      </c>
      <c r="I139" s="71">
        <f>SUM($H$98:H139)</f>
        <v>13600</v>
      </c>
      <c r="J139" s="29" t="str">
        <f t="shared" si="38"/>
        <v>[{max_hp,60}]</v>
      </c>
      <c r="K139" s="29" t="str">
        <f t="shared" si="39"/>
        <v>[{63,600}]</v>
      </c>
      <c r="L139" s="29"/>
      <c r="M139" s="29"/>
    </row>
    <row r="140" ht="16.5" spans="1:13">
      <c r="A140" s="33"/>
      <c r="B140" s="29"/>
      <c r="C140" s="42"/>
      <c r="D140" s="61" t="s">
        <v>59</v>
      </c>
      <c r="E140" s="71">
        <f t="shared" si="37"/>
        <v>43</v>
      </c>
      <c r="F140" s="71">
        <f t="shared" si="40"/>
        <v>60</v>
      </c>
      <c r="G140" s="71">
        <v>2230</v>
      </c>
      <c r="H140" s="71">
        <v>600</v>
      </c>
      <c r="I140" s="71">
        <f>SUM($H$98:H140)</f>
        <v>14200</v>
      </c>
      <c r="J140" s="29" t="str">
        <f t="shared" si="38"/>
        <v>[{max_hp,60}]</v>
      </c>
      <c r="K140" s="29" t="str">
        <f t="shared" si="39"/>
        <v>[{63,600}]</v>
      </c>
      <c r="L140" s="29"/>
      <c r="M140" s="29"/>
    </row>
    <row r="141" ht="16.5" spans="1:13">
      <c r="A141" s="33"/>
      <c r="B141" s="29"/>
      <c r="C141" s="42"/>
      <c r="D141" s="61" t="s">
        <v>59</v>
      </c>
      <c r="E141" s="71">
        <f t="shared" si="37"/>
        <v>44</v>
      </c>
      <c r="F141" s="71">
        <f t="shared" si="40"/>
        <v>60</v>
      </c>
      <c r="G141" s="71">
        <v>2290</v>
      </c>
      <c r="H141" s="71">
        <v>600</v>
      </c>
      <c r="I141" s="71">
        <f>SUM($H$98:H141)</f>
        <v>14800</v>
      </c>
      <c r="J141" s="29" t="str">
        <f t="shared" si="38"/>
        <v>[{max_hp,60}]</v>
      </c>
      <c r="K141" s="29" t="str">
        <f t="shared" si="39"/>
        <v>[{63,600}]</v>
      </c>
      <c r="L141" s="29"/>
      <c r="M141" s="29"/>
    </row>
    <row r="142" ht="16.5" spans="1:13">
      <c r="A142" s="33"/>
      <c r="B142" s="29"/>
      <c r="C142" s="42"/>
      <c r="D142" s="61" t="s">
        <v>59</v>
      </c>
      <c r="E142" s="71">
        <f t="shared" si="37"/>
        <v>45</v>
      </c>
      <c r="F142" s="71">
        <f t="shared" si="40"/>
        <v>60</v>
      </c>
      <c r="G142" s="71">
        <v>2350</v>
      </c>
      <c r="H142" s="71">
        <v>600</v>
      </c>
      <c r="I142" s="71">
        <f>SUM($H$98:H142)</f>
        <v>15400</v>
      </c>
      <c r="J142" s="29" t="str">
        <f t="shared" si="38"/>
        <v>[{max_hp,60}]</v>
      </c>
      <c r="K142" s="29" t="str">
        <f t="shared" si="39"/>
        <v>[{63,600}]</v>
      </c>
      <c r="L142" s="29"/>
      <c r="M142" s="29"/>
    </row>
    <row r="143" ht="16.5" spans="1:13">
      <c r="A143" s="33"/>
      <c r="B143" s="29"/>
      <c r="C143" s="42"/>
      <c r="D143" s="61" t="s">
        <v>59</v>
      </c>
      <c r="E143" s="71">
        <f t="shared" si="37"/>
        <v>46</v>
      </c>
      <c r="F143" s="71">
        <f t="shared" si="40"/>
        <v>60</v>
      </c>
      <c r="G143" s="71">
        <v>2410</v>
      </c>
      <c r="H143" s="71">
        <v>650</v>
      </c>
      <c r="I143" s="71">
        <f>SUM($H$98:H143)</f>
        <v>16050</v>
      </c>
      <c r="J143" s="29" t="str">
        <f t="shared" si="38"/>
        <v>[{max_hp,60}]</v>
      </c>
      <c r="K143" s="29" t="str">
        <f t="shared" si="39"/>
        <v>[{63,650}]</v>
      </c>
      <c r="L143" s="29"/>
      <c r="M143" s="29"/>
    </row>
    <row r="144" ht="16.5" spans="1:13">
      <c r="A144" s="33"/>
      <c r="B144" s="29"/>
      <c r="C144" s="42"/>
      <c r="D144" s="61" t="s">
        <v>59</v>
      </c>
      <c r="E144" s="71">
        <f t="shared" si="37"/>
        <v>47</v>
      </c>
      <c r="F144" s="71">
        <f t="shared" si="40"/>
        <v>60</v>
      </c>
      <c r="G144" s="71">
        <v>2470</v>
      </c>
      <c r="H144" s="71">
        <v>650</v>
      </c>
      <c r="I144" s="71">
        <f>SUM($H$98:H144)</f>
        <v>16700</v>
      </c>
      <c r="J144" s="29" t="str">
        <f t="shared" si="38"/>
        <v>[{max_hp,60}]</v>
      </c>
      <c r="K144" s="29" t="str">
        <f t="shared" si="39"/>
        <v>[{63,650}]</v>
      </c>
      <c r="L144" s="29"/>
      <c r="M144" s="29"/>
    </row>
    <row r="145" ht="16.5" spans="1:13">
      <c r="A145" s="33"/>
      <c r="B145" s="29"/>
      <c r="C145" s="42"/>
      <c r="D145" s="61" t="s">
        <v>59</v>
      </c>
      <c r="E145" s="71">
        <f t="shared" si="37"/>
        <v>48</v>
      </c>
      <c r="F145" s="71">
        <f t="shared" si="40"/>
        <v>60</v>
      </c>
      <c r="G145" s="71">
        <v>2530</v>
      </c>
      <c r="H145" s="71">
        <v>650</v>
      </c>
      <c r="I145" s="71">
        <f>SUM($H$98:H145)</f>
        <v>17350</v>
      </c>
      <c r="J145" s="29" t="str">
        <f t="shared" si="38"/>
        <v>[{max_hp,60}]</v>
      </c>
      <c r="K145" s="29" t="str">
        <f t="shared" si="39"/>
        <v>[{63,650}]</v>
      </c>
      <c r="L145" s="29"/>
      <c r="M145" s="29"/>
    </row>
    <row r="146" ht="16.5" spans="1:13">
      <c r="A146" s="33"/>
      <c r="B146" s="29"/>
      <c r="C146" s="42"/>
      <c r="D146" s="61" t="s">
        <v>59</v>
      </c>
      <c r="E146" s="71">
        <f t="shared" si="37"/>
        <v>49</v>
      </c>
      <c r="F146" s="71">
        <f t="shared" si="40"/>
        <v>60</v>
      </c>
      <c r="G146" s="71">
        <v>2590</v>
      </c>
      <c r="H146" s="71">
        <v>650</v>
      </c>
      <c r="I146" s="71">
        <f>SUM($H$98:H146)</f>
        <v>18000</v>
      </c>
      <c r="J146" s="29" t="str">
        <f t="shared" si="38"/>
        <v>[{max_hp,60}]</v>
      </c>
      <c r="K146" s="29" t="str">
        <f t="shared" si="39"/>
        <v>[{63,650}]</v>
      </c>
      <c r="L146" s="29"/>
      <c r="M146" s="29"/>
    </row>
    <row r="147" ht="16.5" spans="1:13">
      <c r="A147" s="33"/>
      <c r="B147" s="29"/>
      <c r="C147" s="42"/>
      <c r="D147" s="61" t="s">
        <v>59</v>
      </c>
      <c r="E147" s="71">
        <f t="shared" si="37"/>
        <v>50</v>
      </c>
      <c r="F147" s="71">
        <f t="shared" si="40"/>
        <v>60</v>
      </c>
      <c r="G147" s="71">
        <v>2650</v>
      </c>
      <c r="H147" s="71">
        <v>700</v>
      </c>
      <c r="I147" s="71">
        <f>SUM($H$98:H147)</f>
        <v>18700</v>
      </c>
      <c r="J147" s="29" t="str">
        <f t="shared" si="38"/>
        <v>[{max_hp,60}]</v>
      </c>
      <c r="K147" s="29" t="str">
        <f t="shared" si="39"/>
        <v>[{63,700}]</v>
      </c>
      <c r="L147" s="29"/>
      <c r="M147" s="29"/>
    </row>
    <row r="148" ht="16.5" spans="1:13">
      <c r="A148" s="33"/>
      <c r="B148" s="29"/>
      <c r="C148" s="42"/>
      <c r="D148" s="61" t="s">
        <v>59</v>
      </c>
      <c r="E148" s="71">
        <f t="shared" si="37"/>
        <v>51</v>
      </c>
      <c r="F148" s="71">
        <f t="shared" si="40"/>
        <v>60</v>
      </c>
      <c r="G148" s="71">
        <v>2710</v>
      </c>
      <c r="H148" s="71">
        <v>700</v>
      </c>
      <c r="I148" s="71">
        <f>SUM($H$98:H148)</f>
        <v>19400</v>
      </c>
      <c r="J148" s="29" t="str">
        <f t="shared" si="38"/>
        <v>[{max_hp,60}]</v>
      </c>
      <c r="K148" s="29" t="str">
        <f t="shared" si="39"/>
        <v>[{63,700}]</v>
      </c>
      <c r="L148" s="29"/>
      <c r="M148" s="29"/>
    </row>
    <row r="149" ht="16.5" spans="1:13">
      <c r="A149" s="33"/>
      <c r="B149" s="29"/>
      <c r="C149" s="42"/>
      <c r="D149" s="61" t="s">
        <v>59</v>
      </c>
      <c r="E149" s="71">
        <f t="shared" si="37"/>
        <v>52</v>
      </c>
      <c r="F149" s="71">
        <f t="shared" si="40"/>
        <v>60</v>
      </c>
      <c r="G149" s="71">
        <v>2770</v>
      </c>
      <c r="H149" s="71">
        <v>700</v>
      </c>
      <c r="I149" s="71">
        <f>SUM($H$98:H149)</f>
        <v>20100</v>
      </c>
      <c r="J149" s="29" t="str">
        <f t="shared" si="38"/>
        <v>[{max_hp,60}]</v>
      </c>
      <c r="K149" s="29" t="str">
        <f t="shared" si="39"/>
        <v>[{63,700}]</v>
      </c>
      <c r="L149" s="29"/>
      <c r="M149" s="29"/>
    </row>
    <row r="150" ht="16.5" spans="1:13">
      <c r="A150" s="33"/>
      <c r="B150" s="29"/>
      <c r="C150" s="42"/>
      <c r="D150" s="61" t="s">
        <v>59</v>
      </c>
      <c r="E150" s="71">
        <f t="shared" si="37"/>
        <v>53</v>
      </c>
      <c r="F150" s="71">
        <f t="shared" si="40"/>
        <v>60</v>
      </c>
      <c r="G150" s="71">
        <v>2830</v>
      </c>
      <c r="H150" s="71">
        <v>700</v>
      </c>
      <c r="I150" s="71">
        <f>SUM($H$98:H150)</f>
        <v>20800</v>
      </c>
      <c r="J150" s="29" t="str">
        <f t="shared" si="38"/>
        <v>[{max_hp,60}]</v>
      </c>
      <c r="K150" s="29" t="str">
        <f t="shared" si="39"/>
        <v>[{63,700}]</v>
      </c>
      <c r="L150" s="29"/>
      <c r="M150" s="29"/>
    </row>
    <row r="151" ht="16.5" spans="1:13">
      <c r="A151" s="33"/>
      <c r="B151" s="29"/>
      <c r="C151" s="42"/>
      <c r="D151" s="61" t="s">
        <v>59</v>
      </c>
      <c r="E151" s="71">
        <f t="shared" si="37"/>
        <v>54</v>
      </c>
      <c r="F151" s="71">
        <f t="shared" si="40"/>
        <v>60</v>
      </c>
      <c r="G151" s="71">
        <v>2890</v>
      </c>
      <c r="H151" s="71">
        <v>750</v>
      </c>
      <c r="I151" s="71">
        <f>SUM($H$98:H151)</f>
        <v>21550</v>
      </c>
      <c r="J151" s="29" t="str">
        <f t="shared" si="38"/>
        <v>[{max_hp,60}]</v>
      </c>
      <c r="K151" s="29" t="str">
        <f t="shared" si="39"/>
        <v>[{63,750}]</v>
      </c>
      <c r="L151" s="29"/>
      <c r="M151" s="29"/>
    </row>
    <row r="152" ht="16.5" spans="1:13">
      <c r="A152" s="33"/>
      <c r="B152" s="29"/>
      <c r="C152" s="42"/>
      <c r="D152" s="61" t="s">
        <v>59</v>
      </c>
      <c r="E152" s="71">
        <f t="shared" si="37"/>
        <v>55</v>
      </c>
      <c r="F152" s="71">
        <f t="shared" si="40"/>
        <v>60</v>
      </c>
      <c r="G152" s="71">
        <v>2950</v>
      </c>
      <c r="H152" s="71">
        <v>750</v>
      </c>
      <c r="I152" s="71">
        <f>SUM($H$98:H152)</f>
        <v>22300</v>
      </c>
      <c r="J152" s="29" t="str">
        <f t="shared" si="38"/>
        <v>[{max_hp,60}]</v>
      </c>
      <c r="K152" s="29" t="str">
        <f t="shared" si="39"/>
        <v>[{63,750}]</v>
      </c>
      <c r="L152" s="29"/>
      <c r="M152" s="29"/>
    </row>
    <row r="153" ht="16.5" spans="1:13">
      <c r="A153" s="33"/>
      <c r="B153" s="29"/>
      <c r="C153" s="42"/>
      <c r="D153" s="61" t="s">
        <v>59</v>
      </c>
      <c r="E153" s="71">
        <f t="shared" si="37"/>
        <v>56</v>
      </c>
      <c r="F153" s="71">
        <f t="shared" si="40"/>
        <v>60</v>
      </c>
      <c r="G153" s="71">
        <v>3010</v>
      </c>
      <c r="H153" s="71">
        <v>750</v>
      </c>
      <c r="I153" s="71">
        <f>SUM($H$98:H153)</f>
        <v>23050</v>
      </c>
      <c r="J153" s="29" t="str">
        <f t="shared" si="38"/>
        <v>[{max_hp,60}]</v>
      </c>
      <c r="K153" s="29" t="str">
        <f t="shared" si="39"/>
        <v>[{63,750}]</v>
      </c>
      <c r="L153" s="29"/>
      <c r="M153" s="29"/>
    </row>
    <row r="154" ht="16.5" spans="1:13">
      <c r="A154" s="33"/>
      <c r="B154" s="29"/>
      <c r="C154" s="42"/>
      <c r="D154" s="61" t="s">
        <v>59</v>
      </c>
      <c r="E154" s="71">
        <f t="shared" si="37"/>
        <v>57</v>
      </c>
      <c r="F154" s="71">
        <f t="shared" si="40"/>
        <v>60</v>
      </c>
      <c r="G154" s="71">
        <v>3070</v>
      </c>
      <c r="H154" s="71">
        <v>750</v>
      </c>
      <c r="I154" s="71">
        <f>SUM($H$98:H154)</f>
        <v>23800</v>
      </c>
      <c r="J154" s="29" t="str">
        <f t="shared" si="38"/>
        <v>[{max_hp,60}]</v>
      </c>
      <c r="K154" s="29" t="str">
        <f t="shared" si="39"/>
        <v>[{63,750}]</v>
      </c>
      <c r="L154" s="29"/>
      <c r="M154" s="29"/>
    </row>
    <row r="155" ht="16.5" spans="1:13">
      <c r="A155" s="33"/>
      <c r="B155" s="29"/>
      <c r="C155" s="42"/>
      <c r="D155" s="61" t="s">
        <v>59</v>
      </c>
      <c r="E155" s="71">
        <f t="shared" si="37"/>
        <v>58</v>
      </c>
      <c r="F155" s="71">
        <f t="shared" si="40"/>
        <v>60</v>
      </c>
      <c r="G155" s="71">
        <v>3130</v>
      </c>
      <c r="H155" s="71">
        <v>800</v>
      </c>
      <c r="I155" s="71">
        <f>SUM($H$98:H155)</f>
        <v>24600</v>
      </c>
      <c r="J155" s="29" t="str">
        <f t="shared" si="38"/>
        <v>[{max_hp,60}]</v>
      </c>
      <c r="K155" s="29" t="str">
        <f t="shared" si="39"/>
        <v>[{63,800}]</v>
      </c>
      <c r="L155" s="29"/>
      <c r="M155" s="29"/>
    </row>
    <row r="156" ht="16.5" spans="1:13">
      <c r="A156" s="33"/>
      <c r="B156" s="29"/>
      <c r="C156" s="42"/>
      <c r="D156" s="61" t="s">
        <v>59</v>
      </c>
      <c r="E156" s="71">
        <f t="shared" si="37"/>
        <v>59</v>
      </c>
      <c r="F156" s="71">
        <f t="shared" si="40"/>
        <v>60</v>
      </c>
      <c r="G156" s="71">
        <v>3190</v>
      </c>
      <c r="H156" s="71">
        <v>800</v>
      </c>
      <c r="I156" s="71">
        <f>SUM($H$98:H156)</f>
        <v>25400</v>
      </c>
      <c r="J156" s="29" t="str">
        <f t="shared" si="38"/>
        <v>[{max_hp,60}]</v>
      </c>
      <c r="K156" s="29" t="str">
        <f t="shared" si="39"/>
        <v>[{63,800}]</v>
      </c>
      <c r="L156" s="29"/>
      <c r="M156" s="29"/>
    </row>
    <row r="157" ht="16.5" spans="1:13">
      <c r="A157" s="33"/>
      <c r="B157" s="29"/>
      <c r="C157" s="42"/>
      <c r="D157" s="61" t="s">
        <v>59</v>
      </c>
      <c r="E157" s="71">
        <f t="shared" si="37"/>
        <v>60</v>
      </c>
      <c r="F157" s="71">
        <f t="shared" si="40"/>
        <v>60</v>
      </c>
      <c r="G157" s="71">
        <v>3250</v>
      </c>
      <c r="H157" s="71">
        <v>800</v>
      </c>
      <c r="I157" s="71">
        <f>SUM($H$98:H157)</f>
        <v>26200</v>
      </c>
      <c r="J157" s="29" t="str">
        <f t="shared" si="38"/>
        <v>[{max_hp,60}]</v>
      </c>
      <c r="K157" s="29" t="str">
        <f t="shared" si="39"/>
        <v>[{63,800}]</v>
      </c>
      <c r="L157" s="29"/>
      <c r="M157" s="29"/>
    </row>
    <row r="158" ht="16.5" spans="1:13">
      <c r="A158" s="33"/>
      <c r="B158" s="29"/>
      <c r="C158" s="42"/>
      <c r="D158" s="61" t="s">
        <v>59</v>
      </c>
      <c r="E158" s="71">
        <f t="shared" ref="E158:E221" si="41">E157+1</f>
        <v>61</v>
      </c>
      <c r="F158" s="71">
        <f t="shared" si="40"/>
        <v>65</v>
      </c>
      <c r="G158" s="71">
        <v>3315</v>
      </c>
      <c r="H158" s="71">
        <v>800</v>
      </c>
      <c r="I158" s="71">
        <f>SUM($H$98:H158)</f>
        <v>27000</v>
      </c>
      <c r="J158" s="29" t="str">
        <f t="shared" si="38"/>
        <v>[{max_hp,65}]</v>
      </c>
      <c r="K158" s="29" t="str">
        <f t="shared" si="39"/>
        <v>[{63,800}]</v>
      </c>
      <c r="L158" s="29"/>
      <c r="M158" s="29"/>
    </row>
    <row r="159" ht="16.5" spans="1:13">
      <c r="A159" s="33"/>
      <c r="B159" s="29"/>
      <c r="C159" s="42"/>
      <c r="D159" s="61" t="s">
        <v>59</v>
      </c>
      <c r="E159" s="71">
        <f t="shared" si="41"/>
        <v>62</v>
      </c>
      <c r="F159" s="71">
        <f t="shared" si="40"/>
        <v>65</v>
      </c>
      <c r="G159" s="71">
        <v>3380</v>
      </c>
      <c r="H159" s="71">
        <v>850</v>
      </c>
      <c r="I159" s="71">
        <f>SUM($H$98:H159)</f>
        <v>27850</v>
      </c>
      <c r="J159" s="29" t="str">
        <f t="shared" si="38"/>
        <v>[{max_hp,65}]</v>
      </c>
      <c r="K159" s="29" t="str">
        <f t="shared" si="39"/>
        <v>[{63,850}]</v>
      </c>
      <c r="L159" s="29"/>
      <c r="M159" s="29"/>
    </row>
    <row r="160" ht="16.5" spans="1:13">
      <c r="A160" s="33"/>
      <c r="B160" s="29"/>
      <c r="C160" s="42"/>
      <c r="D160" s="61" t="s">
        <v>59</v>
      </c>
      <c r="E160" s="71">
        <f t="shared" si="41"/>
        <v>63</v>
      </c>
      <c r="F160" s="71">
        <f t="shared" si="40"/>
        <v>65</v>
      </c>
      <c r="G160" s="71">
        <v>3445</v>
      </c>
      <c r="H160" s="71">
        <v>850</v>
      </c>
      <c r="I160" s="71">
        <f>SUM($H$98:H160)</f>
        <v>28700</v>
      </c>
      <c r="J160" s="29" t="str">
        <f t="shared" si="38"/>
        <v>[{max_hp,65}]</v>
      </c>
      <c r="K160" s="29" t="str">
        <f t="shared" si="39"/>
        <v>[{63,850}]</v>
      </c>
      <c r="L160" s="29"/>
      <c r="M160" s="29"/>
    </row>
    <row r="161" ht="16.5" spans="1:13">
      <c r="A161" s="33"/>
      <c r="B161" s="29"/>
      <c r="C161" s="42"/>
      <c r="D161" s="61" t="s">
        <v>59</v>
      </c>
      <c r="E161" s="71">
        <f t="shared" si="41"/>
        <v>64</v>
      </c>
      <c r="F161" s="71">
        <f t="shared" si="40"/>
        <v>65</v>
      </c>
      <c r="G161" s="71">
        <v>3510</v>
      </c>
      <c r="H161" s="71">
        <v>850</v>
      </c>
      <c r="I161" s="71">
        <f>SUM($H$98:H161)</f>
        <v>29550</v>
      </c>
      <c r="J161" s="29" t="str">
        <f t="shared" si="38"/>
        <v>[{max_hp,65}]</v>
      </c>
      <c r="K161" s="29" t="str">
        <f t="shared" si="39"/>
        <v>[{63,850}]</v>
      </c>
      <c r="L161" s="29"/>
      <c r="M161" s="29"/>
    </row>
    <row r="162" ht="16.5" spans="1:13">
      <c r="A162" s="33"/>
      <c r="B162" s="29"/>
      <c r="C162" s="42"/>
      <c r="D162" s="61" t="s">
        <v>59</v>
      </c>
      <c r="E162" s="71">
        <f t="shared" si="41"/>
        <v>65</v>
      </c>
      <c r="F162" s="71">
        <f t="shared" si="40"/>
        <v>65</v>
      </c>
      <c r="G162" s="71">
        <v>3575</v>
      </c>
      <c r="H162" s="71">
        <v>850</v>
      </c>
      <c r="I162" s="71">
        <f>SUM($H$98:H162)</f>
        <v>30400</v>
      </c>
      <c r="J162" s="29" t="str">
        <f t="shared" si="38"/>
        <v>[{max_hp,65}]</v>
      </c>
      <c r="K162" s="29" t="str">
        <f t="shared" si="39"/>
        <v>[{63,850}]</v>
      </c>
      <c r="L162" s="29"/>
      <c r="M162" s="29"/>
    </row>
    <row r="163" ht="16.5" spans="1:13">
      <c r="A163" s="33"/>
      <c r="B163" s="29"/>
      <c r="C163" s="42"/>
      <c r="D163" s="61" t="s">
        <v>59</v>
      </c>
      <c r="E163" s="71">
        <f t="shared" si="41"/>
        <v>66</v>
      </c>
      <c r="F163" s="71">
        <f t="shared" si="40"/>
        <v>65</v>
      </c>
      <c r="G163" s="71">
        <v>3640</v>
      </c>
      <c r="H163" s="71">
        <v>900</v>
      </c>
      <c r="I163" s="71">
        <f>SUM($H$98:H163)</f>
        <v>31300</v>
      </c>
      <c r="J163" s="29" t="str">
        <f t="shared" ref="J163:J226" si="42">"[{max_hp,"&amp;F163&amp;"}]"</f>
        <v>[{max_hp,65}]</v>
      </c>
      <c r="K163" s="29" t="str">
        <f t="shared" ref="K163:K226" si="43">"[{63,"&amp;H163&amp;"}]"</f>
        <v>[{63,900}]</v>
      </c>
      <c r="L163" s="29"/>
      <c r="M163" s="29"/>
    </row>
    <row r="164" ht="16.5" spans="1:13">
      <c r="A164" s="33"/>
      <c r="B164" s="29"/>
      <c r="C164" s="42"/>
      <c r="D164" s="61" t="s">
        <v>59</v>
      </c>
      <c r="E164" s="71">
        <f t="shared" si="41"/>
        <v>67</v>
      </c>
      <c r="F164" s="71">
        <f t="shared" ref="F164:F227" si="44">G164-G163</f>
        <v>65</v>
      </c>
      <c r="G164" s="71">
        <v>3705</v>
      </c>
      <c r="H164" s="71">
        <v>900</v>
      </c>
      <c r="I164" s="71">
        <f>SUM($H$98:H164)</f>
        <v>32200</v>
      </c>
      <c r="J164" s="29" t="str">
        <f t="shared" si="42"/>
        <v>[{max_hp,65}]</v>
      </c>
      <c r="K164" s="29" t="str">
        <f t="shared" si="43"/>
        <v>[{63,900}]</v>
      </c>
      <c r="L164" s="29"/>
      <c r="M164" s="29"/>
    </row>
    <row r="165" ht="16.5" spans="1:13">
      <c r="A165" s="33"/>
      <c r="B165" s="29"/>
      <c r="C165" s="42"/>
      <c r="D165" s="61" t="s">
        <v>59</v>
      </c>
      <c r="E165" s="71">
        <f t="shared" si="41"/>
        <v>68</v>
      </c>
      <c r="F165" s="71">
        <f t="shared" si="44"/>
        <v>65</v>
      </c>
      <c r="G165" s="71">
        <v>3770</v>
      </c>
      <c r="H165" s="71">
        <v>900</v>
      </c>
      <c r="I165" s="71">
        <f>SUM($H$98:H165)</f>
        <v>33100</v>
      </c>
      <c r="J165" s="29" t="str">
        <f t="shared" si="42"/>
        <v>[{max_hp,65}]</v>
      </c>
      <c r="K165" s="29" t="str">
        <f t="shared" si="43"/>
        <v>[{63,900}]</v>
      </c>
      <c r="L165" s="29"/>
      <c r="M165" s="29"/>
    </row>
    <row r="166" ht="16.5" spans="1:13">
      <c r="A166" s="33"/>
      <c r="B166" s="29"/>
      <c r="C166" s="42"/>
      <c r="D166" s="61" t="s">
        <v>59</v>
      </c>
      <c r="E166" s="71">
        <f t="shared" si="41"/>
        <v>69</v>
      </c>
      <c r="F166" s="71">
        <f t="shared" si="44"/>
        <v>65</v>
      </c>
      <c r="G166" s="71">
        <v>3835</v>
      </c>
      <c r="H166" s="71">
        <v>900</v>
      </c>
      <c r="I166" s="71">
        <f>SUM($H$98:H166)</f>
        <v>34000</v>
      </c>
      <c r="J166" s="29" t="str">
        <f t="shared" si="42"/>
        <v>[{max_hp,65}]</v>
      </c>
      <c r="K166" s="29" t="str">
        <f t="shared" si="43"/>
        <v>[{63,900}]</v>
      </c>
      <c r="L166" s="29"/>
      <c r="M166" s="29"/>
    </row>
    <row r="167" ht="16.5" spans="1:13">
      <c r="A167" s="33"/>
      <c r="B167" s="29"/>
      <c r="C167" s="42"/>
      <c r="D167" s="61" t="s">
        <v>59</v>
      </c>
      <c r="E167" s="71">
        <f t="shared" si="41"/>
        <v>70</v>
      </c>
      <c r="F167" s="71">
        <f t="shared" si="44"/>
        <v>65</v>
      </c>
      <c r="G167" s="71">
        <v>3900</v>
      </c>
      <c r="H167" s="71">
        <v>950</v>
      </c>
      <c r="I167" s="71">
        <f>SUM($H$98:H167)</f>
        <v>34950</v>
      </c>
      <c r="J167" s="29" t="str">
        <f t="shared" si="42"/>
        <v>[{max_hp,65}]</v>
      </c>
      <c r="K167" s="29" t="str">
        <f t="shared" si="43"/>
        <v>[{63,950}]</v>
      </c>
      <c r="L167" s="29"/>
      <c r="M167" s="29"/>
    </row>
    <row r="168" ht="16.5" spans="1:13">
      <c r="A168" s="33"/>
      <c r="B168" s="29"/>
      <c r="C168" s="42"/>
      <c r="D168" s="61" t="s">
        <v>59</v>
      </c>
      <c r="E168" s="71">
        <f t="shared" si="41"/>
        <v>71</v>
      </c>
      <c r="F168" s="71">
        <f t="shared" si="44"/>
        <v>65</v>
      </c>
      <c r="G168" s="71">
        <v>3965</v>
      </c>
      <c r="H168" s="71">
        <v>950</v>
      </c>
      <c r="I168" s="71">
        <f>SUM($H$98:H168)</f>
        <v>35900</v>
      </c>
      <c r="J168" s="29" t="str">
        <f t="shared" si="42"/>
        <v>[{max_hp,65}]</v>
      </c>
      <c r="K168" s="29" t="str">
        <f t="shared" si="43"/>
        <v>[{63,950}]</v>
      </c>
      <c r="L168" s="29"/>
      <c r="M168" s="29"/>
    </row>
    <row r="169" ht="16.5" spans="1:13">
      <c r="A169" s="33"/>
      <c r="B169" s="29"/>
      <c r="C169" s="42"/>
      <c r="D169" s="61" t="s">
        <v>59</v>
      </c>
      <c r="E169" s="71">
        <f t="shared" si="41"/>
        <v>72</v>
      </c>
      <c r="F169" s="71">
        <f t="shared" si="44"/>
        <v>65</v>
      </c>
      <c r="G169" s="71">
        <v>4030</v>
      </c>
      <c r="H169" s="71">
        <v>950</v>
      </c>
      <c r="I169" s="71">
        <f>SUM($H$98:H169)</f>
        <v>36850</v>
      </c>
      <c r="J169" s="29" t="str">
        <f t="shared" si="42"/>
        <v>[{max_hp,65}]</v>
      </c>
      <c r="K169" s="29" t="str">
        <f t="shared" si="43"/>
        <v>[{63,950}]</v>
      </c>
      <c r="L169" s="29"/>
      <c r="M169" s="29"/>
    </row>
    <row r="170" ht="16.5" spans="1:13">
      <c r="A170" s="33"/>
      <c r="B170" s="29"/>
      <c r="C170" s="42"/>
      <c r="D170" s="61" t="s">
        <v>59</v>
      </c>
      <c r="E170" s="71">
        <f t="shared" si="41"/>
        <v>73</v>
      </c>
      <c r="F170" s="71">
        <f t="shared" si="44"/>
        <v>65</v>
      </c>
      <c r="G170" s="71">
        <v>4095</v>
      </c>
      <c r="H170" s="71">
        <v>950</v>
      </c>
      <c r="I170" s="71">
        <f>SUM($H$98:H170)</f>
        <v>37800</v>
      </c>
      <c r="J170" s="29" t="str">
        <f t="shared" si="42"/>
        <v>[{max_hp,65}]</v>
      </c>
      <c r="K170" s="29" t="str">
        <f t="shared" si="43"/>
        <v>[{63,950}]</v>
      </c>
      <c r="L170" s="29"/>
      <c r="M170" s="29"/>
    </row>
    <row r="171" ht="16.5" spans="1:13">
      <c r="A171" s="33"/>
      <c r="B171" s="29"/>
      <c r="C171" s="42"/>
      <c r="D171" s="61" t="s">
        <v>59</v>
      </c>
      <c r="E171" s="71">
        <f t="shared" si="41"/>
        <v>74</v>
      </c>
      <c r="F171" s="71">
        <f t="shared" si="44"/>
        <v>65</v>
      </c>
      <c r="G171" s="71">
        <v>4160</v>
      </c>
      <c r="H171" s="71">
        <v>1000</v>
      </c>
      <c r="I171" s="71">
        <f>SUM($H$98:H171)</f>
        <v>38800</v>
      </c>
      <c r="J171" s="29" t="str">
        <f t="shared" si="42"/>
        <v>[{max_hp,65}]</v>
      </c>
      <c r="K171" s="29" t="str">
        <f t="shared" si="43"/>
        <v>[{63,1000}]</v>
      </c>
      <c r="L171" s="29"/>
      <c r="M171" s="29"/>
    </row>
    <row r="172" ht="16.5" spans="1:13">
      <c r="A172" s="33"/>
      <c r="B172" s="29"/>
      <c r="C172" s="42"/>
      <c r="D172" s="61" t="s">
        <v>59</v>
      </c>
      <c r="E172" s="71">
        <f t="shared" si="41"/>
        <v>75</v>
      </c>
      <c r="F172" s="71">
        <f t="shared" si="44"/>
        <v>65</v>
      </c>
      <c r="G172" s="71">
        <v>4225</v>
      </c>
      <c r="H172" s="71">
        <v>1000</v>
      </c>
      <c r="I172" s="71">
        <f>SUM($H$98:H172)</f>
        <v>39800</v>
      </c>
      <c r="J172" s="29" t="str">
        <f t="shared" si="42"/>
        <v>[{max_hp,65}]</v>
      </c>
      <c r="K172" s="29" t="str">
        <f t="shared" si="43"/>
        <v>[{63,1000}]</v>
      </c>
      <c r="L172" s="29"/>
      <c r="M172" s="29"/>
    </row>
    <row r="173" ht="16.5" spans="1:13">
      <c r="A173" s="33"/>
      <c r="B173" s="29"/>
      <c r="C173" s="42"/>
      <c r="D173" s="61" t="s">
        <v>59</v>
      </c>
      <c r="E173" s="71">
        <f t="shared" si="41"/>
        <v>76</v>
      </c>
      <c r="F173" s="71">
        <f t="shared" si="44"/>
        <v>65</v>
      </c>
      <c r="G173" s="71">
        <v>4290</v>
      </c>
      <c r="H173" s="71">
        <v>1000</v>
      </c>
      <c r="I173" s="71">
        <f>SUM($H$98:H173)</f>
        <v>40800</v>
      </c>
      <c r="J173" s="29" t="str">
        <f t="shared" si="42"/>
        <v>[{max_hp,65}]</v>
      </c>
      <c r="K173" s="29" t="str">
        <f t="shared" si="43"/>
        <v>[{63,1000}]</v>
      </c>
      <c r="L173" s="29"/>
      <c r="M173" s="29"/>
    </row>
    <row r="174" ht="16.5" spans="1:13">
      <c r="A174" s="33"/>
      <c r="B174" s="29"/>
      <c r="C174" s="42"/>
      <c r="D174" s="61" t="s">
        <v>59</v>
      </c>
      <c r="E174" s="71">
        <f t="shared" si="41"/>
        <v>77</v>
      </c>
      <c r="F174" s="71">
        <f t="shared" si="44"/>
        <v>65</v>
      </c>
      <c r="G174" s="71">
        <v>4355</v>
      </c>
      <c r="H174" s="71">
        <v>1000</v>
      </c>
      <c r="I174" s="71">
        <f>SUM($H$98:H174)</f>
        <v>41800</v>
      </c>
      <c r="J174" s="29" t="str">
        <f t="shared" si="42"/>
        <v>[{max_hp,65}]</v>
      </c>
      <c r="K174" s="29" t="str">
        <f t="shared" si="43"/>
        <v>[{63,1000}]</v>
      </c>
      <c r="L174" s="29"/>
      <c r="M174" s="29"/>
    </row>
    <row r="175" ht="16.5" spans="1:13">
      <c r="A175" s="33"/>
      <c r="B175" s="29"/>
      <c r="C175" s="42"/>
      <c r="D175" s="61" t="s">
        <v>59</v>
      </c>
      <c r="E175" s="71">
        <f t="shared" si="41"/>
        <v>78</v>
      </c>
      <c r="F175" s="71">
        <f t="shared" si="44"/>
        <v>65</v>
      </c>
      <c r="G175" s="71">
        <v>4420</v>
      </c>
      <c r="H175" s="71">
        <v>1050</v>
      </c>
      <c r="I175" s="71">
        <f>SUM($H$98:H175)</f>
        <v>42850</v>
      </c>
      <c r="J175" s="29" t="str">
        <f t="shared" si="42"/>
        <v>[{max_hp,65}]</v>
      </c>
      <c r="K175" s="29" t="str">
        <f t="shared" si="43"/>
        <v>[{63,1050}]</v>
      </c>
      <c r="L175" s="29"/>
      <c r="M175" s="29"/>
    </row>
    <row r="176" ht="16.5" spans="1:13">
      <c r="A176" s="33"/>
      <c r="B176" s="29"/>
      <c r="C176" s="42"/>
      <c r="D176" s="61" t="s">
        <v>59</v>
      </c>
      <c r="E176" s="71">
        <f t="shared" si="41"/>
        <v>79</v>
      </c>
      <c r="F176" s="71">
        <f t="shared" si="44"/>
        <v>65</v>
      </c>
      <c r="G176" s="71">
        <v>4485</v>
      </c>
      <c r="H176" s="71">
        <v>1050</v>
      </c>
      <c r="I176" s="71">
        <f>SUM($H$98:H176)</f>
        <v>43900</v>
      </c>
      <c r="J176" s="29" t="str">
        <f t="shared" si="42"/>
        <v>[{max_hp,65}]</v>
      </c>
      <c r="K176" s="29" t="str">
        <f t="shared" si="43"/>
        <v>[{63,1050}]</v>
      </c>
      <c r="L176" s="29"/>
      <c r="M176" s="29"/>
    </row>
    <row r="177" ht="16.5" spans="1:13">
      <c r="A177" s="33"/>
      <c r="B177" s="29"/>
      <c r="C177" s="42"/>
      <c r="D177" s="61" t="s">
        <v>59</v>
      </c>
      <c r="E177" s="71">
        <f t="shared" si="41"/>
        <v>80</v>
      </c>
      <c r="F177" s="71">
        <f t="shared" si="44"/>
        <v>65</v>
      </c>
      <c r="G177" s="71">
        <v>4550</v>
      </c>
      <c r="H177" s="71">
        <v>1050</v>
      </c>
      <c r="I177" s="71">
        <f>SUM($H$98:H177)</f>
        <v>44950</v>
      </c>
      <c r="J177" s="29" t="str">
        <f t="shared" si="42"/>
        <v>[{max_hp,65}]</v>
      </c>
      <c r="K177" s="29" t="str">
        <f t="shared" si="43"/>
        <v>[{63,1050}]</v>
      </c>
      <c r="L177" s="29"/>
      <c r="M177" s="29"/>
    </row>
    <row r="178" ht="16.5" spans="1:13">
      <c r="A178" s="33"/>
      <c r="B178" s="29"/>
      <c r="C178" s="42"/>
      <c r="D178" s="61" t="s">
        <v>59</v>
      </c>
      <c r="E178" s="71">
        <f t="shared" si="41"/>
        <v>81</v>
      </c>
      <c r="F178" s="71">
        <f t="shared" si="44"/>
        <v>70</v>
      </c>
      <c r="G178" s="71">
        <v>4620</v>
      </c>
      <c r="H178" s="71">
        <v>1050</v>
      </c>
      <c r="I178" s="71">
        <f>SUM($H$98:H178)</f>
        <v>46000</v>
      </c>
      <c r="J178" s="29" t="str">
        <f t="shared" si="42"/>
        <v>[{max_hp,70}]</v>
      </c>
      <c r="K178" s="29" t="str">
        <f t="shared" si="43"/>
        <v>[{63,1050}]</v>
      </c>
      <c r="L178" s="29"/>
      <c r="M178" s="29"/>
    </row>
    <row r="179" ht="16.5" spans="1:13">
      <c r="A179" s="33"/>
      <c r="B179" s="29"/>
      <c r="C179" s="42"/>
      <c r="D179" s="61" t="s">
        <v>59</v>
      </c>
      <c r="E179" s="71">
        <f t="shared" si="41"/>
        <v>82</v>
      </c>
      <c r="F179" s="71">
        <f t="shared" si="44"/>
        <v>70</v>
      </c>
      <c r="G179" s="71">
        <v>4690</v>
      </c>
      <c r="H179" s="71">
        <v>1100</v>
      </c>
      <c r="I179" s="71">
        <f>SUM($H$98:H179)</f>
        <v>47100</v>
      </c>
      <c r="J179" s="29" t="str">
        <f t="shared" si="42"/>
        <v>[{max_hp,70}]</v>
      </c>
      <c r="K179" s="29" t="str">
        <f t="shared" si="43"/>
        <v>[{63,1100}]</v>
      </c>
      <c r="L179" s="29"/>
      <c r="M179" s="29"/>
    </row>
    <row r="180" ht="16.5" spans="1:13">
      <c r="A180" s="33"/>
      <c r="B180" s="29"/>
      <c r="C180" s="42"/>
      <c r="D180" s="61" t="s">
        <v>59</v>
      </c>
      <c r="E180" s="71">
        <f t="shared" si="41"/>
        <v>83</v>
      </c>
      <c r="F180" s="71">
        <f t="shared" si="44"/>
        <v>70</v>
      </c>
      <c r="G180" s="71">
        <v>4760</v>
      </c>
      <c r="H180" s="71">
        <v>1100</v>
      </c>
      <c r="I180" s="71">
        <f>SUM($H$98:H180)</f>
        <v>48200</v>
      </c>
      <c r="J180" s="29" t="str">
        <f t="shared" si="42"/>
        <v>[{max_hp,70}]</v>
      </c>
      <c r="K180" s="29" t="str">
        <f t="shared" si="43"/>
        <v>[{63,1100}]</v>
      </c>
      <c r="L180" s="29"/>
      <c r="M180" s="29"/>
    </row>
    <row r="181" ht="16.5" spans="1:13">
      <c r="A181" s="33"/>
      <c r="B181" s="29"/>
      <c r="C181" s="42"/>
      <c r="D181" s="61" t="s">
        <v>59</v>
      </c>
      <c r="E181" s="71">
        <f t="shared" si="41"/>
        <v>84</v>
      </c>
      <c r="F181" s="71">
        <f t="shared" si="44"/>
        <v>70</v>
      </c>
      <c r="G181" s="71">
        <v>4830</v>
      </c>
      <c r="H181" s="71">
        <v>1100</v>
      </c>
      <c r="I181" s="71">
        <f>SUM($H$98:H181)</f>
        <v>49300</v>
      </c>
      <c r="J181" s="29" t="str">
        <f t="shared" si="42"/>
        <v>[{max_hp,70}]</v>
      </c>
      <c r="K181" s="29" t="str">
        <f t="shared" si="43"/>
        <v>[{63,1100}]</v>
      </c>
      <c r="L181" s="29"/>
      <c r="M181" s="29"/>
    </row>
    <row r="182" ht="16.5" spans="1:13">
      <c r="A182" s="33"/>
      <c r="B182" s="29"/>
      <c r="C182" s="42"/>
      <c r="D182" s="61" t="s">
        <v>59</v>
      </c>
      <c r="E182" s="71">
        <f t="shared" si="41"/>
        <v>85</v>
      </c>
      <c r="F182" s="71">
        <f t="shared" si="44"/>
        <v>70</v>
      </c>
      <c r="G182" s="71">
        <v>4900</v>
      </c>
      <c r="H182" s="71">
        <v>1100</v>
      </c>
      <c r="I182" s="71">
        <f>SUM($H$98:H182)</f>
        <v>50400</v>
      </c>
      <c r="J182" s="29" t="str">
        <f t="shared" si="42"/>
        <v>[{max_hp,70}]</v>
      </c>
      <c r="K182" s="29" t="str">
        <f t="shared" si="43"/>
        <v>[{63,1100}]</v>
      </c>
      <c r="L182" s="29"/>
      <c r="M182" s="29"/>
    </row>
    <row r="183" ht="16.5" spans="1:13">
      <c r="A183" s="33"/>
      <c r="B183" s="29"/>
      <c r="C183" s="42"/>
      <c r="D183" s="61" t="s">
        <v>59</v>
      </c>
      <c r="E183" s="71">
        <f t="shared" si="41"/>
        <v>86</v>
      </c>
      <c r="F183" s="71">
        <f t="shared" si="44"/>
        <v>70</v>
      </c>
      <c r="G183" s="71">
        <v>4970</v>
      </c>
      <c r="H183" s="71">
        <v>1150</v>
      </c>
      <c r="I183" s="71">
        <f>SUM($H$98:H183)</f>
        <v>51550</v>
      </c>
      <c r="J183" s="29" t="str">
        <f t="shared" si="42"/>
        <v>[{max_hp,70}]</v>
      </c>
      <c r="K183" s="29" t="str">
        <f t="shared" si="43"/>
        <v>[{63,1150}]</v>
      </c>
      <c r="L183" s="29"/>
      <c r="M183" s="29"/>
    </row>
    <row r="184" ht="16.5" spans="1:13">
      <c r="A184" s="33"/>
      <c r="B184" s="29"/>
      <c r="C184" s="42"/>
      <c r="D184" s="61" t="s">
        <v>59</v>
      </c>
      <c r="E184" s="71">
        <f t="shared" si="41"/>
        <v>87</v>
      </c>
      <c r="F184" s="71">
        <f t="shared" si="44"/>
        <v>70</v>
      </c>
      <c r="G184" s="71">
        <v>5040</v>
      </c>
      <c r="H184" s="71">
        <v>1150</v>
      </c>
      <c r="I184" s="71">
        <f>SUM($H$98:H184)</f>
        <v>52700</v>
      </c>
      <c r="J184" s="29" t="str">
        <f t="shared" si="42"/>
        <v>[{max_hp,70}]</v>
      </c>
      <c r="K184" s="29" t="str">
        <f t="shared" si="43"/>
        <v>[{63,1150}]</v>
      </c>
      <c r="L184" s="29"/>
      <c r="M184" s="29"/>
    </row>
    <row r="185" ht="16.5" spans="1:13">
      <c r="A185" s="33"/>
      <c r="B185" s="29"/>
      <c r="C185" s="42"/>
      <c r="D185" s="61" t="s">
        <v>59</v>
      </c>
      <c r="E185" s="71">
        <f t="shared" si="41"/>
        <v>88</v>
      </c>
      <c r="F185" s="71">
        <f t="shared" si="44"/>
        <v>70</v>
      </c>
      <c r="G185" s="71">
        <v>5110</v>
      </c>
      <c r="H185" s="71">
        <v>1150</v>
      </c>
      <c r="I185" s="71">
        <f>SUM($H$98:H185)</f>
        <v>53850</v>
      </c>
      <c r="J185" s="29" t="str">
        <f t="shared" si="42"/>
        <v>[{max_hp,70}]</v>
      </c>
      <c r="K185" s="29" t="str">
        <f t="shared" si="43"/>
        <v>[{63,1150}]</v>
      </c>
      <c r="L185" s="29"/>
      <c r="M185" s="29"/>
    </row>
    <row r="186" ht="16.5" spans="1:13">
      <c r="A186" s="33"/>
      <c r="B186" s="29"/>
      <c r="C186" s="42"/>
      <c r="D186" s="61" t="s">
        <v>59</v>
      </c>
      <c r="E186" s="71">
        <f t="shared" si="41"/>
        <v>89</v>
      </c>
      <c r="F186" s="71">
        <f t="shared" si="44"/>
        <v>70</v>
      </c>
      <c r="G186" s="71">
        <v>5180</v>
      </c>
      <c r="H186" s="71">
        <v>1150</v>
      </c>
      <c r="I186" s="71">
        <f>SUM($H$98:H186)</f>
        <v>55000</v>
      </c>
      <c r="J186" s="29" t="str">
        <f t="shared" si="42"/>
        <v>[{max_hp,70}]</v>
      </c>
      <c r="K186" s="29" t="str">
        <f t="shared" si="43"/>
        <v>[{63,1150}]</v>
      </c>
      <c r="L186" s="29"/>
      <c r="M186" s="29"/>
    </row>
    <row r="187" ht="16.5" spans="1:13">
      <c r="A187" s="33"/>
      <c r="B187" s="29"/>
      <c r="C187" s="42"/>
      <c r="D187" s="61" t="s">
        <v>59</v>
      </c>
      <c r="E187" s="71">
        <f t="shared" si="41"/>
        <v>90</v>
      </c>
      <c r="F187" s="71">
        <f t="shared" si="44"/>
        <v>70</v>
      </c>
      <c r="G187" s="71">
        <v>5250</v>
      </c>
      <c r="H187" s="71">
        <v>1200</v>
      </c>
      <c r="I187" s="71">
        <f>SUM($H$98:H187)</f>
        <v>56200</v>
      </c>
      <c r="J187" s="29" t="str">
        <f t="shared" si="42"/>
        <v>[{max_hp,70}]</v>
      </c>
      <c r="K187" s="29" t="str">
        <f t="shared" si="43"/>
        <v>[{63,1200}]</v>
      </c>
      <c r="L187" s="29"/>
      <c r="M187" s="29"/>
    </row>
    <row r="188" ht="16.5" spans="1:13">
      <c r="A188" s="33"/>
      <c r="B188" s="29"/>
      <c r="C188" s="42"/>
      <c r="D188" s="61" t="s">
        <v>59</v>
      </c>
      <c r="E188" s="71">
        <f t="shared" si="41"/>
        <v>91</v>
      </c>
      <c r="F188" s="71">
        <f t="shared" si="44"/>
        <v>70</v>
      </c>
      <c r="G188" s="71">
        <v>5320</v>
      </c>
      <c r="H188" s="71">
        <v>1200</v>
      </c>
      <c r="I188" s="71">
        <f>SUM($H$98:H188)</f>
        <v>57400</v>
      </c>
      <c r="J188" s="29" t="str">
        <f t="shared" si="42"/>
        <v>[{max_hp,70}]</v>
      </c>
      <c r="K188" s="29" t="str">
        <f t="shared" si="43"/>
        <v>[{63,1200}]</v>
      </c>
      <c r="L188" s="29"/>
      <c r="M188" s="29"/>
    </row>
    <row r="189" ht="16.5" spans="1:13">
      <c r="A189" s="33"/>
      <c r="B189" s="29"/>
      <c r="C189" s="42"/>
      <c r="D189" s="61" t="s">
        <v>59</v>
      </c>
      <c r="E189" s="71">
        <f t="shared" si="41"/>
        <v>92</v>
      </c>
      <c r="F189" s="71">
        <f t="shared" si="44"/>
        <v>70</v>
      </c>
      <c r="G189" s="71">
        <v>5390</v>
      </c>
      <c r="H189" s="71">
        <v>1200</v>
      </c>
      <c r="I189" s="71">
        <f>SUM($H$98:H189)</f>
        <v>58600</v>
      </c>
      <c r="J189" s="29" t="str">
        <f t="shared" si="42"/>
        <v>[{max_hp,70}]</v>
      </c>
      <c r="K189" s="29" t="str">
        <f t="shared" si="43"/>
        <v>[{63,1200}]</v>
      </c>
      <c r="L189" s="29"/>
      <c r="M189" s="29"/>
    </row>
    <row r="190" ht="16.5" spans="1:13">
      <c r="A190" s="33"/>
      <c r="B190" s="29"/>
      <c r="C190" s="42"/>
      <c r="D190" s="61" t="s">
        <v>59</v>
      </c>
      <c r="E190" s="71">
        <f t="shared" si="41"/>
        <v>93</v>
      </c>
      <c r="F190" s="71">
        <f t="shared" si="44"/>
        <v>70</v>
      </c>
      <c r="G190" s="71">
        <v>5460</v>
      </c>
      <c r="H190" s="71">
        <v>1200</v>
      </c>
      <c r="I190" s="71">
        <f>SUM($H$98:H190)</f>
        <v>59800</v>
      </c>
      <c r="J190" s="29" t="str">
        <f t="shared" si="42"/>
        <v>[{max_hp,70}]</v>
      </c>
      <c r="K190" s="29" t="str">
        <f t="shared" si="43"/>
        <v>[{63,1200}]</v>
      </c>
      <c r="L190" s="29"/>
      <c r="M190" s="29"/>
    </row>
    <row r="191" ht="16.5" spans="1:13">
      <c r="A191" s="33"/>
      <c r="B191" s="29"/>
      <c r="C191" s="42"/>
      <c r="D191" s="61" t="s">
        <v>59</v>
      </c>
      <c r="E191" s="71">
        <f t="shared" si="41"/>
        <v>94</v>
      </c>
      <c r="F191" s="71">
        <f t="shared" si="44"/>
        <v>70</v>
      </c>
      <c r="G191" s="71">
        <v>5530</v>
      </c>
      <c r="H191" s="71">
        <v>1250</v>
      </c>
      <c r="I191" s="71">
        <f>SUM($H$98:H191)</f>
        <v>61050</v>
      </c>
      <c r="J191" s="29" t="str">
        <f t="shared" si="42"/>
        <v>[{max_hp,70}]</v>
      </c>
      <c r="K191" s="29" t="str">
        <f t="shared" si="43"/>
        <v>[{63,1250}]</v>
      </c>
      <c r="L191" s="29"/>
      <c r="M191" s="29"/>
    </row>
    <row r="192" ht="16.5" spans="1:13">
      <c r="A192" s="33"/>
      <c r="B192" s="29"/>
      <c r="C192" s="42"/>
      <c r="D192" s="61" t="s">
        <v>59</v>
      </c>
      <c r="E192" s="71">
        <f t="shared" si="41"/>
        <v>95</v>
      </c>
      <c r="F192" s="71">
        <f t="shared" si="44"/>
        <v>70</v>
      </c>
      <c r="G192" s="71">
        <v>5600</v>
      </c>
      <c r="H192" s="71">
        <v>1250</v>
      </c>
      <c r="I192" s="71">
        <f>SUM($H$98:H192)</f>
        <v>62300</v>
      </c>
      <c r="J192" s="29" t="str">
        <f t="shared" si="42"/>
        <v>[{max_hp,70}]</v>
      </c>
      <c r="K192" s="29" t="str">
        <f t="shared" si="43"/>
        <v>[{63,1250}]</v>
      </c>
      <c r="L192" s="29"/>
      <c r="M192" s="29"/>
    </row>
    <row r="193" ht="16.5" spans="1:13">
      <c r="A193" s="33"/>
      <c r="B193" s="29"/>
      <c r="C193" s="42"/>
      <c r="D193" s="61" t="s">
        <v>59</v>
      </c>
      <c r="E193" s="71">
        <f t="shared" si="41"/>
        <v>96</v>
      </c>
      <c r="F193" s="71">
        <f t="shared" si="44"/>
        <v>70</v>
      </c>
      <c r="G193" s="71">
        <v>5670</v>
      </c>
      <c r="H193" s="71">
        <v>1250</v>
      </c>
      <c r="I193" s="71">
        <f>SUM($H$98:H193)</f>
        <v>63550</v>
      </c>
      <c r="J193" s="29" t="str">
        <f t="shared" si="42"/>
        <v>[{max_hp,70}]</v>
      </c>
      <c r="K193" s="29" t="str">
        <f t="shared" si="43"/>
        <v>[{63,1250}]</v>
      </c>
      <c r="L193" s="29"/>
      <c r="M193" s="29"/>
    </row>
    <row r="194" ht="16.5" spans="1:13">
      <c r="A194" s="33"/>
      <c r="B194" s="29"/>
      <c r="C194" s="42"/>
      <c r="D194" s="61" t="s">
        <v>59</v>
      </c>
      <c r="E194" s="71">
        <f t="shared" si="41"/>
        <v>97</v>
      </c>
      <c r="F194" s="71">
        <f t="shared" si="44"/>
        <v>70</v>
      </c>
      <c r="G194" s="71">
        <v>5740</v>
      </c>
      <c r="H194" s="71">
        <v>1250</v>
      </c>
      <c r="I194" s="71">
        <f>SUM($H$98:H194)</f>
        <v>64800</v>
      </c>
      <c r="J194" s="29" t="str">
        <f t="shared" si="42"/>
        <v>[{max_hp,70}]</v>
      </c>
      <c r="K194" s="29" t="str">
        <f t="shared" si="43"/>
        <v>[{63,1250}]</v>
      </c>
      <c r="L194" s="29"/>
      <c r="M194" s="29"/>
    </row>
    <row r="195" ht="16.5" spans="1:13">
      <c r="A195" s="33"/>
      <c r="B195" s="29"/>
      <c r="C195" s="42"/>
      <c r="D195" s="61" t="s">
        <v>59</v>
      </c>
      <c r="E195" s="71">
        <f t="shared" si="41"/>
        <v>98</v>
      </c>
      <c r="F195" s="71">
        <f t="shared" si="44"/>
        <v>70</v>
      </c>
      <c r="G195" s="71">
        <v>5810</v>
      </c>
      <c r="H195" s="71">
        <v>1300</v>
      </c>
      <c r="I195" s="71">
        <f>SUM($H$98:H195)</f>
        <v>66100</v>
      </c>
      <c r="J195" s="29" t="str">
        <f t="shared" si="42"/>
        <v>[{max_hp,70}]</v>
      </c>
      <c r="K195" s="29" t="str">
        <f t="shared" si="43"/>
        <v>[{63,1300}]</v>
      </c>
      <c r="L195" s="29"/>
      <c r="M195" s="29"/>
    </row>
    <row r="196" ht="16.5" spans="1:13">
      <c r="A196" s="33"/>
      <c r="B196" s="29"/>
      <c r="C196" s="42"/>
      <c r="D196" s="61" t="s">
        <v>59</v>
      </c>
      <c r="E196" s="71">
        <f t="shared" si="41"/>
        <v>99</v>
      </c>
      <c r="F196" s="71">
        <f t="shared" si="44"/>
        <v>70</v>
      </c>
      <c r="G196" s="71">
        <v>5880</v>
      </c>
      <c r="H196" s="71">
        <v>1300</v>
      </c>
      <c r="I196" s="71">
        <f>SUM($H$98:H196)</f>
        <v>67400</v>
      </c>
      <c r="J196" s="29" t="str">
        <f t="shared" si="42"/>
        <v>[{max_hp,70}]</v>
      </c>
      <c r="K196" s="29" t="str">
        <f t="shared" si="43"/>
        <v>[{63,1300}]</v>
      </c>
      <c r="L196" s="29"/>
      <c r="M196" s="29"/>
    </row>
    <row r="197" ht="16.5" spans="1:13">
      <c r="A197" s="33"/>
      <c r="B197" s="29"/>
      <c r="C197" s="42"/>
      <c r="D197" s="61" t="s">
        <v>59</v>
      </c>
      <c r="E197" s="71">
        <f t="shared" si="41"/>
        <v>100</v>
      </c>
      <c r="F197" s="71">
        <f t="shared" si="44"/>
        <v>70</v>
      </c>
      <c r="G197" s="71">
        <v>5950</v>
      </c>
      <c r="H197" s="71">
        <v>1300</v>
      </c>
      <c r="I197" s="71">
        <f>SUM($H$98:H197)</f>
        <v>68700</v>
      </c>
      <c r="J197" s="29" t="str">
        <f t="shared" si="42"/>
        <v>[{max_hp,70}]</v>
      </c>
      <c r="K197" s="29" t="str">
        <f t="shared" si="43"/>
        <v>[{63,1300}]</v>
      </c>
      <c r="L197" s="29"/>
      <c r="M197" s="29"/>
    </row>
    <row r="198" ht="16.5" spans="1:13">
      <c r="A198" s="33"/>
      <c r="B198" s="29"/>
      <c r="C198" s="42"/>
      <c r="D198" s="61" t="s">
        <v>59</v>
      </c>
      <c r="E198" s="71">
        <f t="shared" si="41"/>
        <v>101</v>
      </c>
      <c r="F198" s="71">
        <f t="shared" si="44"/>
        <v>75</v>
      </c>
      <c r="G198" s="71">
        <v>6025</v>
      </c>
      <c r="H198" s="71">
        <v>1300</v>
      </c>
      <c r="I198" s="71">
        <f>SUM($H$98:H198)</f>
        <v>70000</v>
      </c>
      <c r="J198" s="29" t="str">
        <f t="shared" si="42"/>
        <v>[{max_hp,75}]</v>
      </c>
      <c r="K198" s="29" t="str">
        <f t="shared" si="43"/>
        <v>[{63,1300}]</v>
      </c>
      <c r="L198" s="29"/>
      <c r="M198" s="29"/>
    </row>
    <row r="199" ht="16.5" spans="1:13">
      <c r="A199" s="33"/>
      <c r="B199" s="29"/>
      <c r="C199" s="42"/>
      <c r="D199" s="61" t="s">
        <v>59</v>
      </c>
      <c r="E199" s="71">
        <f t="shared" si="41"/>
        <v>102</v>
      </c>
      <c r="F199" s="71">
        <f t="shared" si="44"/>
        <v>75</v>
      </c>
      <c r="G199" s="71">
        <v>6100</v>
      </c>
      <c r="H199" s="71">
        <v>1350</v>
      </c>
      <c r="I199" s="71">
        <f>SUM($H$98:H199)</f>
        <v>71350</v>
      </c>
      <c r="J199" s="29" t="str">
        <f t="shared" si="42"/>
        <v>[{max_hp,75}]</v>
      </c>
      <c r="K199" s="29" t="str">
        <f t="shared" si="43"/>
        <v>[{63,1350}]</v>
      </c>
      <c r="L199" s="29"/>
      <c r="M199" s="29"/>
    </row>
    <row r="200" ht="16.5" spans="1:13">
      <c r="A200" s="33"/>
      <c r="B200" s="29"/>
      <c r="C200" s="42"/>
      <c r="D200" s="61" t="s">
        <v>59</v>
      </c>
      <c r="E200" s="71">
        <f t="shared" si="41"/>
        <v>103</v>
      </c>
      <c r="F200" s="71">
        <f t="shared" si="44"/>
        <v>75</v>
      </c>
      <c r="G200" s="71">
        <v>6175</v>
      </c>
      <c r="H200" s="71">
        <v>1350</v>
      </c>
      <c r="I200" s="71">
        <f>SUM($H$98:H200)</f>
        <v>72700</v>
      </c>
      <c r="J200" s="29" t="str">
        <f t="shared" si="42"/>
        <v>[{max_hp,75}]</v>
      </c>
      <c r="K200" s="29" t="str">
        <f t="shared" si="43"/>
        <v>[{63,1350}]</v>
      </c>
      <c r="L200" s="29"/>
      <c r="M200" s="29"/>
    </row>
    <row r="201" ht="16.5" spans="1:13">
      <c r="A201" s="33"/>
      <c r="B201" s="29"/>
      <c r="C201" s="42"/>
      <c r="D201" s="61" t="s">
        <v>59</v>
      </c>
      <c r="E201" s="71">
        <f t="shared" si="41"/>
        <v>104</v>
      </c>
      <c r="F201" s="71">
        <f t="shared" si="44"/>
        <v>75</v>
      </c>
      <c r="G201" s="71">
        <v>6250</v>
      </c>
      <c r="H201" s="71">
        <v>1350</v>
      </c>
      <c r="I201" s="71">
        <f>SUM($H$98:H201)</f>
        <v>74050</v>
      </c>
      <c r="J201" s="29" t="str">
        <f t="shared" si="42"/>
        <v>[{max_hp,75}]</v>
      </c>
      <c r="K201" s="29" t="str">
        <f t="shared" si="43"/>
        <v>[{63,1350}]</v>
      </c>
      <c r="L201" s="29"/>
      <c r="M201" s="29"/>
    </row>
    <row r="202" ht="16.5" spans="1:13">
      <c r="A202" s="33"/>
      <c r="B202" s="29"/>
      <c r="C202" s="42"/>
      <c r="D202" s="61" t="s">
        <v>59</v>
      </c>
      <c r="E202" s="71">
        <f t="shared" si="41"/>
        <v>105</v>
      </c>
      <c r="F202" s="71">
        <f t="shared" si="44"/>
        <v>75</v>
      </c>
      <c r="G202" s="71">
        <v>6325</v>
      </c>
      <c r="H202" s="71">
        <v>1350</v>
      </c>
      <c r="I202" s="71">
        <f>SUM($H$98:H202)</f>
        <v>75400</v>
      </c>
      <c r="J202" s="29" t="str">
        <f t="shared" si="42"/>
        <v>[{max_hp,75}]</v>
      </c>
      <c r="K202" s="29" t="str">
        <f t="shared" si="43"/>
        <v>[{63,1350}]</v>
      </c>
      <c r="L202" s="29"/>
      <c r="M202" s="29"/>
    </row>
    <row r="203" ht="16.5" spans="1:13">
      <c r="A203" s="33"/>
      <c r="B203" s="29"/>
      <c r="C203" s="42"/>
      <c r="D203" s="61" t="s">
        <v>59</v>
      </c>
      <c r="E203" s="71">
        <f t="shared" si="41"/>
        <v>106</v>
      </c>
      <c r="F203" s="71">
        <f t="shared" si="44"/>
        <v>75</v>
      </c>
      <c r="G203" s="71">
        <v>6400</v>
      </c>
      <c r="H203" s="71">
        <v>1400</v>
      </c>
      <c r="I203" s="71">
        <f>SUM($H$98:H203)</f>
        <v>76800</v>
      </c>
      <c r="J203" s="29" t="str">
        <f t="shared" si="42"/>
        <v>[{max_hp,75}]</v>
      </c>
      <c r="K203" s="29" t="str">
        <f t="shared" si="43"/>
        <v>[{63,1400}]</v>
      </c>
      <c r="L203" s="29"/>
      <c r="M203" s="29"/>
    </row>
    <row r="204" ht="16.5" spans="1:13">
      <c r="A204" s="33"/>
      <c r="B204" s="29"/>
      <c r="C204" s="42"/>
      <c r="D204" s="61" t="s">
        <v>59</v>
      </c>
      <c r="E204" s="71">
        <f t="shared" si="41"/>
        <v>107</v>
      </c>
      <c r="F204" s="71">
        <f t="shared" si="44"/>
        <v>75</v>
      </c>
      <c r="G204" s="71">
        <v>6475</v>
      </c>
      <c r="H204" s="71">
        <v>1400</v>
      </c>
      <c r="I204" s="71">
        <f>SUM($H$98:H204)</f>
        <v>78200</v>
      </c>
      <c r="J204" s="29" t="str">
        <f t="shared" si="42"/>
        <v>[{max_hp,75}]</v>
      </c>
      <c r="K204" s="29" t="str">
        <f t="shared" si="43"/>
        <v>[{63,1400}]</v>
      </c>
      <c r="L204" s="29"/>
      <c r="M204" s="29"/>
    </row>
    <row r="205" ht="16.5" spans="1:13">
      <c r="A205" s="33"/>
      <c r="B205" s="29"/>
      <c r="C205" s="42"/>
      <c r="D205" s="61" t="s">
        <v>59</v>
      </c>
      <c r="E205" s="71">
        <f t="shared" si="41"/>
        <v>108</v>
      </c>
      <c r="F205" s="71">
        <f t="shared" si="44"/>
        <v>75</v>
      </c>
      <c r="G205" s="71">
        <v>6550</v>
      </c>
      <c r="H205" s="71">
        <v>1400</v>
      </c>
      <c r="I205" s="71">
        <f>SUM($H$98:H205)</f>
        <v>79600</v>
      </c>
      <c r="J205" s="29" t="str">
        <f t="shared" si="42"/>
        <v>[{max_hp,75}]</v>
      </c>
      <c r="K205" s="29" t="str">
        <f t="shared" si="43"/>
        <v>[{63,1400}]</v>
      </c>
      <c r="L205" s="29"/>
      <c r="M205" s="29"/>
    </row>
    <row r="206" ht="16.5" spans="1:13">
      <c r="A206" s="33"/>
      <c r="B206" s="29"/>
      <c r="C206" s="42"/>
      <c r="D206" s="61" t="s">
        <v>59</v>
      </c>
      <c r="E206" s="71">
        <f t="shared" si="41"/>
        <v>109</v>
      </c>
      <c r="F206" s="71">
        <f t="shared" si="44"/>
        <v>75</v>
      </c>
      <c r="G206" s="71">
        <v>6625</v>
      </c>
      <c r="H206" s="71">
        <v>1400</v>
      </c>
      <c r="I206" s="71">
        <f>SUM($H$98:H206)</f>
        <v>81000</v>
      </c>
      <c r="J206" s="29" t="str">
        <f t="shared" si="42"/>
        <v>[{max_hp,75}]</v>
      </c>
      <c r="K206" s="29" t="str">
        <f t="shared" si="43"/>
        <v>[{63,1400}]</v>
      </c>
      <c r="L206" s="29"/>
      <c r="M206" s="29"/>
    </row>
    <row r="207" ht="16.5" spans="1:13">
      <c r="A207" s="33"/>
      <c r="B207" s="29"/>
      <c r="C207" s="42"/>
      <c r="D207" s="61" t="s">
        <v>59</v>
      </c>
      <c r="E207" s="71">
        <f t="shared" si="41"/>
        <v>110</v>
      </c>
      <c r="F207" s="71">
        <f t="shared" si="44"/>
        <v>75</v>
      </c>
      <c r="G207" s="71">
        <v>6700</v>
      </c>
      <c r="H207" s="71">
        <v>1450</v>
      </c>
      <c r="I207" s="71">
        <f>SUM($H$98:H207)</f>
        <v>82450</v>
      </c>
      <c r="J207" s="29" t="str">
        <f t="shared" si="42"/>
        <v>[{max_hp,75}]</v>
      </c>
      <c r="K207" s="29" t="str">
        <f t="shared" si="43"/>
        <v>[{63,1450}]</v>
      </c>
      <c r="L207" s="29"/>
      <c r="M207" s="29"/>
    </row>
    <row r="208" ht="16.5" spans="1:13">
      <c r="A208" s="33"/>
      <c r="B208" s="29"/>
      <c r="C208" s="42"/>
      <c r="D208" s="61" t="s">
        <v>59</v>
      </c>
      <c r="E208" s="71">
        <f t="shared" si="41"/>
        <v>111</v>
      </c>
      <c r="F208" s="71">
        <f t="shared" si="44"/>
        <v>75</v>
      </c>
      <c r="G208" s="71">
        <v>6775</v>
      </c>
      <c r="H208" s="71">
        <v>1450</v>
      </c>
      <c r="I208" s="71">
        <f>SUM($H$98:H208)</f>
        <v>83900</v>
      </c>
      <c r="J208" s="29" t="str">
        <f t="shared" si="42"/>
        <v>[{max_hp,75}]</v>
      </c>
      <c r="K208" s="29" t="str">
        <f t="shared" si="43"/>
        <v>[{63,1450}]</v>
      </c>
      <c r="L208" s="29"/>
      <c r="M208" s="29"/>
    </row>
    <row r="209" ht="16.5" spans="1:13">
      <c r="A209" s="33"/>
      <c r="B209" s="29"/>
      <c r="C209" s="42"/>
      <c r="D209" s="61" t="s">
        <v>59</v>
      </c>
      <c r="E209" s="71">
        <f t="shared" si="41"/>
        <v>112</v>
      </c>
      <c r="F209" s="71">
        <f t="shared" si="44"/>
        <v>75</v>
      </c>
      <c r="G209" s="71">
        <v>6850</v>
      </c>
      <c r="H209" s="71">
        <v>1450</v>
      </c>
      <c r="I209" s="71">
        <f>SUM($H$98:H209)</f>
        <v>85350</v>
      </c>
      <c r="J209" s="29" t="str">
        <f t="shared" si="42"/>
        <v>[{max_hp,75}]</v>
      </c>
      <c r="K209" s="29" t="str">
        <f t="shared" si="43"/>
        <v>[{63,1450}]</v>
      </c>
      <c r="L209" s="29"/>
      <c r="M209" s="29"/>
    </row>
    <row r="210" ht="16.5" spans="1:13">
      <c r="A210" s="33"/>
      <c r="B210" s="29"/>
      <c r="C210" s="42"/>
      <c r="D210" s="61" t="s">
        <v>59</v>
      </c>
      <c r="E210" s="71">
        <f t="shared" si="41"/>
        <v>113</v>
      </c>
      <c r="F210" s="71">
        <f t="shared" si="44"/>
        <v>75</v>
      </c>
      <c r="G210" s="71">
        <v>6925</v>
      </c>
      <c r="H210" s="71">
        <v>1450</v>
      </c>
      <c r="I210" s="71">
        <f>SUM($H$98:H210)</f>
        <v>86800</v>
      </c>
      <c r="J210" s="29" t="str">
        <f t="shared" si="42"/>
        <v>[{max_hp,75}]</v>
      </c>
      <c r="K210" s="29" t="str">
        <f t="shared" si="43"/>
        <v>[{63,1450}]</v>
      </c>
      <c r="L210" s="29"/>
      <c r="M210" s="29"/>
    </row>
    <row r="211" ht="16.5" spans="1:13">
      <c r="A211" s="33"/>
      <c r="B211" s="29"/>
      <c r="C211" s="42"/>
      <c r="D211" s="61" t="s">
        <v>59</v>
      </c>
      <c r="E211" s="71">
        <f t="shared" si="41"/>
        <v>114</v>
      </c>
      <c r="F211" s="71">
        <f t="shared" si="44"/>
        <v>75</v>
      </c>
      <c r="G211" s="71">
        <v>7000</v>
      </c>
      <c r="H211" s="71">
        <v>1500</v>
      </c>
      <c r="I211" s="71">
        <f>SUM($H$98:H211)</f>
        <v>88300</v>
      </c>
      <c r="J211" s="29" t="str">
        <f t="shared" si="42"/>
        <v>[{max_hp,75}]</v>
      </c>
      <c r="K211" s="29" t="str">
        <f t="shared" si="43"/>
        <v>[{63,1500}]</v>
      </c>
      <c r="L211" s="29"/>
      <c r="M211" s="29"/>
    </row>
    <row r="212" ht="16.5" spans="1:13">
      <c r="A212" s="33"/>
      <c r="B212" s="29"/>
      <c r="C212" s="42"/>
      <c r="D212" s="61" t="s">
        <v>59</v>
      </c>
      <c r="E212" s="71">
        <f t="shared" si="41"/>
        <v>115</v>
      </c>
      <c r="F212" s="71">
        <f t="shared" si="44"/>
        <v>75</v>
      </c>
      <c r="G212" s="71">
        <v>7075</v>
      </c>
      <c r="H212" s="71">
        <v>1500</v>
      </c>
      <c r="I212" s="71">
        <f>SUM($H$98:H212)</f>
        <v>89800</v>
      </c>
      <c r="J212" s="29" t="str">
        <f t="shared" si="42"/>
        <v>[{max_hp,75}]</v>
      </c>
      <c r="K212" s="29" t="str">
        <f t="shared" si="43"/>
        <v>[{63,1500}]</v>
      </c>
      <c r="L212" s="29"/>
      <c r="M212" s="29"/>
    </row>
    <row r="213" ht="16.5" spans="1:13">
      <c r="A213" s="33"/>
      <c r="B213" s="29"/>
      <c r="C213" s="42"/>
      <c r="D213" s="61" t="s">
        <v>59</v>
      </c>
      <c r="E213" s="71">
        <f t="shared" si="41"/>
        <v>116</v>
      </c>
      <c r="F213" s="71">
        <f t="shared" si="44"/>
        <v>75</v>
      </c>
      <c r="G213" s="71">
        <v>7150</v>
      </c>
      <c r="H213" s="71">
        <v>1500</v>
      </c>
      <c r="I213" s="71">
        <f>SUM($H$98:H213)</f>
        <v>91300</v>
      </c>
      <c r="J213" s="29" t="str">
        <f t="shared" si="42"/>
        <v>[{max_hp,75}]</v>
      </c>
      <c r="K213" s="29" t="str">
        <f t="shared" si="43"/>
        <v>[{63,1500}]</v>
      </c>
      <c r="L213" s="29"/>
      <c r="M213" s="29"/>
    </row>
    <row r="214" ht="16.5" spans="1:13">
      <c r="A214" s="33"/>
      <c r="B214" s="29"/>
      <c r="C214" s="42"/>
      <c r="D214" s="61" t="s">
        <v>59</v>
      </c>
      <c r="E214" s="71">
        <f t="shared" si="41"/>
        <v>117</v>
      </c>
      <c r="F214" s="71">
        <f t="shared" si="44"/>
        <v>75</v>
      </c>
      <c r="G214" s="71">
        <v>7225</v>
      </c>
      <c r="H214" s="71">
        <v>1500</v>
      </c>
      <c r="I214" s="71">
        <f>SUM($H$98:H214)</f>
        <v>92800</v>
      </c>
      <c r="J214" s="29" t="str">
        <f t="shared" si="42"/>
        <v>[{max_hp,75}]</v>
      </c>
      <c r="K214" s="29" t="str">
        <f t="shared" si="43"/>
        <v>[{63,1500}]</v>
      </c>
      <c r="L214" s="29"/>
      <c r="M214" s="29"/>
    </row>
    <row r="215" ht="16.5" spans="1:13">
      <c r="A215" s="33"/>
      <c r="B215" s="29"/>
      <c r="C215" s="42"/>
      <c r="D215" s="61" t="s">
        <v>59</v>
      </c>
      <c r="E215" s="71">
        <f t="shared" si="41"/>
        <v>118</v>
      </c>
      <c r="F215" s="71">
        <f t="shared" si="44"/>
        <v>75</v>
      </c>
      <c r="G215" s="71">
        <v>7300</v>
      </c>
      <c r="H215" s="71">
        <v>1550</v>
      </c>
      <c r="I215" s="71">
        <f>SUM($H$98:H215)</f>
        <v>94350</v>
      </c>
      <c r="J215" s="29" t="str">
        <f t="shared" si="42"/>
        <v>[{max_hp,75}]</v>
      </c>
      <c r="K215" s="29" t="str">
        <f t="shared" si="43"/>
        <v>[{63,1550}]</v>
      </c>
      <c r="L215" s="29"/>
      <c r="M215" s="29"/>
    </row>
    <row r="216" ht="16.5" spans="1:13">
      <c r="A216" s="33"/>
      <c r="B216" s="29"/>
      <c r="C216" s="42"/>
      <c r="D216" s="61" t="s">
        <v>59</v>
      </c>
      <c r="E216" s="71">
        <f t="shared" si="41"/>
        <v>119</v>
      </c>
      <c r="F216" s="71">
        <f t="shared" si="44"/>
        <v>75</v>
      </c>
      <c r="G216" s="71">
        <v>7375</v>
      </c>
      <c r="H216" s="71">
        <v>1550</v>
      </c>
      <c r="I216" s="71">
        <f>SUM($H$98:H216)</f>
        <v>95900</v>
      </c>
      <c r="J216" s="29" t="str">
        <f t="shared" si="42"/>
        <v>[{max_hp,75}]</v>
      </c>
      <c r="K216" s="29" t="str">
        <f t="shared" si="43"/>
        <v>[{63,1550}]</v>
      </c>
      <c r="L216" s="29"/>
      <c r="M216" s="29"/>
    </row>
    <row r="217" ht="16.5" spans="1:13">
      <c r="A217" s="33"/>
      <c r="B217" s="29"/>
      <c r="C217" s="42"/>
      <c r="D217" s="61" t="s">
        <v>59</v>
      </c>
      <c r="E217" s="71">
        <f t="shared" si="41"/>
        <v>120</v>
      </c>
      <c r="F217" s="71">
        <f t="shared" si="44"/>
        <v>75</v>
      </c>
      <c r="G217" s="71">
        <v>7450</v>
      </c>
      <c r="H217" s="71">
        <v>1550</v>
      </c>
      <c r="I217" s="71">
        <f>SUM($H$98:H217)</f>
        <v>97450</v>
      </c>
      <c r="J217" s="29" t="str">
        <f t="shared" si="42"/>
        <v>[{max_hp,75}]</v>
      </c>
      <c r="K217" s="29" t="str">
        <f t="shared" si="43"/>
        <v>[{63,1550}]</v>
      </c>
      <c r="L217" s="29"/>
      <c r="M217" s="29"/>
    </row>
    <row r="218" ht="16.5" spans="1:13">
      <c r="A218" s="33"/>
      <c r="B218" s="29"/>
      <c r="C218" s="42"/>
      <c r="D218" s="61" t="s">
        <v>59</v>
      </c>
      <c r="E218" s="71">
        <f t="shared" si="41"/>
        <v>121</v>
      </c>
      <c r="F218" s="71">
        <f t="shared" si="44"/>
        <v>80</v>
      </c>
      <c r="G218" s="71">
        <v>7530</v>
      </c>
      <c r="H218" s="71">
        <v>1550</v>
      </c>
      <c r="I218" s="71">
        <f>SUM($H$98:H218)</f>
        <v>99000</v>
      </c>
      <c r="J218" s="29" t="str">
        <f t="shared" si="42"/>
        <v>[{max_hp,80}]</v>
      </c>
      <c r="K218" s="29" t="str">
        <f t="shared" si="43"/>
        <v>[{63,1550}]</v>
      </c>
      <c r="L218" s="29"/>
      <c r="M218" s="29"/>
    </row>
    <row r="219" ht="16.5" spans="1:13">
      <c r="A219" s="33"/>
      <c r="B219" s="29"/>
      <c r="C219" s="42"/>
      <c r="D219" s="61" t="s">
        <v>59</v>
      </c>
      <c r="E219" s="71">
        <f t="shared" si="41"/>
        <v>122</v>
      </c>
      <c r="F219" s="71">
        <f t="shared" si="44"/>
        <v>80</v>
      </c>
      <c r="G219" s="71">
        <v>7610</v>
      </c>
      <c r="H219" s="71">
        <v>1600</v>
      </c>
      <c r="I219" s="71">
        <f>SUM($H$98:H219)</f>
        <v>100600</v>
      </c>
      <c r="J219" s="29" t="str">
        <f t="shared" si="42"/>
        <v>[{max_hp,80}]</v>
      </c>
      <c r="K219" s="29" t="str">
        <f t="shared" si="43"/>
        <v>[{63,1600}]</v>
      </c>
      <c r="L219" s="29"/>
      <c r="M219" s="29"/>
    </row>
    <row r="220" ht="16.5" spans="1:13">
      <c r="A220" s="33"/>
      <c r="B220" s="29"/>
      <c r="C220" s="42"/>
      <c r="D220" s="61" t="s">
        <v>59</v>
      </c>
      <c r="E220" s="71">
        <f t="shared" si="41"/>
        <v>123</v>
      </c>
      <c r="F220" s="71">
        <f t="shared" si="44"/>
        <v>80</v>
      </c>
      <c r="G220" s="71">
        <v>7690</v>
      </c>
      <c r="H220" s="71">
        <v>1600</v>
      </c>
      <c r="I220" s="71">
        <f>SUM($H$98:H220)</f>
        <v>102200</v>
      </c>
      <c r="J220" s="29" t="str">
        <f t="shared" si="42"/>
        <v>[{max_hp,80}]</v>
      </c>
      <c r="K220" s="29" t="str">
        <f t="shared" si="43"/>
        <v>[{63,1600}]</v>
      </c>
      <c r="L220" s="29"/>
      <c r="M220" s="29"/>
    </row>
    <row r="221" ht="16.5" spans="1:13">
      <c r="A221" s="33"/>
      <c r="B221" s="29"/>
      <c r="C221" s="42"/>
      <c r="D221" s="61" t="s">
        <v>59</v>
      </c>
      <c r="E221" s="71">
        <f t="shared" si="41"/>
        <v>124</v>
      </c>
      <c r="F221" s="71">
        <f t="shared" si="44"/>
        <v>80</v>
      </c>
      <c r="G221" s="71">
        <v>7770</v>
      </c>
      <c r="H221" s="71">
        <v>1600</v>
      </c>
      <c r="I221" s="71">
        <f>SUM($H$98:H221)</f>
        <v>103800</v>
      </c>
      <c r="J221" s="29" t="str">
        <f t="shared" si="42"/>
        <v>[{max_hp,80}]</v>
      </c>
      <c r="K221" s="29" t="str">
        <f t="shared" si="43"/>
        <v>[{63,1600}]</v>
      </c>
      <c r="L221" s="29"/>
      <c r="M221" s="29"/>
    </row>
    <row r="222" ht="16.5" spans="1:13">
      <c r="A222" s="33"/>
      <c r="B222" s="29"/>
      <c r="C222" s="42"/>
      <c r="D222" s="61" t="s">
        <v>59</v>
      </c>
      <c r="E222" s="71">
        <f t="shared" ref="E222:E285" si="45">E221+1</f>
        <v>125</v>
      </c>
      <c r="F222" s="71">
        <f t="shared" si="44"/>
        <v>80</v>
      </c>
      <c r="G222" s="71">
        <v>7850</v>
      </c>
      <c r="H222" s="71">
        <v>1600</v>
      </c>
      <c r="I222" s="71">
        <f>SUM($H$98:H222)</f>
        <v>105400</v>
      </c>
      <c r="J222" s="29" t="str">
        <f t="shared" si="42"/>
        <v>[{max_hp,80}]</v>
      </c>
      <c r="K222" s="29" t="str">
        <f t="shared" si="43"/>
        <v>[{63,1600}]</v>
      </c>
      <c r="L222" s="29"/>
      <c r="M222" s="29"/>
    </row>
    <row r="223" ht="16.5" spans="1:13">
      <c r="A223" s="33"/>
      <c r="B223" s="29"/>
      <c r="C223" s="42"/>
      <c r="D223" s="61" t="s">
        <v>59</v>
      </c>
      <c r="E223" s="71">
        <f t="shared" si="45"/>
        <v>126</v>
      </c>
      <c r="F223" s="71">
        <f t="shared" si="44"/>
        <v>80</v>
      </c>
      <c r="G223" s="71">
        <v>7930</v>
      </c>
      <c r="H223" s="71">
        <v>1650</v>
      </c>
      <c r="I223" s="71">
        <f>SUM($H$98:H223)</f>
        <v>107050</v>
      </c>
      <c r="J223" s="29" t="str">
        <f t="shared" si="42"/>
        <v>[{max_hp,80}]</v>
      </c>
      <c r="K223" s="29" t="str">
        <f t="shared" si="43"/>
        <v>[{63,1650}]</v>
      </c>
      <c r="L223" s="29"/>
      <c r="M223" s="29"/>
    </row>
    <row r="224" ht="16.5" spans="1:13">
      <c r="A224" s="33"/>
      <c r="B224" s="29"/>
      <c r="C224" s="42"/>
      <c r="D224" s="61" t="s">
        <v>59</v>
      </c>
      <c r="E224" s="71">
        <f t="shared" si="45"/>
        <v>127</v>
      </c>
      <c r="F224" s="71">
        <f t="shared" si="44"/>
        <v>80</v>
      </c>
      <c r="G224" s="71">
        <v>8010</v>
      </c>
      <c r="H224" s="71">
        <v>1650</v>
      </c>
      <c r="I224" s="71">
        <f>SUM($H$98:H224)</f>
        <v>108700</v>
      </c>
      <c r="J224" s="29" t="str">
        <f t="shared" si="42"/>
        <v>[{max_hp,80}]</v>
      </c>
      <c r="K224" s="29" t="str">
        <f t="shared" si="43"/>
        <v>[{63,1650}]</v>
      </c>
      <c r="L224" s="29"/>
      <c r="M224" s="29"/>
    </row>
    <row r="225" ht="16.5" spans="1:13">
      <c r="A225" s="33"/>
      <c r="B225" s="29"/>
      <c r="C225" s="42"/>
      <c r="D225" s="61" t="s">
        <v>59</v>
      </c>
      <c r="E225" s="71">
        <f t="shared" si="45"/>
        <v>128</v>
      </c>
      <c r="F225" s="71">
        <f t="shared" si="44"/>
        <v>80</v>
      </c>
      <c r="G225" s="71">
        <v>8090</v>
      </c>
      <c r="H225" s="71">
        <v>1650</v>
      </c>
      <c r="I225" s="71">
        <f>SUM($H$98:H225)</f>
        <v>110350</v>
      </c>
      <c r="J225" s="29" t="str">
        <f t="shared" si="42"/>
        <v>[{max_hp,80}]</v>
      </c>
      <c r="K225" s="29" t="str">
        <f t="shared" si="43"/>
        <v>[{63,1650}]</v>
      </c>
      <c r="L225" s="29"/>
      <c r="M225" s="29"/>
    </row>
    <row r="226" ht="16.5" spans="1:13">
      <c r="A226" s="33"/>
      <c r="B226" s="29"/>
      <c r="C226" s="42"/>
      <c r="D226" s="61" t="s">
        <v>59</v>
      </c>
      <c r="E226" s="71">
        <f t="shared" si="45"/>
        <v>129</v>
      </c>
      <c r="F226" s="71">
        <f t="shared" si="44"/>
        <v>80</v>
      </c>
      <c r="G226" s="71">
        <v>8170</v>
      </c>
      <c r="H226" s="71">
        <v>1650</v>
      </c>
      <c r="I226" s="71">
        <f>SUM($H$98:H226)</f>
        <v>112000</v>
      </c>
      <c r="J226" s="29" t="str">
        <f t="shared" si="42"/>
        <v>[{max_hp,80}]</v>
      </c>
      <c r="K226" s="29" t="str">
        <f t="shared" si="43"/>
        <v>[{63,1650}]</v>
      </c>
      <c r="L226" s="29"/>
      <c r="M226" s="29"/>
    </row>
    <row r="227" ht="16.5" spans="1:13">
      <c r="A227" s="33"/>
      <c r="B227" s="29"/>
      <c r="C227" s="42"/>
      <c r="D227" s="61" t="s">
        <v>59</v>
      </c>
      <c r="E227" s="71">
        <f t="shared" si="45"/>
        <v>130</v>
      </c>
      <c r="F227" s="71">
        <f t="shared" si="44"/>
        <v>80</v>
      </c>
      <c r="G227" s="71">
        <v>8250</v>
      </c>
      <c r="H227" s="71">
        <v>1700</v>
      </c>
      <c r="I227" s="71">
        <f>SUM($H$98:H227)</f>
        <v>113700</v>
      </c>
      <c r="J227" s="29" t="str">
        <f t="shared" ref="J227:J290" si="46">"[{max_hp,"&amp;F227&amp;"}]"</f>
        <v>[{max_hp,80}]</v>
      </c>
      <c r="K227" s="29" t="str">
        <f t="shared" ref="K227:K290" si="47">"[{63,"&amp;H227&amp;"}]"</f>
        <v>[{63,1700}]</v>
      </c>
      <c r="L227" s="29"/>
      <c r="M227" s="29"/>
    </row>
    <row r="228" ht="16.5" spans="1:13">
      <c r="A228" s="33"/>
      <c r="B228" s="29"/>
      <c r="C228" s="42"/>
      <c r="D228" s="61" t="s">
        <v>59</v>
      </c>
      <c r="E228" s="71">
        <f t="shared" si="45"/>
        <v>131</v>
      </c>
      <c r="F228" s="71">
        <f t="shared" ref="F228:F291" si="48">G228-G227</f>
        <v>80</v>
      </c>
      <c r="G228" s="71">
        <v>8330</v>
      </c>
      <c r="H228" s="71">
        <v>1700</v>
      </c>
      <c r="I228" s="71">
        <f>SUM($H$98:H228)</f>
        <v>115400</v>
      </c>
      <c r="J228" s="29" t="str">
        <f t="shared" si="46"/>
        <v>[{max_hp,80}]</v>
      </c>
      <c r="K228" s="29" t="str">
        <f t="shared" si="47"/>
        <v>[{63,1700}]</v>
      </c>
      <c r="L228" s="29"/>
      <c r="M228" s="29"/>
    </row>
    <row r="229" ht="16.5" spans="1:13">
      <c r="A229" s="33"/>
      <c r="B229" s="29"/>
      <c r="C229" s="42"/>
      <c r="D229" s="61" t="s">
        <v>59</v>
      </c>
      <c r="E229" s="71">
        <f t="shared" si="45"/>
        <v>132</v>
      </c>
      <c r="F229" s="71">
        <f t="shared" si="48"/>
        <v>80</v>
      </c>
      <c r="G229" s="71">
        <v>8410</v>
      </c>
      <c r="H229" s="71">
        <v>1700</v>
      </c>
      <c r="I229" s="71">
        <f>SUM($H$98:H229)</f>
        <v>117100</v>
      </c>
      <c r="J229" s="29" t="str">
        <f t="shared" si="46"/>
        <v>[{max_hp,80}]</v>
      </c>
      <c r="K229" s="29" t="str">
        <f t="shared" si="47"/>
        <v>[{63,1700}]</v>
      </c>
      <c r="L229" s="29"/>
      <c r="M229" s="29"/>
    </row>
    <row r="230" ht="16.5" spans="1:13">
      <c r="A230" s="33"/>
      <c r="B230" s="29"/>
      <c r="C230" s="42"/>
      <c r="D230" s="61" t="s">
        <v>59</v>
      </c>
      <c r="E230" s="71">
        <f t="shared" si="45"/>
        <v>133</v>
      </c>
      <c r="F230" s="71">
        <f t="shared" si="48"/>
        <v>80</v>
      </c>
      <c r="G230" s="71">
        <v>8490</v>
      </c>
      <c r="H230" s="71">
        <v>1700</v>
      </c>
      <c r="I230" s="71">
        <f>SUM($H$98:H230)</f>
        <v>118800</v>
      </c>
      <c r="J230" s="29" t="str">
        <f t="shared" si="46"/>
        <v>[{max_hp,80}]</v>
      </c>
      <c r="K230" s="29" t="str">
        <f t="shared" si="47"/>
        <v>[{63,1700}]</v>
      </c>
      <c r="L230" s="29"/>
      <c r="M230" s="29"/>
    </row>
    <row r="231" ht="16.5" spans="1:13">
      <c r="A231" s="33"/>
      <c r="B231" s="29"/>
      <c r="C231" s="42"/>
      <c r="D231" s="61" t="s">
        <v>59</v>
      </c>
      <c r="E231" s="71">
        <f t="shared" si="45"/>
        <v>134</v>
      </c>
      <c r="F231" s="71">
        <f t="shared" si="48"/>
        <v>80</v>
      </c>
      <c r="G231" s="71">
        <v>8570</v>
      </c>
      <c r="H231" s="71">
        <v>1750</v>
      </c>
      <c r="I231" s="71">
        <f>SUM($H$98:H231)</f>
        <v>120550</v>
      </c>
      <c r="J231" s="29" t="str">
        <f t="shared" si="46"/>
        <v>[{max_hp,80}]</v>
      </c>
      <c r="K231" s="29" t="str">
        <f t="shared" si="47"/>
        <v>[{63,1750}]</v>
      </c>
      <c r="L231" s="29"/>
      <c r="M231" s="29"/>
    </row>
    <row r="232" ht="16.5" spans="1:13">
      <c r="A232" s="33"/>
      <c r="B232" s="29"/>
      <c r="C232" s="42"/>
      <c r="D232" s="61" t="s">
        <v>59</v>
      </c>
      <c r="E232" s="71">
        <f t="shared" si="45"/>
        <v>135</v>
      </c>
      <c r="F232" s="71">
        <f t="shared" si="48"/>
        <v>80</v>
      </c>
      <c r="G232" s="71">
        <v>8650</v>
      </c>
      <c r="H232" s="71">
        <v>1750</v>
      </c>
      <c r="I232" s="71">
        <f>SUM($H$98:H232)</f>
        <v>122300</v>
      </c>
      <c r="J232" s="29" t="str">
        <f t="shared" si="46"/>
        <v>[{max_hp,80}]</v>
      </c>
      <c r="K232" s="29" t="str">
        <f t="shared" si="47"/>
        <v>[{63,1750}]</v>
      </c>
      <c r="L232" s="29"/>
      <c r="M232" s="29"/>
    </row>
    <row r="233" ht="16.5" spans="1:13">
      <c r="A233" s="33"/>
      <c r="B233" s="29"/>
      <c r="C233" s="42"/>
      <c r="D233" s="61" t="s">
        <v>59</v>
      </c>
      <c r="E233" s="71">
        <f t="shared" si="45"/>
        <v>136</v>
      </c>
      <c r="F233" s="71">
        <f t="shared" si="48"/>
        <v>80</v>
      </c>
      <c r="G233" s="71">
        <v>8730</v>
      </c>
      <c r="H233" s="71">
        <v>1750</v>
      </c>
      <c r="I233" s="71">
        <f>SUM($H$98:H233)</f>
        <v>124050</v>
      </c>
      <c r="J233" s="29" t="str">
        <f t="shared" si="46"/>
        <v>[{max_hp,80}]</v>
      </c>
      <c r="K233" s="29" t="str">
        <f t="shared" si="47"/>
        <v>[{63,1750}]</v>
      </c>
      <c r="L233" s="29"/>
      <c r="M233" s="29"/>
    </row>
    <row r="234" ht="16.5" spans="1:13">
      <c r="A234" s="33"/>
      <c r="B234" s="29"/>
      <c r="C234" s="42"/>
      <c r="D234" s="61" t="s">
        <v>59</v>
      </c>
      <c r="E234" s="71">
        <f t="shared" si="45"/>
        <v>137</v>
      </c>
      <c r="F234" s="71">
        <f t="shared" si="48"/>
        <v>80</v>
      </c>
      <c r="G234" s="71">
        <v>8810</v>
      </c>
      <c r="H234" s="71">
        <v>1750</v>
      </c>
      <c r="I234" s="71">
        <f>SUM($H$98:H234)</f>
        <v>125800</v>
      </c>
      <c r="J234" s="29" t="str">
        <f t="shared" si="46"/>
        <v>[{max_hp,80}]</v>
      </c>
      <c r="K234" s="29" t="str">
        <f t="shared" si="47"/>
        <v>[{63,1750}]</v>
      </c>
      <c r="L234" s="29"/>
      <c r="M234" s="29"/>
    </row>
    <row r="235" ht="16.5" spans="1:13">
      <c r="A235" s="33"/>
      <c r="B235" s="29"/>
      <c r="C235" s="42"/>
      <c r="D235" s="61" t="s">
        <v>59</v>
      </c>
      <c r="E235" s="71">
        <f t="shared" si="45"/>
        <v>138</v>
      </c>
      <c r="F235" s="71">
        <f t="shared" si="48"/>
        <v>80</v>
      </c>
      <c r="G235" s="71">
        <v>8890</v>
      </c>
      <c r="H235" s="71">
        <v>1800</v>
      </c>
      <c r="I235" s="71">
        <f>SUM($H$98:H235)</f>
        <v>127600</v>
      </c>
      <c r="J235" s="29" t="str">
        <f t="shared" si="46"/>
        <v>[{max_hp,80}]</v>
      </c>
      <c r="K235" s="29" t="str">
        <f t="shared" si="47"/>
        <v>[{63,1800}]</v>
      </c>
      <c r="L235" s="29"/>
      <c r="M235" s="29"/>
    </row>
    <row r="236" ht="16.5" spans="1:13">
      <c r="A236" s="33"/>
      <c r="B236" s="29"/>
      <c r="C236" s="42"/>
      <c r="D236" s="61" t="s">
        <v>59</v>
      </c>
      <c r="E236" s="71">
        <f t="shared" si="45"/>
        <v>139</v>
      </c>
      <c r="F236" s="71">
        <f t="shared" si="48"/>
        <v>80</v>
      </c>
      <c r="G236" s="71">
        <v>8970</v>
      </c>
      <c r="H236" s="71">
        <v>1800</v>
      </c>
      <c r="I236" s="71">
        <f>SUM($H$98:H236)</f>
        <v>129400</v>
      </c>
      <c r="J236" s="29" t="str">
        <f t="shared" si="46"/>
        <v>[{max_hp,80}]</v>
      </c>
      <c r="K236" s="29" t="str">
        <f t="shared" si="47"/>
        <v>[{63,1800}]</v>
      </c>
      <c r="L236" s="29"/>
      <c r="M236" s="29"/>
    </row>
    <row r="237" ht="16.5" spans="1:13">
      <c r="A237" s="33"/>
      <c r="B237" s="29"/>
      <c r="C237" s="42"/>
      <c r="D237" s="61" t="s">
        <v>59</v>
      </c>
      <c r="E237" s="71">
        <f t="shared" si="45"/>
        <v>140</v>
      </c>
      <c r="F237" s="71">
        <f t="shared" si="48"/>
        <v>80</v>
      </c>
      <c r="G237" s="71">
        <v>9050</v>
      </c>
      <c r="H237" s="71">
        <v>1800</v>
      </c>
      <c r="I237" s="71">
        <f>SUM($H$98:H237)</f>
        <v>131200</v>
      </c>
      <c r="J237" s="29" t="str">
        <f t="shared" si="46"/>
        <v>[{max_hp,80}]</v>
      </c>
      <c r="K237" s="29" t="str">
        <f t="shared" si="47"/>
        <v>[{63,1800}]</v>
      </c>
      <c r="L237" s="29"/>
      <c r="M237" s="29"/>
    </row>
    <row r="238" ht="16.5" spans="1:13">
      <c r="A238" s="33"/>
      <c r="B238" s="29"/>
      <c r="C238" s="42"/>
      <c r="D238" s="61" t="s">
        <v>59</v>
      </c>
      <c r="E238" s="71">
        <f t="shared" si="45"/>
        <v>141</v>
      </c>
      <c r="F238" s="71">
        <f t="shared" si="48"/>
        <v>85</v>
      </c>
      <c r="G238" s="71">
        <v>9135</v>
      </c>
      <c r="H238" s="71">
        <v>1800</v>
      </c>
      <c r="I238" s="71">
        <f>SUM($H$98:H238)</f>
        <v>133000</v>
      </c>
      <c r="J238" s="29" t="str">
        <f t="shared" si="46"/>
        <v>[{max_hp,85}]</v>
      </c>
      <c r="K238" s="29" t="str">
        <f t="shared" si="47"/>
        <v>[{63,1800}]</v>
      </c>
      <c r="L238" s="29"/>
      <c r="M238" s="29"/>
    </row>
    <row r="239" ht="16.5" spans="1:13">
      <c r="A239" s="33"/>
      <c r="B239" s="29"/>
      <c r="C239" s="42"/>
      <c r="D239" s="61" t="s">
        <v>59</v>
      </c>
      <c r="E239" s="71">
        <f t="shared" si="45"/>
        <v>142</v>
      </c>
      <c r="F239" s="71">
        <f t="shared" si="48"/>
        <v>85</v>
      </c>
      <c r="G239" s="71">
        <v>9220</v>
      </c>
      <c r="H239" s="71">
        <v>1850</v>
      </c>
      <c r="I239" s="71">
        <f>SUM($H$98:H239)</f>
        <v>134850</v>
      </c>
      <c r="J239" s="29" t="str">
        <f t="shared" si="46"/>
        <v>[{max_hp,85}]</v>
      </c>
      <c r="K239" s="29" t="str">
        <f t="shared" si="47"/>
        <v>[{63,1850}]</v>
      </c>
      <c r="L239" s="29"/>
      <c r="M239" s="29"/>
    </row>
    <row r="240" ht="16.5" spans="1:13">
      <c r="A240" s="33"/>
      <c r="B240" s="29"/>
      <c r="C240" s="42"/>
      <c r="D240" s="61" t="s">
        <v>59</v>
      </c>
      <c r="E240" s="71">
        <f t="shared" si="45"/>
        <v>143</v>
      </c>
      <c r="F240" s="71">
        <f t="shared" si="48"/>
        <v>85</v>
      </c>
      <c r="G240" s="71">
        <v>9305</v>
      </c>
      <c r="H240" s="71">
        <v>1850</v>
      </c>
      <c r="I240" s="71">
        <f>SUM($H$98:H240)</f>
        <v>136700</v>
      </c>
      <c r="J240" s="29" t="str">
        <f t="shared" si="46"/>
        <v>[{max_hp,85}]</v>
      </c>
      <c r="K240" s="29" t="str">
        <f t="shared" si="47"/>
        <v>[{63,1850}]</v>
      </c>
      <c r="L240" s="29"/>
      <c r="M240" s="29"/>
    </row>
    <row r="241" ht="16.5" spans="1:13">
      <c r="A241" s="33"/>
      <c r="B241" s="29"/>
      <c r="C241" s="42"/>
      <c r="D241" s="61" t="s">
        <v>59</v>
      </c>
      <c r="E241" s="71">
        <f t="shared" si="45"/>
        <v>144</v>
      </c>
      <c r="F241" s="71">
        <f t="shared" si="48"/>
        <v>85</v>
      </c>
      <c r="G241" s="71">
        <v>9390</v>
      </c>
      <c r="H241" s="71">
        <v>1850</v>
      </c>
      <c r="I241" s="71">
        <f>SUM($H$98:H241)</f>
        <v>138550</v>
      </c>
      <c r="J241" s="29" t="str">
        <f t="shared" si="46"/>
        <v>[{max_hp,85}]</v>
      </c>
      <c r="K241" s="29" t="str">
        <f t="shared" si="47"/>
        <v>[{63,1850}]</v>
      </c>
      <c r="L241" s="29"/>
      <c r="M241" s="29"/>
    </row>
    <row r="242" ht="16.5" spans="1:13">
      <c r="A242" s="33"/>
      <c r="B242" s="29"/>
      <c r="C242" s="42"/>
      <c r="D242" s="61" t="s">
        <v>59</v>
      </c>
      <c r="E242" s="71">
        <f t="shared" si="45"/>
        <v>145</v>
      </c>
      <c r="F242" s="71">
        <f t="shared" si="48"/>
        <v>85</v>
      </c>
      <c r="G242" s="71">
        <v>9475</v>
      </c>
      <c r="H242" s="71">
        <v>1850</v>
      </c>
      <c r="I242" s="71">
        <f>SUM($H$98:H242)</f>
        <v>140400</v>
      </c>
      <c r="J242" s="29" t="str">
        <f t="shared" si="46"/>
        <v>[{max_hp,85}]</v>
      </c>
      <c r="K242" s="29" t="str">
        <f t="shared" si="47"/>
        <v>[{63,1850}]</v>
      </c>
      <c r="L242" s="29"/>
      <c r="M242" s="29"/>
    </row>
    <row r="243" ht="16.5" spans="1:13">
      <c r="A243" s="33"/>
      <c r="B243" s="29"/>
      <c r="C243" s="42"/>
      <c r="D243" s="61" t="s">
        <v>59</v>
      </c>
      <c r="E243" s="71">
        <f t="shared" si="45"/>
        <v>146</v>
      </c>
      <c r="F243" s="71">
        <f t="shared" si="48"/>
        <v>85</v>
      </c>
      <c r="G243" s="71">
        <v>9560</v>
      </c>
      <c r="H243" s="71">
        <v>1900</v>
      </c>
      <c r="I243" s="71">
        <f>SUM($H$98:H243)</f>
        <v>142300</v>
      </c>
      <c r="J243" s="29" t="str">
        <f t="shared" si="46"/>
        <v>[{max_hp,85}]</v>
      </c>
      <c r="K243" s="29" t="str">
        <f t="shared" si="47"/>
        <v>[{63,1900}]</v>
      </c>
      <c r="L243" s="29"/>
      <c r="M243" s="29"/>
    </row>
    <row r="244" ht="16.5" spans="1:13">
      <c r="A244" s="33"/>
      <c r="B244" s="29"/>
      <c r="C244" s="42"/>
      <c r="D244" s="61" t="s">
        <v>59</v>
      </c>
      <c r="E244" s="71">
        <f t="shared" si="45"/>
        <v>147</v>
      </c>
      <c r="F244" s="71">
        <f t="shared" si="48"/>
        <v>85</v>
      </c>
      <c r="G244" s="71">
        <v>9645</v>
      </c>
      <c r="H244" s="71">
        <v>1900</v>
      </c>
      <c r="I244" s="71">
        <f>SUM($H$98:H244)</f>
        <v>144200</v>
      </c>
      <c r="J244" s="29" t="str">
        <f t="shared" si="46"/>
        <v>[{max_hp,85}]</v>
      </c>
      <c r="K244" s="29" t="str">
        <f t="shared" si="47"/>
        <v>[{63,1900}]</v>
      </c>
      <c r="L244" s="29"/>
      <c r="M244" s="29"/>
    </row>
    <row r="245" ht="16.5" spans="1:13">
      <c r="A245" s="33"/>
      <c r="B245" s="29"/>
      <c r="C245" s="42"/>
      <c r="D245" s="61" t="s">
        <v>59</v>
      </c>
      <c r="E245" s="71">
        <f t="shared" si="45"/>
        <v>148</v>
      </c>
      <c r="F245" s="71">
        <f t="shared" si="48"/>
        <v>85</v>
      </c>
      <c r="G245" s="71">
        <v>9730</v>
      </c>
      <c r="H245" s="71">
        <v>1900</v>
      </c>
      <c r="I245" s="71">
        <f>SUM($H$98:H245)</f>
        <v>146100</v>
      </c>
      <c r="J245" s="29" t="str">
        <f t="shared" si="46"/>
        <v>[{max_hp,85}]</v>
      </c>
      <c r="K245" s="29" t="str">
        <f t="shared" si="47"/>
        <v>[{63,1900}]</v>
      </c>
      <c r="L245" s="29"/>
      <c r="M245" s="29"/>
    </row>
    <row r="246" ht="16.5" spans="1:13">
      <c r="A246" s="33"/>
      <c r="B246" s="29"/>
      <c r="C246" s="42"/>
      <c r="D246" s="61" t="s">
        <v>59</v>
      </c>
      <c r="E246" s="71">
        <f t="shared" si="45"/>
        <v>149</v>
      </c>
      <c r="F246" s="71">
        <f t="shared" si="48"/>
        <v>85</v>
      </c>
      <c r="G246" s="71">
        <v>9815</v>
      </c>
      <c r="H246" s="71">
        <v>1900</v>
      </c>
      <c r="I246" s="71">
        <f>SUM($H$98:H246)</f>
        <v>148000</v>
      </c>
      <c r="J246" s="29" t="str">
        <f t="shared" si="46"/>
        <v>[{max_hp,85}]</v>
      </c>
      <c r="K246" s="29" t="str">
        <f t="shared" si="47"/>
        <v>[{63,1900}]</v>
      </c>
      <c r="L246" s="29"/>
      <c r="M246" s="29"/>
    </row>
    <row r="247" ht="16.5" spans="1:13">
      <c r="A247" s="33"/>
      <c r="B247" s="29"/>
      <c r="C247" s="42"/>
      <c r="D247" s="61" t="s">
        <v>59</v>
      </c>
      <c r="E247" s="71">
        <f t="shared" si="45"/>
        <v>150</v>
      </c>
      <c r="F247" s="71">
        <f t="shared" si="48"/>
        <v>85</v>
      </c>
      <c r="G247" s="71">
        <v>9900</v>
      </c>
      <c r="H247" s="71">
        <v>1950</v>
      </c>
      <c r="I247" s="71">
        <f>SUM($H$98:H247)</f>
        <v>149950</v>
      </c>
      <c r="J247" s="29" t="str">
        <f t="shared" si="46"/>
        <v>[{max_hp,85}]</v>
      </c>
      <c r="K247" s="29" t="str">
        <f t="shared" si="47"/>
        <v>[{63,1950}]</v>
      </c>
      <c r="L247" s="29"/>
      <c r="M247" s="29"/>
    </row>
    <row r="248" ht="16.5" spans="1:13">
      <c r="A248" s="33"/>
      <c r="B248" s="29"/>
      <c r="C248" s="42"/>
      <c r="D248" s="61" t="s">
        <v>59</v>
      </c>
      <c r="E248" s="71">
        <f t="shared" si="45"/>
        <v>151</v>
      </c>
      <c r="F248" s="71">
        <f t="shared" si="48"/>
        <v>85</v>
      </c>
      <c r="G248" s="71">
        <v>9985</v>
      </c>
      <c r="H248" s="71">
        <v>1950</v>
      </c>
      <c r="I248" s="71">
        <f>SUM($H$98:H248)</f>
        <v>151900</v>
      </c>
      <c r="J248" s="29" t="str">
        <f t="shared" si="46"/>
        <v>[{max_hp,85}]</v>
      </c>
      <c r="K248" s="29" t="str">
        <f t="shared" si="47"/>
        <v>[{63,1950}]</v>
      </c>
      <c r="L248" s="29"/>
      <c r="M248" s="29"/>
    </row>
    <row r="249" ht="16.5" spans="1:13">
      <c r="A249" s="33"/>
      <c r="B249" s="29"/>
      <c r="C249" s="42"/>
      <c r="D249" s="61" t="s">
        <v>59</v>
      </c>
      <c r="E249" s="71">
        <f t="shared" si="45"/>
        <v>152</v>
      </c>
      <c r="F249" s="71">
        <f t="shared" si="48"/>
        <v>85</v>
      </c>
      <c r="G249" s="71">
        <v>10070</v>
      </c>
      <c r="H249" s="71">
        <v>1950</v>
      </c>
      <c r="I249" s="71">
        <f>SUM($H$98:H249)</f>
        <v>153850</v>
      </c>
      <c r="J249" s="29" t="str">
        <f t="shared" si="46"/>
        <v>[{max_hp,85}]</v>
      </c>
      <c r="K249" s="29" t="str">
        <f t="shared" si="47"/>
        <v>[{63,1950}]</v>
      </c>
      <c r="L249" s="29"/>
      <c r="M249" s="29"/>
    </row>
    <row r="250" ht="16.5" spans="1:13">
      <c r="A250" s="33"/>
      <c r="B250" s="29"/>
      <c r="C250" s="42"/>
      <c r="D250" s="61" t="s">
        <v>59</v>
      </c>
      <c r="E250" s="71">
        <f t="shared" si="45"/>
        <v>153</v>
      </c>
      <c r="F250" s="71">
        <f t="shared" si="48"/>
        <v>85</v>
      </c>
      <c r="G250" s="71">
        <v>10155</v>
      </c>
      <c r="H250" s="71">
        <v>1950</v>
      </c>
      <c r="I250" s="71">
        <f>SUM($H$98:H250)</f>
        <v>155800</v>
      </c>
      <c r="J250" s="29" t="str">
        <f t="shared" si="46"/>
        <v>[{max_hp,85}]</v>
      </c>
      <c r="K250" s="29" t="str">
        <f t="shared" si="47"/>
        <v>[{63,1950}]</v>
      </c>
      <c r="L250" s="29"/>
      <c r="M250" s="29"/>
    </row>
    <row r="251" ht="16.5" spans="1:13">
      <c r="A251" s="33"/>
      <c r="B251" s="29"/>
      <c r="C251" s="42"/>
      <c r="D251" s="61" t="s">
        <v>59</v>
      </c>
      <c r="E251" s="71">
        <f t="shared" si="45"/>
        <v>154</v>
      </c>
      <c r="F251" s="71">
        <f t="shared" si="48"/>
        <v>85</v>
      </c>
      <c r="G251" s="71">
        <v>10240</v>
      </c>
      <c r="H251" s="71">
        <v>2000</v>
      </c>
      <c r="I251" s="71">
        <f>SUM($H$98:H251)</f>
        <v>157800</v>
      </c>
      <c r="J251" s="29" t="str">
        <f t="shared" si="46"/>
        <v>[{max_hp,85}]</v>
      </c>
      <c r="K251" s="29" t="str">
        <f t="shared" si="47"/>
        <v>[{63,2000}]</v>
      </c>
      <c r="L251" s="29"/>
      <c r="M251" s="29"/>
    </row>
    <row r="252" ht="16.5" spans="1:13">
      <c r="A252" s="33"/>
      <c r="B252" s="29"/>
      <c r="C252" s="42"/>
      <c r="D252" s="61" t="s">
        <v>59</v>
      </c>
      <c r="E252" s="71">
        <f t="shared" si="45"/>
        <v>155</v>
      </c>
      <c r="F252" s="71">
        <f t="shared" si="48"/>
        <v>85</v>
      </c>
      <c r="G252" s="71">
        <v>10325</v>
      </c>
      <c r="H252" s="71">
        <v>2000</v>
      </c>
      <c r="I252" s="71">
        <f>SUM($H$98:H252)</f>
        <v>159800</v>
      </c>
      <c r="J252" s="29" t="str">
        <f t="shared" si="46"/>
        <v>[{max_hp,85}]</v>
      </c>
      <c r="K252" s="29" t="str">
        <f t="shared" si="47"/>
        <v>[{63,2000}]</v>
      </c>
      <c r="L252" s="29"/>
      <c r="M252" s="29"/>
    </row>
    <row r="253" ht="16.5" spans="1:13">
      <c r="A253" s="33"/>
      <c r="B253" s="29"/>
      <c r="C253" s="42"/>
      <c r="D253" s="61" t="s">
        <v>59</v>
      </c>
      <c r="E253" s="71">
        <f t="shared" si="45"/>
        <v>156</v>
      </c>
      <c r="F253" s="71">
        <f t="shared" si="48"/>
        <v>85</v>
      </c>
      <c r="G253" s="71">
        <v>10410</v>
      </c>
      <c r="H253" s="71">
        <v>2000</v>
      </c>
      <c r="I253" s="71">
        <f>SUM($H$98:H253)</f>
        <v>161800</v>
      </c>
      <c r="J253" s="29" t="str">
        <f t="shared" si="46"/>
        <v>[{max_hp,85}]</v>
      </c>
      <c r="K253" s="29" t="str">
        <f t="shared" si="47"/>
        <v>[{63,2000}]</v>
      </c>
      <c r="L253" s="29"/>
      <c r="M253" s="29"/>
    </row>
    <row r="254" ht="16.5" spans="1:13">
      <c r="A254" s="33"/>
      <c r="B254" s="29"/>
      <c r="C254" s="42"/>
      <c r="D254" s="61" t="s">
        <v>59</v>
      </c>
      <c r="E254" s="71">
        <f t="shared" si="45"/>
        <v>157</v>
      </c>
      <c r="F254" s="71">
        <f t="shared" si="48"/>
        <v>85</v>
      </c>
      <c r="G254" s="71">
        <v>10495</v>
      </c>
      <c r="H254" s="71">
        <v>2000</v>
      </c>
      <c r="I254" s="71">
        <f>SUM($H$98:H254)</f>
        <v>163800</v>
      </c>
      <c r="J254" s="29" t="str">
        <f t="shared" si="46"/>
        <v>[{max_hp,85}]</v>
      </c>
      <c r="K254" s="29" t="str">
        <f t="shared" si="47"/>
        <v>[{63,2000}]</v>
      </c>
      <c r="L254" s="29"/>
      <c r="M254" s="29"/>
    </row>
    <row r="255" ht="16.5" spans="1:13">
      <c r="A255" s="33"/>
      <c r="B255" s="29"/>
      <c r="C255" s="42"/>
      <c r="D255" s="61" t="s">
        <v>59</v>
      </c>
      <c r="E255" s="71">
        <f t="shared" si="45"/>
        <v>158</v>
      </c>
      <c r="F255" s="71">
        <f t="shared" si="48"/>
        <v>85</v>
      </c>
      <c r="G255" s="71">
        <v>10580</v>
      </c>
      <c r="H255" s="71">
        <v>2050</v>
      </c>
      <c r="I255" s="71">
        <f>SUM($H$98:H255)</f>
        <v>165850</v>
      </c>
      <c r="J255" s="29" t="str">
        <f t="shared" si="46"/>
        <v>[{max_hp,85}]</v>
      </c>
      <c r="K255" s="29" t="str">
        <f t="shared" si="47"/>
        <v>[{63,2050}]</v>
      </c>
      <c r="L255" s="29"/>
      <c r="M255" s="29"/>
    </row>
    <row r="256" ht="16.5" spans="1:13">
      <c r="A256" s="33"/>
      <c r="B256" s="29"/>
      <c r="C256" s="42"/>
      <c r="D256" s="61" t="s">
        <v>59</v>
      </c>
      <c r="E256" s="71">
        <f t="shared" si="45"/>
        <v>159</v>
      </c>
      <c r="F256" s="71">
        <f t="shared" si="48"/>
        <v>85</v>
      </c>
      <c r="G256" s="71">
        <v>10665</v>
      </c>
      <c r="H256" s="71">
        <v>2050</v>
      </c>
      <c r="I256" s="71">
        <f>SUM($H$98:H256)</f>
        <v>167900</v>
      </c>
      <c r="J256" s="29" t="str">
        <f t="shared" si="46"/>
        <v>[{max_hp,85}]</v>
      </c>
      <c r="K256" s="29" t="str">
        <f t="shared" si="47"/>
        <v>[{63,2050}]</v>
      </c>
      <c r="L256" s="29"/>
      <c r="M256" s="29"/>
    </row>
    <row r="257" ht="16.5" spans="1:13">
      <c r="A257" s="33"/>
      <c r="B257" s="29"/>
      <c r="C257" s="42"/>
      <c r="D257" s="61" t="s">
        <v>59</v>
      </c>
      <c r="E257" s="71">
        <f t="shared" si="45"/>
        <v>160</v>
      </c>
      <c r="F257" s="71">
        <f t="shared" si="48"/>
        <v>85</v>
      </c>
      <c r="G257" s="71">
        <v>10750</v>
      </c>
      <c r="H257" s="71">
        <v>2050</v>
      </c>
      <c r="I257" s="71">
        <f>SUM($H$98:H257)</f>
        <v>169950</v>
      </c>
      <c r="J257" s="29" t="str">
        <f t="shared" si="46"/>
        <v>[{max_hp,85}]</v>
      </c>
      <c r="K257" s="29" t="str">
        <f t="shared" si="47"/>
        <v>[{63,2050}]</v>
      </c>
      <c r="L257" s="29"/>
      <c r="M257" s="29"/>
    </row>
    <row r="258" ht="16.5" spans="1:13">
      <c r="A258" s="33"/>
      <c r="B258" s="29"/>
      <c r="C258" s="42"/>
      <c r="D258" s="61" t="s">
        <v>59</v>
      </c>
      <c r="E258" s="71">
        <f t="shared" si="45"/>
        <v>161</v>
      </c>
      <c r="F258" s="71">
        <f t="shared" si="48"/>
        <v>90</v>
      </c>
      <c r="G258" s="71">
        <v>10840</v>
      </c>
      <c r="H258" s="71">
        <v>2050</v>
      </c>
      <c r="I258" s="71">
        <f>SUM($H$98:H258)</f>
        <v>172000</v>
      </c>
      <c r="J258" s="29" t="str">
        <f t="shared" si="46"/>
        <v>[{max_hp,90}]</v>
      </c>
      <c r="K258" s="29" t="str">
        <f t="shared" si="47"/>
        <v>[{63,2050}]</v>
      </c>
      <c r="L258" s="29"/>
      <c r="M258" s="29"/>
    </row>
    <row r="259" ht="16.5" spans="1:13">
      <c r="A259" s="33"/>
      <c r="B259" s="29"/>
      <c r="C259" s="42"/>
      <c r="D259" s="61" t="s">
        <v>59</v>
      </c>
      <c r="E259" s="71">
        <f t="shared" si="45"/>
        <v>162</v>
      </c>
      <c r="F259" s="71">
        <f t="shared" si="48"/>
        <v>90</v>
      </c>
      <c r="G259" s="71">
        <v>10930</v>
      </c>
      <c r="H259" s="71">
        <v>2100</v>
      </c>
      <c r="I259" s="71">
        <f>SUM($H$98:H259)</f>
        <v>174100</v>
      </c>
      <c r="J259" s="29" t="str">
        <f t="shared" si="46"/>
        <v>[{max_hp,90}]</v>
      </c>
      <c r="K259" s="29" t="str">
        <f t="shared" si="47"/>
        <v>[{63,2100}]</v>
      </c>
      <c r="L259" s="29"/>
      <c r="M259" s="29"/>
    </row>
    <row r="260" ht="16.5" spans="1:13">
      <c r="A260" s="33"/>
      <c r="B260" s="29"/>
      <c r="C260" s="42"/>
      <c r="D260" s="61" t="s">
        <v>59</v>
      </c>
      <c r="E260" s="71">
        <f t="shared" si="45"/>
        <v>163</v>
      </c>
      <c r="F260" s="71">
        <f t="shared" si="48"/>
        <v>90</v>
      </c>
      <c r="G260" s="71">
        <v>11020</v>
      </c>
      <c r="H260" s="71">
        <v>2100</v>
      </c>
      <c r="I260" s="71">
        <f>SUM($H$98:H260)</f>
        <v>176200</v>
      </c>
      <c r="J260" s="29" t="str">
        <f t="shared" si="46"/>
        <v>[{max_hp,90}]</v>
      </c>
      <c r="K260" s="29" t="str">
        <f t="shared" si="47"/>
        <v>[{63,2100}]</v>
      </c>
      <c r="L260" s="29"/>
      <c r="M260" s="29"/>
    </row>
    <row r="261" ht="16.5" spans="1:13">
      <c r="A261" s="33"/>
      <c r="B261" s="29"/>
      <c r="C261" s="42"/>
      <c r="D261" s="61" t="s">
        <v>59</v>
      </c>
      <c r="E261" s="71">
        <f t="shared" si="45"/>
        <v>164</v>
      </c>
      <c r="F261" s="71">
        <f t="shared" si="48"/>
        <v>90</v>
      </c>
      <c r="G261" s="71">
        <v>11110</v>
      </c>
      <c r="H261" s="71">
        <v>2100</v>
      </c>
      <c r="I261" s="71">
        <f>SUM($H$98:H261)</f>
        <v>178300</v>
      </c>
      <c r="J261" s="29" t="str">
        <f t="shared" si="46"/>
        <v>[{max_hp,90}]</v>
      </c>
      <c r="K261" s="29" t="str">
        <f t="shared" si="47"/>
        <v>[{63,2100}]</v>
      </c>
      <c r="L261" s="29"/>
      <c r="M261" s="29"/>
    </row>
    <row r="262" ht="16.5" spans="1:13">
      <c r="A262" s="33"/>
      <c r="B262" s="29"/>
      <c r="C262" s="42"/>
      <c r="D262" s="61" t="s">
        <v>59</v>
      </c>
      <c r="E262" s="71">
        <f t="shared" si="45"/>
        <v>165</v>
      </c>
      <c r="F262" s="71">
        <f t="shared" si="48"/>
        <v>90</v>
      </c>
      <c r="G262" s="71">
        <v>11200</v>
      </c>
      <c r="H262" s="71">
        <v>2100</v>
      </c>
      <c r="I262" s="71">
        <f>SUM($H$98:H262)</f>
        <v>180400</v>
      </c>
      <c r="J262" s="29" t="str">
        <f t="shared" si="46"/>
        <v>[{max_hp,90}]</v>
      </c>
      <c r="K262" s="29" t="str">
        <f t="shared" si="47"/>
        <v>[{63,2100}]</v>
      </c>
      <c r="L262" s="29"/>
      <c r="M262" s="29"/>
    </row>
    <row r="263" ht="16.5" spans="1:13">
      <c r="A263" s="33"/>
      <c r="B263" s="29"/>
      <c r="C263" s="42"/>
      <c r="D263" s="61" t="s">
        <v>59</v>
      </c>
      <c r="E263" s="71">
        <f t="shared" si="45"/>
        <v>166</v>
      </c>
      <c r="F263" s="71">
        <f t="shared" si="48"/>
        <v>90</v>
      </c>
      <c r="G263" s="71">
        <v>11290</v>
      </c>
      <c r="H263" s="71">
        <v>2150</v>
      </c>
      <c r="I263" s="71">
        <f>SUM($H$98:H263)</f>
        <v>182550</v>
      </c>
      <c r="J263" s="29" t="str">
        <f t="shared" si="46"/>
        <v>[{max_hp,90}]</v>
      </c>
      <c r="K263" s="29" t="str">
        <f t="shared" si="47"/>
        <v>[{63,2150}]</v>
      </c>
      <c r="L263" s="29"/>
      <c r="M263" s="29"/>
    </row>
    <row r="264" ht="16.5" spans="1:13">
      <c r="A264" s="33"/>
      <c r="B264" s="29"/>
      <c r="C264" s="42"/>
      <c r="D264" s="61" t="s">
        <v>59</v>
      </c>
      <c r="E264" s="71">
        <f t="shared" si="45"/>
        <v>167</v>
      </c>
      <c r="F264" s="71">
        <f t="shared" si="48"/>
        <v>90</v>
      </c>
      <c r="G264" s="71">
        <v>11380</v>
      </c>
      <c r="H264" s="71">
        <v>2150</v>
      </c>
      <c r="I264" s="71">
        <f>SUM($H$98:H264)</f>
        <v>184700</v>
      </c>
      <c r="J264" s="29" t="str">
        <f t="shared" si="46"/>
        <v>[{max_hp,90}]</v>
      </c>
      <c r="K264" s="29" t="str">
        <f t="shared" si="47"/>
        <v>[{63,2150}]</v>
      </c>
      <c r="L264" s="29"/>
      <c r="M264" s="29"/>
    </row>
    <row r="265" ht="16.5" spans="1:13">
      <c r="A265" s="33"/>
      <c r="B265" s="29"/>
      <c r="C265" s="42"/>
      <c r="D265" s="61" t="s">
        <v>59</v>
      </c>
      <c r="E265" s="71">
        <f t="shared" si="45"/>
        <v>168</v>
      </c>
      <c r="F265" s="71">
        <f t="shared" si="48"/>
        <v>90</v>
      </c>
      <c r="G265" s="71">
        <v>11470</v>
      </c>
      <c r="H265" s="71">
        <v>2150</v>
      </c>
      <c r="I265" s="71">
        <f>SUM($H$98:H265)</f>
        <v>186850</v>
      </c>
      <c r="J265" s="29" t="str">
        <f t="shared" si="46"/>
        <v>[{max_hp,90}]</v>
      </c>
      <c r="K265" s="29" t="str">
        <f t="shared" si="47"/>
        <v>[{63,2150}]</v>
      </c>
      <c r="L265" s="29"/>
      <c r="M265" s="29"/>
    </row>
    <row r="266" ht="16.5" spans="1:13">
      <c r="A266" s="33"/>
      <c r="B266" s="29"/>
      <c r="C266" s="42"/>
      <c r="D266" s="61" t="s">
        <v>59</v>
      </c>
      <c r="E266" s="71">
        <f t="shared" si="45"/>
        <v>169</v>
      </c>
      <c r="F266" s="71">
        <f t="shared" si="48"/>
        <v>90</v>
      </c>
      <c r="G266" s="71">
        <v>11560</v>
      </c>
      <c r="H266" s="71">
        <v>2150</v>
      </c>
      <c r="I266" s="71">
        <f>SUM($H$98:H266)</f>
        <v>189000</v>
      </c>
      <c r="J266" s="29" t="str">
        <f t="shared" si="46"/>
        <v>[{max_hp,90}]</v>
      </c>
      <c r="K266" s="29" t="str">
        <f t="shared" si="47"/>
        <v>[{63,2150}]</v>
      </c>
      <c r="L266" s="29"/>
      <c r="M266" s="29"/>
    </row>
    <row r="267" ht="16.5" spans="1:13">
      <c r="A267" s="33"/>
      <c r="B267" s="29"/>
      <c r="C267" s="42"/>
      <c r="D267" s="61" t="s">
        <v>59</v>
      </c>
      <c r="E267" s="71">
        <f t="shared" si="45"/>
        <v>170</v>
      </c>
      <c r="F267" s="71">
        <f t="shared" si="48"/>
        <v>90</v>
      </c>
      <c r="G267" s="71">
        <v>11650</v>
      </c>
      <c r="H267" s="71">
        <v>2200</v>
      </c>
      <c r="I267" s="71">
        <f>SUM($H$98:H267)</f>
        <v>191200</v>
      </c>
      <c r="J267" s="29" t="str">
        <f t="shared" si="46"/>
        <v>[{max_hp,90}]</v>
      </c>
      <c r="K267" s="29" t="str">
        <f t="shared" si="47"/>
        <v>[{63,2200}]</v>
      </c>
      <c r="L267" s="29"/>
      <c r="M267" s="29"/>
    </row>
    <row r="268" ht="16.5" spans="1:13">
      <c r="A268" s="33"/>
      <c r="B268" s="29"/>
      <c r="C268" s="42"/>
      <c r="D268" s="61" t="s">
        <v>59</v>
      </c>
      <c r="E268" s="71">
        <f t="shared" si="45"/>
        <v>171</v>
      </c>
      <c r="F268" s="71">
        <f t="shared" si="48"/>
        <v>90</v>
      </c>
      <c r="G268" s="71">
        <v>11740</v>
      </c>
      <c r="H268" s="71">
        <v>2200</v>
      </c>
      <c r="I268" s="71">
        <f>SUM($H$98:H268)</f>
        <v>193400</v>
      </c>
      <c r="J268" s="29" t="str">
        <f t="shared" si="46"/>
        <v>[{max_hp,90}]</v>
      </c>
      <c r="K268" s="29" t="str">
        <f t="shared" si="47"/>
        <v>[{63,2200}]</v>
      </c>
      <c r="L268" s="29"/>
      <c r="M268" s="29"/>
    </row>
    <row r="269" ht="16.5" spans="1:13">
      <c r="A269" s="33"/>
      <c r="B269" s="29"/>
      <c r="C269" s="42"/>
      <c r="D269" s="61" t="s">
        <v>59</v>
      </c>
      <c r="E269" s="71">
        <f t="shared" si="45"/>
        <v>172</v>
      </c>
      <c r="F269" s="71">
        <f t="shared" si="48"/>
        <v>90</v>
      </c>
      <c r="G269" s="71">
        <v>11830</v>
      </c>
      <c r="H269" s="71">
        <v>2200</v>
      </c>
      <c r="I269" s="71">
        <f>SUM($H$98:H269)</f>
        <v>195600</v>
      </c>
      <c r="J269" s="29" t="str">
        <f t="shared" si="46"/>
        <v>[{max_hp,90}]</v>
      </c>
      <c r="K269" s="29" t="str">
        <f t="shared" si="47"/>
        <v>[{63,2200}]</v>
      </c>
      <c r="L269" s="29"/>
      <c r="M269" s="29"/>
    </row>
    <row r="270" ht="16.5" spans="1:13">
      <c r="A270" s="33"/>
      <c r="B270" s="29"/>
      <c r="C270" s="42"/>
      <c r="D270" s="61" t="s">
        <v>59</v>
      </c>
      <c r="E270" s="71">
        <f t="shared" si="45"/>
        <v>173</v>
      </c>
      <c r="F270" s="71">
        <f t="shared" si="48"/>
        <v>90</v>
      </c>
      <c r="G270" s="71">
        <v>11920</v>
      </c>
      <c r="H270" s="71">
        <v>2200</v>
      </c>
      <c r="I270" s="71">
        <f>SUM($H$98:H270)</f>
        <v>197800</v>
      </c>
      <c r="J270" s="29" t="str">
        <f t="shared" si="46"/>
        <v>[{max_hp,90}]</v>
      </c>
      <c r="K270" s="29" t="str">
        <f t="shared" si="47"/>
        <v>[{63,2200}]</v>
      </c>
      <c r="L270" s="29"/>
      <c r="M270" s="29"/>
    </row>
    <row r="271" ht="16.5" spans="1:13">
      <c r="A271" s="33"/>
      <c r="B271" s="29"/>
      <c r="C271" s="42"/>
      <c r="D271" s="61" t="s">
        <v>59</v>
      </c>
      <c r="E271" s="71">
        <f t="shared" si="45"/>
        <v>174</v>
      </c>
      <c r="F271" s="71">
        <f t="shared" si="48"/>
        <v>90</v>
      </c>
      <c r="G271" s="71">
        <v>12010</v>
      </c>
      <c r="H271" s="71">
        <v>2250</v>
      </c>
      <c r="I271" s="71">
        <f>SUM($H$98:H271)</f>
        <v>200050</v>
      </c>
      <c r="J271" s="29" t="str">
        <f t="shared" si="46"/>
        <v>[{max_hp,90}]</v>
      </c>
      <c r="K271" s="29" t="str">
        <f t="shared" si="47"/>
        <v>[{63,2250}]</v>
      </c>
      <c r="L271" s="29"/>
      <c r="M271" s="29"/>
    </row>
    <row r="272" ht="16.5" spans="1:13">
      <c r="A272" s="33"/>
      <c r="B272" s="29"/>
      <c r="C272" s="42"/>
      <c r="D272" s="61" t="s">
        <v>59</v>
      </c>
      <c r="E272" s="71">
        <f t="shared" si="45"/>
        <v>175</v>
      </c>
      <c r="F272" s="71">
        <f t="shared" si="48"/>
        <v>90</v>
      </c>
      <c r="G272" s="71">
        <v>12100</v>
      </c>
      <c r="H272" s="71">
        <v>2250</v>
      </c>
      <c r="I272" s="71">
        <f>SUM($H$98:H272)</f>
        <v>202300</v>
      </c>
      <c r="J272" s="29" t="str">
        <f t="shared" si="46"/>
        <v>[{max_hp,90}]</v>
      </c>
      <c r="K272" s="29" t="str">
        <f t="shared" si="47"/>
        <v>[{63,2250}]</v>
      </c>
      <c r="L272" s="29"/>
      <c r="M272" s="29"/>
    </row>
    <row r="273" ht="16.5" spans="1:13">
      <c r="A273" s="33"/>
      <c r="B273" s="29"/>
      <c r="C273" s="42"/>
      <c r="D273" s="61" t="s">
        <v>59</v>
      </c>
      <c r="E273" s="71">
        <f t="shared" si="45"/>
        <v>176</v>
      </c>
      <c r="F273" s="71">
        <f t="shared" si="48"/>
        <v>90</v>
      </c>
      <c r="G273" s="71">
        <v>12190</v>
      </c>
      <c r="H273" s="71">
        <v>2250</v>
      </c>
      <c r="I273" s="71">
        <f>SUM($H$98:H273)</f>
        <v>204550</v>
      </c>
      <c r="J273" s="29" t="str">
        <f t="shared" si="46"/>
        <v>[{max_hp,90}]</v>
      </c>
      <c r="K273" s="29" t="str">
        <f t="shared" si="47"/>
        <v>[{63,2250}]</v>
      </c>
      <c r="L273" s="29"/>
      <c r="M273" s="29"/>
    </row>
    <row r="274" ht="16.5" spans="1:13">
      <c r="A274" s="33"/>
      <c r="B274" s="29"/>
      <c r="C274" s="42"/>
      <c r="D274" s="61" t="s">
        <v>59</v>
      </c>
      <c r="E274" s="71">
        <f t="shared" si="45"/>
        <v>177</v>
      </c>
      <c r="F274" s="71">
        <f t="shared" si="48"/>
        <v>90</v>
      </c>
      <c r="G274" s="71">
        <v>12280</v>
      </c>
      <c r="H274" s="71">
        <v>2250</v>
      </c>
      <c r="I274" s="71">
        <f>SUM($H$98:H274)</f>
        <v>206800</v>
      </c>
      <c r="J274" s="29" t="str">
        <f t="shared" si="46"/>
        <v>[{max_hp,90}]</v>
      </c>
      <c r="K274" s="29" t="str">
        <f t="shared" si="47"/>
        <v>[{63,2250}]</v>
      </c>
      <c r="L274" s="29"/>
      <c r="M274" s="29"/>
    </row>
    <row r="275" ht="16.5" spans="1:13">
      <c r="A275" s="33"/>
      <c r="B275" s="29"/>
      <c r="C275" s="42"/>
      <c r="D275" s="61" t="s">
        <v>59</v>
      </c>
      <c r="E275" s="71">
        <f t="shared" si="45"/>
        <v>178</v>
      </c>
      <c r="F275" s="71">
        <f t="shared" si="48"/>
        <v>90</v>
      </c>
      <c r="G275" s="71">
        <v>12370</v>
      </c>
      <c r="H275" s="71">
        <v>2300</v>
      </c>
      <c r="I275" s="71">
        <f>SUM($H$98:H275)</f>
        <v>209100</v>
      </c>
      <c r="J275" s="29" t="str">
        <f t="shared" si="46"/>
        <v>[{max_hp,90}]</v>
      </c>
      <c r="K275" s="29" t="str">
        <f t="shared" si="47"/>
        <v>[{63,2300}]</v>
      </c>
      <c r="L275" s="29"/>
      <c r="M275" s="29"/>
    </row>
    <row r="276" ht="16.5" spans="1:13">
      <c r="A276" s="33"/>
      <c r="B276" s="29"/>
      <c r="C276" s="42"/>
      <c r="D276" s="61" t="s">
        <v>59</v>
      </c>
      <c r="E276" s="71">
        <f t="shared" si="45"/>
        <v>179</v>
      </c>
      <c r="F276" s="71">
        <f t="shared" si="48"/>
        <v>90</v>
      </c>
      <c r="G276" s="71">
        <v>12460</v>
      </c>
      <c r="H276" s="71">
        <v>2300</v>
      </c>
      <c r="I276" s="71">
        <f>SUM($H$98:H276)</f>
        <v>211400</v>
      </c>
      <c r="J276" s="29" t="str">
        <f t="shared" si="46"/>
        <v>[{max_hp,90}]</v>
      </c>
      <c r="K276" s="29" t="str">
        <f t="shared" si="47"/>
        <v>[{63,2300}]</v>
      </c>
      <c r="L276" s="29"/>
      <c r="M276" s="29"/>
    </row>
    <row r="277" ht="16.5" spans="1:13">
      <c r="A277" s="33"/>
      <c r="B277" s="29"/>
      <c r="C277" s="42"/>
      <c r="D277" s="61" t="s">
        <v>59</v>
      </c>
      <c r="E277" s="71">
        <f t="shared" si="45"/>
        <v>180</v>
      </c>
      <c r="F277" s="71">
        <f t="shared" si="48"/>
        <v>90</v>
      </c>
      <c r="G277" s="71">
        <v>12550</v>
      </c>
      <c r="H277" s="71">
        <v>2300</v>
      </c>
      <c r="I277" s="71">
        <f>SUM($H$98:H277)</f>
        <v>213700</v>
      </c>
      <c r="J277" s="29" t="str">
        <f t="shared" si="46"/>
        <v>[{max_hp,90}]</v>
      </c>
      <c r="K277" s="29" t="str">
        <f t="shared" si="47"/>
        <v>[{63,2300}]</v>
      </c>
      <c r="L277" s="29"/>
      <c r="M277" s="29"/>
    </row>
    <row r="278" ht="16.5" spans="1:13">
      <c r="A278" s="33"/>
      <c r="B278" s="29"/>
      <c r="C278" s="42"/>
      <c r="D278" s="61" t="s">
        <v>59</v>
      </c>
      <c r="E278" s="71">
        <f t="shared" si="45"/>
        <v>181</v>
      </c>
      <c r="F278" s="71">
        <f t="shared" si="48"/>
        <v>95</v>
      </c>
      <c r="G278" s="71">
        <v>12645</v>
      </c>
      <c r="H278" s="71">
        <v>2300</v>
      </c>
      <c r="I278" s="71">
        <f>SUM($H$98:H278)</f>
        <v>216000</v>
      </c>
      <c r="J278" s="29" t="str">
        <f t="shared" si="46"/>
        <v>[{max_hp,95}]</v>
      </c>
      <c r="K278" s="29" t="str">
        <f t="shared" si="47"/>
        <v>[{63,2300}]</v>
      </c>
      <c r="L278" s="29"/>
      <c r="M278" s="29"/>
    </row>
    <row r="279" ht="16.5" spans="1:13">
      <c r="A279" s="33"/>
      <c r="B279" s="29"/>
      <c r="C279" s="42"/>
      <c r="D279" s="61" t="s">
        <v>59</v>
      </c>
      <c r="E279" s="71">
        <f t="shared" si="45"/>
        <v>182</v>
      </c>
      <c r="F279" s="71">
        <f t="shared" si="48"/>
        <v>95</v>
      </c>
      <c r="G279" s="71">
        <v>12740</v>
      </c>
      <c r="H279" s="71">
        <v>2350</v>
      </c>
      <c r="I279" s="71">
        <f>SUM($H$98:H279)</f>
        <v>218350</v>
      </c>
      <c r="J279" s="29" t="str">
        <f t="shared" si="46"/>
        <v>[{max_hp,95}]</v>
      </c>
      <c r="K279" s="29" t="str">
        <f t="shared" si="47"/>
        <v>[{63,2350}]</v>
      </c>
      <c r="L279" s="29"/>
      <c r="M279" s="29"/>
    </row>
    <row r="280" ht="16.5" spans="1:13">
      <c r="A280" s="33"/>
      <c r="B280" s="29"/>
      <c r="C280" s="42"/>
      <c r="D280" s="61" t="s">
        <v>59</v>
      </c>
      <c r="E280" s="71">
        <f t="shared" si="45"/>
        <v>183</v>
      </c>
      <c r="F280" s="71">
        <f t="shared" si="48"/>
        <v>95</v>
      </c>
      <c r="G280" s="71">
        <v>12835</v>
      </c>
      <c r="H280" s="71">
        <v>2350</v>
      </c>
      <c r="I280" s="71">
        <f>SUM($H$98:H280)</f>
        <v>220700</v>
      </c>
      <c r="J280" s="29" t="str">
        <f t="shared" si="46"/>
        <v>[{max_hp,95}]</v>
      </c>
      <c r="K280" s="29" t="str">
        <f t="shared" si="47"/>
        <v>[{63,2350}]</v>
      </c>
      <c r="L280" s="29"/>
      <c r="M280" s="29"/>
    </row>
    <row r="281" ht="16.5" spans="1:13">
      <c r="A281" s="33"/>
      <c r="B281" s="29"/>
      <c r="C281" s="42"/>
      <c r="D281" s="61" t="s">
        <v>59</v>
      </c>
      <c r="E281" s="71">
        <f t="shared" si="45"/>
        <v>184</v>
      </c>
      <c r="F281" s="71">
        <f t="shared" si="48"/>
        <v>95</v>
      </c>
      <c r="G281" s="71">
        <v>12930</v>
      </c>
      <c r="H281" s="71">
        <v>2350</v>
      </c>
      <c r="I281" s="71">
        <f>SUM($H$98:H281)</f>
        <v>223050</v>
      </c>
      <c r="J281" s="29" t="str">
        <f t="shared" si="46"/>
        <v>[{max_hp,95}]</v>
      </c>
      <c r="K281" s="29" t="str">
        <f t="shared" si="47"/>
        <v>[{63,2350}]</v>
      </c>
      <c r="L281" s="29"/>
      <c r="M281" s="29"/>
    </row>
    <row r="282" ht="16.5" spans="1:13">
      <c r="A282" s="33"/>
      <c r="B282" s="29"/>
      <c r="C282" s="42"/>
      <c r="D282" s="61" t="s">
        <v>59</v>
      </c>
      <c r="E282" s="71">
        <f t="shared" si="45"/>
        <v>185</v>
      </c>
      <c r="F282" s="71">
        <f t="shared" si="48"/>
        <v>95</v>
      </c>
      <c r="G282" s="71">
        <v>13025</v>
      </c>
      <c r="H282" s="71">
        <v>2350</v>
      </c>
      <c r="I282" s="71">
        <f>SUM($H$98:H282)</f>
        <v>225400</v>
      </c>
      <c r="J282" s="29" t="str">
        <f t="shared" si="46"/>
        <v>[{max_hp,95}]</v>
      </c>
      <c r="K282" s="29" t="str">
        <f t="shared" si="47"/>
        <v>[{63,2350}]</v>
      </c>
      <c r="L282" s="29"/>
      <c r="M282" s="29"/>
    </row>
    <row r="283" ht="16.5" spans="1:13">
      <c r="A283" s="33"/>
      <c r="B283" s="29"/>
      <c r="C283" s="42"/>
      <c r="D283" s="61" t="s">
        <v>59</v>
      </c>
      <c r="E283" s="71">
        <f t="shared" si="45"/>
        <v>186</v>
      </c>
      <c r="F283" s="71">
        <f t="shared" si="48"/>
        <v>95</v>
      </c>
      <c r="G283" s="71">
        <v>13120</v>
      </c>
      <c r="H283" s="71">
        <v>2400</v>
      </c>
      <c r="I283" s="71">
        <f>SUM($H$98:H283)</f>
        <v>227800</v>
      </c>
      <c r="J283" s="29" t="str">
        <f t="shared" si="46"/>
        <v>[{max_hp,95}]</v>
      </c>
      <c r="K283" s="29" t="str">
        <f t="shared" si="47"/>
        <v>[{63,2400}]</v>
      </c>
      <c r="L283" s="29"/>
      <c r="M283" s="29"/>
    </row>
    <row r="284" ht="16.5" spans="1:13">
      <c r="A284" s="33"/>
      <c r="B284" s="29"/>
      <c r="C284" s="42"/>
      <c r="D284" s="61" t="s">
        <v>59</v>
      </c>
      <c r="E284" s="71">
        <f t="shared" si="45"/>
        <v>187</v>
      </c>
      <c r="F284" s="71">
        <f t="shared" si="48"/>
        <v>95</v>
      </c>
      <c r="G284" s="71">
        <v>13215</v>
      </c>
      <c r="H284" s="71">
        <v>2400</v>
      </c>
      <c r="I284" s="71">
        <f>SUM($H$98:H284)</f>
        <v>230200</v>
      </c>
      <c r="J284" s="29" t="str">
        <f t="shared" si="46"/>
        <v>[{max_hp,95}]</v>
      </c>
      <c r="K284" s="29" t="str">
        <f t="shared" si="47"/>
        <v>[{63,2400}]</v>
      </c>
      <c r="L284" s="29"/>
      <c r="M284" s="29"/>
    </row>
    <row r="285" ht="16.5" spans="1:13">
      <c r="A285" s="33"/>
      <c r="B285" s="29"/>
      <c r="C285" s="42"/>
      <c r="D285" s="61" t="s">
        <v>59</v>
      </c>
      <c r="E285" s="71">
        <f t="shared" si="45"/>
        <v>188</v>
      </c>
      <c r="F285" s="71">
        <f t="shared" si="48"/>
        <v>95</v>
      </c>
      <c r="G285" s="71">
        <v>13310</v>
      </c>
      <c r="H285" s="71">
        <v>2400</v>
      </c>
      <c r="I285" s="71">
        <f>SUM($H$98:H285)</f>
        <v>232600</v>
      </c>
      <c r="J285" s="29" t="str">
        <f t="shared" si="46"/>
        <v>[{max_hp,95}]</v>
      </c>
      <c r="K285" s="29" t="str">
        <f t="shared" si="47"/>
        <v>[{63,2400}]</v>
      </c>
      <c r="L285" s="29"/>
      <c r="M285" s="29"/>
    </row>
    <row r="286" ht="16.5" spans="1:13">
      <c r="A286" s="33"/>
      <c r="B286" s="29"/>
      <c r="C286" s="42"/>
      <c r="D286" s="61" t="s">
        <v>59</v>
      </c>
      <c r="E286" s="71">
        <f t="shared" ref="E286:E349" si="49">E285+1</f>
        <v>189</v>
      </c>
      <c r="F286" s="71">
        <f t="shared" si="48"/>
        <v>95</v>
      </c>
      <c r="G286" s="71">
        <v>13405</v>
      </c>
      <c r="H286" s="71">
        <v>2400</v>
      </c>
      <c r="I286" s="71">
        <f>SUM($H$98:H286)</f>
        <v>235000</v>
      </c>
      <c r="J286" s="29" t="str">
        <f t="shared" si="46"/>
        <v>[{max_hp,95}]</v>
      </c>
      <c r="K286" s="29" t="str">
        <f t="shared" si="47"/>
        <v>[{63,2400}]</v>
      </c>
      <c r="L286" s="29"/>
      <c r="M286" s="29"/>
    </row>
    <row r="287" ht="16.5" spans="1:13">
      <c r="A287" s="33"/>
      <c r="B287" s="29"/>
      <c r="C287" s="42"/>
      <c r="D287" s="61" t="s">
        <v>59</v>
      </c>
      <c r="E287" s="71">
        <f t="shared" si="49"/>
        <v>190</v>
      </c>
      <c r="F287" s="71">
        <f t="shared" si="48"/>
        <v>95</v>
      </c>
      <c r="G287" s="71">
        <v>13500</v>
      </c>
      <c r="H287" s="71">
        <v>2450</v>
      </c>
      <c r="I287" s="71">
        <f>SUM($H$98:H287)</f>
        <v>237450</v>
      </c>
      <c r="J287" s="29" t="str">
        <f t="shared" si="46"/>
        <v>[{max_hp,95}]</v>
      </c>
      <c r="K287" s="29" t="str">
        <f t="shared" si="47"/>
        <v>[{63,2450}]</v>
      </c>
      <c r="L287" s="29"/>
      <c r="M287" s="29"/>
    </row>
    <row r="288" ht="16.5" spans="1:13">
      <c r="A288" s="33"/>
      <c r="B288" s="29"/>
      <c r="C288" s="42"/>
      <c r="D288" s="61" t="s">
        <v>59</v>
      </c>
      <c r="E288" s="71">
        <f t="shared" si="49"/>
        <v>191</v>
      </c>
      <c r="F288" s="71">
        <f t="shared" si="48"/>
        <v>95</v>
      </c>
      <c r="G288" s="71">
        <v>13595</v>
      </c>
      <c r="H288" s="71">
        <v>2450</v>
      </c>
      <c r="I288" s="71">
        <f>SUM($H$98:H288)</f>
        <v>239900</v>
      </c>
      <c r="J288" s="29" t="str">
        <f t="shared" si="46"/>
        <v>[{max_hp,95}]</v>
      </c>
      <c r="K288" s="29" t="str">
        <f t="shared" si="47"/>
        <v>[{63,2450}]</v>
      </c>
      <c r="L288" s="29"/>
      <c r="M288" s="29"/>
    </row>
    <row r="289" ht="16.5" spans="1:13">
      <c r="A289" s="33"/>
      <c r="B289" s="29"/>
      <c r="C289" s="42"/>
      <c r="D289" s="61" t="s">
        <v>59</v>
      </c>
      <c r="E289" s="71">
        <f t="shared" si="49"/>
        <v>192</v>
      </c>
      <c r="F289" s="71">
        <f t="shared" si="48"/>
        <v>95</v>
      </c>
      <c r="G289" s="71">
        <v>13690</v>
      </c>
      <c r="H289" s="71">
        <v>2450</v>
      </c>
      <c r="I289" s="71">
        <f>SUM($H$98:H289)</f>
        <v>242350</v>
      </c>
      <c r="J289" s="29" t="str">
        <f t="shared" si="46"/>
        <v>[{max_hp,95}]</v>
      </c>
      <c r="K289" s="29" t="str">
        <f t="shared" si="47"/>
        <v>[{63,2450}]</v>
      </c>
      <c r="L289" s="29"/>
      <c r="M289" s="29"/>
    </row>
    <row r="290" ht="16.5" spans="1:13">
      <c r="A290" s="33"/>
      <c r="B290" s="29"/>
      <c r="C290" s="42"/>
      <c r="D290" s="61" t="s">
        <v>59</v>
      </c>
      <c r="E290" s="71">
        <f t="shared" si="49"/>
        <v>193</v>
      </c>
      <c r="F290" s="71">
        <f t="shared" si="48"/>
        <v>95</v>
      </c>
      <c r="G290" s="71">
        <v>13785</v>
      </c>
      <c r="H290" s="71">
        <v>2450</v>
      </c>
      <c r="I290" s="71">
        <f>SUM($H$98:H290)</f>
        <v>244800</v>
      </c>
      <c r="J290" s="29" t="str">
        <f t="shared" si="46"/>
        <v>[{max_hp,95}]</v>
      </c>
      <c r="K290" s="29" t="str">
        <f t="shared" si="47"/>
        <v>[{63,2450}]</v>
      </c>
      <c r="L290" s="29"/>
      <c r="M290" s="29"/>
    </row>
    <row r="291" ht="16.5" spans="1:13">
      <c r="A291" s="33"/>
      <c r="B291" s="29"/>
      <c r="C291" s="42"/>
      <c r="D291" s="61" t="s">
        <v>59</v>
      </c>
      <c r="E291" s="71">
        <f t="shared" si="49"/>
        <v>194</v>
      </c>
      <c r="F291" s="71">
        <f t="shared" si="48"/>
        <v>95</v>
      </c>
      <c r="G291" s="71">
        <v>13880</v>
      </c>
      <c r="H291" s="71">
        <v>2500</v>
      </c>
      <c r="I291" s="71">
        <f>SUM($H$98:H291)</f>
        <v>247300</v>
      </c>
      <c r="J291" s="29" t="str">
        <f t="shared" ref="J291:J354" si="50">"[{max_hp,"&amp;F291&amp;"}]"</f>
        <v>[{max_hp,95}]</v>
      </c>
      <c r="K291" s="29" t="str">
        <f t="shared" ref="K291:K354" si="51">"[{63,"&amp;H291&amp;"}]"</f>
        <v>[{63,2500}]</v>
      </c>
      <c r="L291" s="29"/>
      <c r="M291" s="29"/>
    </row>
    <row r="292" ht="16.5" spans="1:13">
      <c r="A292" s="33"/>
      <c r="B292" s="29"/>
      <c r="C292" s="42"/>
      <c r="D292" s="61" t="s">
        <v>59</v>
      </c>
      <c r="E292" s="71">
        <f t="shared" si="49"/>
        <v>195</v>
      </c>
      <c r="F292" s="71">
        <f t="shared" ref="F292:F355" si="52">G292-G291</f>
        <v>95</v>
      </c>
      <c r="G292" s="71">
        <v>13975</v>
      </c>
      <c r="H292" s="71">
        <v>2500</v>
      </c>
      <c r="I292" s="71">
        <f>SUM($H$98:H292)</f>
        <v>249800</v>
      </c>
      <c r="J292" s="29" t="str">
        <f t="shared" si="50"/>
        <v>[{max_hp,95}]</v>
      </c>
      <c r="K292" s="29" t="str">
        <f t="shared" si="51"/>
        <v>[{63,2500}]</v>
      </c>
      <c r="L292" s="29"/>
      <c r="M292" s="29"/>
    </row>
    <row r="293" ht="16.5" spans="1:13">
      <c r="A293" s="33"/>
      <c r="B293" s="29"/>
      <c r="C293" s="42"/>
      <c r="D293" s="61" t="s">
        <v>59</v>
      </c>
      <c r="E293" s="71">
        <f t="shared" si="49"/>
        <v>196</v>
      </c>
      <c r="F293" s="71">
        <f t="shared" si="52"/>
        <v>95</v>
      </c>
      <c r="G293" s="71">
        <v>14070</v>
      </c>
      <c r="H293" s="71">
        <v>2500</v>
      </c>
      <c r="I293" s="71">
        <f>SUM($H$98:H293)</f>
        <v>252300</v>
      </c>
      <c r="J293" s="29" t="str">
        <f t="shared" si="50"/>
        <v>[{max_hp,95}]</v>
      </c>
      <c r="K293" s="29" t="str">
        <f t="shared" si="51"/>
        <v>[{63,2500}]</v>
      </c>
      <c r="L293" s="29"/>
      <c r="M293" s="29"/>
    </row>
    <row r="294" ht="16.5" spans="1:13">
      <c r="A294" s="33"/>
      <c r="B294" s="29"/>
      <c r="C294" s="42"/>
      <c r="D294" s="61" t="s">
        <v>59</v>
      </c>
      <c r="E294" s="71">
        <f t="shared" si="49"/>
        <v>197</v>
      </c>
      <c r="F294" s="71">
        <f t="shared" si="52"/>
        <v>95</v>
      </c>
      <c r="G294" s="71">
        <v>14165</v>
      </c>
      <c r="H294" s="71">
        <v>2500</v>
      </c>
      <c r="I294" s="71">
        <f>SUM($H$98:H294)</f>
        <v>254800</v>
      </c>
      <c r="J294" s="29" t="str">
        <f t="shared" si="50"/>
        <v>[{max_hp,95}]</v>
      </c>
      <c r="K294" s="29" t="str">
        <f t="shared" si="51"/>
        <v>[{63,2500}]</v>
      </c>
      <c r="L294" s="29"/>
      <c r="M294" s="29"/>
    </row>
    <row r="295" ht="16.5" spans="1:13">
      <c r="A295" s="33"/>
      <c r="B295" s="29"/>
      <c r="C295" s="42"/>
      <c r="D295" s="61" t="s">
        <v>59</v>
      </c>
      <c r="E295" s="71">
        <f t="shared" si="49"/>
        <v>198</v>
      </c>
      <c r="F295" s="71">
        <f t="shared" si="52"/>
        <v>95</v>
      </c>
      <c r="G295" s="71">
        <v>14260</v>
      </c>
      <c r="H295" s="71">
        <v>2550</v>
      </c>
      <c r="I295" s="71">
        <f>SUM($H$98:H295)</f>
        <v>257350</v>
      </c>
      <c r="J295" s="29" t="str">
        <f t="shared" si="50"/>
        <v>[{max_hp,95}]</v>
      </c>
      <c r="K295" s="29" t="str">
        <f t="shared" si="51"/>
        <v>[{63,2550}]</v>
      </c>
      <c r="L295" s="29"/>
      <c r="M295" s="29"/>
    </row>
    <row r="296" ht="16.5" spans="1:13">
      <c r="A296" s="33"/>
      <c r="B296" s="29"/>
      <c r="C296" s="42"/>
      <c r="D296" s="61" t="s">
        <v>59</v>
      </c>
      <c r="E296" s="71">
        <f t="shared" si="49"/>
        <v>199</v>
      </c>
      <c r="F296" s="71">
        <f t="shared" si="52"/>
        <v>95</v>
      </c>
      <c r="G296" s="71">
        <v>14355</v>
      </c>
      <c r="H296" s="71">
        <v>2550</v>
      </c>
      <c r="I296" s="71">
        <f>SUM($H$98:H296)</f>
        <v>259900</v>
      </c>
      <c r="J296" s="29" t="str">
        <f t="shared" si="50"/>
        <v>[{max_hp,95}]</v>
      </c>
      <c r="K296" s="29" t="str">
        <f t="shared" si="51"/>
        <v>[{63,2550}]</v>
      </c>
      <c r="L296" s="29"/>
      <c r="M296" s="29"/>
    </row>
    <row r="297" ht="16.5" spans="1:13">
      <c r="A297" s="33"/>
      <c r="B297" s="29"/>
      <c r="C297" s="42"/>
      <c r="D297" s="61" t="s">
        <v>59</v>
      </c>
      <c r="E297" s="71">
        <f t="shared" si="49"/>
        <v>200</v>
      </c>
      <c r="F297" s="71">
        <f t="shared" si="52"/>
        <v>95</v>
      </c>
      <c r="G297" s="71">
        <v>14450</v>
      </c>
      <c r="H297" s="71">
        <v>2550</v>
      </c>
      <c r="I297" s="71">
        <f>SUM($H$98:H297)</f>
        <v>262450</v>
      </c>
      <c r="J297" s="29" t="str">
        <f t="shared" si="50"/>
        <v>[{max_hp,95}]</v>
      </c>
      <c r="K297" s="29" t="str">
        <f t="shared" si="51"/>
        <v>[{63,2550}]</v>
      </c>
      <c r="L297" s="29"/>
      <c r="M297" s="29"/>
    </row>
    <row r="298" ht="16.5" spans="1:13">
      <c r="A298" s="33"/>
      <c r="B298" s="29"/>
      <c r="C298" s="42"/>
      <c r="D298" s="61" t="s">
        <v>59</v>
      </c>
      <c r="E298" s="71">
        <f t="shared" si="49"/>
        <v>201</v>
      </c>
      <c r="F298" s="71">
        <f t="shared" si="52"/>
        <v>100</v>
      </c>
      <c r="G298" s="71">
        <v>14550</v>
      </c>
      <c r="H298" s="71">
        <v>2550</v>
      </c>
      <c r="I298" s="71">
        <f>SUM($H$98:H298)</f>
        <v>265000</v>
      </c>
      <c r="J298" s="29" t="str">
        <f t="shared" si="50"/>
        <v>[{max_hp,100}]</v>
      </c>
      <c r="K298" s="29" t="str">
        <f t="shared" si="51"/>
        <v>[{63,2550}]</v>
      </c>
      <c r="L298" s="29"/>
      <c r="M298" s="29"/>
    </row>
    <row r="299" ht="16.5" spans="1:13">
      <c r="A299" s="33"/>
      <c r="B299" s="29"/>
      <c r="C299" s="42"/>
      <c r="D299" s="61" t="s">
        <v>59</v>
      </c>
      <c r="E299" s="71">
        <f t="shared" si="49"/>
        <v>202</v>
      </c>
      <c r="F299" s="71">
        <f t="shared" si="52"/>
        <v>100</v>
      </c>
      <c r="G299" s="71">
        <v>14650</v>
      </c>
      <c r="H299" s="71">
        <v>2600</v>
      </c>
      <c r="I299" s="71">
        <f>SUM($H$98:H299)</f>
        <v>267600</v>
      </c>
      <c r="J299" s="29" t="str">
        <f t="shared" si="50"/>
        <v>[{max_hp,100}]</v>
      </c>
      <c r="K299" s="29" t="str">
        <f t="shared" si="51"/>
        <v>[{63,2600}]</v>
      </c>
      <c r="L299" s="29"/>
      <c r="M299" s="29"/>
    </row>
    <row r="300" ht="16.5" spans="1:13">
      <c r="A300" s="33"/>
      <c r="B300" s="29"/>
      <c r="C300" s="42"/>
      <c r="D300" s="61" t="s">
        <v>59</v>
      </c>
      <c r="E300" s="71">
        <f t="shared" si="49"/>
        <v>203</v>
      </c>
      <c r="F300" s="71">
        <f t="shared" si="52"/>
        <v>100</v>
      </c>
      <c r="G300" s="71">
        <v>14750</v>
      </c>
      <c r="H300" s="71">
        <v>2600</v>
      </c>
      <c r="I300" s="71">
        <f>SUM($H$98:H300)</f>
        <v>270200</v>
      </c>
      <c r="J300" s="29" t="str">
        <f t="shared" si="50"/>
        <v>[{max_hp,100}]</v>
      </c>
      <c r="K300" s="29" t="str">
        <f t="shared" si="51"/>
        <v>[{63,2600}]</v>
      </c>
      <c r="L300" s="29"/>
      <c r="M300" s="29"/>
    </row>
    <row r="301" ht="16.5" spans="1:13">
      <c r="A301" s="33"/>
      <c r="B301" s="29"/>
      <c r="C301" s="42"/>
      <c r="D301" s="61" t="s">
        <v>59</v>
      </c>
      <c r="E301" s="71">
        <f t="shared" si="49"/>
        <v>204</v>
      </c>
      <c r="F301" s="71">
        <f t="shared" si="52"/>
        <v>100</v>
      </c>
      <c r="G301" s="71">
        <v>14850</v>
      </c>
      <c r="H301" s="71">
        <v>2600</v>
      </c>
      <c r="I301" s="71">
        <f>SUM($H$98:H301)</f>
        <v>272800</v>
      </c>
      <c r="J301" s="29" t="str">
        <f t="shared" si="50"/>
        <v>[{max_hp,100}]</v>
      </c>
      <c r="K301" s="29" t="str">
        <f t="shared" si="51"/>
        <v>[{63,2600}]</v>
      </c>
      <c r="L301" s="29"/>
      <c r="M301" s="29"/>
    </row>
    <row r="302" ht="16.5" spans="1:13">
      <c r="A302" s="33"/>
      <c r="B302" s="29"/>
      <c r="C302" s="42"/>
      <c r="D302" s="61" t="s">
        <v>59</v>
      </c>
      <c r="E302" s="71">
        <f t="shared" si="49"/>
        <v>205</v>
      </c>
      <c r="F302" s="71">
        <f t="shared" si="52"/>
        <v>100</v>
      </c>
      <c r="G302" s="71">
        <v>14950</v>
      </c>
      <c r="H302" s="71">
        <v>2600</v>
      </c>
      <c r="I302" s="71">
        <f>SUM($H$98:H302)</f>
        <v>275400</v>
      </c>
      <c r="J302" s="29" t="str">
        <f t="shared" si="50"/>
        <v>[{max_hp,100}]</v>
      </c>
      <c r="K302" s="29" t="str">
        <f t="shared" si="51"/>
        <v>[{63,2600}]</v>
      </c>
      <c r="L302" s="29"/>
      <c r="M302" s="29"/>
    </row>
    <row r="303" ht="16.5" spans="1:13">
      <c r="A303" s="33"/>
      <c r="B303" s="29"/>
      <c r="C303" s="42"/>
      <c r="D303" s="61" t="s">
        <v>59</v>
      </c>
      <c r="E303" s="71">
        <f t="shared" si="49"/>
        <v>206</v>
      </c>
      <c r="F303" s="71">
        <f t="shared" si="52"/>
        <v>100</v>
      </c>
      <c r="G303" s="71">
        <v>15050</v>
      </c>
      <c r="H303" s="71">
        <v>2650</v>
      </c>
      <c r="I303" s="71">
        <f>SUM($H$98:H303)</f>
        <v>278050</v>
      </c>
      <c r="J303" s="29" t="str">
        <f t="shared" si="50"/>
        <v>[{max_hp,100}]</v>
      </c>
      <c r="K303" s="29" t="str">
        <f t="shared" si="51"/>
        <v>[{63,2650}]</v>
      </c>
      <c r="L303" s="29"/>
      <c r="M303" s="29"/>
    </row>
    <row r="304" ht="16.5" spans="1:13">
      <c r="A304" s="33"/>
      <c r="B304" s="29"/>
      <c r="C304" s="42"/>
      <c r="D304" s="61" t="s">
        <v>59</v>
      </c>
      <c r="E304" s="71">
        <f t="shared" si="49"/>
        <v>207</v>
      </c>
      <c r="F304" s="71">
        <f t="shared" si="52"/>
        <v>100</v>
      </c>
      <c r="G304" s="71">
        <v>15150</v>
      </c>
      <c r="H304" s="71">
        <v>2650</v>
      </c>
      <c r="I304" s="71">
        <f>SUM($H$98:H304)</f>
        <v>280700</v>
      </c>
      <c r="J304" s="29" t="str">
        <f t="shared" si="50"/>
        <v>[{max_hp,100}]</v>
      </c>
      <c r="K304" s="29" t="str">
        <f t="shared" si="51"/>
        <v>[{63,2650}]</v>
      </c>
      <c r="L304" s="29"/>
      <c r="M304" s="29"/>
    </row>
    <row r="305" ht="16.5" spans="1:13">
      <c r="A305" s="33"/>
      <c r="B305" s="29"/>
      <c r="C305" s="42"/>
      <c r="D305" s="61" t="s">
        <v>59</v>
      </c>
      <c r="E305" s="71">
        <f t="shared" si="49"/>
        <v>208</v>
      </c>
      <c r="F305" s="71">
        <f t="shared" si="52"/>
        <v>100</v>
      </c>
      <c r="G305" s="71">
        <v>15250</v>
      </c>
      <c r="H305" s="71">
        <v>2650</v>
      </c>
      <c r="I305" s="71">
        <f>SUM($H$98:H305)</f>
        <v>283350</v>
      </c>
      <c r="J305" s="29" t="str">
        <f t="shared" si="50"/>
        <v>[{max_hp,100}]</v>
      </c>
      <c r="K305" s="29" t="str">
        <f t="shared" si="51"/>
        <v>[{63,2650}]</v>
      </c>
      <c r="L305" s="29"/>
      <c r="M305" s="29"/>
    </row>
    <row r="306" ht="16.5" spans="1:13">
      <c r="A306" s="33"/>
      <c r="B306" s="29"/>
      <c r="C306" s="42"/>
      <c r="D306" s="61" t="s">
        <v>59</v>
      </c>
      <c r="E306" s="71">
        <f t="shared" si="49"/>
        <v>209</v>
      </c>
      <c r="F306" s="71">
        <f t="shared" si="52"/>
        <v>100</v>
      </c>
      <c r="G306" s="71">
        <v>15350</v>
      </c>
      <c r="H306" s="71">
        <v>2650</v>
      </c>
      <c r="I306" s="71">
        <f>SUM($H$98:H306)</f>
        <v>286000</v>
      </c>
      <c r="J306" s="29" t="str">
        <f t="shared" si="50"/>
        <v>[{max_hp,100}]</v>
      </c>
      <c r="K306" s="29" t="str">
        <f t="shared" si="51"/>
        <v>[{63,2650}]</v>
      </c>
      <c r="L306" s="29"/>
      <c r="M306" s="29"/>
    </row>
    <row r="307" ht="16.5" spans="1:13">
      <c r="A307" s="33"/>
      <c r="B307" s="29"/>
      <c r="C307" s="42"/>
      <c r="D307" s="61" t="s">
        <v>59</v>
      </c>
      <c r="E307" s="71">
        <f t="shared" si="49"/>
        <v>210</v>
      </c>
      <c r="F307" s="71">
        <f t="shared" si="52"/>
        <v>100</v>
      </c>
      <c r="G307" s="71">
        <v>15450</v>
      </c>
      <c r="H307" s="71">
        <v>2700</v>
      </c>
      <c r="I307" s="71">
        <f>SUM($H$98:H307)</f>
        <v>288700</v>
      </c>
      <c r="J307" s="29" t="str">
        <f t="shared" si="50"/>
        <v>[{max_hp,100}]</v>
      </c>
      <c r="K307" s="29" t="str">
        <f t="shared" si="51"/>
        <v>[{63,2700}]</v>
      </c>
      <c r="L307" s="29"/>
      <c r="M307" s="29"/>
    </row>
    <row r="308" ht="16.5" spans="1:13">
      <c r="A308" s="33"/>
      <c r="B308" s="29"/>
      <c r="C308" s="42"/>
      <c r="D308" s="61" t="s">
        <v>59</v>
      </c>
      <c r="E308" s="71">
        <f t="shared" si="49"/>
        <v>211</v>
      </c>
      <c r="F308" s="71">
        <f t="shared" si="52"/>
        <v>100</v>
      </c>
      <c r="G308" s="71">
        <v>15550</v>
      </c>
      <c r="H308" s="71">
        <v>2700</v>
      </c>
      <c r="I308" s="71">
        <f>SUM($H$98:H308)</f>
        <v>291400</v>
      </c>
      <c r="J308" s="29" t="str">
        <f t="shared" si="50"/>
        <v>[{max_hp,100}]</v>
      </c>
      <c r="K308" s="29" t="str">
        <f t="shared" si="51"/>
        <v>[{63,2700}]</v>
      </c>
      <c r="L308" s="29"/>
      <c r="M308" s="29"/>
    </row>
    <row r="309" ht="16.5" spans="1:13">
      <c r="A309" s="33"/>
      <c r="B309" s="29"/>
      <c r="C309" s="42"/>
      <c r="D309" s="61" t="s">
        <v>59</v>
      </c>
      <c r="E309" s="71">
        <f t="shared" si="49"/>
        <v>212</v>
      </c>
      <c r="F309" s="71">
        <f t="shared" si="52"/>
        <v>100</v>
      </c>
      <c r="G309" s="71">
        <v>15650</v>
      </c>
      <c r="H309" s="71">
        <v>2700</v>
      </c>
      <c r="I309" s="71">
        <f>SUM($H$98:H309)</f>
        <v>294100</v>
      </c>
      <c r="J309" s="29" t="str">
        <f t="shared" si="50"/>
        <v>[{max_hp,100}]</v>
      </c>
      <c r="K309" s="29" t="str">
        <f t="shared" si="51"/>
        <v>[{63,2700}]</v>
      </c>
      <c r="L309" s="29"/>
      <c r="M309" s="29"/>
    </row>
    <row r="310" ht="16.5" spans="1:13">
      <c r="A310" s="33"/>
      <c r="B310" s="29"/>
      <c r="C310" s="42"/>
      <c r="D310" s="61" t="s">
        <v>59</v>
      </c>
      <c r="E310" s="71">
        <f t="shared" si="49"/>
        <v>213</v>
      </c>
      <c r="F310" s="71">
        <f t="shared" si="52"/>
        <v>100</v>
      </c>
      <c r="G310" s="71">
        <v>15750</v>
      </c>
      <c r="H310" s="71">
        <v>2700</v>
      </c>
      <c r="I310" s="71">
        <f>SUM($H$98:H310)</f>
        <v>296800</v>
      </c>
      <c r="J310" s="29" t="str">
        <f t="shared" si="50"/>
        <v>[{max_hp,100}]</v>
      </c>
      <c r="K310" s="29" t="str">
        <f t="shared" si="51"/>
        <v>[{63,2700}]</v>
      </c>
      <c r="L310" s="29"/>
      <c r="M310" s="29"/>
    </row>
    <row r="311" ht="16.5" spans="1:13">
      <c r="A311" s="33"/>
      <c r="B311" s="29"/>
      <c r="C311" s="42"/>
      <c r="D311" s="61" t="s">
        <v>59</v>
      </c>
      <c r="E311" s="71">
        <f t="shared" si="49"/>
        <v>214</v>
      </c>
      <c r="F311" s="71">
        <f t="shared" si="52"/>
        <v>100</v>
      </c>
      <c r="G311" s="71">
        <v>15850</v>
      </c>
      <c r="H311" s="71">
        <v>2750</v>
      </c>
      <c r="I311" s="71">
        <f>SUM($H$98:H311)</f>
        <v>299550</v>
      </c>
      <c r="J311" s="29" t="str">
        <f t="shared" si="50"/>
        <v>[{max_hp,100}]</v>
      </c>
      <c r="K311" s="29" t="str">
        <f t="shared" si="51"/>
        <v>[{63,2750}]</v>
      </c>
      <c r="L311" s="29"/>
      <c r="M311" s="29"/>
    </row>
    <row r="312" ht="16.5" spans="1:13">
      <c r="A312" s="33"/>
      <c r="B312" s="29"/>
      <c r="C312" s="42"/>
      <c r="D312" s="61" t="s">
        <v>59</v>
      </c>
      <c r="E312" s="71">
        <f t="shared" si="49"/>
        <v>215</v>
      </c>
      <c r="F312" s="71">
        <f t="shared" si="52"/>
        <v>100</v>
      </c>
      <c r="G312" s="71">
        <v>15950</v>
      </c>
      <c r="H312" s="71">
        <v>2750</v>
      </c>
      <c r="I312" s="71">
        <f>SUM($H$98:H312)</f>
        <v>302300</v>
      </c>
      <c r="J312" s="29" t="str">
        <f t="shared" si="50"/>
        <v>[{max_hp,100}]</v>
      </c>
      <c r="K312" s="29" t="str">
        <f t="shared" si="51"/>
        <v>[{63,2750}]</v>
      </c>
      <c r="L312" s="29"/>
      <c r="M312" s="29"/>
    </row>
    <row r="313" ht="16.5" spans="1:13">
      <c r="A313" s="33"/>
      <c r="B313" s="29"/>
      <c r="C313" s="42"/>
      <c r="D313" s="61" t="s">
        <v>59</v>
      </c>
      <c r="E313" s="71">
        <f t="shared" si="49"/>
        <v>216</v>
      </c>
      <c r="F313" s="71">
        <f t="shared" si="52"/>
        <v>100</v>
      </c>
      <c r="G313" s="71">
        <v>16050</v>
      </c>
      <c r="H313" s="71">
        <v>2750</v>
      </c>
      <c r="I313" s="71">
        <f>SUM($H$98:H313)</f>
        <v>305050</v>
      </c>
      <c r="J313" s="29" t="str">
        <f t="shared" si="50"/>
        <v>[{max_hp,100}]</v>
      </c>
      <c r="K313" s="29" t="str">
        <f t="shared" si="51"/>
        <v>[{63,2750}]</v>
      </c>
      <c r="L313" s="29"/>
      <c r="M313" s="29"/>
    </row>
    <row r="314" ht="16.5" spans="1:13">
      <c r="A314" s="33"/>
      <c r="B314" s="29"/>
      <c r="C314" s="42"/>
      <c r="D314" s="61" t="s">
        <v>59</v>
      </c>
      <c r="E314" s="71">
        <f t="shared" si="49"/>
        <v>217</v>
      </c>
      <c r="F314" s="71">
        <f t="shared" si="52"/>
        <v>100</v>
      </c>
      <c r="G314" s="71">
        <v>16150</v>
      </c>
      <c r="H314" s="71">
        <v>2750</v>
      </c>
      <c r="I314" s="71">
        <f>SUM($H$98:H314)</f>
        <v>307800</v>
      </c>
      <c r="J314" s="29" t="str">
        <f t="shared" si="50"/>
        <v>[{max_hp,100}]</v>
      </c>
      <c r="K314" s="29" t="str">
        <f t="shared" si="51"/>
        <v>[{63,2750}]</v>
      </c>
      <c r="L314" s="29"/>
      <c r="M314" s="29"/>
    </row>
    <row r="315" ht="16.5" spans="1:13">
      <c r="A315" s="33"/>
      <c r="B315" s="29"/>
      <c r="C315" s="42"/>
      <c r="D315" s="61" t="s">
        <v>59</v>
      </c>
      <c r="E315" s="71">
        <f t="shared" si="49"/>
        <v>218</v>
      </c>
      <c r="F315" s="71">
        <f t="shared" si="52"/>
        <v>100</v>
      </c>
      <c r="G315" s="71">
        <v>16250</v>
      </c>
      <c r="H315" s="71">
        <v>2800</v>
      </c>
      <c r="I315" s="71">
        <f>SUM($H$98:H315)</f>
        <v>310600</v>
      </c>
      <c r="J315" s="29" t="str">
        <f t="shared" si="50"/>
        <v>[{max_hp,100}]</v>
      </c>
      <c r="K315" s="29" t="str">
        <f t="shared" si="51"/>
        <v>[{63,2800}]</v>
      </c>
      <c r="L315" s="29"/>
      <c r="M315" s="29"/>
    </row>
    <row r="316" ht="16.5" spans="1:13">
      <c r="A316" s="33"/>
      <c r="B316" s="29"/>
      <c r="C316" s="42"/>
      <c r="D316" s="61" t="s">
        <v>59</v>
      </c>
      <c r="E316" s="71">
        <f t="shared" si="49"/>
        <v>219</v>
      </c>
      <c r="F316" s="71">
        <f t="shared" si="52"/>
        <v>100</v>
      </c>
      <c r="G316" s="71">
        <v>16350</v>
      </c>
      <c r="H316" s="71">
        <v>2800</v>
      </c>
      <c r="I316" s="71">
        <f>SUM($H$98:H316)</f>
        <v>313400</v>
      </c>
      <c r="J316" s="29" t="str">
        <f t="shared" si="50"/>
        <v>[{max_hp,100}]</v>
      </c>
      <c r="K316" s="29" t="str">
        <f t="shared" si="51"/>
        <v>[{63,2800}]</v>
      </c>
      <c r="L316" s="29"/>
      <c r="M316" s="29"/>
    </row>
    <row r="317" ht="16.5" spans="1:13">
      <c r="A317" s="33"/>
      <c r="B317" s="29"/>
      <c r="C317" s="42"/>
      <c r="D317" s="61" t="s">
        <v>59</v>
      </c>
      <c r="E317" s="71">
        <f t="shared" si="49"/>
        <v>220</v>
      </c>
      <c r="F317" s="71">
        <f t="shared" si="52"/>
        <v>100</v>
      </c>
      <c r="G317" s="71">
        <v>16450</v>
      </c>
      <c r="H317" s="71">
        <v>2800</v>
      </c>
      <c r="I317" s="71">
        <f>SUM($H$98:H317)</f>
        <v>316200</v>
      </c>
      <c r="J317" s="29" t="str">
        <f t="shared" si="50"/>
        <v>[{max_hp,100}]</v>
      </c>
      <c r="K317" s="29" t="str">
        <f t="shared" si="51"/>
        <v>[{63,2800}]</v>
      </c>
      <c r="L317" s="29"/>
      <c r="M317" s="29"/>
    </row>
    <row r="318" ht="16.5" spans="1:13">
      <c r="A318" s="33"/>
      <c r="B318" s="29"/>
      <c r="C318" s="42"/>
      <c r="D318" s="61" t="s">
        <v>59</v>
      </c>
      <c r="E318" s="71">
        <f t="shared" si="49"/>
        <v>221</v>
      </c>
      <c r="F318" s="71">
        <f t="shared" si="52"/>
        <v>105</v>
      </c>
      <c r="G318" s="71">
        <v>16555</v>
      </c>
      <c r="H318" s="71">
        <v>2800</v>
      </c>
      <c r="I318" s="71">
        <f>SUM($H$98:H318)</f>
        <v>319000</v>
      </c>
      <c r="J318" s="29" t="str">
        <f t="shared" si="50"/>
        <v>[{max_hp,105}]</v>
      </c>
      <c r="K318" s="29" t="str">
        <f t="shared" si="51"/>
        <v>[{63,2800}]</v>
      </c>
      <c r="L318" s="29"/>
      <c r="M318" s="29"/>
    </row>
    <row r="319" ht="16.5" spans="1:13">
      <c r="A319" s="33"/>
      <c r="B319" s="29"/>
      <c r="C319" s="42"/>
      <c r="D319" s="61" t="s">
        <v>59</v>
      </c>
      <c r="E319" s="71">
        <f t="shared" si="49"/>
        <v>222</v>
      </c>
      <c r="F319" s="71">
        <f t="shared" si="52"/>
        <v>105</v>
      </c>
      <c r="G319" s="71">
        <v>16660</v>
      </c>
      <c r="H319" s="71">
        <v>2850</v>
      </c>
      <c r="I319" s="71">
        <f>SUM($H$98:H319)</f>
        <v>321850</v>
      </c>
      <c r="J319" s="29" t="str">
        <f t="shared" si="50"/>
        <v>[{max_hp,105}]</v>
      </c>
      <c r="K319" s="29" t="str">
        <f t="shared" si="51"/>
        <v>[{63,2850}]</v>
      </c>
      <c r="L319" s="29"/>
      <c r="M319" s="29"/>
    </row>
    <row r="320" ht="16.5" spans="1:13">
      <c r="A320" s="33"/>
      <c r="B320" s="29"/>
      <c r="C320" s="42"/>
      <c r="D320" s="61" t="s">
        <v>59</v>
      </c>
      <c r="E320" s="71">
        <f t="shared" si="49"/>
        <v>223</v>
      </c>
      <c r="F320" s="71">
        <f t="shared" si="52"/>
        <v>105</v>
      </c>
      <c r="G320" s="71">
        <v>16765</v>
      </c>
      <c r="H320" s="71">
        <v>2850</v>
      </c>
      <c r="I320" s="71">
        <f>SUM($H$98:H320)</f>
        <v>324700</v>
      </c>
      <c r="J320" s="29" t="str">
        <f t="shared" si="50"/>
        <v>[{max_hp,105}]</v>
      </c>
      <c r="K320" s="29" t="str">
        <f t="shared" si="51"/>
        <v>[{63,2850}]</v>
      </c>
      <c r="L320" s="29"/>
      <c r="M320" s="29"/>
    </row>
    <row r="321" ht="16.5" spans="1:13">
      <c r="A321" s="33"/>
      <c r="B321" s="29"/>
      <c r="C321" s="42"/>
      <c r="D321" s="61" t="s">
        <v>59</v>
      </c>
      <c r="E321" s="71">
        <f t="shared" si="49"/>
        <v>224</v>
      </c>
      <c r="F321" s="71">
        <f t="shared" si="52"/>
        <v>105</v>
      </c>
      <c r="G321" s="71">
        <v>16870</v>
      </c>
      <c r="H321" s="71">
        <v>2850</v>
      </c>
      <c r="I321" s="71">
        <f>SUM($H$98:H321)</f>
        <v>327550</v>
      </c>
      <c r="J321" s="29" t="str">
        <f t="shared" si="50"/>
        <v>[{max_hp,105}]</v>
      </c>
      <c r="K321" s="29" t="str">
        <f t="shared" si="51"/>
        <v>[{63,2850}]</v>
      </c>
      <c r="L321" s="29"/>
      <c r="M321" s="29"/>
    </row>
    <row r="322" ht="16.5" spans="1:13">
      <c r="A322" s="33"/>
      <c r="B322" s="29"/>
      <c r="C322" s="42"/>
      <c r="D322" s="61" t="s">
        <v>59</v>
      </c>
      <c r="E322" s="71">
        <f t="shared" si="49"/>
        <v>225</v>
      </c>
      <c r="F322" s="71">
        <f t="shared" si="52"/>
        <v>105</v>
      </c>
      <c r="G322" s="71">
        <v>16975</v>
      </c>
      <c r="H322" s="71">
        <v>2850</v>
      </c>
      <c r="I322" s="71">
        <f>SUM($H$98:H322)</f>
        <v>330400</v>
      </c>
      <c r="J322" s="29" t="str">
        <f t="shared" si="50"/>
        <v>[{max_hp,105}]</v>
      </c>
      <c r="K322" s="29" t="str">
        <f t="shared" si="51"/>
        <v>[{63,2850}]</v>
      </c>
      <c r="L322" s="29"/>
      <c r="M322" s="29"/>
    </row>
    <row r="323" ht="16.5" spans="1:13">
      <c r="A323" s="33"/>
      <c r="B323" s="29"/>
      <c r="C323" s="42"/>
      <c r="D323" s="61" t="s">
        <v>59</v>
      </c>
      <c r="E323" s="71">
        <f t="shared" si="49"/>
        <v>226</v>
      </c>
      <c r="F323" s="71">
        <f t="shared" si="52"/>
        <v>105</v>
      </c>
      <c r="G323" s="71">
        <v>17080</v>
      </c>
      <c r="H323" s="71">
        <v>2900</v>
      </c>
      <c r="I323" s="71">
        <f>SUM($H$98:H323)</f>
        <v>333300</v>
      </c>
      <c r="J323" s="29" t="str">
        <f t="shared" si="50"/>
        <v>[{max_hp,105}]</v>
      </c>
      <c r="K323" s="29" t="str">
        <f t="shared" si="51"/>
        <v>[{63,2900}]</v>
      </c>
      <c r="L323" s="29"/>
      <c r="M323" s="29"/>
    </row>
    <row r="324" ht="16.5" spans="1:13">
      <c r="A324" s="33"/>
      <c r="B324" s="29"/>
      <c r="C324" s="42"/>
      <c r="D324" s="61" t="s">
        <v>59</v>
      </c>
      <c r="E324" s="71">
        <f t="shared" si="49"/>
        <v>227</v>
      </c>
      <c r="F324" s="71">
        <f t="shared" si="52"/>
        <v>105</v>
      </c>
      <c r="G324" s="71">
        <v>17185</v>
      </c>
      <c r="H324" s="71">
        <v>2900</v>
      </c>
      <c r="I324" s="71">
        <f>SUM($H$98:H324)</f>
        <v>336200</v>
      </c>
      <c r="J324" s="29" t="str">
        <f t="shared" si="50"/>
        <v>[{max_hp,105}]</v>
      </c>
      <c r="K324" s="29" t="str">
        <f t="shared" si="51"/>
        <v>[{63,2900}]</v>
      </c>
      <c r="L324" s="29"/>
      <c r="M324" s="29"/>
    </row>
    <row r="325" ht="16.5" spans="1:13">
      <c r="A325" s="33"/>
      <c r="B325" s="29"/>
      <c r="C325" s="42"/>
      <c r="D325" s="61" t="s">
        <v>59</v>
      </c>
      <c r="E325" s="71">
        <f t="shared" si="49"/>
        <v>228</v>
      </c>
      <c r="F325" s="71">
        <f t="shared" si="52"/>
        <v>105</v>
      </c>
      <c r="G325" s="71">
        <v>17290</v>
      </c>
      <c r="H325" s="71">
        <v>2900</v>
      </c>
      <c r="I325" s="71">
        <f>SUM($H$98:H325)</f>
        <v>339100</v>
      </c>
      <c r="J325" s="29" t="str">
        <f t="shared" si="50"/>
        <v>[{max_hp,105}]</v>
      </c>
      <c r="K325" s="29" t="str">
        <f t="shared" si="51"/>
        <v>[{63,2900}]</v>
      </c>
      <c r="L325" s="29"/>
      <c r="M325" s="29"/>
    </row>
    <row r="326" ht="16.5" spans="1:13">
      <c r="A326" s="33"/>
      <c r="B326" s="29"/>
      <c r="C326" s="42"/>
      <c r="D326" s="61" t="s">
        <v>59</v>
      </c>
      <c r="E326" s="71">
        <f t="shared" si="49"/>
        <v>229</v>
      </c>
      <c r="F326" s="71">
        <f t="shared" si="52"/>
        <v>105</v>
      </c>
      <c r="G326" s="71">
        <v>17395</v>
      </c>
      <c r="H326" s="71">
        <v>2900</v>
      </c>
      <c r="I326" s="71">
        <f>SUM($H$98:H326)</f>
        <v>342000</v>
      </c>
      <c r="J326" s="29" t="str">
        <f t="shared" si="50"/>
        <v>[{max_hp,105}]</v>
      </c>
      <c r="K326" s="29" t="str">
        <f t="shared" si="51"/>
        <v>[{63,2900}]</v>
      </c>
      <c r="L326" s="29"/>
      <c r="M326" s="29"/>
    </row>
    <row r="327" ht="16.5" spans="1:13">
      <c r="A327" s="33"/>
      <c r="B327" s="29"/>
      <c r="C327" s="42"/>
      <c r="D327" s="61" t="s">
        <v>59</v>
      </c>
      <c r="E327" s="71">
        <f t="shared" si="49"/>
        <v>230</v>
      </c>
      <c r="F327" s="71">
        <f t="shared" si="52"/>
        <v>105</v>
      </c>
      <c r="G327" s="71">
        <v>17500</v>
      </c>
      <c r="H327" s="71">
        <v>2950</v>
      </c>
      <c r="I327" s="71">
        <f>SUM($H$98:H327)</f>
        <v>344950</v>
      </c>
      <c r="J327" s="29" t="str">
        <f t="shared" si="50"/>
        <v>[{max_hp,105}]</v>
      </c>
      <c r="K327" s="29" t="str">
        <f t="shared" si="51"/>
        <v>[{63,2950}]</v>
      </c>
      <c r="L327" s="29"/>
      <c r="M327" s="29"/>
    </row>
    <row r="328" ht="16.5" spans="1:13">
      <c r="A328" s="33"/>
      <c r="B328" s="29"/>
      <c r="C328" s="42"/>
      <c r="D328" s="61" t="s">
        <v>59</v>
      </c>
      <c r="E328" s="71">
        <f t="shared" si="49"/>
        <v>231</v>
      </c>
      <c r="F328" s="71">
        <f t="shared" si="52"/>
        <v>105</v>
      </c>
      <c r="G328" s="71">
        <v>17605</v>
      </c>
      <c r="H328" s="71">
        <v>2950</v>
      </c>
      <c r="I328" s="71">
        <f>SUM($H$98:H328)</f>
        <v>347900</v>
      </c>
      <c r="J328" s="29" t="str">
        <f t="shared" si="50"/>
        <v>[{max_hp,105}]</v>
      </c>
      <c r="K328" s="29" t="str">
        <f t="shared" si="51"/>
        <v>[{63,2950}]</v>
      </c>
      <c r="L328" s="29"/>
      <c r="M328" s="29"/>
    </row>
    <row r="329" ht="16.5" spans="1:13">
      <c r="A329" s="33"/>
      <c r="B329" s="29"/>
      <c r="C329" s="42"/>
      <c r="D329" s="61" t="s">
        <v>59</v>
      </c>
      <c r="E329" s="71">
        <f t="shared" si="49"/>
        <v>232</v>
      </c>
      <c r="F329" s="71">
        <f t="shared" si="52"/>
        <v>105</v>
      </c>
      <c r="G329" s="71">
        <v>17710</v>
      </c>
      <c r="H329" s="71">
        <v>2950</v>
      </c>
      <c r="I329" s="71">
        <f>SUM($H$98:H329)</f>
        <v>350850</v>
      </c>
      <c r="J329" s="29" t="str">
        <f t="shared" si="50"/>
        <v>[{max_hp,105}]</v>
      </c>
      <c r="K329" s="29" t="str">
        <f t="shared" si="51"/>
        <v>[{63,2950}]</v>
      </c>
      <c r="L329" s="29"/>
      <c r="M329" s="29"/>
    </row>
    <row r="330" ht="16.5" spans="1:13">
      <c r="A330" s="33"/>
      <c r="B330" s="29"/>
      <c r="C330" s="42"/>
      <c r="D330" s="61" t="s">
        <v>59</v>
      </c>
      <c r="E330" s="71">
        <f t="shared" si="49"/>
        <v>233</v>
      </c>
      <c r="F330" s="71">
        <f t="shared" si="52"/>
        <v>105</v>
      </c>
      <c r="G330" s="71">
        <v>17815</v>
      </c>
      <c r="H330" s="71">
        <v>2950</v>
      </c>
      <c r="I330" s="71">
        <f>SUM($H$98:H330)</f>
        <v>353800</v>
      </c>
      <c r="J330" s="29" t="str">
        <f t="shared" si="50"/>
        <v>[{max_hp,105}]</v>
      </c>
      <c r="K330" s="29" t="str">
        <f t="shared" si="51"/>
        <v>[{63,2950}]</v>
      </c>
      <c r="L330" s="29"/>
      <c r="M330" s="29"/>
    </row>
    <row r="331" ht="16.5" spans="1:13">
      <c r="A331" s="33"/>
      <c r="B331" s="29"/>
      <c r="C331" s="42"/>
      <c r="D331" s="61" t="s">
        <v>59</v>
      </c>
      <c r="E331" s="71">
        <f t="shared" si="49"/>
        <v>234</v>
      </c>
      <c r="F331" s="71">
        <f t="shared" si="52"/>
        <v>105</v>
      </c>
      <c r="G331" s="71">
        <v>17920</v>
      </c>
      <c r="H331" s="71">
        <v>3000</v>
      </c>
      <c r="I331" s="71">
        <f>SUM($H$98:H331)</f>
        <v>356800</v>
      </c>
      <c r="J331" s="29" t="str">
        <f t="shared" si="50"/>
        <v>[{max_hp,105}]</v>
      </c>
      <c r="K331" s="29" t="str">
        <f t="shared" si="51"/>
        <v>[{63,3000}]</v>
      </c>
      <c r="L331" s="29"/>
      <c r="M331" s="29"/>
    </row>
    <row r="332" ht="16.5" spans="1:13">
      <c r="A332" s="33"/>
      <c r="B332" s="29"/>
      <c r="C332" s="42"/>
      <c r="D332" s="61" t="s">
        <v>59</v>
      </c>
      <c r="E332" s="71">
        <f t="shared" si="49"/>
        <v>235</v>
      </c>
      <c r="F332" s="71">
        <f t="shared" si="52"/>
        <v>105</v>
      </c>
      <c r="G332" s="71">
        <v>18025</v>
      </c>
      <c r="H332" s="71">
        <v>3000</v>
      </c>
      <c r="I332" s="71">
        <f>SUM($H$98:H332)</f>
        <v>359800</v>
      </c>
      <c r="J332" s="29" t="str">
        <f t="shared" si="50"/>
        <v>[{max_hp,105}]</v>
      </c>
      <c r="K332" s="29" t="str">
        <f t="shared" si="51"/>
        <v>[{63,3000}]</v>
      </c>
      <c r="L332" s="29"/>
      <c r="M332" s="29"/>
    </row>
    <row r="333" ht="16.5" spans="1:13">
      <c r="A333" s="33"/>
      <c r="B333" s="29"/>
      <c r="C333" s="42"/>
      <c r="D333" s="61" t="s">
        <v>59</v>
      </c>
      <c r="E333" s="71">
        <f t="shared" si="49"/>
        <v>236</v>
      </c>
      <c r="F333" s="71">
        <f t="shared" si="52"/>
        <v>105</v>
      </c>
      <c r="G333" s="71">
        <v>18130</v>
      </c>
      <c r="H333" s="71">
        <v>3000</v>
      </c>
      <c r="I333" s="71">
        <f>SUM($H$98:H333)</f>
        <v>362800</v>
      </c>
      <c r="J333" s="29" t="str">
        <f t="shared" si="50"/>
        <v>[{max_hp,105}]</v>
      </c>
      <c r="K333" s="29" t="str">
        <f t="shared" si="51"/>
        <v>[{63,3000}]</v>
      </c>
      <c r="L333" s="29"/>
      <c r="M333" s="29"/>
    </row>
    <row r="334" ht="16.5" spans="1:13">
      <c r="A334" s="33"/>
      <c r="B334" s="29"/>
      <c r="C334" s="42"/>
      <c r="D334" s="61" t="s">
        <v>59</v>
      </c>
      <c r="E334" s="71">
        <f t="shared" si="49"/>
        <v>237</v>
      </c>
      <c r="F334" s="71">
        <f t="shared" si="52"/>
        <v>105</v>
      </c>
      <c r="G334" s="71">
        <v>18235</v>
      </c>
      <c r="H334" s="71">
        <v>3000</v>
      </c>
      <c r="I334" s="71">
        <f>SUM($H$98:H334)</f>
        <v>365800</v>
      </c>
      <c r="J334" s="29" t="str">
        <f t="shared" si="50"/>
        <v>[{max_hp,105}]</v>
      </c>
      <c r="K334" s="29" t="str">
        <f t="shared" si="51"/>
        <v>[{63,3000}]</v>
      </c>
      <c r="L334" s="29"/>
      <c r="M334" s="29"/>
    </row>
    <row r="335" ht="16.5" spans="1:13">
      <c r="A335" s="33"/>
      <c r="B335" s="29"/>
      <c r="C335" s="42"/>
      <c r="D335" s="61" t="s">
        <v>59</v>
      </c>
      <c r="E335" s="71">
        <f t="shared" si="49"/>
        <v>238</v>
      </c>
      <c r="F335" s="71">
        <f t="shared" si="52"/>
        <v>105</v>
      </c>
      <c r="G335" s="71">
        <v>18340</v>
      </c>
      <c r="H335" s="71">
        <v>3050</v>
      </c>
      <c r="I335" s="71">
        <f>SUM($H$98:H335)</f>
        <v>368850</v>
      </c>
      <c r="J335" s="29" t="str">
        <f t="shared" si="50"/>
        <v>[{max_hp,105}]</v>
      </c>
      <c r="K335" s="29" t="str">
        <f t="shared" si="51"/>
        <v>[{63,3050}]</v>
      </c>
      <c r="L335" s="29"/>
      <c r="M335" s="29"/>
    </row>
    <row r="336" ht="16.5" spans="1:13">
      <c r="A336" s="33"/>
      <c r="B336" s="29"/>
      <c r="C336" s="42"/>
      <c r="D336" s="61" t="s">
        <v>59</v>
      </c>
      <c r="E336" s="71">
        <f t="shared" si="49"/>
        <v>239</v>
      </c>
      <c r="F336" s="71">
        <f t="shared" si="52"/>
        <v>105</v>
      </c>
      <c r="G336" s="71">
        <v>18445</v>
      </c>
      <c r="H336" s="71">
        <v>3050</v>
      </c>
      <c r="I336" s="71">
        <f>SUM($H$98:H336)</f>
        <v>371900</v>
      </c>
      <c r="J336" s="29" t="str">
        <f t="shared" si="50"/>
        <v>[{max_hp,105}]</v>
      </c>
      <c r="K336" s="29" t="str">
        <f t="shared" si="51"/>
        <v>[{63,3050}]</v>
      </c>
      <c r="L336" s="29"/>
      <c r="M336" s="29"/>
    </row>
    <row r="337" ht="16.5" spans="1:13">
      <c r="A337" s="33"/>
      <c r="B337" s="29"/>
      <c r="C337" s="42"/>
      <c r="D337" s="61" t="s">
        <v>59</v>
      </c>
      <c r="E337" s="71">
        <f t="shared" si="49"/>
        <v>240</v>
      </c>
      <c r="F337" s="71">
        <f t="shared" si="52"/>
        <v>105</v>
      </c>
      <c r="G337" s="71">
        <v>18550</v>
      </c>
      <c r="H337" s="71">
        <v>3050</v>
      </c>
      <c r="I337" s="71">
        <f>SUM($H$98:H337)</f>
        <v>374950</v>
      </c>
      <c r="J337" s="29" t="str">
        <f t="shared" si="50"/>
        <v>[{max_hp,105}]</v>
      </c>
      <c r="K337" s="29" t="str">
        <f t="shared" si="51"/>
        <v>[{63,3050}]</v>
      </c>
      <c r="L337" s="29"/>
      <c r="M337" s="29"/>
    </row>
    <row r="338" ht="16.5" spans="1:13">
      <c r="A338" s="33"/>
      <c r="B338" s="29"/>
      <c r="C338" s="42"/>
      <c r="D338" s="61" t="s">
        <v>59</v>
      </c>
      <c r="E338" s="71">
        <f t="shared" si="49"/>
        <v>241</v>
      </c>
      <c r="F338" s="71">
        <f t="shared" si="52"/>
        <v>110</v>
      </c>
      <c r="G338" s="71">
        <v>18660</v>
      </c>
      <c r="H338" s="71">
        <v>3050</v>
      </c>
      <c r="I338" s="71">
        <f>SUM($H$98:H338)</f>
        <v>378000</v>
      </c>
      <c r="J338" s="29" t="str">
        <f t="shared" si="50"/>
        <v>[{max_hp,110}]</v>
      </c>
      <c r="K338" s="29" t="str">
        <f t="shared" si="51"/>
        <v>[{63,3050}]</v>
      </c>
      <c r="L338" s="29"/>
      <c r="M338" s="29"/>
    </row>
    <row r="339" ht="16.5" spans="1:13">
      <c r="A339" s="33"/>
      <c r="B339" s="29"/>
      <c r="C339" s="42"/>
      <c r="D339" s="61" t="s">
        <v>59</v>
      </c>
      <c r="E339" s="71">
        <f t="shared" si="49"/>
        <v>242</v>
      </c>
      <c r="F339" s="71">
        <f t="shared" si="52"/>
        <v>110</v>
      </c>
      <c r="G339" s="71">
        <v>18770</v>
      </c>
      <c r="H339" s="71">
        <v>3100</v>
      </c>
      <c r="I339" s="71">
        <f>SUM($H$98:H339)</f>
        <v>381100</v>
      </c>
      <c r="J339" s="29" t="str">
        <f t="shared" si="50"/>
        <v>[{max_hp,110}]</v>
      </c>
      <c r="K339" s="29" t="str">
        <f t="shared" si="51"/>
        <v>[{63,3100}]</v>
      </c>
      <c r="L339" s="29"/>
      <c r="M339" s="29"/>
    </row>
    <row r="340" ht="16.5" spans="1:13">
      <c r="A340" s="33"/>
      <c r="B340" s="29"/>
      <c r="C340" s="42"/>
      <c r="D340" s="61" t="s">
        <v>59</v>
      </c>
      <c r="E340" s="71">
        <f t="shared" si="49"/>
        <v>243</v>
      </c>
      <c r="F340" s="71">
        <f t="shared" si="52"/>
        <v>110</v>
      </c>
      <c r="G340" s="71">
        <v>18880</v>
      </c>
      <c r="H340" s="71">
        <v>3100</v>
      </c>
      <c r="I340" s="71">
        <f>SUM($H$98:H340)</f>
        <v>384200</v>
      </c>
      <c r="J340" s="29" t="str">
        <f t="shared" si="50"/>
        <v>[{max_hp,110}]</v>
      </c>
      <c r="K340" s="29" t="str">
        <f t="shared" si="51"/>
        <v>[{63,3100}]</v>
      </c>
      <c r="L340" s="29"/>
      <c r="M340" s="29"/>
    </row>
    <row r="341" ht="16.5" spans="1:13">
      <c r="A341" s="33"/>
      <c r="B341" s="29"/>
      <c r="C341" s="42"/>
      <c r="D341" s="61" t="s">
        <v>59</v>
      </c>
      <c r="E341" s="71">
        <f t="shared" si="49"/>
        <v>244</v>
      </c>
      <c r="F341" s="71">
        <f t="shared" si="52"/>
        <v>110</v>
      </c>
      <c r="G341" s="71">
        <v>18990</v>
      </c>
      <c r="H341" s="71">
        <v>3100</v>
      </c>
      <c r="I341" s="71">
        <f>SUM($H$98:H341)</f>
        <v>387300</v>
      </c>
      <c r="J341" s="29" t="str">
        <f t="shared" si="50"/>
        <v>[{max_hp,110}]</v>
      </c>
      <c r="K341" s="29" t="str">
        <f t="shared" si="51"/>
        <v>[{63,3100}]</v>
      </c>
      <c r="L341" s="29"/>
      <c r="M341" s="29"/>
    </row>
    <row r="342" ht="16.5" spans="1:13">
      <c r="A342" s="33"/>
      <c r="B342" s="29"/>
      <c r="C342" s="42"/>
      <c r="D342" s="61" t="s">
        <v>59</v>
      </c>
      <c r="E342" s="71">
        <f t="shared" si="49"/>
        <v>245</v>
      </c>
      <c r="F342" s="71">
        <f t="shared" si="52"/>
        <v>110</v>
      </c>
      <c r="G342" s="71">
        <v>19100</v>
      </c>
      <c r="H342" s="71">
        <v>3100</v>
      </c>
      <c r="I342" s="71">
        <f>SUM($H$98:H342)</f>
        <v>390400</v>
      </c>
      <c r="J342" s="29" t="str">
        <f t="shared" si="50"/>
        <v>[{max_hp,110}]</v>
      </c>
      <c r="K342" s="29" t="str">
        <f t="shared" si="51"/>
        <v>[{63,3100}]</v>
      </c>
      <c r="L342" s="29"/>
      <c r="M342" s="29"/>
    </row>
    <row r="343" ht="16.5" spans="1:13">
      <c r="A343" s="33"/>
      <c r="B343" s="29"/>
      <c r="C343" s="42"/>
      <c r="D343" s="61" t="s">
        <v>59</v>
      </c>
      <c r="E343" s="71">
        <f t="shared" si="49"/>
        <v>246</v>
      </c>
      <c r="F343" s="71">
        <f t="shared" si="52"/>
        <v>110</v>
      </c>
      <c r="G343" s="71">
        <v>19210</v>
      </c>
      <c r="H343" s="71">
        <v>3150</v>
      </c>
      <c r="I343" s="71">
        <f>SUM($H$98:H343)</f>
        <v>393550</v>
      </c>
      <c r="J343" s="29" t="str">
        <f t="shared" si="50"/>
        <v>[{max_hp,110}]</v>
      </c>
      <c r="K343" s="29" t="str">
        <f t="shared" si="51"/>
        <v>[{63,3150}]</v>
      </c>
      <c r="L343" s="29"/>
      <c r="M343" s="29"/>
    </row>
    <row r="344" ht="16.5" spans="1:13">
      <c r="A344" s="33"/>
      <c r="B344" s="29"/>
      <c r="C344" s="42"/>
      <c r="D344" s="61" t="s">
        <v>59</v>
      </c>
      <c r="E344" s="71">
        <f t="shared" si="49"/>
        <v>247</v>
      </c>
      <c r="F344" s="71">
        <f t="shared" si="52"/>
        <v>110</v>
      </c>
      <c r="G344" s="71">
        <v>19320</v>
      </c>
      <c r="H344" s="71">
        <v>3150</v>
      </c>
      <c r="I344" s="71">
        <f>SUM($H$98:H344)</f>
        <v>396700</v>
      </c>
      <c r="J344" s="29" t="str">
        <f t="shared" si="50"/>
        <v>[{max_hp,110}]</v>
      </c>
      <c r="K344" s="29" t="str">
        <f t="shared" si="51"/>
        <v>[{63,3150}]</v>
      </c>
      <c r="L344" s="29"/>
      <c r="M344" s="29"/>
    </row>
    <row r="345" ht="16.5" spans="1:13">
      <c r="A345" s="33"/>
      <c r="B345" s="29"/>
      <c r="C345" s="42"/>
      <c r="D345" s="61" t="s">
        <v>59</v>
      </c>
      <c r="E345" s="71">
        <f t="shared" si="49"/>
        <v>248</v>
      </c>
      <c r="F345" s="71">
        <f t="shared" si="52"/>
        <v>110</v>
      </c>
      <c r="G345" s="71">
        <v>19430</v>
      </c>
      <c r="H345" s="71">
        <v>3150</v>
      </c>
      <c r="I345" s="71">
        <f>SUM($H$98:H345)</f>
        <v>399850</v>
      </c>
      <c r="J345" s="29" t="str">
        <f t="shared" si="50"/>
        <v>[{max_hp,110}]</v>
      </c>
      <c r="K345" s="29" t="str">
        <f t="shared" si="51"/>
        <v>[{63,3150}]</v>
      </c>
      <c r="L345" s="29"/>
      <c r="M345" s="29"/>
    </row>
    <row r="346" ht="16.5" spans="1:13">
      <c r="A346" s="33"/>
      <c r="B346" s="29"/>
      <c r="C346" s="42"/>
      <c r="D346" s="61" t="s">
        <v>59</v>
      </c>
      <c r="E346" s="71">
        <f t="shared" si="49"/>
        <v>249</v>
      </c>
      <c r="F346" s="71">
        <f t="shared" si="52"/>
        <v>110</v>
      </c>
      <c r="G346" s="71">
        <v>19540</v>
      </c>
      <c r="H346" s="71">
        <v>3150</v>
      </c>
      <c r="I346" s="71">
        <f>SUM($H$98:H346)</f>
        <v>403000</v>
      </c>
      <c r="J346" s="29" t="str">
        <f t="shared" si="50"/>
        <v>[{max_hp,110}]</v>
      </c>
      <c r="K346" s="29" t="str">
        <f t="shared" si="51"/>
        <v>[{63,3150}]</v>
      </c>
      <c r="L346" s="29"/>
      <c r="M346" s="29"/>
    </row>
    <row r="347" ht="16.5" spans="1:13">
      <c r="A347" s="33"/>
      <c r="B347" s="29"/>
      <c r="C347" s="42"/>
      <c r="D347" s="61" t="s">
        <v>59</v>
      </c>
      <c r="E347" s="71">
        <f t="shared" si="49"/>
        <v>250</v>
      </c>
      <c r="F347" s="71">
        <f t="shared" si="52"/>
        <v>110</v>
      </c>
      <c r="G347" s="71">
        <v>19650</v>
      </c>
      <c r="H347" s="71">
        <v>3200</v>
      </c>
      <c r="I347" s="71">
        <f>SUM($H$98:H347)</f>
        <v>406200</v>
      </c>
      <c r="J347" s="29" t="str">
        <f t="shared" si="50"/>
        <v>[{max_hp,110}]</v>
      </c>
      <c r="K347" s="29" t="str">
        <f t="shared" si="51"/>
        <v>[{63,3200}]</v>
      </c>
      <c r="L347" s="29"/>
      <c r="M347" s="29"/>
    </row>
    <row r="348" ht="16.5" spans="1:13">
      <c r="A348" s="33"/>
      <c r="B348" s="29"/>
      <c r="C348" s="42"/>
      <c r="D348" s="61" t="s">
        <v>59</v>
      </c>
      <c r="E348" s="71">
        <f t="shared" si="49"/>
        <v>251</v>
      </c>
      <c r="F348" s="71">
        <f t="shared" si="52"/>
        <v>110</v>
      </c>
      <c r="G348" s="71">
        <v>19760</v>
      </c>
      <c r="H348" s="71">
        <v>3200</v>
      </c>
      <c r="I348" s="71">
        <f>SUM($H$98:H348)</f>
        <v>409400</v>
      </c>
      <c r="J348" s="29" t="str">
        <f t="shared" si="50"/>
        <v>[{max_hp,110}]</v>
      </c>
      <c r="K348" s="29" t="str">
        <f t="shared" si="51"/>
        <v>[{63,3200}]</v>
      </c>
      <c r="L348" s="29"/>
      <c r="M348" s="29"/>
    </row>
    <row r="349" ht="16.5" spans="1:13">
      <c r="A349" s="33"/>
      <c r="B349" s="29"/>
      <c r="C349" s="42"/>
      <c r="D349" s="61" t="s">
        <v>59</v>
      </c>
      <c r="E349" s="71">
        <f t="shared" si="49"/>
        <v>252</v>
      </c>
      <c r="F349" s="71">
        <f t="shared" si="52"/>
        <v>110</v>
      </c>
      <c r="G349" s="71">
        <v>19870</v>
      </c>
      <c r="H349" s="71">
        <v>3200</v>
      </c>
      <c r="I349" s="71">
        <f>SUM($H$98:H349)</f>
        <v>412600</v>
      </c>
      <c r="J349" s="29" t="str">
        <f t="shared" si="50"/>
        <v>[{max_hp,110}]</v>
      </c>
      <c r="K349" s="29" t="str">
        <f t="shared" si="51"/>
        <v>[{63,3200}]</v>
      </c>
      <c r="L349" s="29"/>
      <c r="M349" s="29"/>
    </row>
    <row r="350" ht="16.5" spans="1:13">
      <c r="A350" s="33"/>
      <c r="B350" s="29"/>
      <c r="C350" s="42"/>
      <c r="D350" s="61" t="s">
        <v>59</v>
      </c>
      <c r="E350" s="71">
        <f t="shared" ref="E350:E413" si="53">E349+1</f>
        <v>253</v>
      </c>
      <c r="F350" s="71">
        <f t="shared" si="52"/>
        <v>110</v>
      </c>
      <c r="G350" s="71">
        <v>19980</v>
      </c>
      <c r="H350" s="71">
        <v>3200</v>
      </c>
      <c r="I350" s="71">
        <f>SUM($H$98:H350)</f>
        <v>415800</v>
      </c>
      <c r="J350" s="29" t="str">
        <f t="shared" si="50"/>
        <v>[{max_hp,110}]</v>
      </c>
      <c r="K350" s="29" t="str">
        <f t="shared" si="51"/>
        <v>[{63,3200}]</v>
      </c>
      <c r="L350" s="29"/>
      <c r="M350" s="29"/>
    </row>
    <row r="351" ht="16.5" spans="1:13">
      <c r="A351" s="33"/>
      <c r="B351" s="29"/>
      <c r="C351" s="42"/>
      <c r="D351" s="61" t="s">
        <v>59</v>
      </c>
      <c r="E351" s="71">
        <f t="shared" si="53"/>
        <v>254</v>
      </c>
      <c r="F351" s="71">
        <f t="shared" si="52"/>
        <v>110</v>
      </c>
      <c r="G351" s="71">
        <v>20090</v>
      </c>
      <c r="H351" s="71">
        <v>3250</v>
      </c>
      <c r="I351" s="71">
        <f>SUM($H$98:H351)</f>
        <v>419050</v>
      </c>
      <c r="J351" s="29" t="str">
        <f t="shared" si="50"/>
        <v>[{max_hp,110}]</v>
      </c>
      <c r="K351" s="29" t="str">
        <f t="shared" si="51"/>
        <v>[{63,3250}]</v>
      </c>
      <c r="L351" s="29"/>
      <c r="M351" s="29"/>
    </row>
    <row r="352" ht="16.5" spans="1:13">
      <c r="A352" s="33"/>
      <c r="B352" s="29"/>
      <c r="C352" s="42"/>
      <c r="D352" s="61" t="s">
        <v>59</v>
      </c>
      <c r="E352" s="71">
        <f t="shared" si="53"/>
        <v>255</v>
      </c>
      <c r="F352" s="71">
        <f t="shared" si="52"/>
        <v>110</v>
      </c>
      <c r="G352" s="71">
        <v>20200</v>
      </c>
      <c r="H352" s="71">
        <v>3250</v>
      </c>
      <c r="I352" s="71">
        <f>SUM($H$98:H352)</f>
        <v>422300</v>
      </c>
      <c r="J352" s="29" t="str">
        <f t="shared" si="50"/>
        <v>[{max_hp,110}]</v>
      </c>
      <c r="K352" s="29" t="str">
        <f t="shared" si="51"/>
        <v>[{63,3250}]</v>
      </c>
      <c r="L352" s="29"/>
      <c r="M352" s="29"/>
    </row>
    <row r="353" ht="16.5" spans="1:13">
      <c r="A353" s="33"/>
      <c r="B353" s="29"/>
      <c r="C353" s="42"/>
      <c r="D353" s="61" t="s">
        <v>59</v>
      </c>
      <c r="E353" s="71">
        <f t="shared" si="53"/>
        <v>256</v>
      </c>
      <c r="F353" s="71">
        <f t="shared" si="52"/>
        <v>110</v>
      </c>
      <c r="G353" s="71">
        <v>20310</v>
      </c>
      <c r="H353" s="71">
        <v>3250</v>
      </c>
      <c r="I353" s="71">
        <f>SUM($H$98:H353)</f>
        <v>425550</v>
      </c>
      <c r="J353" s="29" t="str">
        <f t="shared" si="50"/>
        <v>[{max_hp,110}]</v>
      </c>
      <c r="K353" s="29" t="str">
        <f t="shared" si="51"/>
        <v>[{63,3250}]</v>
      </c>
      <c r="L353" s="29"/>
      <c r="M353" s="29"/>
    </row>
    <row r="354" ht="16.5" spans="1:13">
      <c r="A354" s="33"/>
      <c r="B354" s="29"/>
      <c r="C354" s="42"/>
      <c r="D354" s="61" t="s">
        <v>59</v>
      </c>
      <c r="E354" s="71">
        <f t="shared" si="53"/>
        <v>257</v>
      </c>
      <c r="F354" s="71">
        <f t="shared" si="52"/>
        <v>110</v>
      </c>
      <c r="G354" s="71">
        <v>20420</v>
      </c>
      <c r="H354" s="71">
        <v>3250</v>
      </c>
      <c r="I354" s="71">
        <f>SUM($H$98:H354)</f>
        <v>428800</v>
      </c>
      <c r="J354" s="29" t="str">
        <f t="shared" si="50"/>
        <v>[{max_hp,110}]</v>
      </c>
      <c r="K354" s="29" t="str">
        <f t="shared" si="51"/>
        <v>[{63,3250}]</v>
      </c>
      <c r="L354" s="29"/>
      <c r="M354" s="29"/>
    </row>
    <row r="355" ht="16.5" spans="1:13">
      <c r="A355" s="33"/>
      <c r="B355" s="29"/>
      <c r="C355" s="42"/>
      <c r="D355" s="61" t="s">
        <v>59</v>
      </c>
      <c r="E355" s="71">
        <f t="shared" si="53"/>
        <v>258</v>
      </c>
      <c r="F355" s="71">
        <f t="shared" si="52"/>
        <v>110</v>
      </c>
      <c r="G355" s="71">
        <v>20530</v>
      </c>
      <c r="H355" s="71">
        <v>3300</v>
      </c>
      <c r="I355" s="71">
        <f>SUM($H$98:H355)</f>
        <v>432100</v>
      </c>
      <c r="J355" s="29" t="str">
        <f t="shared" ref="J355:J418" si="54">"[{max_hp,"&amp;F355&amp;"}]"</f>
        <v>[{max_hp,110}]</v>
      </c>
      <c r="K355" s="29" t="str">
        <f t="shared" ref="K355:K418" si="55">"[{63,"&amp;H355&amp;"}]"</f>
        <v>[{63,3300}]</v>
      </c>
      <c r="L355" s="29"/>
      <c r="M355" s="29"/>
    </row>
    <row r="356" ht="16.5" spans="1:13">
      <c r="A356" s="33"/>
      <c r="B356" s="29"/>
      <c r="C356" s="42"/>
      <c r="D356" s="61" t="s">
        <v>59</v>
      </c>
      <c r="E356" s="71">
        <f t="shared" si="53"/>
        <v>259</v>
      </c>
      <c r="F356" s="71">
        <f t="shared" ref="F356:F419" si="56">G356-G355</f>
        <v>110</v>
      </c>
      <c r="G356" s="71">
        <v>20640</v>
      </c>
      <c r="H356" s="71">
        <v>3300</v>
      </c>
      <c r="I356" s="71">
        <f>SUM($H$98:H356)</f>
        <v>435400</v>
      </c>
      <c r="J356" s="29" t="str">
        <f t="shared" si="54"/>
        <v>[{max_hp,110}]</v>
      </c>
      <c r="K356" s="29" t="str">
        <f t="shared" si="55"/>
        <v>[{63,3300}]</v>
      </c>
      <c r="L356" s="29"/>
      <c r="M356" s="29"/>
    </row>
    <row r="357" ht="16.5" spans="1:13">
      <c r="A357" s="33"/>
      <c r="B357" s="29"/>
      <c r="C357" s="42"/>
      <c r="D357" s="61" t="s">
        <v>59</v>
      </c>
      <c r="E357" s="71">
        <f t="shared" si="53"/>
        <v>260</v>
      </c>
      <c r="F357" s="71">
        <f t="shared" si="56"/>
        <v>110</v>
      </c>
      <c r="G357" s="71">
        <v>20750</v>
      </c>
      <c r="H357" s="71">
        <v>3300</v>
      </c>
      <c r="I357" s="71">
        <f>SUM($H$98:H357)</f>
        <v>438700</v>
      </c>
      <c r="J357" s="29" t="str">
        <f t="shared" si="54"/>
        <v>[{max_hp,110}]</v>
      </c>
      <c r="K357" s="29" t="str">
        <f t="shared" si="55"/>
        <v>[{63,3300}]</v>
      </c>
      <c r="L357" s="29"/>
      <c r="M357" s="29"/>
    </row>
    <row r="358" ht="16.5" spans="1:13">
      <c r="A358" s="33"/>
      <c r="B358" s="29"/>
      <c r="C358" s="42"/>
      <c r="D358" s="61" t="s">
        <v>59</v>
      </c>
      <c r="E358" s="71">
        <f t="shared" si="53"/>
        <v>261</v>
      </c>
      <c r="F358" s="71">
        <f t="shared" si="56"/>
        <v>115</v>
      </c>
      <c r="G358" s="71">
        <v>20865</v>
      </c>
      <c r="H358" s="71">
        <v>3300</v>
      </c>
      <c r="I358" s="71">
        <f>SUM($H$98:H358)</f>
        <v>442000</v>
      </c>
      <c r="J358" s="29" t="str">
        <f t="shared" si="54"/>
        <v>[{max_hp,115}]</v>
      </c>
      <c r="K358" s="29" t="str">
        <f t="shared" si="55"/>
        <v>[{63,3300}]</v>
      </c>
      <c r="L358" s="29"/>
      <c r="M358" s="29"/>
    </row>
    <row r="359" ht="16.5" spans="1:13">
      <c r="A359" s="33"/>
      <c r="B359" s="29"/>
      <c r="C359" s="42"/>
      <c r="D359" s="61" t="s">
        <v>59</v>
      </c>
      <c r="E359" s="71">
        <f t="shared" si="53"/>
        <v>262</v>
      </c>
      <c r="F359" s="71">
        <f t="shared" si="56"/>
        <v>115</v>
      </c>
      <c r="G359" s="71">
        <v>20980</v>
      </c>
      <c r="H359" s="71">
        <v>3350</v>
      </c>
      <c r="I359" s="71">
        <f>SUM($H$98:H359)</f>
        <v>445350</v>
      </c>
      <c r="J359" s="29" t="str">
        <f t="shared" si="54"/>
        <v>[{max_hp,115}]</v>
      </c>
      <c r="K359" s="29" t="str">
        <f t="shared" si="55"/>
        <v>[{63,3350}]</v>
      </c>
      <c r="L359" s="29"/>
      <c r="M359" s="29"/>
    </row>
    <row r="360" ht="16.5" spans="1:13">
      <c r="A360" s="33"/>
      <c r="B360" s="29"/>
      <c r="C360" s="42"/>
      <c r="D360" s="61" t="s">
        <v>59</v>
      </c>
      <c r="E360" s="71">
        <f t="shared" si="53"/>
        <v>263</v>
      </c>
      <c r="F360" s="71">
        <f t="shared" si="56"/>
        <v>115</v>
      </c>
      <c r="G360" s="71">
        <v>21095</v>
      </c>
      <c r="H360" s="71">
        <v>3350</v>
      </c>
      <c r="I360" s="71">
        <f>SUM($H$98:H360)</f>
        <v>448700</v>
      </c>
      <c r="J360" s="29" t="str">
        <f t="shared" si="54"/>
        <v>[{max_hp,115}]</v>
      </c>
      <c r="K360" s="29" t="str">
        <f t="shared" si="55"/>
        <v>[{63,3350}]</v>
      </c>
      <c r="L360" s="29"/>
      <c r="M360" s="29"/>
    </row>
    <row r="361" ht="16.5" spans="1:13">
      <c r="A361" s="33"/>
      <c r="B361" s="29"/>
      <c r="C361" s="42"/>
      <c r="D361" s="61" t="s">
        <v>59</v>
      </c>
      <c r="E361" s="71">
        <f t="shared" si="53"/>
        <v>264</v>
      </c>
      <c r="F361" s="71">
        <f t="shared" si="56"/>
        <v>115</v>
      </c>
      <c r="G361" s="71">
        <v>21210</v>
      </c>
      <c r="H361" s="71">
        <v>3350</v>
      </c>
      <c r="I361" s="71">
        <f>SUM($H$98:H361)</f>
        <v>452050</v>
      </c>
      <c r="J361" s="29" t="str">
        <f t="shared" si="54"/>
        <v>[{max_hp,115}]</v>
      </c>
      <c r="K361" s="29" t="str">
        <f t="shared" si="55"/>
        <v>[{63,3350}]</v>
      </c>
      <c r="L361" s="29"/>
      <c r="M361" s="29"/>
    </row>
    <row r="362" ht="16.5" spans="1:13">
      <c r="A362" s="33"/>
      <c r="B362" s="29"/>
      <c r="C362" s="42"/>
      <c r="D362" s="61" t="s">
        <v>59</v>
      </c>
      <c r="E362" s="71">
        <f t="shared" si="53"/>
        <v>265</v>
      </c>
      <c r="F362" s="71">
        <f t="shared" si="56"/>
        <v>115</v>
      </c>
      <c r="G362" s="71">
        <v>21325</v>
      </c>
      <c r="H362" s="71">
        <v>3350</v>
      </c>
      <c r="I362" s="71">
        <f>SUM($H$98:H362)</f>
        <v>455400</v>
      </c>
      <c r="J362" s="29" t="str">
        <f t="shared" si="54"/>
        <v>[{max_hp,115}]</v>
      </c>
      <c r="K362" s="29" t="str">
        <f t="shared" si="55"/>
        <v>[{63,3350}]</v>
      </c>
      <c r="L362" s="29"/>
      <c r="M362" s="29"/>
    </row>
    <row r="363" ht="16.5" spans="1:13">
      <c r="A363" s="33"/>
      <c r="B363" s="29"/>
      <c r="C363" s="42"/>
      <c r="D363" s="61" t="s">
        <v>59</v>
      </c>
      <c r="E363" s="71">
        <f t="shared" si="53"/>
        <v>266</v>
      </c>
      <c r="F363" s="71">
        <f t="shared" si="56"/>
        <v>115</v>
      </c>
      <c r="G363" s="71">
        <v>21440</v>
      </c>
      <c r="H363" s="71">
        <v>3400</v>
      </c>
      <c r="I363" s="71">
        <f>SUM($H$98:H363)</f>
        <v>458800</v>
      </c>
      <c r="J363" s="29" t="str">
        <f t="shared" si="54"/>
        <v>[{max_hp,115}]</v>
      </c>
      <c r="K363" s="29" t="str">
        <f t="shared" si="55"/>
        <v>[{63,3400}]</v>
      </c>
      <c r="L363" s="29"/>
      <c r="M363" s="29"/>
    </row>
    <row r="364" ht="16.5" spans="1:13">
      <c r="A364" s="33"/>
      <c r="B364" s="29"/>
      <c r="C364" s="42"/>
      <c r="D364" s="61" t="s">
        <v>59</v>
      </c>
      <c r="E364" s="71">
        <f t="shared" si="53"/>
        <v>267</v>
      </c>
      <c r="F364" s="71">
        <f t="shared" si="56"/>
        <v>115</v>
      </c>
      <c r="G364" s="71">
        <v>21555</v>
      </c>
      <c r="H364" s="71">
        <v>3400</v>
      </c>
      <c r="I364" s="71">
        <f>SUM($H$98:H364)</f>
        <v>462200</v>
      </c>
      <c r="J364" s="29" t="str">
        <f t="shared" si="54"/>
        <v>[{max_hp,115}]</v>
      </c>
      <c r="K364" s="29" t="str">
        <f t="shared" si="55"/>
        <v>[{63,3400}]</v>
      </c>
      <c r="L364" s="29"/>
      <c r="M364" s="29"/>
    </row>
    <row r="365" ht="16.5" spans="1:13">
      <c r="A365" s="33"/>
      <c r="B365" s="29"/>
      <c r="C365" s="42"/>
      <c r="D365" s="61" t="s">
        <v>59</v>
      </c>
      <c r="E365" s="71">
        <f t="shared" si="53"/>
        <v>268</v>
      </c>
      <c r="F365" s="71">
        <f t="shared" si="56"/>
        <v>115</v>
      </c>
      <c r="G365" s="71">
        <v>21670</v>
      </c>
      <c r="H365" s="71">
        <v>3400</v>
      </c>
      <c r="I365" s="71">
        <f>SUM($H$98:H365)</f>
        <v>465600</v>
      </c>
      <c r="J365" s="29" t="str">
        <f t="shared" si="54"/>
        <v>[{max_hp,115}]</v>
      </c>
      <c r="K365" s="29" t="str">
        <f t="shared" si="55"/>
        <v>[{63,3400}]</v>
      </c>
      <c r="L365" s="29"/>
      <c r="M365" s="29"/>
    </row>
    <row r="366" ht="16.5" spans="1:13">
      <c r="A366" s="33"/>
      <c r="B366" s="29"/>
      <c r="C366" s="42"/>
      <c r="D366" s="61" t="s">
        <v>59</v>
      </c>
      <c r="E366" s="71">
        <f t="shared" si="53"/>
        <v>269</v>
      </c>
      <c r="F366" s="71">
        <f t="shared" si="56"/>
        <v>115</v>
      </c>
      <c r="G366" s="71">
        <v>21785</v>
      </c>
      <c r="H366" s="71">
        <v>3400</v>
      </c>
      <c r="I366" s="71">
        <f>SUM($H$98:H366)</f>
        <v>469000</v>
      </c>
      <c r="J366" s="29" t="str">
        <f t="shared" si="54"/>
        <v>[{max_hp,115}]</v>
      </c>
      <c r="K366" s="29" t="str">
        <f t="shared" si="55"/>
        <v>[{63,3400}]</v>
      </c>
      <c r="L366" s="29"/>
      <c r="M366" s="29"/>
    </row>
    <row r="367" ht="16.5" spans="1:13">
      <c r="A367" s="33"/>
      <c r="B367" s="29"/>
      <c r="C367" s="42"/>
      <c r="D367" s="61" t="s">
        <v>59</v>
      </c>
      <c r="E367" s="71">
        <f t="shared" si="53"/>
        <v>270</v>
      </c>
      <c r="F367" s="71">
        <f t="shared" si="56"/>
        <v>115</v>
      </c>
      <c r="G367" s="71">
        <v>21900</v>
      </c>
      <c r="H367" s="71">
        <v>3450</v>
      </c>
      <c r="I367" s="71">
        <f>SUM($H$98:H367)</f>
        <v>472450</v>
      </c>
      <c r="J367" s="29" t="str">
        <f t="shared" si="54"/>
        <v>[{max_hp,115}]</v>
      </c>
      <c r="K367" s="29" t="str">
        <f t="shared" si="55"/>
        <v>[{63,3450}]</v>
      </c>
      <c r="L367" s="29"/>
      <c r="M367" s="29"/>
    </row>
    <row r="368" ht="16.5" spans="1:13">
      <c r="A368" s="33"/>
      <c r="B368" s="29"/>
      <c r="C368" s="42"/>
      <c r="D368" s="61" t="s">
        <v>59</v>
      </c>
      <c r="E368" s="71">
        <f t="shared" si="53"/>
        <v>271</v>
      </c>
      <c r="F368" s="71">
        <f t="shared" si="56"/>
        <v>115</v>
      </c>
      <c r="G368" s="71">
        <v>22015</v>
      </c>
      <c r="H368" s="71">
        <v>3450</v>
      </c>
      <c r="I368" s="71">
        <f>SUM($H$98:H368)</f>
        <v>475900</v>
      </c>
      <c r="J368" s="29" t="str">
        <f t="shared" si="54"/>
        <v>[{max_hp,115}]</v>
      </c>
      <c r="K368" s="29" t="str">
        <f t="shared" si="55"/>
        <v>[{63,3450}]</v>
      </c>
      <c r="L368" s="29"/>
      <c r="M368" s="29"/>
    </row>
    <row r="369" ht="16.5" spans="1:13">
      <c r="A369" s="33"/>
      <c r="B369" s="29"/>
      <c r="C369" s="42"/>
      <c r="D369" s="61" t="s">
        <v>59</v>
      </c>
      <c r="E369" s="71">
        <f t="shared" si="53"/>
        <v>272</v>
      </c>
      <c r="F369" s="71">
        <f t="shared" si="56"/>
        <v>115</v>
      </c>
      <c r="G369" s="71">
        <v>22130</v>
      </c>
      <c r="H369" s="71">
        <v>3450</v>
      </c>
      <c r="I369" s="71">
        <f>SUM($H$98:H369)</f>
        <v>479350</v>
      </c>
      <c r="J369" s="29" t="str">
        <f t="shared" si="54"/>
        <v>[{max_hp,115}]</v>
      </c>
      <c r="K369" s="29" t="str">
        <f t="shared" si="55"/>
        <v>[{63,3450}]</v>
      </c>
      <c r="L369" s="29"/>
      <c r="M369" s="29"/>
    </row>
    <row r="370" ht="16.5" spans="1:13">
      <c r="A370" s="33"/>
      <c r="B370" s="29"/>
      <c r="C370" s="42"/>
      <c r="D370" s="61" t="s">
        <v>59</v>
      </c>
      <c r="E370" s="71">
        <f t="shared" si="53"/>
        <v>273</v>
      </c>
      <c r="F370" s="71">
        <f t="shared" si="56"/>
        <v>115</v>
      </c>
      <c r="G370" s="71">
        <v>22245</v>
      </c>
      <c r="H370" s="71">
        <v>3450</v>
      </c>
      <c r="I370" s="71">
        <f>SUM($H$98:H370)</f>
        <v>482800</v>
      </c>
      <c r="J370" s="29" t="str">
        <f t="shared" si="54"/>
        <v>[{max_hp,115}]</v>
      </c>
      <c r="K370" s="29" t="str">
        <f t="shared" si="55"/>
        <v>[{63,3450}]</v>
      </c>
      <c r="L370" s="29"/>
      <c r="M370" s="29"/>
    </row>
    <row r="371" ht="16.5" spans="1:13">
      <c r="A371" s="33"/>
      <c r="B371" s="29"/>
      <c r="C371" s="42"/>
      <c r="D371" s="61" t="s">
        <v>59</v>
      </c>
      <c r="E371" s="71">
        <f t="shared" si="53"/>
        <v>274</v>
      </c>
      <c r="F371" s="71">
        <f t="shared" si="56"/>
        <v>115</v>
      </c>
      <c r="G371" s="71">
        <v>22360</v>
      </c>
      <c r="H371" s="71">
        <v>3500</v>
      </c>
      <c r="I371" s="71">
        <f>SUM($H$98:H371)</f>
        <v>486300</v>
      </c>
      <c r="J371" s="29" t="str">
        <f t="shared" si="54"/>
        <v>[{max_hp,115}]</v>
      </c>
      <c r="K371" s="29" t="str">
        <f t="shared" si="55"/>
        <v>[{63,3500}]</v>
      </c>
      <c r="L371" s="29"/>
      <c r="M371" s="29"/>
    </row>
    <row r="372" ht="16.5" spans="1:13">
      <c r="A372" s="33"/>
      <c r="B372" s="29"/>
      <c r="C372" s="42"/>
      <c r="D372" s="61" t="s">
        <v>59</v>
      </c>
      <c r="E372" s="71">
        <f t="shared" si="53"/>
        <v>275</v>
      </c>
      <c r="F372" s="71">
        <f t="shared" si="56"/>
        <v>115</v>
      </c>
      <c r="G372" s="71">
        <v>22475</v>
      </c>
      <c r="H372" s="71">
        <v>3500</v>
      </c>
      <c r="I372" s="71">
        <f>SUM($H$98:H372)</f>
        <v>489800</v>
      </c>
      <c r="J372" s="29" t="str">
        <f t="shared" si="54"/>
        <v>[{max_hp,115}]</v>
      </c>
      <c r="K372" s="29" t="str">
        <f t="shared" si="55"/>
        <v>[{63,3500}]</v>
      </c>
      <c r="L372" s="29"/>
      <c r="M372" s="29"/>
    </row>
    <row r="373" ht="16.5" spans="1:13">
      <c r="A373" s="33"/>
      <c r="B373" s="29"/>
      <c r="C373" s="42"/>
      <c r="D373" s="61" t="s">
        <v>59</v>
      </c>
      <c r="E373" s="71">
        <f t="shared" si="53"/>
        <v>276</v>
      </c>
      <c r="F373" s="71">
        <f t="shared" si="56"/>
        <v>115</v>
      </c>
      <c r="G373" s="71">
        <v>22590</v>
      </c>
      <c r="H373" s="71">
        <v>3500</v>
      </c>
      <c r="I373" s="71">
        <f>SUM($H$98:H373)</f>
        <v>493300</v>
      </c>
      <c r="J373" s="29" t="str">
        <f t="shared" si="54"/>
        <v>[{max_hp,115}]</v>
      </c>
      <c r="K373" s="29" t="str">
        <f t="shared" si="55"/>
        <v>[{63,3500}]</v>
      </c>
      <c r="L373" s="29"/>
      <c r="M373" s="29"/>
    </row>
    <row r="374" ht="16.5" spans="1:13">
      <c r="A374" s="33"/>
      <c r="B374" s="29"/>
      <c r="C374" s="42"/>
      <c r="D374" s="61" t="s">
        <v>59</v>
      </c>
      <c r="E374" s="71">
        <f t="shared" si="53"/>
        <v>277</v>
      </c>
      <c r="F374" s="71">
        <f t="shared" si="56"/>
        <v>115</v>
      </c>
      <c r="G374" s="71">
        <v>22705</v>
      </c>
      <c r="H374" s="71">
        <v>3500</v>
      </c>
      <c r="I374" s="71">
        <f>SUM($H$98:H374)</f>
        <v>496800</v>
      </c>
      <c r="J374" s="29" t="str">
        <f t="shared" si="54"/>
        <v>[{max_hp,115}]</v>
      </c>
      <c r="K374" s="29" t="str">
        <f t="shared" si="55"/>
        <v>[{63,3500}]</v>
      </c>
      <c r="L374" s="29"/>
      <c r="M374" s="29"/>
    </row>
    <row r="375" ht="16.5" spans="1:13">
      <c r="A375" s="33"/>
      <c r="B375" s="29"/>
      <c r="C375" s="42"/>
      <c r="D375" s="61" t="s">
        <v>59</v>
      </c>
      <c r="E375" s="71">
        <f t="shared" si="53"/>
        <v>278</v>
      </c>
      <c r="F375" s="71">
        <f t="shared" si="56"/>
        <v>115</v>
      </c>
      <c r="G375" s="71">
        <v>22820</v>
      </c>
      <c r="H375" s="71">
        <v>3550</v>
      </c>
      <c r="I375" s="71">
        <f>SUM($H$98:H375)</f>
        <v>500350</v>
      </c>
      <c r="J375" s="29" t="str">
        <f t="shared" si="54"/>
        <v>[{max_hp,115}]</v>
      </c>
      <c r="K375" s="29" t="str">
        <f t="shared" si="55"/>
        <v>[{63,3550}]</v>
      </c>
      <c r="L375" s="29"/>
      <c r="M375" s="29"/>
    </row>
    <row r="376" ht="16.5" spans="1:13">
      <c r="A376" s="33"/>
      <c r="B376" s="29"/>
      <c r="C376" s="42"/>
      <c r="D376" s="61" t="s">
        <v>59</v>
      </c>
      <c r="E376" s="71">
        <f t="shared" si="53"/>
        <v>279</v>
      </c>
      <c r="F376" s="71">
        <f t="shared" si="56"/>
        <v>115</v>
      </c>
      <c r="G376" s="71">
        <v>22935</v>
      </c>
      <c r="H376" s="71">
        <v>3550</v>
      </c>
      <c r="I376" s="71">
        <f>SUM($H$98:H376)</f>
        <v>503900</v>
      </c>
      <c r="J376" s="29" t="str">
        <f t="shared" si="54"/>
        <v>[{max_hp,115}]</v>
      </c>
      <c r="K376" s="29" t="str">
        <f t="shared" si="55"/>
        <v>[{63,3550}]</v>
      </c>
      <c r="L376" s="29"/>
      <c r="M376" s="29"/>
    </row>
    <row r="377" ht="16.5" spans="1:13">
      <c r="A377" s="33"/>
      <c r="B377" s="29"/>
      <c r="C377" s="42"/>
      <c r="D377" s="61" t="s">
        <v>59</v>
      </c>
      <c r="E377" s="71">
        <f t="shared" si="53"/>
        <v>280</v>
      </c>
      <c r="F377" s="71">
        <f t="shared" si="56"/>
        <v>115</v>
      </c>
      <c r="G377" s="71">
        <v>23050</v>
      </c>
      <c r="H377" s="71">
        <v>3550</v>
      </c>
      <c r="I377" s="71">
        <f>SUM($H$98:H377)</f>
        <v>507450</v>
      </c>
      <c r="J377" s="29" t="str">
        <f t="shared" si="54"/>
        <v>[{max_hp,115}]</v>
      </c>
      <c r="K377" s="29" t="str">
        <f t="shared" si="55"/>
        <v>[{63,3550}]</v>
      </c>
      <c r="L377" s="29"/>
      <c r="M377" s="29"/>
    </row>
    <row r="378" ht="16.5" spans="1:13">
      <c r="A378" s="33"/>
      <c r="B378" s="29"/>
      <c r="C378" s="42"/>
      <c r="D378" s="61" t="s">
        <v>59</v>
      </c>
      <c r="E378" s="71">
        <f t="shared" si="53"/>
        <v>281</v>
      </c>
      <c r="F378" s="71">
        <f t="shared" si="56"/>
        <v>120</v>
      </c>
      <c r="G378" s="71">
        <v>23170</v>
      </c>
      <c r="H378" s="71">
        <v>3550</v>
      </c>
      <c r="I378" s="71">
        <f>SUM($H$98:H378)</f>
        <v>511000</v>
      </c>
      <c r="J378" s="29" t="str">
        <f t="shared" si="54"/>
        <v>[{max_hp,120}]</v>
      </c>
      <c r="K378" s="29" t="str">
        <f t="shared" si="55"/>
        <v>[{63,3550}]</v>
      </c>
      <c r="L378" s="29"/>
      <c r="M378" s="29"/>
    </row>
    <row r="379" ht="16.5" spans="1:13">
      <c r="A379" s="33"/>
      <c r="B379" s="29"/>
      <c r="C379" s="42"/>
      <c r="D379" s="61" t="s">
        <v>59</v>
      </c>
      <c r="E379" s="71">
        <f t="shared" si="53"/>
        <v>282</v>
      </c>
      <c r="F379" s="71">
        <f t="shared" si="56"/>
        <v>120</v>
      </c>
      <c r="G379" s="71">
        <v>23290</v>
      </c>
      <c r="H379" s="71">
        <v>3600</v>
      </c>
      <c r="I379" s="71">
        <f>SUM($H$98:H379)</f>
        <v>514600</v>
      </c>
      <c r="J379" s="29" t="str">
        <f t="shared" si="54"/>
        <v>[{max_hp,120}]</v>
      </c>
      <c r="K379" s="29" t="str">
        <f t="shared" si="55"/>
        <v>[{63,3600}]</v>
      </c>
      <c r="L379" s="29"/>
      <c r="M379" s="29"/>
    </row>
    <row r="380" ht="16.5" spans="1:13">
      <c r="A380" s="33"/>
      <c r="B380" s="29"/>
      <c r="C380" s="42"/>
      <c r="D380" s="61" t="s">
        <v>59</v>
      </c>
      <c r="E380" s="71">
        <f t="shared" si="53"/>
        <v>283</v>
      </c>
      <c r="F380" s="71">
        <f t="shared" si="56"/>
        <v>120</v>
      </c>
      <c r="G380" s="71">
        <v>23410</v>
      </c>
      <c r="H380" s="71">
        <v>3600</v>
      </c>
      <c r="I380" s="71">
        <f>SUM($H$98:H380)</f>
        <v>518200</v>
      </c>
      <c r="J380" s="29" t="str">
        <f t="shared" si="54"/>
        <v>[{max_hp,120}]</v>
      </c>
      <c r="K380" s="29" t="str">
        <f t="shared" si="55"/>
        <v>[{63,3600}]</v>
      </c>
      <c r="L380" s="29"/>
      <c r="M380" s="29"/>
    </row>
    <row r="381" ht="16.5" spans="1:13">
      <c r="A381" s="33"/>
      <c r="B381" s="29"/>
      <c r="C381" s="42"/>
      <c r="D381" s="61" t="s">
        <v>59</v>
      </c>
      <c r="E381" s="71">
        <f t="shared" si="53"/>
        <v>284</v>
      </c>
      <c r="F381" s="71">
        <f t="shared" si="56"/>
        <v>120</v>
      </c>
      <c r="G381" s="71">
        <v>23530</v>
      </c>
      <c r="H381" s="71">
        <v>3600</v>
      </c>
      <c r="I381" s="71">
        <f>SUM($H$98:H381)</f>
        <v>521800</v>
      </c>
      <c r="J381" s="29" t="str">
        <f t="shared" si="54"/>
        <v>[{max_hp,120}]</v>
      </c>
      <c r="K381" s="29" t="str">
        <f t="shared" si="55"/>
        <v>[{63,3600}]</v>
      </c>
      <c r="L381" s="29"/>
      <c r="M381" s="29"/>
    </row>
    <row r="382" ht="16.5" spans="1:13">
      <c r="A382" s="33"/>
      <c r="B382" s="29"/>
      <c r="C382" s="42"/>
      <c r="D382" s="61" t="s">
        <v>59</v>
      </c>
      <c r="E382" s="71">
        <f t="shared" si="53"/>
        <v>285</v>
      </c>
      <c r="F382" s="71">
        <f t="shared" si="56"/>
        <v>120</v>
      </c>
      <c r="G382" s="71">
        <v>23650</v>
      </c>
      <c r="H382" s="71">
        <v>3600</v>
      </c>
      <c r="I382" s="71">
        <f>SUM($H$98:H382)</f>
        <v>525400</v>
      </c>
      <c r="J382" s="29" t="str">
        <f t="shared" si="54"/>
        <v>[{max_hp,120}]</v>
      </c>
      <c r="K382" s="29" t="str">
        <f t="shared" si="55"/>
        <v>[{63,3600}]</v>
      </c>
      <c r="L382" s="29"/>
      <c r="M382" s="29"/>
    </row>
    <row r="383" ht="16.5" spans="1:13">
      <c r="A383" s="33"/>
      <c r="B383" s="29"/>
      <c r="C383" s="42"/>
      <c r="D383" s="61" t="s">
        <v>59</v>
      </c>
      <c r="E383" s="71">
        <f t="shared" si="53"/>
        <v>286</v>
      </c>
      <c r="F383" s="71">
        <f t="shared" si="56"/>
        <v>120</v>
      </c>
      <c r="G383" s="71">
        <v>23770</v>
      </c>
      <c r="H383" s="71">
        <v>3650</v>
      </c>
      <c r="I383" s="71">
        <f>SUM($H$98:H383)</f>
        <v>529050</v>
      </c>
      <c r="J383" s="29" t="str">
        <f t="shared" si="54"/>
        <v>[{max_hp,120}]</v>
      </c>
      <c r="K383" s="29" t="str">
        <f t="shared" si="55"/>
        <v>[{63,3650}]</v>
      </c>
      <c r="L383" s="29"/>
      <c r="M383" s="29"/>
    </row>
    <row r="384" ht="16.5" spans="1:13">
      <c r="A384" s="33"/>
      <c r="B384" s="29"/>
      <c r="C384" s="42"/>
      <c r="D384" s="61" t="s">
        <v>59</v>
      </c>
      <c r="E384" s="71">
        <f t="shared" si="53"/>
        <v>287</v>
      </c>
      <c r="F384" s="71">
        <f t="shared" si="56"/>
        <v>120</v>
      </c>
      <c r="G384" s="71">
        <v>23890</v>
      </c>
      <c r="H384" s="71">
        <v>3650</v>
      </c>
      <c r="I384" s="71">
        <f>SUM($H$98:H384)</f>
        <v>532700</v>
      </c>
      <c r="J384" s="29" t="str">
        <f t="shared" si="54"/>
        <v>[{max_hp,120}]</v>
      </c>
      <c r="K384" s="29" t="str">
        <f t="shared" si="55"/>
        <v>[{63,3650}]</v>
      </c>
      <c r="L384" s="29"/>
      <c r="M384" s="29"/>
    </row>
    <row r="385" ht="16.5" spans="1:13">
      <c r="A385" s="33"/>
      <c r="B385" s="29"/>
      <c r="C385" s="42"/>
      <c r="D385" s="61" t="s">
        <v>59</v>
      </c>
      <c r="E385" s="71">
        <f t="shared" si="53"/>
        <v>288</v>
      </c>
      <c r="F385" s="71">
        <f t="shared" si="56"/>
        <v>120</v>
      </c>
      <c r="G385" s="71">
        <v>24010</v>
      </c>
      <c r="H385" s="71">
        <v>3650</v>
      </c>
      <c r="I385" s="71">
        <f>SUM($H$98:H385)</f>
        <v>536350</v>
      </c>
      <c r="J385" s="29" t="str">
        <f t="shared" si="54"/>
        <v>[{max_hp,120}]</v>
      </c>
      <c r="K385" s="29" t="str">
        <f t="shared" si="55"/>
        <v>[{63,3650}]</v>
      </c>
      <c r="L385" s="29"/>
      <c r="M385" s="29"/>
    </row>
    <row r="386" ht="16.5" spans="1:13">
      <c r="A386" s="33"/>
      <c r="B386" s="29"/>
      <c r="C386" s="42"/>
      <c r="D386" s="61" t="s">
        <v>59</v>
      </c>
      <c r="E386" s="71">
        <f t="shared" si="53"/>
        <v>289</v>
      </c>
      <c r="F386" s="71">
        <f t="shared" si="56"/>
        <v>120</v>
      </c>
      <c r="G386" s="71">
        <v>24130</v>
      </c>
      <c r="H386" s="71">
        <v>3650</v>
      </c>
      <c r="I386" s="71">
        <f>SUM($H$98:H386)</f>
        <v>540000</v>
      </c>
      <c r="J386" s="29" t="str">
        <f t="shared" si="54"/>
        <v>[{max_hp,120}]</v>
      </c>
      <c r="K386" s="29" t="str">
        <f t="shared" si="55"/>
        <v>[{63,3650}]</v>
      </c>
      <c r="L386" s="29"/>
      <c r="M386" s="29"/>
    </row>
    <row r="387" ht="16.5" spans="1:13">
      <c r="A387" s="33"/>
      <c r="B387" s="29"/>
      <c r="C387" s="42"/>
      <c r="D387" s="61" t="s">
        <v>59</v>
      </c>
      <c r="E387" s="71">
        <f t="shared" si="53"/>
        <v>290</v>
      </c>
      <c r="F387" s="71">
        <f t="shared" si="56"/>
        <v>120</v>
      </c>
      <c r="G387" s="71">
        <v>24250</v>
      </c>
      <c r="H387" s="71">
        <v>3700</v>
      </c>
      <c r="I387" s="71">
        <f>SUM($H$98:H387)</f>
        <v>543700</v>
      </c>
      <c r="J387" s="29" t="str">
        <f t="shared" si="54"/>
        <v>[{max_hp,120}]</v>
      </c>
      <c r="K387" s="29" t="str">
        <f t="shared" si="55"/>
        <v>[{63,3700}]</v>
      </c>
      <c r="L387" s="29"/>
      <c r="M387" s="29"/>
    </row>
    <row r="388" ht="16.5" spans="1:13">
      <c r="A388" s="33"/>
      <c r="B388" s="29"/>
      <c r="C388" s="42"/>
      <c r="D388" s="61" t="s">
        <v>59</v>
      </c>
      <c r="E388" s="71">
        <f t="shared" si="53"/>
        <v>291</v>
      </c>
      <c r="F388" s="71">
        <f t="shared" si="56"/>
        <v>120</v>
      </c>
      <c r="G388" s="71">
        <v>24370</v>
      </c>
      <c r="H388" s="71">
        <v>3700</v>
      </c>
      <c r="I388" s="71">
        <f>SUM($H$98:H388)</f>
        <v>547400</v>
      </c>
      <c r="J388" s="29" t="str">
        <f t="shared" si="54"/>
        <v>[{max_hp,120}]</v>
      </c>
      <c r="K388" s="29" t="str">
        <f t="shared" si="55"/>
        <v>[{63,3700}]</v>
      </c>
      <c r="L388" s="29"/>
      <c r="M388" s="29"/>
    </row>
    <row r="389" ht="16.5" spans="1:13">
      <c r="A389" s="33"/>
      <c r="B389" s="29"/>
      <c r="C389" s="42"/>
      <c r="D389" s="61" t="s">
        <v>59</v>
      </c>
      <c r="E389" s="71">
        <f t="shared" si="53"/>
        <v>292</v>
      </c>
      <c r="F389" s="71">
        <f t="shared" si="56"/>
        <v>120</v>
      </c>
      <c r="G389" s="71">
        <v>24490</v>
      </c>
      <c r="H389" s="71">
        <v>3700</v>
      </c>
      <c r="I389" s="71">
        <f>SUM($H$98:H389)</f>
        <v>551100</v>
      </c>
      <c r="J389" s="29" t="str">
        <f t="shared" si="54"/>
        <v>[{max_hp,120}]</v>
      </c>
      <c r="K389" s="29" t="str">
        <f t="shared" si="55"/>
        <v>[{63,3700}]</v>
      </c>
      <c r="L389" s="29"/>
      <c r="M389" s="29"/>
    </row>
    <row r="390" ht="16.5" spans="1:13">
      <c r="A390" s="33"/>
      <c r="B390" s="29"/>
      <c r="C390" s="42"/>
      <c r="D390" s="61" t="s">
        <v>59</v>
      </c>
      <c r="E390" s="71">
        <f t="shared" si="53"/>
        <v>293</v>
      </c>
      <c r="F390" s="71">
        <f t="shared" si="56"/>
        <v>120</v>
      </c>
      <c r="G390" s="71">
        <v>24610</v>
      </c>
      <c r="H390" s="71">
        <v>3700</v>
      </c>
      <c r="I390" s="71">
        <f>SUM($H$98:H390)</f>
        <v>554800</v>
      </c>
      <c r="J390" s="29" t="str">
        <f t="shared" si="54"/>
        <v>[{max_hp,120}]</v>
      </c>
      <c r="K390" s="29" t="str">
        <f t="shared" si="55"/>
        <v>[{63,3700}]</v>
      </c>
      <c r="L390" s="29"/>
      <c r="M390" s="29"/>
    </row>
    <row r="391" ht="16.5" spans="1:13">
      <c r="A391" s="33"/>
      <c r="B391" s="29"/>
      <c r="C391" s="42"/>
      <c r="D391" s="61" t="s">
        <v>59</v>
      </c>
      <c r="E391" s="71">
        <f t="shared" si="53"/>
        <v>294</v>
      </c>
      <c r="F391" s="71">
        <f t="shared" si="56"/>
        <v>120</v>
      </c>
      <c r="G391" s="71">
        <v>24730</v>
      </c>
      <c r="H391" s="71">
        <v>3750</v>
      </c>
      <c r="I391" s="71">
        <f>SUM($H$98:H391)</f>
        <v>558550</v>
      </c>
      <c r="J391" s="29" t="str">
        <f t="shared" si="54"/>
        <v>[{max_hp,120}]</v>
      </c>
      <c r="K391" s="29" t="str">
        <f t="shared" si="55"/>
        <v>[{63,3750}]</v>
      </c>
      <c r="L391" s="29"/>
      <c r="M391" s="29"/>
    </row>
    <row r="392" ht="16.5" spans="1:13">
      <c r="A392" s="33"/>
      <c r="B392" s="29"/>
      <c r="C392" s="42"/>
      <c r="D392" s="61" t="s">
        <v>59</v>
      </c>
      <c r="E392" s="71">
        <f t="shared" si="53"/>
        <v>295</v>
      </c>
      <c r="F392" s="71">
        <f t="shared" si="56"/>
        <v>120</v>
      </c>
      <c r="G392" s="71">
        <v>24850</v>
      </c>
      <c r="H392" s="71">
        <v>3750</v>
      </c>
      <c r="I392" s="71">
        <f>SUM($H$98:H392)</f>
        <v>562300</v>
      </c>
      <c r="J392" s="29" t="str">
        <f t="shared" si="54"/>
        <v>[{max_hp,120}]</v>
      </c>
      <c r="K392" s="29" t="str">
        <f t="shared" si="55"/>
        <v>[{63,3750}]</v>
      </c>
      <c r="L392" s="29"/>
      <c r="M392" s="29"/>
    </row>
    <row r="393" ht="16.5" spans="1:13">
      <c r="A393" s="33"/>
      <c r="B393" s="29"/>
      <c r="C393" s="42"/>
      <c r="D393" s="61" t="s">
        <v>59</v>
      </c>
      <c r="E393" s="71">
        <f t="shared" si="53"/>
        <v>296</v>
      </c>
      <c r="F393" s="71">
        <f t="shared" si="56"/>
        <v>120</v>
      </c>
      <c r="G393" s="71">
        <v>24970</v>
      </c>
      <c r="H393" s="71">
        <v>3750</v>
      </c>
      <c r="I393" s="71">
        <f>SUM($H$98:H393)</f>
        <v>566050</v>
      </c>
      <c r="J393" s="29" t="str">
        <f t="shared" si="54"/>
        <v>[{max_hp,120}]</v>
      </c>
      <c r="K393" s="29" t="str">
        <f t="shared" si="55"/>
        <v>[{63,3750}]</v>
      </c>
      <c r="L393" s="29"/>
      <c r="M393" s="29"/>
    </row>
    <row r="394" ht="16.5" spans="1:13">
      <c r="A394" s="33"/>
      <c r="B394" s="29"/>
      <c r="C394" s="42"/>
      <c r="D394" s="61" t="s">
        <v>59</v>
      </c>
      <c r="E394" s="71">
        <f t="shared" si="53"/>
        <v>297</v>
      </c>
      <c r="F394" s="71">
        <f t="shared" si="56"/>
        <v>120</v>
      </c>
      <c r="G394" s="71">
        <v>25090</v>
      </c>
      <c r="H394" s="71">
        <v>3750</v>
      </c>
      <c r="I394" s="71">
        <f>SUM($H$98:H394)</f>
        <v>569800</v>
      </c>
      <c r="J394" s="29" t="str">
        <f t="shared" si="54"/>
        <v>[{max_hp,120}]</v>
      </c>
      <c r="K394" s="29" t="str">
        <f t="shared" si="55"/>
        <v>[{63,3750}]</v>
      </c>
      <c r="L394" s="29"/>
      <c r="M394" s="29"/>
    </row>
    <row r="395" ht="16.5" spans="1:13">
      <c r="A395" s="33"/>
      <c r="B395" s="29"/>
      <c r="C395" s="42"/>
      <c r="D395" s="61" t="s">
        <v>59</v>
      </c>
      <c r="E395" s="71">
        <f t="shared" si="53"/>
        <v>298</v>
      </c>
      <c r="F395" s="71">
        <f t="shared" si="56"/>
        <v>120</v>
      </c>
      <c r="G395" s="71">
        <v>25210</v>
      </c>
      <c r="H395" s="71">
        <v>3800</v>
      </c>
      <c r="I395" s="71">
        <f>SUM($H$98:H395)</f>
        <v>573600</v>
      </c>
      <c r="J395" s="29" t="str">
        <f t="shared" si="54"/>
        <v>[{max_hp,120}]</v>
      </c>
      <c r="K395" s="29" t="str">
        <f t="shared" si="55"/>
        <v>[{63,3800}]</v>
      </c>
      <c r="L395" s="29"/>
      <c r="M395" s="29"/>
    </row>
    <row r="396" ht="16.5" spans="1:13">
      <c r="A396" s="33"/>
      <c r="B396" s="29"/>
      <c r="C396" s="42"/>
      <c r="D396" s="61" t="s">
        <v>59</v>
      </c>
      <c r="E396" s="71">
        <f t="shared" si="53"/>
        <v>299</v>
      </c>
      <c r="F396" s="71">
        <f t="shared" si="56"/>
        <v>120</v>
      </c>
      <c r="G396" s="71">
        <v>25330</v>
      </c>
      <c r="H396" s="71">
        <v>3800</v>
      </c>
      <c r="I396" s="71">
        <f>SUM($H$98:H396)</f>
        <v>577400</v>
      </c>
      <c r="J396" s="29" t="str">
        <f t="shared" si="54"/>
        <v>[{max_hp,120}]</v>
      </c>
      <c r="K396" s="29" t="str">
        <f t="shared" si="55"/>
        <v>[{63,3800}]</v>
      </c>
      <c r="L396" s="29"/>
      <c r="M396" s="29"/>
    </row>
    <row r="397" ht="16.5" spans="1:13">
      <c r="A397" s="33"/>
      <c r="B397" s="29"/>
      <c r="C397" s="42"/>
      <c r="D397" s="61" t="s">
        <v>59</v>
      </c>
      <c r="E397" s="71">
        <f t="shared" si="53"/>
        <v>300</v>
      </c>
      <c r="F397" s="71">
        <f t="shared" si="56"/>
        <v>120</v>
      </c>
      <c r="G397" s="71">
        <v>25450</v>
      </c>
      <c r="H397" s="71">
        <v>3800</v>
      </c>
      <c r="I397" s="71">
        <f>SUM($H$98:H397)</f>
        <v>581200</v>
      </c>
      <c r="J397" s="29" t="str">
        <f t="shared" si="54"/>
        <v>[{max_hp,120}]</v>
      </c>
      <c r="K397" s="29" t="str">
        <f t="shared" si="55"/>
        <v>[{63,3800}]</v>
      </c>
      <c r="L397" s="29"/>
      <c r="M397" s="29"/>
    </row>
    <row r="398" ht="16.5" spans="1:13">
      <c r="A398" s="33"/>
      <c r="B398" s="29"/>
      <c r="C398" s="42"/>
      <c r="D398" s="61" t="s">
        <v>59</v>
      </c>
      <c r="E398" s="71">
        <f t="shared" si="53"/>
        <v>301</v>
      </c>
      <c r="F398" s="71">
        <f t="shared" si="56"/>
        <v>125</v>
      </c>
      <c r="G398" s="71">
        <v>25575</v>
      </c>
      <c r="H398" s="71">
        <v>3800</v>
      </c>
      <c r="I398" s="71">
        <f>SUM($H$98:H398)</f>
        <v>585000</v>
      </c>
      <c r="J398" s="29" t="str">
        <f t="shared" si="54"/>
        <v>[{max_hp,125}]</v>
      </c>
      <c r="K398" s="29" t="str">
        <f t="shared" si="55"/>
        <v>[{63,3800}]</v>
      </c>
      <c r="L398" s="29"/>
      <c r="M398" s="29"/>
    </row>
    <row r="399" ht="16.5" spans="1:13">
      <c r="A399" s="33"/>
      <c r="B399" s="29"/>
      <c r="C399" s="42"/>
      <c r="D399" s="61" t="s">
        <v>59</v>
      </c>
      <c r="E399" s="71">
        <f t="shared" si="53"/>
        <v>302</v>
      </c>
      <c r="F399" s="71">
        <f t="shared" si="56"/>
        <v>125</v>
      </c>
      <c r="G399" s="71">
        <v>25700</v>
      </c>
      <c r="H399" s="71">
        <v>3850</v>
      </c>
      <c r="I399" s="71">
        <f>SUM($H$98:H399)</f>
        <v>588850</v>
      </c>
      <c r="J399" s="29" t="str">
        <f t="shared" si="54"/>
        <v>[{max_hp,125}]</v>
      </c>
      <c r="K399" s="29" t="str">
        <f t="shared" si="55"/>
        <v>[{63,3850}]</v>
      </c>
      <c r="L399" s="29"/>
      <c r="M399" s="29"/>
    </row>
    <row r="400" ht="16.5" spans="1:13">
      <c r="A400" s="33"/>
      <c r="B400" s="29"/>
      <c r="C400" s="42"/>
      <c r="D400" s="61" t="s">
        <v>59</v>
      </c>
      <c r="E400" s="71">
        <f t="shared" si="53"/>
        <v>303</v>
      </c>
      <c r="F400" s="71">
        <f t="shared" si="56"/>
        <v>125</v>
      </c>
      <c r="G400" s="71">
        <v>25825</v>
      </c>
      <c r="H400" s="71">
        <v>3850</v>
      </c>
      <c r="I400" s="71">
        <f>SUM($H$98:H400)</f>
        <v>592700</v>
      </c>
      <c r="J400" s="29" t="str">
        <f t="shared" si="54"/>
        <v>[{max_hp,125}]</v>
      </c>
      <c r="K400" s="29" t="str">
        <f t="shared" si="55"/>
        <v>[{63,3850}]</v>
      </c>
      <c r="L400" s="29"/>
      <c r="M400" s="29"/>
    </row>
    <row r="401" ht="16.5" spans="1:13">
      <c r="A401" s="33"/>
      <c r="B401" s="29"/>
      <c r="C401" s="42"/>
      <c r="D401" s="61" t="s">
        <v>59</v>
      </c>
      <c r="E401" s="71">
        <f t="shared" si="53"/>
        <v>304</v>
      </c>
      <c r="F401" s="71">
        <f t="shared" si="56"/>
        <v>125</v>
      </c>
      <c r="G401" s="71">
        <v>25950</v>
      </c>
      <c r="H401" s="71">
        <v>3850</v>
      </c>
      <c r="I401" s="71">
        <f>SUM($H$98:H401)</f>
        <v>596550</v>
      </c>
      <c r="J401" s="29" t="str">
        <f t="shared" si="54"/>
        <v>[{max_hp,125}]</v>
      </c>
      <c r="K401" s="29" t="str">
        <f t="shared" si="55"/>
        <v>[{63,3850}]</v>
      </c>
      <c r="L401" s="29"/>
      <c r="M401" s="29"/>
    </row>
    <row r="402" ht="16.5" spans="1:13">
      <c r="A402" s="33"/>
      <c r="B402" s="29"/>
      <c r="C402" s="42"/>
      <c r="D402" s="61" t="s">
        <v>59</v>
      </c>
      <c r="E402" s="71">
        <f t="shared" si="53"/>
        <v>305</v>
      </c>
      <c r="F402" s="71">
        <f t="shared" si="56"/>
        <v>125</v>
      </c>
      <c r="G402" s="71">
        <v>26075</v>
      </c>
      <c r="H402" s="71">
        <v>3850</v>
      </c>
      <c r="I402" s="71">
        <f>SUM($H$98:H402)</f>
        <v>600400</v>
      </c>
      <c r="J402" s="29" t="str">
        <f t="shared" si="54"/>
        <v>[{max_hp,125}]</v>
      </c>
      <c r="K402" s="29" t="str">
        <f t="shared" si="55"/>
        <v>[{63,3850}]</v>
      </c>
      <c r="L402" s="29"/>
      <c r="M402" s="29"/>
    </row>
    <row r="403" ht="16.5" spans="1:13">
      <c r="A403" s="33"/>
      <c r="B403" s="29"/>
      <c r="C403" s="42"/>
      <c r="D403" s="61" t="s">
        <v>59</v>
      </c>
      <c r="E403" s="71">
        <f t="shared" si="53"/>
        <v>306</v>
      </c>
      <c r="F403" s="71">
        <f t="shared" si="56"/>
        <v>125</v>
      </c>
      <c r="G403" s="71">
        <v>26200</v>
      </c>
      <c r="H403" s="71">
        <v>3900</v>
      </c>
      <c r="I403" s="71">
        <f>SUM($H$98:H403)</f>
        <v>604300</v>
      </c>
      <c r="J403" s="29" t="str">
        <f t="shared" si="54"/>
        <v>[{max_hp,125}]</v>
      </c>
      <c r="K403" s="29" t="str">
        <f t="shared" si="55"/>
        <v>[{63,3900}]</v>
      </c>
      <c r="L403" s="29"/>
      <c r="M403" s="29"/>
    </row>
    <row r="404" ht="16.5" spans="1:13">
      <c r="A404" s="33"/>
      <c r="B404" s="29"/>
      <c r="C404" s="42"/>
      <c r="D404" s="61" t="s">
        <v>59</v>
      </c>
      <c r="E404" s="71">
        <f t="shared" si="53"/>
        <v>307</v>
      </c>
      <c r="F404" s="71">
        <f t="shared" si="56"/>
        <v>125</v>
      </c>
      <c r="G404" s="71">
        <v>26325</v>
      </c>
      <c r="H404" s="71">
        <v>3900</v>
      </c>
      <c r="I404" s="71">
        <f>SUM($H$98:H404)</f>
        <v>608200</v>
      </c>
      <c r="J404" s="29" t="str">
        <f t="shared" si="54"/>
        <v>[{max_hp,125}]</v>
      </c>
      <c r="K404" s="29" t="str">
        <f t="shared" si="55"/>
        <v>[{63,3900}]</v>
      </c>
      <c r="L404" s="29"/>
      <c r="M404" s="29"/>
    </row>
    <row r="405" ht="16.5" spans="1:13">
      <c r="A405" s="33"/>
      <c r="B405" s="29"/>
      <c r="C405" s="42"/>
      <c r="D405" s="61" t="s">
        <v>59</v>
      </c>
      <c r="E405" s="71">
        <f t="shared" si="53"/>
        <v>308</v>
      </c>
      <c r="F405" s="71">
        <f t="shared" si="56"/>
        <v>125</v>
      </c>
      <c r="G405" s="71">
        <v>26450</v>
      </c>
      <c r="H405" s="71">
        <v>3900</v>
      </c>
      <c r="I405" s="71">
        <f>SUM($H$98:H405)</f>
        <v>612100</v>
      </c>
      <c r="J405" s="29" t="str">
        <f t="shared" si="54"/>
        <v>[{max_hp,125}]</v>
      </c>
      <c r="K405" s="29" t="str">
        <f t="shared" si="55"/>
        <v>[{63,3900}]</v>
      </c>
      <c r="L405" s="29"/>
      <c r="M405" s="29"/>
    </row>
    <row r="406" ht="16.5" spans="1:13">
      <c r="A406" s="33"/>
      <c r="B406" s="29"/>
      <c r="C406" s="42"/>
      <c r="D406" s="61" t="s">
        <v>59</v>
      </c>
      <c r="E406" s="71">
        <f t="shared" si="53"/>
        <v>309</v>
      </c>
      <c r="F406" s="71">
        <f t="shared" si="56"/>
        <v>125</v>
      </c>
      <c r="G406" s="71">
        <v>26575</v>
      </c>
      <c r="H406" s="71">
        <v>3900</v>
      </c>
      <c r="I406" s="71">
        <f>SUM($H$98:H406)</f>
        <v>616000</v>
      </c>
      <c r="J406" s="29" t="str">
        <f t="shared" si="54"/>
        <v>[{max_hp,125}]</v>
      </c>
      <c r="K406" s="29" t="str">
        <f t="shared" si="55"/>
        <v>[{63,3900}]</v>
      </c>
      <c r="L406" s="29"/>
      <c r="M406" s="29"/>
    </row>
    <row r="407" ht="16.5" spans="1:13">
      <c r="A407" s="33"/>
      <c r="B407" s="29"/>
      <c r="C407" s="42"/>
      <c r="D407" s="61" t="s">
        <v>59</v>
      </c>
      <c r="E407" s="71">
        <f t="shared" si="53"/>
        <v>310</v>
      </c>
      <c r="F407" s="71">
        <f t="shared" si="56"/>
        <v>125</v>
      </c>
      <c r="G407" s="71">
        <v>26700</v>
      </c>
      <c r="H407" s="71">
        <v>3950</v>
      </c>
      <c r="I407" s="71">
        <f>SUM($H$98:H407)</f>
        <v>619950</v>
      </c>
      <c r="J407" s="29" t="str">
        <f t="shared" si="54"/>
        <v>[{max_hp,125}]</v>
      </c>
      <c r="K407" s="29" t="str">
        <f t="shared" si="55"/>
        <v>[{63,3950}]</v>
      </c>
      <c r="L407" s="29"/>
      <c r="M407" s="29"/>
    </row>
    <row r="408" ht="16.5" spans="1:13">
      <c r="A408" s="33"/>
      <c r="B408" s="29"/>
      <c r="C408" s="42"/>
      <c r="D408" s="61" t="s">
        <v>59</v>
      </c>
      <c r="E408" s="71">
        <f t="shared" si="53"/>
        <v>311</v>
      </c>
      <c r="F408" s="71">
        <f t="shared" si="56"/>
        <v>125</v>
      </c>
      <c r="G408" s="71">
        <v>26825</v>
      </c>
      <c r="H408" s="71">
        <v>3950</v>
      </c>
      <c r="I408" s="71">
        <f>SUM($H$98:H408)</f>
        <v>623900</v>
      </c>
      <c r="J408" s="29" t="str">
        <f t="shared" si="54"/>
        <v>[{max_hp,125}]</v>
      </c>
      <c r="K408" s="29" t="str">
        <f t="shared" si="55"/>
        <v>[{63,3950}]</v>
      </c>
      <c r="L408" s="29"/>
      <c r="M408" s="29"/>
    </row>
    <row r="409" ht="16.5" spans="1:13">
      <c r="A409" s="33"/>
      <c r="B409" s="29"/>
      <c r="C409" s="42"/>
      <c r="D409" s="61" t="s">
        <v>59</v>
      </c>
      <c r="E409" s="71">
        <f t="shared" si="53"/>
        <v>312</v>
      </c>
      <c r="F409" s="71">
        <f t="shared" si="56"/>
        <v>125</v>
      </c>
      <c r="G409" s="71">
        <v>26950</v>
      </c>
      <c r="H409" s="71">
        <v>3950</v>
      </c>
      <c r="I409" s="71">
        <f>SUM($H$98:H409)</f>
        <v>627850</v>
      </c>
      <c r="J409" s="29" t="str">
        <f t="shared" si="54"/>
        <v>[{max_hp,125}]</v>
      </c>
      <c r="K409" s="29" t="str">
        <f t="shared" si="55"/>
        <v>[{63,3950}]</v>
      </c>
      <c r="L409" s="29"/>
      <c r="M409" s="29"/>
    </row>
    <row r="410" ht="16.5" spans="1:13">
      <c r="A410" s="33"/>
      <c r="B410" s="29"/>
      <c r="C410" s="42"/>
      <c r="D410" s="61" t="s">
        <v>59</v>
      </c>
      <c r="E410" s="71">
        <f t="shared" si="53"/>
        <v>313</v>
      </c>
      <c r="F410" s="71">
        <f t="shared" si="56"/>
        <v>125</v>
      </c>
      <c r="G410" s="71">
        <v>27075</v>
      </c>
      <c r="H410" s="71">
        <v>3950</v>
      </c>
      <c r="I410" s="71">
        <f>SUM($H$98:H410)</f>
        <v>631800</v>
      </c>
      <c r="J410" s="29" t="str">
        <f t="shared" si="54"/>
        <v>[{max_hp,125}]</v>
      </c>
      <c r="K410" s="29" t="str">
        <f t="shared" si="55"/>
        <v>[{63,3950}]</v>
      </c>
      <c r="L410" s="29"/>
      <c r="M410" s="29"/>
    </row>
    <row r="411" ht="16.5" spans="1:13">
      <c r="A411" s="33"/>
      <c r="B411" s="29"/>
      <c r="C411" s="42"/>
      <c r="D411" s="61" t="s">
        <v>59</v>
      </c>
      <c r="E411" s="71">
        <f t="shared" si="53"/>
        <v>314</v>
      </c>
      <c r="F411" s="71">
        <f t="shared" si="56"/>
        <v>125</v>
      </c>
      <c r="G411" s="71">
        <v>27200</v>
      </c>
      <c r="H411" s="71">
        <v>4000</v>
      </c>
      <c r="I411" s="71">
        <f>SUM($H$98:H411)</f>
        <v>635800</v>
      </c>
      <c r="J411" s="29" t="str">
        <f t="shared" si="54"/>
        <v>[{max_hp,125}]</v>
      </c>
      <c r="K411" s="29" t="str">
        <f t="shared" si="55"/>
        <v>[{63,4000}]</v>
      </c>
      <c r="L411" s="29"/>
      <c r="M411" s="29"/>
    </row>
    <row r="412" ht="16.5" spans="1:13">
      <c r="A412" s="33"/>
      <c r="B412" s="29"/>
      <c r="C412" s="42"/>
      <c r="D412" s="61" t="s">
        <v>59</v>
      </c>
      <c r="E412" s="71">
        <f t="shared" si="53"/>
        <v>315</v>
      </c>
      <c r="F412" s="71">
        <f t="shared" si="56"/>
        <v>125</v>
      </c>
      <c r="G412" s="71">
        <v>27325</v>
      </c>
      <c r="H412" s="71">
        <v>4000</v>
      </c>
      <c r="I412" s="71">
        <f>SUM($H$98:H412)</f>
        <v>639800</v>
      </c>
      <c r="J412" s="29" t="str">
        <f t="shared" si="54"/>
        <v>[{max_hp,125}]</v>
      </c>
      <c r="K412" s="29" t="str">
        <f t="shared" si="55"/>
        <v>[{63,4000}]</v>
      </c>
      <c r="L412" s="29"/>
      <c r="M412" s="29"/>
    </row>
    <row r="413" ht="16.5" spans="1:13">
      <c r="A413" s="33"/>
      <c r="B413" s="29"/>
      <c r="C413" s="42"/>
      <c r="D413" s="61" t="s">
        <v>59</v>
      </c>
      <c r="E413" s="71">
        <f t="shared" si="53"/>
        <v>316</v>
      </c>
      <c r="F413" s="71">
        <f t="shared" si="56"/>
        <v>125</v>
      </c>
      <c r="G413" s="71">
        <v>27450</v>
      </c>
      <c r="H413" s="71">
        <v>4000</v>
      </c>
      <c r="I413" s="71">
        <f>SUM($H$98:H413)</f>
        <v>643800</v>
      </c>
      <c r="J413" s="29" t="str">
        <f t="shared" si="54"/>
        <v>[{max_hp,125}]</v>
      </c>
      <c r="K413" s="29" t="str">
        <f t="shared" si="55"/>
        <v>[{63,4000}]</v>
      </c>
      <c r="L413" s="29"/>
      <c r="M413" s="29"/>
    </row>
    <row r="414" ht="16.5" spans="1:13">
      <c r="A414" s="33"/>
      <c r="B414" s="29"/>
      <c r="C414" s="42"/>
      <c r="D414" s="61" t="s">
        <v>59</v>
      </c>
      <c r="E414" s="71">
        <f t="shared" ref="E414:E419" si="57">E413+1</f>
        <v>317</v>
      </c>
      <c r="F414" s="71">
        <f t="shared" si="56"/>
        <v>125</v>
      </c>
      <c r="G414" s="71">
        <v>27575</v>
      </c>
      <c r="H414" s="71">
        <v>4000</v>
      </c>
      <c r="I414" s="71">
        <f>SUM($H$98:H414)</f>
        <v>647800</v>
      </c>
      <c r="J414" s="29" t="str">
        <f t="shared" si="54"/>
        <v>[{max_hp,125}]</v>
      </c>
      <c r="K414" s="29" t="str">
        <f t="shared" si="55"/>
        <v>[{63,4000}]</v>
      </c>
      <c r="L414" s="29"/>
      <c r="M414" s="29"/>
    </row>
    <row r="415" ht="16.5" spans="1:13">
      <c r="A415" s="33"/>
      <c r="B415" s="29"/>
      <c r="C415" s="42"/>
      <c r="D415" s="61" t="s">
        <v>59</v>
      </c>
      <c r="E415" s="71">
        <f t="shared" si="57"/>
        <v>318</v>
      </c>
      <c r="F415" s="71">
        <f t="shared" si="56"/>
        <v>125</v>
      </c>
      <c r="G415" s="71">
        <v>27700</v>
      </c>
      <c r="H415" s="71">
        <v>4050</v>
      </c>
      <c r="I415" s="71">
        <f>SUM($H$98:H415)</f>
        <v>651850</v>
      </c>
      <c r="J415" s="29" t="str">
        <f t="shared" si="54"/>
        <v>[{max_hp,125}]</v>
      </c>
      <c r="K415" s="29" t="str">
        <f t="shared" si="55"/>
        <v>[{63,4050}]</v>
      </c>
      <c r="L415" s="29"/>
      <c r="M415" s="29"/>
    </row>
    <row r="416" ht="16.5" spans="1:13">
      <c r="A416" s="33"/>
      <c r="B416" s="29"/>
      <c r="C416" s="42"/>
      <c r="D416" s="61" t="s">
        <v>59</v>
      </c>
      <c r="E416" s="71">
        <f t="shared" si="57"/>
        <v>319</v>
      </c>
      <c r="F416" s="71">
        <f t="shared" si="56"/>
        <v>125</v>
      </c>
      <c r="G416" s="71">
        <v>27825</v>
      </c>
      <c r="H416" s="71">
        <v>4050</v>
      </c>
      <c r="I416" s="71">
        <f>SUM($H$98:H416)</f>
        <v>655900</v>
      </c>
      <c r="J416" s="29" t="str">
        <f t="shared" si="54"/>
        <v>[{max_hp,125}]</v>
      </c>
      <c r="K416" s="29" t="str">
        <f t="shared" si="55"/>
        <v>[{63,4050}]</v>
      </c>
      <c r="L416" s="29"/>
      <c r="M416" s="29"/>
    </row>
    <row r="417" ht="16.5" spans="1:13">
      <c r="A417" s="33"/>
      <c r="B417" s="29"/>
      <c r="C417" s="42"/>
      <c r="D417" s="61" t="s">
        <v>59</v>
      </c>
      <c r="E417" s="71">
        <f t="shared" si="57"/>
        <v>320</v>
      </c>
      <c r="F417" s="71">
        <f t="shared" si="56"/>
        <v>125</v>
      </c>
      <c r="G417" s="71">
        <v>27950</v>
      </c>
      <c r="H417" s="71">
        <v>4050</v>
      </c>
      <c r="I417" s="71">
        <f>SUM($H$98:H417)</f>
        <v>659950</v>
      </c>
      <c r="J417" s="29" t="str">
        <f t="shared" si="54"/>
        <v>[{max_hp,125}]</v>
      </c>
      <c r="K417" s="29" t="str">
        <f t="shared" si="55"/>
        <v>[{63,4050}]</v>
      </c>
      <c r="L417" s="29"/>
      <c r="M417" s="29"/>
    </row>
    <row r="418" ht="16.5" spans="1:13">
      <c r="A418" s="29"/>
      <c r="B418" s="29"/>
      <c r="C418" s="30"/>
      <c r="D418" s="61" t="s">
        <v>59</v>
      </c>
      <c r="E418" s="71">
        <f t="shared" si="57"/>
        <v>321</v>
      </c>
      <c r="F418" s="71">
        <f t="shared" si="56"/>
        <v>130</v>
      </c>
      <c r="G418" s="71">
        <v>28080</v>
      </c>
      <c r="H418" s="71">
        <v>4050</v>
      </c>
      <c r="I418" s="71">
        <f>SUM($H$98:H418)</f>
        <v>664000</v>
      </c>
      <c r="J418" s="29" t="str">
        <f t="shared" si="54"/>
        <v>[{max_hp,130}]</v>
      </c>
      <c r="K418" s="29" t="str">
        <f t="shared" si="55"/>
        <v>[{63,4050}]</v>
      </c>
      <c r="L418" s="29"/>
    </row>
    <row r="419" ht="16.5" spans="1:13">
      <c r="A419" s="29"/>
      <c r="B419" s="29"/>
      <c r="C419" s="30"/>
      <c r="D419" s="61" t="s">
        <v>59</v>
      </c>
      <c r="E419" s="71">
        <f t="shared" si="57"/>
        <v>322</v>
      </c>
      <c r="F419" s="71">
        <f t="shared" si="56"/>
        <v>130</v>
      </c>
      <c r="G419" s="71">
        <v>28210</v>
      </c>
      <c r="H419" s="71">
        <v>4100</v>
      </c>
      <c r="I419" s="71">
        <f>SUM($H$98:H419)</f>
        <v>668100</v>
      </c>
      <c r="J419" s="29" t="str">
        <f t="shared" ref="J419:J482" si="58">"[{max_hp,"&amp;F419&amp;"}]"</f>
        <v>[{max_hp,130}]</v>
      </c>
      <c r="K419" s="29" t="str">
        <f t="shared" ref="K419:K482" si="59">"[{63,"&amp;H419&amp;"}]"</f>
        <v>[{63,4100}]</v>
      </c>
      <c r="L419" s="29"/>
      <c r="M419" s="29"/>
    </row>
    <row r="420" ht="16.5" spans="1:13">
      <c r="A420" s="29"/>
      <c r="B420" s="29"/>
      <c r="C420" s="30"/>
      <c r="D420" s="61" t="s">
        <v>59</v>
      </c>
      <c r="E420" s="71">
        <f t="shared" ref="E420:E451" si="60">E419+1</f>
        <v>323</v>
      </c>
      <c r="F420" s="71">
        <f t="shared" ref="F420:F483" si="61">G420-G419</f>
        <v>130</v>
      </c>
      <c r="G420" s="71">
        <v>28340</v>
      </c>
      <c r="H420" s="71">
        <v>4100</v>
      </c>
      <c r="I420" s="71">
        <f>SUM($H$98:H420)</f>
        <v>672200</v>
      </c>
      <c r="J420" s="29" t="str">
        <f t="shared" si="58"/>
        <v>[{max_hp,130}]</v>
      </c>
      <c r="K420" s="29" t="str">
        <f t="shared" si="59"/>
        <v>[{63,4100}]</v>
      </c>
      <c r="L420" s="29"/>
      <c r="M420" s="29"/>
    </row>
    <row r="421" ht="16.5" spans="1:13">
      <c r="A421" s="29"/>
      <c r="B421" s="29"/>
      <c r="C421" s="30"/>
      <c r="D421" s="61" t="s">
        <v>59</v>
      </c>
      <c r="E421" s="71">
        <f t="shared" si="60"/>
        <v>324</v>
      </c>
      <c r="F421" s="71">
        <f t="shared" si="61"/>
        <v>130</v>
      </c>
      <c r="G421" s="71">
        <v>28470</v>
      </c>
      <c r="H421" s="71">
        <v>4100</v>
      </c>
      <c r="I421" s="71">
        <f>SUM($H$98:H421)</f>
        <v>676300</v>
      </c>
      <c r="J421" s="29" t="str">
        <f t="shared" si="58"/>
        <v>[{max_hp,130}]</v>
      </c>
      <c r="K421" s="29" t="str">
        <f t="shared" si="59"/>
        <v>[{63,4100}]</v>
      </c>
      <c r="L421" s="29"/>
      <c r="M421" s="29"/>
    </row>
    <row r="422" ht="16.5" spans="1:13">
      <c r="A422" s="29"/>
      <c r="B422" s="29"/>
      <c r="C422" s="30"/>
      <c r="D422" s="61" t="s">
        <v>59</v>
      </c>
      <c r="E422" s="71">
        <f t="shared" si="60"/>
        <v>325</v>
      </c>
      <c r="F422" s="71">
        <f t="shared" si="61"/>
        <v>130</v>
      </c>
      <c r="G422" s="71">
        <v>28600</v>
      </c>
      <c r="H422" s="71">
        <v>4100</v>
      </c>
      <c r="I422" s="71">
        <f>SUM($H$98:H422)</f>
        <v>680400</v>
      </c>
      <c r="J422" s="29" t="str">
        <f t="shared" si="58"/>
        <v>[{max_hp,130}]</v>
      </c>
      <c r="K422" s="29" t="str">
        <f t="shared" si="59"/>
        <v>[{63,4100}]</v>
      </c>
      <c r="L422" s="29"/>
      <c r="M422" s="29"/>
    </row>
    <row r="423" ht="16.5" spans="1:13">
      <c r="A423" s="29"/>
      <c r="B423" s="29"/>
      <c r="C423" s="30"/>
      <c r="D423" s="61" t="s">
        <v>59</v>
      </c>
      <c r="E423" s="71">
        <f t="shared" si="60"/>
        <v>326</v>
      </c>
      <c r="F423" s="71">
        <f t="shared" si="61"/>
        <v>130</v>
      </c>
      <c r="G423" s="71">
        <v>28730</v>
      </c>
      <c r="H423" s="71">
        <v>4150</v>
      </c>
      <c r="I423" s="71">
        <f>SUM($H$98:H423)</f>
        <v>684550</v>
      </c>
      <c r="J423" s="29" t="str">
        <f t="shared" si="58"/>
        <v>[{max_hp,130}]</v>
      </c>
      <c r="K423" s="29" t="str">
        <f t="shared" si="59"/>
        <v>[{63,4150}]</v>
      </c>
      <c r="L423" s="29"/>
      <c r="M423" s="29"/>
    </row>
    <row r="424" ht="16.5" spans="1:13">
      <c r="A424" s="29"/>
      <c r="B424" s="29"/>
      <c r="C424" s="30"/>
      <c r="D424" s="61" t="s">
        <v>59</v>
      </c>
      <c r="E424" s="71">
        <f t="shared" si="60"/>
        <v>327</v>
      </c>
      <c r="F424" s="71">
        <f t="shared" si="61"/>
        <v>130</v>
      </c>
      <c r="G424" s="71">
        <v>28860</v>
      </c>
      <c r="H424" s="71">
        <v>4150</v>
      </c>
      <c r="I424" s="71">
        <f>SUM($H$98:H424)</f>
        <v>688700</v>
      </c>
      <c r="J424" s="29" t="str">
        <f t="shared" si="58"/>
        <v>[{max_hp,130}]</v>
      </c>
      <c r="K424" s="29" t="str">
        <f t="shared" si="59"/>
        <v>[{63,4150}]</v>
      </c>
      <c r="L424" s="29"/>
      <c r="M424" s="29"/>
    </row>
    <row r="425" ht="16.5" spans="1:13">
      <c r="A425" s="29"/>
      <c r="B425" s="29"/>
      <c r="C425" s="30"/>
      <c r="D425" s="61" t="s">
        <v>59</v>
      </c>
      <c r="E425" s="71">
        <f t="shared" si="60"/>
        <v>328</v>
      </c>
      <c r="F425" s="71">
        <f t="shared" si="61"/>
        <v>130</v>
      </c>
      <c r="G425" s="71">
        <v>28990</v>
      </c>
      <c r="H425" s="71">
        <v>4150</v>
      </c>
      <c r="I425" s="71">
        <f>SUM($H$98:H425)</f>
        <v>692850</v>
      </c>
      <c r="J425" s="29" t="str">
        <f t="shared" si="58"/>
        <v>[{max_hp,130}]</v>
      </c>
      <c r="K425" s="29" t="str">
        <f t="shared" si="59"/>
        <v>[{63,4150}]</v>
      </c>
      <c r="L425" s="29"/>
      <c r="M425" s="29"/>
    </row>
    <row r="426" ht="16.5" spans="1:13">
      <c r="A426" s="29"/>
      <c r="B426" s="29"/>
      <c r="C426" s="30"/>
      <c r="D426" s="61" t="s">
        <v>59</v>
      </c>
      <c r="E426" s="71">
        <f t="shared" si="60"/>
        <v>329</v>
      </c>
      <c r="F426" s="71">
        <f t="shared" si="61"/>
        <v>130</v>
      </c>
      <c r="G426" s="71">
        <v>29120</v>
      </c>
      <c r="H426" s="71">
        <v>4150</v>
      </c>
      <c r="I426" s="71">
        <f>SUM($H$98:H426)</f>
        <v>697000</v>
      </c>
      <c r="J426" s="29" t="str">
        <f t="shared" si="58"/>
        <v>[{max_hp,130}]</v>
      </c>
      <c r="K426" s="29" t="str">
        <f t="shared" si="59"/>
        <v>[{63,4150}]</v>
      </c>
      <c r="L426" s="29"/>
      <c r="M426" s="29"/>
    </row>
    <row r="427" ht="16.5" spans="1:13">
      <c r="A427" s="29"/>
      <c r="B427" s="29"/>
      <c r="C427" s="30"/>
      <c r="D427" s="61" t="s">
        <v>59</v>
      </c>
      <c r="E427" s="71">
        <f t="shared" si="60"/>
        <v>330</v>
      </c>
      <c r="F427" s="71">
        <f t="shared" si="61"/>
        <v>130</v>
      </c>
      <c r="G427" s="71">
        <v>29250</v>
      </c>
      <c r="H427" s="71">
        <v>4200</v>
      </c>
      <c r="I427" s="71">
        <f>SUM($H$98:H427)</f>
        <v>701200</v>
      </c>
      <c r="J427" s="29" t="str">
        <f t="shared" si="58"/>
        <v>[{max_hp,130}]</v>
      </c>
      <c r="K427" s="29" t="str">
        <f t="shared" si="59"/>
        <v>[{63,4200}]</v>
      </c>
      <c r="L427" s="29"/>
      <c r="M427" s="29"/>
    </row>
    <row r="428" ht="16.5" spans="1:13">
      <c r="A428" s="29"/>
      <c r="B428" s="29"/>
      <c r="C428" s="30"/>
      <c r="D428" s="61" t="s">
        <v>59</v>
      </c>
      <c r="E428" s="71">
        <f t="shared" si="60"/>
        <v>331</v>
      </c>
      <c r="F428" s="71">
        <f t="shared" si="61"/>
        <v>130</v>
      </c>
      <c r="G428" s="71">
        <v>29380</v>
      </c>
      <c r="H428" s="71">
        <v>4200</v>
      </c>
      <c r="I428" s="71">
        <f>SUM($H$98:H428)</f>
        <v>705400</v>
      </c>
      <c r="J428" s="29" t="str">
        <f t="shared" si="58"/>
        <v>[{max_hp,130}]</v>
      </c>
      <c r="K428" s="29" t="str">
        <f t="shared" si="59"/>
        <v>[{63,4200}]</v>
      </c>
      <c r="L428" s="29"/>
      <c r="M428" s="29"/>
    </row>
    <row r="429" ht="16.5" spans="1:13">
      <c r="A429" s="29"/>
      <c r="B429" s="29"/>
      <c r="C429" s="30"/>
      <c r="D429" s="61" t="s">
        <v>59</v>
      </c>
      <c r="E429" s="71">
        <f t="shared" si="60"/>
        <v>332</v>
      </c>
      <c r="F429" s="71">
        <f t="shared" si="61"/>
        <v>130</v>
      </c>
      <c r="G429" s="71">
        <v>29510</v>
      </c>
      <c r="H429" s="71">
        <v>4200</v>
      </c>
      <c r="I429" s="71">
        <f>SUM($H$98:H429)</f>
        <v>709600</v>
      </c>
      <c r="J429" s="29" t="str">
        <f t="shared" si="58"/>
        <v>[{max_hp,130}]</v>
      </c>
      <c r="K429" s="29" t="str">
        <f t="shared" si="59"/>
        <v>[{63,4200}]</v>
      </c>
      <c r="L429" s="29"/>
      <c r="M429" s="29"/>
    </row>
    <row r="430" ht="16.5" spans="1:13">
      <c r="A430" s="29"/>
      <c r="B430" s="29"/>
      <c r="C430" s="30"/>
      <c r="D430" s="61" t="s">
        <v>59</v>
      </c>
      <c r="E430" s="71">
        <f t="shared" si="60"/>
        <v>333</v>
      </c>
      <c r="F430" s="71">
        <f t="shared" si="61"/>
        <v>130</v>
      </c>
      <c r="G430" s="71">
        <v>29640</v>
      </c>
      <c r="H430" s="71">
        <v>4200</v>
      </c>
      <c r="I430" s="71">
        <f>SUM($H$98:H430)</f>
        <v>713800</v>
      </c>
      <c r="J430" s="29" t="str">
        <f t="shared" si="58"/>
        <v>[{max_hp,130}]</v>
      </c>
      <c r="K430" s="29" t="str">
        <f t="shared" si="59"/>
        <v>[{63,4200}]</v>
      </c>
      <c r="L430" s="29"/>
      <c r="M430" s="29"/>
    </row>
    <row r="431" ht="16.5" spans="1:13">
      <c r="A431" s="29"/>
      <c r="B431" s="29"/>
      <c r="C431" s="30"/>
      <c r="D431" s="61" t="s">
        <v>59</v>
      </c>
      <c r="E431" s="71">
        <f t="shared" si="60"/>
        <v>334</v>
      </c>
      <c r="F431" s="71">
        <f t="shared" si="61"/>
        <v>130</v>
      </c>
      <c r="G431" s="71">
        <v>29770</v>
      </c>
      <c r="H431" s="71">
        <v>4250</v>
      </c>
      <c r="I431" s="71">
        <f>SUM($H$98:H431)</f>
        <v>718050</v>
      </c>
      <c r="J431" s="29" t="str">
        <f t="shared" si="58"/>
        <v>[{max_hp,130}]</v>
      </c>
      <c r="K431" s="29" t="str">
        <f t="shared" si="59"/>
        <v>[{63,4250}]</v>
      </c>
      <c r="L431" s="29"/>
      <c r="M431" s="29"/>
    </row>
    <row r="432" ht="16.5" spans="1:13">
      <c r="A432" s="29"/>
      <c r="B432" s="29"/>
      <c r="C432" s="30"/>
      <c r="D432" s="61" t="s">
        <v>59</v>
      </c>
      <c r="E432" s="71">
        <f t="shared" si="60"/>
        <v>335</v>
      </c>
      <c r="F432" s="71">
        <f t="shared" si="61"/>
        <v>130</v>
      </c>
      <c r="G432" s="71">
        <v>29900</v>
      </c>
      <c r="H432" s="71">
        <v>4250</v>
      </c>
      <c r="I432" s="71">
        <f>SUM($H$98:H432)</f>
        <v>722300</v>
      </c>
      <c r="J432" s="29" t="str">
        <f t="shared" si="58"/>
        <v>[{max_hp,130}]</v>
      </c>
      <c r="K432" s="29" t="str">
        <f t="shared" si="59"/>
        <v>[{63,4250}]</v>
      </c>
      <c r="L432" s="29"/>
      <c r="M432" s="29"/>
    </row>
    <row r="433" ht="16.5" spans="1:13">
      <c r="A433" s="29"/>
      <c r="B433" s="29"/>
      <c r="C433" s="30"/>
      <c r="D433" s="61" t="s">
        <v>59</v>
      </c>
      <c r="E433" s="71">
        <f t="shared" si="60"/>
        <v>336</v>
      </c>
      <c r="F433" s="71">
        <f t="shared" si="61"/>
        <v>130</v>
      </c>
      <c r="G433" s="71">
        <v>30030</v>
      </c>
      <c r="H433" s="71">
        <v>4250</v>
      </c>
      <c r="I433" s="71">
        <f>SUM($H$98:H433)</f>
        <v>726550</v>
      </c>
      <c r="J433" s="29" t="str">
        <f t="shared" si="58"/>
        <v>[{max_hp,130}]</v>
      </c>
      <c r="K433" s="29" t="str">
        <f t="shared" si="59"/>
        <v>[{63,4250}]</v>
      </c>
      <c r="L433" s="29"/>
      <c r="M433" s="29"/>
    </row>
    <row r="434" ht="16.5" spans="1:13">
      <c r="A434" s="29"/>
      <c r="B434" s="29"/>
      <c r="C434" s="30"/>
      <c r="D434" s="61" t="s">
        <v>59</v>
      </c>
      <c r="E434" s="71">
        <f t="shared" si="60"/>
        <v>337</v>
      </c>
      <c r="F434" s="71">
        <f t="shared" si="61"/>
        <v>130</v>
      </c>
      <c r="G434" s="71">
        <v>30160</v>
      </c>
      <c r="H434" s="71">
        <v>4250</v>
      </c>
      <c r="I434" s="71">
        <f>SUM($H$98:H434)</f>
        <v>730800</v>
      </c>
      <c r="J434" s="29" t="str">
        <f t="shared" si="58"/>
        <v>[{max_hp,130}]</v>
      </c>
      <c r="K434" s="29" t="str">
        <f t="shared" si="59"/>
        <v>[{63,4250}]</v>
      </c>
      <c r="L434" s="29"/>
      <c r="M434" s="29"/>
    </row>
    <row r="435" ht="16.5" spans="1:13">
      <c r="A435" s="29"/>
      <c r="B435" s="29"/>
      <c r="C435" s="30"/>
      <c r="D435" s="61" t="s">
        <v>59</v>
      </c>
      <c r="E435" s="71">
        <f t="shared" si="60"/>
        <v>338</v>
      </c>
      <c r="F435" s="71">
        <f t="shared" si="61"/>
        <v>130</v>
      </c>
      <c r="G435" s="71">
        <v>30290</v>
      </c>
      <c r="H435" s="71">
        <v>4300</v>
      </c>
      <c r="I435" s="71">
        <f>SUM($H$98:H435)</f>
        <v>735100</v>
      </c>
      <c r="J435" s="29" t="str">
        <f t="shared" si="58"/>
        <v>[{max_hp,130}]</v>
      </c>
      <c r="K435" s="29" t="str">
        <f t="shared" si="59"/>
        <v>[{63,4300}]</v>
      </c>
      <c r="L435" s="29"/>
      <c r="M435" s="29"/>
    </row>
    <row r="436" ht="16.5" spans="1:13">
      <c r="A436" s="29"/>
      <c r="B436" s="29"/>
      <c r="C436" s="30"/>
      <c r="D436" s="61" t="s">
        <v>59</v>
      </c>
      <c r="E436" s="71">
        <f t="shared" si="60"/>
        <v>339</v>
      </c>
      <c r="F436" s="71">
        <f t="shared" si="61"/>
        <v>130</v>
      </c>
      <c r="G436" s="71">
        <v>30420</v>
      </c>
      <c r="H436" s="71">
        <v>4300</v>
      </c>
      <c r="I436" s="71">
        <f>SUM($H$98:H436)</f>
        <v>739400</v>
      </c>
      <c r="J436" s="29" t="str">
        <f t="shared" si="58"/>
        <v>[{max_hp,130}]</v>
      </c>
      <c r="K436" s="29" t="str">
        <f t="shared" si="59"/>
        <v>[{63,4300}]</v>
      </c>
      <c r="L436" s="29"/>
      <c r="M436" s="29"/>
    </row>
    <row r="437" ht="16.5" spans="1:13">
      <c r="A437" s="29"/>
      <c r="B437" s="29"/>
      <c r="C437" s="30"/>
      <c r="D437" s="61" t="s">
        <v>59</v>
      </c>
      <c r="E437" s="71">
        <f t="shared" si="60"/>
        <v>340</v>
      </c>
      <c r="F437" s="71">
        <f t="shared" si="61"/>
        <v>130</v>
      </c>
      <c r="G437" s="71">
        <v>30550</v>
      </c>
      <c r="H437" s="71">
        <v>4300</v>
      </c>
      <c r="I437" s="71">
        <f>SUM($H$98:H437)</f>
        <v>743700</v>
      </c>
      <c r="J437" s="29" t="str">
        <f t="shared" si="58"/>
        <v>[{max_hp,130}]</v>
      </c>
      <c r="K437" s="29" t="str">
        <f t="shared" si="59"/>
        <v>[{63,4300}]</v>
      </c>
      <c r="L437" s="29"/>
      <c r="M437" s="29"/>
    </row>
    <row r="438" ht="16.5" spans="1:13">
      <c r="A438" s="29"/>
      <c r="B438" s="29"/>
      <c r="C438" s="30"/>
      <c r="D438" s="61" t="s">
        <v>59</v>
      </c>
      <c r="E438" s="71">
        <f t="shared" si="60"/>
        <v>341</v>
      </c>
      <c r="F438" s="71">
        <f t="shared" si="61"/>
        <v>135</v>
      </c>
      <c r="G438" s="71">
        <v>30685</v>
      </c>
      <c r="H438" s="71">
        <v>4300</v>
      </c>
      <c r="I438" s="71">
        <f>SUM($H$98:H438)</f>
        <v>748000</v>
      </c>
      <c r="J438" s="29" t="str">
        <f t="shared" si="58"/>
        <v>[{max_hp,135}]</v>
      </c>
      <c r="K438" s="29" t="str">
        <f t="shared" si="59"/>
        <v>[{63,4300}]</v>
      </c>
      <c r="L438" s="29"/>
      <c r="M438" s="29"/>
    </row>
    <row r="439" ht="16.5" spans="1:13">
      <c r="A439" s="29"/>
      <c r="B439" s="29"/>
      <c r="C439" s="30"/>
      <c r="D439" s="61" t="s">
        <v>59</v>
      </c>
      <c r="E439" s="71">
        <f t="shared" si="60"/>
        <v>342</v>
      </c>
      <c r="F439" s="71">
        <f t="shared" si="61"/>
        <v>135</v>
      </c>
      <c r="G439" s="71">
        <v>30820</v>
      </c>
      <c r="H439" s="71">
        <v>4350</v>
      </c>
      <c r="I439" s="71">
        <f>SUM($H$98:H439)</f>
        <v>752350</v>
      </c>
      <c r="J439" s="29" t="str">
        <f t="shared" si="58"/>
        <v>[{max_hp,135}]</v>
      </c>
      <c r="K439" s="29" t="str">
        <f t="shared" si="59"/>
        <v>[{63,4350}]</v>
      </c>
      <c r="L439" s="29"/>
      <c r="M439" s="29"/>
    </row>
    <row r="440" ht="16.5" spans="1:13">
      <c r="A440" s="29"/>
      <c r="B440" s="29"/>
      <c r="C440" s="30"/>
      <c r="D440" s="61" t="s">
        <v>59</v>
      </c>
      <c r="E440" s="71">
        <f t="shared" si="60"/>
        <v>343</v>
      </c>
      <c r="F440" s="71">
        <f t="shared" si="61"/>
        <v>135</v>
      </c>
      <c r="G440" s="71">
        <v>30955</v>
      </c>
      <c r="H440" s="71">
        <v>4350</v>
      </c>
      <c r="I440" s="71">
        <f>SUM($H$98:H440)</f>
        <v>756700</v>
      </c>
      <c r="J440" s="29" t="str">
        <f t="shared" si="58"/>
        <v>[{max_hp,135}]</v>
      </c>
      <c r="K440" s="29" t="str">
        <f t="shared" si="59"/>
        <v>[{63,4350}]</v>
      </c>
      <c r="L440" s="29"/>
      <c r="M440" s="29"/>
    </row>
    <row r="441" ht="16.5" spans="1:13">
      <c r="A441" s="29"/>
      <c r="B441" s="29"/>
      <c r="C441" s="30"/>
      <c r="D441" s="61" t="s">
        <v>59</v>
      </c>
      <c r="E441" s="71">
        <f t="shared" si="60"/>
        <v>344</v>
      </c>
      <c r="F441" s="71">
        <f t="shared" si="61"/>
        <v>135</v>
      </c>
      <c r="G441" s="71">
        <v>31090</v>
      </c>
      <c r="H441" s="71">
        <v>4350</v>
      </c>
      <c r="I441" s="71">
        <f>SUM($H$98:H441)</f>
        <v>761050</v>
      </c>
      <c r="J441" s="29" t="str">
        <f t="shared" si="58"/>
        <v>[{max_hp,135}]</v>
      </c>
      <c r="K441" s="29" t="str">
        <f t="shared" si="59"/>
        <v>[{63,4350}]</v>
      </c>
      <c r="L441" s="29"/>
      <c r="M441" s="29"/>
    </row>
    <row r="442" ht="16.5" spans="1:13">
      <c r="A442" s="29"/>
      <c r="B442" s="29"/>
      <c r="C442" s="30"/>
      <c r="D442" s="61" t="s">
        <v>59</v>
      </c>
      <c r="E442" s="71">
        <f t="shared" si="60"/>
        <v>345</v>
      </c>
      <c r="F442" s="71">
        <f t="shared" si="61"/>
        <v>135</v>
      </c>
      <c r="G442" s="71">
        <v>31225</v>
      </c>
      <c r="H442" s="71">
        <v>4350</v>
      </c>
      <c r="I442" s="71">
        <f>SUM($H$98:H442)</f>
        <v>765400</v>
      </c>
      <c r="J442" s="29" t="str">
        <f t="shared" si="58"/>
        <v>[{max_hp,135}]</v>
      </c>
      <c r="K442" s="29" t="str">
        <f t="shared" si="59"/>
        <v>[{63,4350}]</v>
      </c>
      <c r="L442" s="29"/>
      <c r="M442" s="29"/>
    </row>
    <row r="443" ht="16.5" spans="1:13">
      <c r="A443" s="29"/>
      <c r="B443" s="29"/>
      <c r="C443" s="30"/>
      <c r="D443" s="61" t="s">
        <v>59</v>
      </c>
      <c r="E443" s="71">
        <f t="shared" si="60"/>
        <v>346</v>
      </c>
      <c r="F443" s="71">
        <f t="shared" si="61"/>
        <v>135</v>
      </c>
      <c r="G443" s="71">
        <v>31360</v>
      </c>
      <c r="H443" s="71">
        <v>4400</v>
      </c>
      <c r="I443" s="71">
        <f>SUM($H$98:H443)</f>
        <v>769800</v>
      </c>
      <c r="J443" s="29" t="str">
        <f t="shared" si="58"/>
        <v>[{max_hp,135}]</v>
      </c>
      <c r="K443" s="29" t="str">
        <f t="shared" si="59"/>
        <v>[{63,4400}]</v>
      </c>
      <c r="L443" s="29"/>
      <c r="M443" s="29"/>
    </row>
    <row r="444" ht="16.5" spans="1:13">
      <c r="A444" s="29"/>
      <c r="B444" s="29"/>
      <c r="C444" s="30"/>
      <c r="D444" s="61" t="s">
        <v>59</v>
      </c>
      <c r="E444" s="71">
        <f t="shared" si="60"/>
        <v>347</v>
      </c>
      <c r="F444" s="71">
        <f t="shared" si="61"/>
        <v>135</v>
      </c>
      <c r="G444" s="71">
        <v>31495</v>
      </c>
      <c r="H444" s="71">
        <v>4400</v>
      </c>
      <c r="I444" s="71">
        <f>SUM($H$98:H444)</f>
        <v>774200</v>
      </c>
      <c r="J444" s="29" t="str">
        <f t="shared" si="58"/>
        <v>[{max_hp,135}]</v>
      </c>
      <c r="K444" s="29" t="str">
        <f t="shared" si="59"/>
        <v>[{63,4400}]</v>
      </c>
      <c r="L444" s="29"/>
      <c r="M444" s="29"/>
    </row>
    <row r="445" ht="16.5" spans="1:13">
      <c r="A445" s="29"/>
      <c r="B445" s="29"/>
      <c r="C445" s="30"/>
      <c r="D445" s="61" t="s">
        <v>59</v>
      </c>
      <c r="E445" s="71">
        <f t="shared" si="60"/>
        <v>348</v>
      </c>
      <c r="F445" s="71">
        <f t="shared" si="61"/>
        <v>135</v>
      </c>
      <c r="G445" s="71">
        <v>31630</v>
      </c>
      <c r="H445" s="71">
        <v>4400</v>
      </c>
      <c r="I445" s="71">
        <f>SUM($H$98:H445)</f>
        <v>778600</v>
      </c>
      <c r="J445" s="29" t="str">
        <f t="shared" si="58"/>
        <v>[{max_hp,135}]</v>
      </c>
      <c r="K445" s="29" t="str">
        <f t="shared" si="59"/>
        <v>[{63,4400}]</v>
      </c>
      <c r="L445" s="29"/>
      <c r="M445" s="29"/>
    </row>
    <row r="446" ht="16.5" spans="1:13">
      <c r="A446" s="29"/>
      <c r="B446" s="29"/>
      <c r="C446" s="30"/>
      <c r="D446" s="61" t="s">
        <v>59</v>
      </c>
      <c r="E446" s="71">
        <f t="shared" si="60"/>
        <v>349</v>
      </c>
      <c r="F446" s="71">
        <f t="shared" si="61"/>
        <v>135</v>
      </c>
      <c r="G446" s="71">
        <v>31765</v>
      </c>
      <c r="H446" s="71">
        <v>4400</v>
      </c>
      <c r="I446" s="71">
        <f>SUM($H$98:H446)</f>
        <v>783000</v>
      </c>
      <c r="J446" s="29" t="str">
        <f t="shared" si="58"/>
        <v>[{max_hp,135}]</v>
      </c>
      <c r="K446" s="29" t="str">
        <f t="shared" si="59"/>
        <v>[{63,4400}]</v>
      </c>
      <c r="L446" s="29"/>
      <c r="M446" s="29"/>
    </row>
    <row r="447" ht="16.5" spans="1:13">
      <c r="A447" s="29"/>
      <c r="B447" s="29"/>
      <c r="C447" s="30"/>
      <c r="D447" s="61" t="s">
        <v>59</v>
      </c>
      <c r="E447" s="71">
        <f t="shared" si="60"/>
        <v>350</v>
      </c>
      <c r="F447" s="71">
        <f t="shared" si="61"/>
        <v>135</v>
      </c>
      <c r="G447" s="71">
        <v>31900</v>
      </c>
      <c r="H447" s="71">
        <v>4450</v>
      </c>
      <c r="I447" s="71">
        <f>SUM($H$98:H447)</f>
        <v>787450</v>
      </c>
      <c r="J447" s="29" t="str">
        <f t="shared" si="58"/>
        <v>[{max_hp,135}]</v>
      </c>
      <c r="K447" s="29" t="str">
        <f t="shared" si="59"/>
        <v>[{63,4450}]</v>
      </c>
      <c r="L447" s="29"/>
      <c r="M447" s="29"/>
    </row>
    <row r="448" ht="16.5" spans="1:13">
      <c r="A448" s="29"/>
      <c r="B448" s="29"/>
      <c r="C448" s="30"/>
      <c r="D448" s="61" t="s">
        <v>59</v>
      </c>
      <c r="E448" s="71">
        <f t="shared" si="60"/>
        <v>351</v>
      </c>
      <c r="F448" s="71">
        <f t="shared" si="61"/>
        <v>135</v>
      </c>
      <c r="G448" s="71">
        <v>32035</v>
      </c>
      <c r="H448" s="71">
        <v>4450</v>
      </c>
      <c r="I448" s="71">
        <f>SUM($H$98:H448)</f>
        <v>791900</v>
      </c>
      <c r="J448" s="29" t="str">
        <f t="shared" si="58"/>
        <v>[{max_hp,135}]</v>
      </c>
      <c r="K448" s="29" t="str">
        <f t="shared" si="59"/>
        <v>[{63,4450}]</v>
      </c>
      <c r="L448" s="29"/>
      <c r="M448" s="29"/>
    </row>
    <row r="449" ht="16.5" spans="1:13">
      <c r="A449" s="29"/>
      <c r="B449" s="29"/>
      <c r="C449" s="30"/>
      <c r="D449" s="61" t="s">
        <v>59</v>
      </c>
      <c r="E449" s="71">
        <f t="shared" si="60"/>
        <v>352</v>
      </c>
      <c r="F449" s="71">
        <f t="shared" si="61"/>
        <v>135</v>
      </c>
      <c r="G449" s="71">
        <v>32170</v>
      </c>
      <c r="H449" s="71">
        <v>4450</v>
      </c>
      <c r="I449" s="71">
        <f>SUM($H$98:H449)</f>
        <v>796350</v>
      </c>
      <c r="J449" s="29" t="str">
        <f t="shared" si="58"/>
        <v>[{max_hp,135}]</v>
      </c>
      <c r="K449" s="29" t="str">
        <f t="shared" si="59"/>
        <v>[{63,4450}]</v>
      </c>
      <c r="L449" s="29"/>
      <c r="M449" s="29"/>
    </row>
    <row r="450" ht="16.5" spans="1:13">
      <c r="A450" s="29"/>
      <c r="B450" s="29"/>
      <c r="C450" s="30"/>
      <c r="D450" s="61" t="s">
        <v>59</v>
      </c>
      <c r="E450" s="71">
        <f t="shared" si="60"/>
        <v>353</v>
      </c>
      <c r="F450" s="71">
        <f t="shared" si="61"/>
        <v>135</v>
      </c>
      <c r="G450" s="71">
        <v>32305</v>
      </c>
      <c r="H450" s="71">
        <v>4450</v>
      </c>
      <c r="I450" s="71">
        <f>SUM($H$98:H450)</f>
        <v>800800</v>
      </c>
      <c r="J450" s="29" t="str">
        <f t="shared" si="58"/>
        <v>[{max_hp,135}]</v>
      </c>
      <c r="K450" s="29" t="str">
        <f t="shared" si="59"/>
        <v>[{63,4450}]</v>
      </c>
      <c r="L450" s="29"/>
      <c r="M450" s="29"/>
    </row>
    <row r="451" ht="16.5" spans="1:13">
      <c r="A451" s="29"/>
      <c r="B451" s="29"/>
      <c r="C451" s="30"/>
      <c r="D451" s="61" t="s">
        <v>59</v>
      </c>
      <c r="E451" s="71">
        <f t="shared" si="60"/>
        <v>354</v>
      </c>
      <c r="F451" s="71">
        <f t="shared" si="61"/>
        <v>135</v>
      </c>
      <c r="G451" s="71">
        <v>32440</v>
      </c>
      <c r="H451" s="71">
        <v>4500</v>
      </c>
      <c r="I451" s="71">
        <f>SUM($H$98:H451)</f>
        <v>805300</v>
      </c>
      <c r="J451" s="29" t="str">
        <f t="shared" si="58"/>
        <v>[{max_hp,135}]</v>
      </c>
      <c r="K451" s="29" t="str">
        <f t="shared" si="59"/>
        <v>[{63,4500}]</v>
      </c>
      <c r="L451" s="29"/>
      <c r="M451" s="29"/>
    </row>
    <row r="452" ht="16.5" spans="1:13">
      <c r="A452" s="29"/>
      <c r="B452" s="29"/>
      <c r="C452" s="30"/>
      <c r="D452" s="61" t="s">
        <v>59</v>
      </c>
      <c r="E452" s="71">
        <f t="shared" ref="E452:E497" si="62">E451+1</f>
        <v>355</v>
      </c>
      <c r="F452" s="71">
        <f t="shared" si="61"/>
        <v>135</v>
      </c>
      <c r="G452" s="71">
        <v>32575</v>
      </c>
      <c r="H452" s="71">
        <v>4500</v>
      </c>
      <c r="I452" s="71">
        <f>SUM($H$98:H452)</f>
        <v>809800</v>
      </c>
      <c r="J452" s="29" t="str">
        <f t="shared" si="58"/>
        <v>[{max_hp,135}]</v>
      </c>
      <c r="K452" s="29" t="str">
        <f t="shared" si="59"/>
        <v>[{63,4500}]</v>
      </c>
      <c r="L452" s="29"/>
      <c r="M452" s="29"/>
    </row>
    <row r="453" ht="16.5" spans="1:13">
      <c r="A453" s="29"/>
      <c r="B453" s="29"/>
      <c r="C453" s="30"/>
      <c r="D453" s="61" t="s">
        <v>59</v>
      </c>
      <c r="E453" s="71">
        <f t="shared" si="62"/>
        <v>356</v>
      </c>
      <c r="F453" s="71">
        <f t="shared" si="61"/>
        <v>135</v>
      </c>
      <c r="G453" s="71">
        <v>32710</v>
      </c>
      <c r="H453" s="71">
        <v>4500</v>
      </c>
      <c r="I453" s="71">
        <f>SUM($H$98:H453)</f>
        <v>814300</v>
      </c>
      <c r="J453" s="29" t="str">
        <f t="shared" si="58"/>
        <v>[{max_hp,135}]</v>
      </c>
      <c r="K453" s="29" t="str">
        <f t="shared" si="59"/>
        <v>[{63,4500}]</v>
      </c>
      <c r="L453" s="29"/>
      <c r="M453" s="29"/>
    </row>
    <row r="454" ht="16.5" spans="1:13">
      <c r="A454" s="29"/>
      <c r="B454" s="29"/>
      <c r="C454" s="30"/>
      <c r="D454" s="61" t="s">
        <v>59</v>
      </c>
      <c r="E454" s="71">
        <f t="shared" si="62"/>
        <v>357</v>
      </c>
      <c r="F454" s="71">
        <f t="shared" si="61"/>
        <v>135</v>
      </c>
      <c r="G454" s="71">
        <v>32845</v>
      </c>
      <c r="H454" s="71">
        <v>4500</v>
      </c>
      <c r="I454" s="71">
        <f>SUM($H$98:H454)</f>
        <v>818800</v>
      </c>
      <c r="J454" s="29" t="str">
        <f t="shared" si="58"/>
        <v>[{max_hp,135}]</v>
      </c>
      <c r="K454" s="29" t="str">
        <f t="shared" si="59"/>
        <v>[{63,4500}]</v>
      </c>
      <c r="L454" s="29"/>
      <c r="M454" s="29"/>
    </row>
    <row r="455" ht="16.5" spans="1:13">
      <c r="A455" s="29"/>
      <c r="B455" s="29"/>
      <c r="C455" s="30"/>
      <c r="D455" s="61" t="s">
        <v>59</v>
      </c>
      <c r="E455" s="71">
        <f t="shared" si="62"/>
        <v>358</v>
      </c>
      <c r="F455" s="71">
        <f t="shared" si="61"/>
        <v>135</v>
      </c>
      <c r="G455" s="71">
        <v>32980</v>
      </c>
      <c r="H455" s="71">
        <v>4550</v>
      </c>
      <c r="I455" s="71">
        <f>SUM($H$98:H455)</f>
        <v>823350</v>
      </c>
      <c r="J455" s="29" t="str">
        <f t="shared" si="58"/>
        <v>[{max_hp,135}]</v>
      </c>
      <c r="K455" s="29" t="str">
        <f t="shared" si="59"/>
        <v>[{63,4550}]</v>
      </c>
      <c r="L455" s="29"/>
      <c r="M455" s="29"/>
    </row>
    <row r="456" ht="16.5" spans="1:13">
      <c r="A456" s="29"/>
      <c r="B456" s="29"/>
      <c r="C456" s="30"/>
      <c r="D456" s="61" t="s">
        <v>59</v>
      </c>
      <c r="E456" s="71">
        <f t="shared" si="62"/>
        <v>359</v>
      </c>
      <c r="F456" s="71">
        <f t="shared" si="61"/>
        <v>135</v>
      </c>
      <c r="G456" s="71">
        <v>33115</v>
      </c>
      <c r="H456" s="71">
        <v>4550</v>
      </c>
      <c r="I456" s="71">
        <f>SUM($H$98:H456)</f>
        <v>827900</v>
      </c>
      <c r="J456" s="29" t="str">
        <f t="shared" si="58"/>
        <v>[{max_hp,135}]</v>
      </c>
      <c r="K456" s="29" t="str">
        <f t="shared" si="59"/>
        <v>[{63,4550}]</v>
      </c>
      <c r="L456" s="29"/>
      <c r="M456" s="29"/>
    </row>
    <row r="457" ht="16.5" spans="1:13">
      <c r="A457" s="29"/>
      <c r="B457" s="29"/>
      <c r="C457" s="30"/>
      <c r="D457" s="61" t="s">
        <v>59</v>
      </c>
      <c r="E457" s="71">
        <f t="shared" si="62"/>
        <v>360</v>
      </c>
      <c r="F457" s="71">
        <f t="shared" si="61"/>
        <v>135</v>
      </c>
      <c r="G457" s="71">
        <v>33250</v>
      </c>
      <c r="H457" s="71">
        <v>4550</v>
      </c>
      <c r="I457" s="71">
        <f>SUM($H$98:H457)</f>
        <v>832450</v>
      </c>
      <c r="J457" s="29" t="str">
        <f t="shared" si="58"/>
        <v>[{max_hp,135}]</v>
      </c>
      <c r="K457" s="29" t="str">
        <f t="shared" si="59"/>
        <v>[{63,4550}]</v>
      </c>
      <c r="L457" s="29"/>
      <c r="M457" s="29"/>
    </row>
    <row r="458" ht="16.5" spans="1:13">
      <c r="A458" s="29"/>
      <c r="B458" s="29"/>
      <c r="C458" s="30"/>
      <c r="D458" s="61" t="s">
        <v>59</v>
      </c>
      <c r="E458" s="71">
        <f t="shared" si="62"/>
        <v>361</v>
      </c>
      <c r="F458" s="71">
        <f t="shared" si="61"/>
        <v>140</v>
      </c>
      <c r="G458" s="71">
        <v>33390</v>
      </c>
      <c r="H458" s="71">
        <v>4550</v>
      </c>
      <c r="I458" s="71">
        <f>SUM($H$98:H458)</f>
        <v>837000</v>
      </c>
      <c r="J458" s="29" t="str">
        <f t="shared" si="58"/>
        <v>[{max_hp,140}]</v>
      </c>
      <c r="K458" s="29" t="str">
        <f t="shared" si="59"/>
        <v>[{63,4550}]</v>
      </c>
      <c r="L458" s="29"/>
      <c r="M458" s="29"/>
    </row>
    <row r="459" ht="16.5" spans="1:13">
      <c r="A459" s="29"/>
      <c r="B459" s="29"/>
      <c r="C459" s="30"/>
      <c r="D459" s="61" t="s">
        <v>59</v>
      </c>
      <c r="E459" s="71">
        <f t="shared" si="62"/>
        <v>362</v>
      </c>
      <c r="F459" s="71">
        <f t="shared" si="61"/>
        <v>140</v>
      </c>
      <c r="G459" s="71">
        <v>33530</v>
      </c>
      <c r="H459" s="71">
        <v>4600</v>
      </c>
      <c r="I459" s="71">
        <f>SUM($H$98:H459)</f>
        <v>841600</v>
      </c>
      <c r="J459" s="29" t="str">
        <f t="shared" si="58"/>
        <v>[{max_hp,140}]</v>
      </c>
      <c r="K459" s="29" t="str">
        <f t="shared" si="59"/>
        <v>[{63,4600}]</v>
      </c>
      <c r="L459" s="29"/>
      <c r="M459" s="29"/>
    </row>
    <row r="460" ht="16.5" spans="1:13">
      <c r="A460" s="29"/>
      <c r="B460" s="29"/>
      <c r="C460" s="30"/>
      <c r="D460" s="61" t="s">
        <v>59</v>
      </c>
      <c r="E460" s="71">
        <f t="shared" si="62"/>
        <v>363</v>
      </c>
      <c r="F460" s="71">
        <f t="shared" si="61"/>
        <v>140</v>
      </c>
      <c r="G460" s="71">
        <v>33670</v>
      </c>
      <c r="H460" s="71">
        <v>4600</v>
      </c>
      <c r="I460" s="71">
        <f>SUM($H$98:H460)</f>
        <v>846200</v>
      </c>
      <c r="J460" s="29" t="str">
        <f t="shared" si="58"/>
        <v>[{max_hp,140}]</v>
      </c>
      <c r="K460" s="29" t="str">
        <f t="shared" si="59"/>
        <v>[{63,4600}]</v>
      </c>
      <c r="L460" s="29"/>
      <c r="M460" s="29"/>
    </row>
    <row r="461" ht="16.5" spans="1:13">
      <c r="A461" s="29"/>
      <c r="B461" s="29"/>
      <c r="C461" s="30"/>
      <c r="D461" s="61" t="s">
        <v>59</v>
      </c>
      <c r="E461" s="71">
        <f t="shared" si="62"/>
        <v>364</v>
      </c>
      <c r="F461" s="71">
        <f t="shared" si="61"/>
        <v>140</v>
      </c>
      <c r="G461" s="71">
        <v>33810</v>
      </c>
      <c r="H461" s="71">
        <v>4600</v>
      </c>
      <c r="I461" s="71">
        <f>SUM($H$98:H461)</f>
        <v>850800</v>
      </c>
      <c r="J461" s="29" t="str">
        <f t="shared" si="58"/>
        <v>[{max_hp,140}]</v>
      </c>
      <c r="K461" s="29" t="str">
        <f t="shared" si="59"/>
        <v>[{63,4600}]</v>
      </c>
      <c r="L461" s="29"/>
      <c r="M461" s="29"/>
    </row>
    <row r="462" ht="16.5" spans="1:13">
      <c r="A462" s="29"/>
      <c r="B462" s="29"/>
      <c r="C462" s="30"/>
      <c r="D462" s="61" t="s">
        <v>59</v>
      </c>
      <c r="E462" s="71">
        <f t="shared" si="62"/>
        <v>365</v>
      </c>
      <c r="F462" s="71">
        <f t="shared" si="61"/>
        <v>140</v>
      </c>
      <c r="G462" s="71">
        <v>33950</v>
      </c>
      <c r="H462" s="71">
        <v>4600</v>
      </c>
      <c r="I462" s="71">
        <f>SUM($H$98:H462)</f>
        <v>855400</v>
      </c>
      <c r="J462" s="29" t="str">
        <f t="shared" si="58"/>
        <v>[{max_hp,140}]</v>
      </c>
      <c r="K462" s="29" t="str">
        <f t="shared" si="59"/>
        <v>[{63,4600}]</v>
      </c>
      <c r="L462" s="29"/>
      <c r="M462" s="29"/>
    </row>
    <row r="463" ht="16.5" spans="1:13">
      <c r="A463" s="29"/>
      <c r="B463" s="29"/>
      <c r="C463" s="30"/>
      <c r="D463" s="61" t="s">
        <v>59</v>
      </c>
      <c r="E463" s="71">
        <f t="shared" si="62"/>
        <v>366</v>
      </c>
      <c r="F463" s="71">
        <f t="shared" si="61"/>
        <v>140</v>
      </c>
      <c r="G463" s="71">
        <v>34090</v>
      </c>
      <c r="H463" s="71">
        <v>4650</v>
      </c>
      <c r="I463" s="71">
        <f>SUM($H$98:H463)</f>
        <v>860050</v>
      </c>
      <c r="J463" s="29" t="str">
        <f t="shared" si="58"/>
        <v>[{max_hp,140}]</v>
      </c>
      <c r="K463" s="29" t="str">
        <f t="shared" si="59"/>
        <v>[{63,4650}]</v>
      </c>
      <c r="L463" s="29"/>
      <c r="M463" s="29"/>
    </row>
    <row r="464" ht="16.5" spans="1:13">
      <c r="A464" s="29"/>
      <c r="B464" s="29"/>
      <c r="C464" s="30"/>
      <c r="D464" s="61" t="s">
        <v>59</v>
      </c>
      <c r="E464" s="71">
        <f t="shared" si="62"/>
        <v>367</v>
      </c>
      <c r="F464" s="71">
        <f t="shared" si="61"/>
        <v>140</v>
      </c>
      <c r="G464" s="71">
        <v>34230</v>
      </c>
      <c r="H464" s="71">
        <v>4650</v>
      </c>
      <c r="I464" s="71">
        <f>SUM($H$98:H464)</f>
        <v>864700</v>
      </c>
      <c r="J464" s="29" t="str">
        <f t="shared" si="58"/>
        <v>[{max_hp,140}]</v>
      </c>
      <c r="K464" s="29" t="str">
        <f t="shared" si="59"/>
        <v>[{63,4650}]</v>
      </c>
      <c r="L464" s="29"/>
      <c r="M464" s="29"/>
    </row>
    <row r="465" ht="16.5" spans="1:13">
      <c r="A465" s="29"/>
      <c r="B465" s="29"/>
      <c r="C465" s="30"/>
      <c r="D465" s="61" t="s">
        <v>59</v>
      </c>
      <c r="E465" s="71">
        <f t="shared" si="62"/>
        <v>368</v>
      </c>
      <c r="F465" s="71">
        <f t="shared" si="61"/>
        <v>140</v>
      </c>
      <c r="G465" s="71">
        <v>34370</v>
      </c>
      <c r="H465" s="71">
        <v>4650</v>
      </c>
      <c r="I465" s="71">
        <f>SUM($H$98:H465)</f>
        <v>869350</v>
      </c>
      <c r="J465" s="29" t="str">
        <f t="shared" si="58"/>
        <v>[{max_hp,140}]</v>
      </c>
      <c r="K465" s="29" t="str">
        <f t="shared" si="59"/>
        <v>[{63,4650}]</v>
      </c>
      <c r="L465" s="29"/>
      <c r="M465" s="29"/>
    </row>
    <row r="466" ht="16.5" spans="1:13">
      <c r="A466" s="29"/>
      <c r="B466" s="29"/>
      <c r="C466" s="30"/>
      <c r="D466" s="61" t="s">
        <v>59</v>
      </c>
      <c r="E466" s="71">
        <f t="shared" si="62"/>
        <v>369</v>
      </c>
      <c r="F466" s="71">
        <f t="shared" si="61"/>
        <v>140</v>
      </c>
      <c r="G466" s="71">
        <v>34510</v>
      </c>
      <c r="H466" s="71">
        <v>4650</v>
      </c>
      <c r="I466" s="71">
        <f>SUM($H$98:H466)</f>
        <v>874000</v>
      </c>
      <c r="J466" s="29" t="str">
        <f t="shared" si="58"/>
        <v>[{max_hp,140}]</v>
      </c>
      <c r="K466" s="29" t="str">
        <f t="shared" si="59"/>
        <v>[{63,4650}]</v>
      </c>
      <c r="L466" s="29"/>
      <c r="M466" s="29"/>
    </row>
    <row r="467" ht="16.5" spans="1:13">
      <c r="A467" s="29"/>
      <c r="B467" s="29"/>
      <c r="C467" s="30"/>
      <c r="D467" s="61" t="s">
        <v>59</v>
      </c>
      <c r="E467" s="71">
        <f t="shared" si="62"/>
        <v>370</v>
      </c>
      <c r="F467" s="71">
        <f t="shared" si="61"/>
        <v>140</v>
      </c>
      <c r="G467" s="71">
        <v>34650</v>
      </c>
      <c r="H467" s="71">
        <v>4700</v>
      </c>
      <c r="I467" s="71">
        <f>SUM($H$98:H467)</f>
        <v>878700</v>
      </c>
      <c r="J467" s="29" t="str">
        <f t="shared" si="58"/>
        <v>[{max_hp,140}]</v>
      </c>
      <c r="K467" s="29" t="str">
        <f t="shared" si="59"/>
        <v>[{63,4700}]</v>
      </c>
      <c r="L467" s="29"/>
      <c r="M467" s="29"/>
    </row>
    <row r="468" ht="16.5" spans="1:13">
      <c r="A468" s="29"/>
      <c r="B468" s="29"/>
      <c r="C468" s="30"/>
      <c r="D468" s="61" t="s">
        <v>59</v>
      </c>
      <c r="E468" s="71">
        <f t="shared" si="62"/>
        <v>371</v>
      </c>
      <c r="F468" s="71">
        <f t="shared" si="61"/>
        <v>140</v>
      </c>
      <c r="G468" s="71">
        <v>34790</v>
      </c>
      <c r="H468" s="71">
        <v>4700</v>
      </c>
      <c r="I468" s="71">
        <f>SUM($H$98:H468)</f>
        <v>883400</v>
      </c>
      <c r="J468" s="29" t="str">
        <f t="shared" si="58"/>
        <v>[{max_hp,140}]</v>
      </c>
      <c r="K468" s="29" t="str">
        <f t="shared" si="59"/>
        <v>[{63,4700}]</v>
      </c>
      <c r="L468" s="29"/>
      <c r="M468" s="29"/>
    </row>
    <row r="469" ht="16.5" spans="1:13">
      <c r="A469" s="29"/>
      <c r="B469" s="29"/>
      <c r="C469" s="30"/>
      <c r="D469" s="61" t="s">
        <v>59</v>
      </c>
      <c r="E469" s="71">
        <f t="shared" si="62"/>
        <v>372</v>
      </c>
      <c r="F469" s="71">
        <f t="shared" si="61"/>
        <v>140</v>
      </c>
      <c r="G469" s="71">
        <v>34930</v>
      </c>
      <c r="H469" s="71">
        <v>4700</v>
      </c>
      <c r="I469" s="71">
        <f>SUM($H$98:H469)</f>
        <v>888100</v>
      </c>
      <c r="J469" s="29" t="str">
        <f t="shared" si="58"/>
        <v>[{max_hp,140}]</v>
      </c>
      <c r="K469" s="29" t="str">
        <f t="shared" si="59"/>
        <v>[{63,4700}]</v>
      </c>
      <c r="L469" s="29"/>
      <c r="M469" s="29"/>
    </row>
    <row r="470" ht="16.5" spans="1:13">
      <c r="A470" s="29"/>
      <c r="B470" s="29"/>
      <c r="C470" s="30"/>
      <c r="D470" s="61" t="s">
        <v>59</v>
      </c>
      <c r="E470" s="71">
        <f t="shared" si="62"/>
        <v>373</v>
      </c>
      <c r="F470" s="71">
        <f t="shared" si="61"/>
        <v>140</v>
      </c>
      <c r="G470" s="71">
        <v>35070</v>
      </c>
      <c r="H470" s="71">
        <v>4700</v>
      </c>
      <c r="I470" s="71">
        <f>SUM($H$98:H470)</f>
        <v>892800</v>
      </c>
      <c r="J470" s="29" t="str">
        <f t="shared" si="58"/>
        <v>[{max_hp,140}]</v>
      </c>
      <c r="K470" s="29" t="str">
        <f t="shared" si="59"/>
        <v>[{63,4700}]</v>
      </c>
      <c r="L470" s="29"/>
      <c r="M470" s="29"/>
    </row>
    <row r="471" ht="16.5" spans="1:13">
      <c r="A471" s="29"/>
      <c r="B471" s="29"/>
      <c r="C471" s="30"/>
      <c r="D471" s="61" t="s">
        <v>59</v>
      </c>
      <c r="E471" s="71">
        <f t="shared" si="62"/>
        <v>374</v>
      </c>
      <c r="F471" s="71">
        <f t="shared" si="61"/>
        <v>140</v>
      </c>
      <c r="G471" s="71">
        <v>35210</v>
      </c>
      <c r="H471" s="71">
        <v>4750</v>
      </c>
      <c r="I471" s="71">
        <f>SUM($H$98:H471)</f>
        <v>897550</v>
      </c>
      <c r="J471" s="29" t="str">
        <f t="shared" si="58"/>
        <v>[{max_hp,140}]</v>
      </c>
      <c r="K471" s="29" t="str">
        <f t="shared" si="59"/>
        <v>[{63,4750}]</v>
      </c>
      <c r="L471" s="29"/>
      <c r="M471" s="29"/>
    </row>
    <row r="472" ht="16.5" spans="1:13">
      <c r="A472" s="29"/>
      <c r="B472" s="29"/>
      <c r="C472" s="30"/>
      <c r="D472" s="61" t="s">
        <v>59</v>
      </c>
      <c r="E472" s="71">
        <f t="shared" si="62"/>
        <v>375</v>
      </c>
      <c r="F472" s="71">
        <f t="shared" si="61"/>
        <v>140</v>
      </c>
      <c r="G472" s="71">
        <v>35350</v>
      </c>
      <c r="H472" s="71">
        <v>4750</v>
      </c>
      <c r="I472" s="71">
        <f>SUM($H$98:H472)</f>
        <v>902300</v>
      </c>
      <c r="J472" s="29" t="str">
        <f t="shared" si="58"/>
        <v>[{max_hp,140}]</v>
      </c>
      <c r="K472" s="29" t="str">
        <f t="shared" si="59"/>
        <v>[{63,4750}]</v>
      </c>
      <c r="L472" s="29"/>
      <c r="M472" s="29"/>
    </row>
    <row r="473" ht="16.5" spans="1:13">
      <c r="A473" s="29"/>
      <c r="B473" s="29"/>
      <c r="C473" s="30"/>
      <c r="D473" s="61" t="s">
        <v>59</v>
      </c>
      <c r="E473" s="71">
        <f t="shared" si="62"/>
        <v>376</v>
      </c>
      <c r="F473" s="71">
        <f t="shared" si="61"/>
        <v>140</v>
      </c>
      <c r="G473" s="71">
        <v>35490</v>
      </c>
      <c r="H473" s="71">
        <v>4750</v>
      </c>
      <c r="I473" s="71">
        <f>SUM($H$98:H473)</f>
        <v>907050</v>
      </c>
      <c r="J473" s="29" t="str">
        <f t="shared" si="58"/>
        <v>[{max_hp,140}]</v>
      </c>
      <c r="K473" s="29" t="str">
        <f t="shared" si="59"/>
        <v>[{63,4750}]</v>
      </c>
      <c r="L473" s="29"/>
      <c r="M473" s="29"/>
    </row>
    <row r="474" ht="16.5" spans="1:13">
      <c r="A474" s="29"/>
      <c r="B474" s="29"/>
      <c r="C474" s="30"/>
      <c r="D474" s="61" t="s">
        <v>59</v>
      </c>
      <c r="E474" s="71">
        <f t="shared" si="62"/>
        <v>377</v>
      </c>
      <c r="F474" s="71">
        <f t="shared" si="61"/>
        <v>140</v>
      </c>
      <c r="G474" s="71">
        <v>35630</v>
      </c>
      <c r="H474" s="71">
        <v>4750</v>
      </c>
      <c r="I474" s="71">
        <f>SUM($H$98:H474)</f>
        <v>911800</v>
      </c>
      <c r="J474" s="29" t="str">
        <f t="shared" si="58"/>
        <v>[{max_hp,140}]</v>
      </c>
      <c r="K474" s="29" t="str">
        <f t="shared" si="59"/>
        <v>[{63,4750}]</v>
      </c>
      <c r="L474" s="29"/>
      <c r="M474" s="29"/>
    </row>
    <row r="475" ht="16.5" spans="1:13">
      <c r="A475" s="29"/>
      <c r="B475" s="29"/>
      <c r="C475" s="30"/>
      <c r="D475" s="61" t="s">
        <v>59</v>
      </c>
      <c r="E475" s="71">
        <f t="shared" si="62"/>
        <v>378</v>
      </c>
      <c r="F475" s="71">
        <f t="shared" si="61"/>
        <v>140</v>
      </c>
      <c r="G475" s="71">
        <v>35770</v>
      </c>
      <c r="H475" s="71">
        <v>4800</v>
      </c>
      <c r="I475" s="71">
        <f>SUM($H$98:H475)</f>
        <v>916600</v>
      </c>
      <c r="J475" s="29" t="str">
        <f t="shared" si="58"/>
        <v>[{max_hp,140}]</v>
      </c>
      <c r="K475" s="29" t="str">
        <f t="shared" si="59"/>
        <v>[{63,4800}]</v>
      </c>
      <c r="L475" s="29"/>
      <c r="M475" s="29"/>
    </row>
    <row r="476" ht="16.5" spans="1:13">
      <c r="A476" s="29"/>
      <c r="B476" s="29"/>
      <c r="C476" s="30"/>
      <c r="D476" s="61" t="s">
        <v>59</v>
      </c>
      <c r="E476" s="71">
        <f t="shared" si="62"/>
        <v>379</v>
      </c>
      <c r="F476" s="71">
        <f t="shared" si="61"/>
        <v>140</v>
      </c>
      <c r="G476" s="71">
        <v>35910</v>
      </c>
      <c r="H476" s="71">
        <v>4800</v>
      </c>
      <c r="I476" s="71">
        <f>SUM($H$98:H476)</f>
        <v>921400</v>
      </c>
      <c r="J476" s="29" t="str">
        <f t="shared" si="58"/>
        <v>[{max_hp,140}]</v>
      </c>
      <c r="K476" s="29" t="str">
        <f t="shared" si="59"/>
        <v>[{63,4800}]</v>
      </c>
      <c r="L476" s="29"/>
      <c r="M476" s="29"/>
    </row>
    <row r="477" ht="16.5" spans="1:13">
      <c r="A477" s="29"/>
      <c r="B477" s="29"/>
      <c r="C477" s="30"/>
      <c r="D477" s="61" t="s">
        <v>59</v>
      </c>
      <c r="E477" s="71">
        <f t="shared" si="62"/>
        <v>380</v>
      </c>
      <c r="F477" s="71">
        <f t="shared" si="61"/>
        <v>140</v>
      </c>
      <c r="G477" s="71">
        <v>36050</v>
      </c>
      <c r="H477" s="71">
        <v>4800</v>
      </c>
      <c r="I477" s="71">
        <f>SUM($H$98:H477)</f>
        <v>926200</v>
      </c>
      <c r="J477" s="29" t="str">
        <f t="shared" si="58"/>
        <v>[{max_hp,140}]</v>
      </c>
      <c r="K477" s="29" t="str">
        <f t="shared" si="59"/>
        <v>[{63,4800}]</v>
      </c>
      <c r="L477" s="29"/>
      <c r="M477" s="29"/>
    </row>
    <row r="478" ht="16.5" spans="1:13">
      <c r="A478" s="29"/>
      <c r="B478" s="29"/>
      <c r="C478" s="30"/>
      <c r="D478" s="61" t="s">
        <v>59</v>
      </c>
      <c r="E478" s="71">
        <f t="shared" si="62"/>
        <v>381</v>
      </c>
      <c r="F478" s="71">
        <f t="shared" si="61"/>
        <v>145</v>
      </c>
      <c r="G478" s="71">
        <v>36195</v>
      </c>
      <c r="H478" s="71">
        <v>4800</v>
      </c>
      <c r="I478" s="71">
        <f>SUM($H$98:H478)</f>
        <v>931000</v>
      </c>
      <c r="J478" s="29" t="str">
        <f t="shared" si="58"/>
        <v>[{max_hp,145}]</v>
      </c>
      <c r="K478" s="29" t="str">
        <f t="shared" si="59"/>
        <v>[{63,4800}]</v>
      </c>
      <c r="L478" s="29"/>
      <c r="M478" s="29"/>
    </row>
    <row r="479" ht="16.5" spans="1:13">
      <c r="A479" s="29"/>
      <c r="B479" s="29"/>
      <c r="C479" s="30"/>
      <c r="D479" s="61" t="s">
        <v>59</v>
      </c>
      <c r="E479" s="71">
        <f t="shared" si="62"/>
        <v>382</v>
      </c>
      <c r="F479" s="71">
        <f t="shared" si="61"/>
        <v>145</v>
      </c>
      <c r="G479" s="71">
        <v>36340</v>
      </c>
      <c r="H479" s="71">
        <v>4850</v>
      </c>
      <c r="I479" s="71">
        <f>SUM($H$98:H479)</f>
        <v>935850</v>
      </c>
      <c r="J479" s="29" t="str">
        <f t="shared" si="58"/>
        <v>[{max_hp,145}]</v>
      </c>
      <c r="K479" s="29" t="str">
        <f t="shared" si="59"/>
        <v>[{63,4850}]</v>
      </c>
      <c r="L479" s="29"/>
      <c r="M479" s="29"/>
    </row>
    <row r="480" ht="16.5" spans="1:13">
      <c r="A480" s="29"/>
      <c r="B480" s="29"/>
      <c r="C480" s="30"/>
      <c r="D480" s="61" t="s">
        <v>59</v>
      </c>
      <c r="E480" s="71">
        <f t="shared" si="62"/>
        <v>383</v>
      </c>
      <c r="F480" s="71">
        <f t="shared" si="61"/>
        <v>145</v>
      </c>
      <c r="G480" s="71">
        <v>36485</v>
      </c>
      <c r="H480" s="71">
        <v>4850</v>
      </c>
      <c r="I480" s="71">
        <f>SUM($H$98:H480)</f>
        <v>940700</v>
      </c>
      <c r="J480" s="29" t="str">
        <f t="shared" si="58"/>
        <v>[{max_hp,145}]</v>
      </c>
      <c r="K480" s="29" t="str">
        <f t="shared" si="59"/>
        <v>[{63,4850}]</v>
      </c>
      <c r="L480" s="29"/>
      <c r="M480" s="29"/>
    </row>
    <row r="481" ht="16.5" spans="1:13">
      <c r="A481" s="29"/>
      <c r="B481" s="29"/>
      <c r="C481" s="30"/>
      <c r="D481" s="61" t="s">
        <v>59</v>
      </c>
      <c r="E481" s="71">
        <f t="shared" si="62"/>
        <v>384</v>
      </c>
      <c r="F481" s="71">
        <f t="shared" si="61"/>
        <v>145</v>
      </c>
      <c r="G481" s="71">
        <v>36630</v>
      </c>
      <c r="H481" s="71">
        <v>4850</v>
      </c>
      <c r="I481" s="71">
        <f>SUM($H$98:H481)</f>
        <v>945550</v>
      </c>
      <c r="J481" s="29" t="str">
        <f t="shared" si="58"/>
        <v>[{max_hp,145}]</v>
      </c>
      <c r="K481" s="29" t="str">
        <f t="shared" si="59"/>
        <v>[{63,4850}]</v>
      </c>
      <c r="L481" s="29"/>
      <c r="M481" s="29"/>
    </row>
    <row r="482" ht="16.5" spans="1:13">
      <c r="A482" s="29"/>
      <c r="B482" s="29"/>
      <c r="C482" s="30"/>
      <c r="D482" s="61" t="s">
        <v>59</v>
      </c>
      <c r="E482" s="71">
        <f t="shared" si="62"/>
        <v>385</v>
      </c>
      <c r="F482" s="71">
        <f t="shared" si="61"/>
        <v>145</v>
      </c>
      <c r="G482" s="71">
        <v>36775</v>
      </c>
      <c r="H482" s="71">
        <v>4850</v>
      </c>
      <c r="I482" s="71">
        <f>SUM($H$98:H482)</f>
        <v>950400</v>
      </c>
      <c r="J482" s="29" t="str">
        <f t="shared" si="58"/>
        <v>[{max_hp,145}]</v>
      </c>
      <c r="K482" s="29" t="str">
        <f t="shared" si="59"/>
        <v>[{63,4850}]</v>
      </c>
      <c r="L482" s="29"/>
      <c r="M482" s="29"/>
    </row>
    <row r="483" ht="16.5" spans="1:13">
      <c r="A483" s="29"/>
      <c r="B483" s="29"/>
      <c r="C483" s="30"/>
      <c r="D483" s="61" t="s">
        <v>59</v>
      </c>
      <c r="E483" s="71">
        <f t="shared" si="62"/>
        <v>386</v>
      </c>
      <c r="F483" s="71">
        <f t="shared" si="61"/>
        <v>145</v>
      </c>
      <c r="G483" s="71">
        <v>36920</v>
      </c>
      <c r="H483" s="71">
        <v>4900</v>
      </c>
      <c r="I483" s="71">
        <f>SUM($H$98:H483)</f>
        <v>955300</v>
      </c>
      <c r="J483" s="29" t="str">
        <f t="shared" ref="J483:J497" si="63">"[{max_hp,"&amp;F483&amp;"}]"</f>
        <v>[{max_hp,145}]</v>
      </c>
      <c r="K483" s="29" t="str">
        <f t="shared" ref="K483:K497" si="64">"[{63,"&amp;H483&amp;"}]"</f>
        <v>[{63,4900}]</v>
      </c>
      <c r="L483" s="29"/>
      <c r="M483" s="29"/>
    </row>
    <row r="484" ht="16.5" spans="1:13">
      <c r="A484" s="29"/>
      <c r="B484" s="29"/>
      <c r="C484" s="30"/>
      <c r="D484" s="61" t="s">
        <v>59</v>
      </c>
      <c r="E484" s="71">
        <f t="shared" si="62"/>
        <v>387</v>
      </c>
      <c r="F484" s="71">
        <f>G484-G483</f>
        <v>145</v>
      </c>
      <c r="G484" s="71">
        <v>37065</v>
      </c>
      <c r="H484" s="71">
        <v>4900</v>
      </c>
      <c r="I484" s="71">
        <f>SUM($H$98:H484)</f>
        <v>960200</v>
      </c>
      <c r="J484" s="29" t="str">
        <f t="shared" si="63"/>
        <v>[{max_hp,145}]</v>
      </c>
      <c r="K484" s="29" t="str">
        <f t="shared" si="64"/>
        <v>[{63,4900}]</v>
      </c>
      <c r="L484" s="29"/>
      <c r="M484" s="29"/>
    </row>
    <row r="485" ht="16.5" spans="1:13">
      <c r="A485" s="29"/>
      <c r="B485" s="29"/>
      <c r="C485" s="30"/>
      <c r="D485" s="61" t="s">
        <v>59</v>
      </c>
      <c r="E485" s="71">
        <f t="shared" si="62"/>
        <v>388</v>
      </c>
      <c r="F485" s="71">
        <f>G485-G484</f>
        <v>145</v>
      </c>
      <c r="G485" s="71">
        <v>37210</v>
      </c>
      <c r="H485" s="71">
        <v>4900</v>
      </c>
      <c r="I485" s="71">
        <f>SUM($H$98:H485)</f>
        <v>965100</v>
      </c>
      <c r="J485" s="29" t="str">
        <f t="shared" si="63"/>
        <v>[{max_hp,145}]</v>
      </c>
      <c r="K485" s="29" t="str">
        <f t="shared" si="64"/>
        <v>[{63,4900}]</v>
      </c>
      <c r="L485" s="29"/>
      <c r="M485" s="29"/>
    </row>
    <row r="486" ht="16.5" spans="1:13">
      <c r="A486" s="29"/>
      <c r="B486" s="29"/>
      <c r="C486" s="30"/>
      <c r="D486" s="61" t="s">
        <v>59</v>
      </c>
      <c r="E486" s="71">
        <f t="shared" si="62"/>
        <v>389</v>
      </c>
      <c r="F486" s="71">
        <f>G486-G485</f>
        <v>145</v>
      </c>
      <c r="G486" s="71">
        <v>37355</v>
      </c>
      <c r="H486" s="71">
        <v>4900</v>
      </c>
      <c r="I486" s="71">
        <f>SUM($H$98:H486)</f>
        <v>970000</v>
      </c>
      <c r="J486" s="29" t="str">
        <f t="shared" si="63"/>
        <v>[{max_hp,145}]</v>
      </c>
      <c r="K486" s="29" t="str">
        <f t="shared" si="64"/>
        <v>[{63,4900}]</v>
      </c>
      <c r="L486" s="29"/>
      <c r="M486" s="29"/>
    </row>
    <row r="487" ht="16.5" spans="1:13">
      <c r="A487" s="29"/>
      <c r="B487" s="29"/>
      <c r="C487" s="30"/>
      <c r="D487" s="61" t="s">
        <v>59</v>
      </c>
      <c r="E487" s="71">
        <f t="shared" si="62"/>
        <v>390</v>
      </c>
      <c r="F487" s="71">
        <f>G487-G486</f>
        <v>145</v>
      </c>
      <c r="G487" s="71">
        <v>37500</v>
      </c>
      <c r="H487" s="71">
        <v>4950</v>
      </c>
      <c r="I487" s="71">
        <f>SUM($H$98:H487)</f>
        <v>974950</v>
      </c>
      <c r="J487" s="29" t="str">
        <f t="shared" si="63"/>
        <v>[{max_hp,145}]</v>
      </c>
      <c r="K487" s="29" t="str">
        <f t="shared" si="64"/>
        <v>[{63,4950}]</v>
      </c>
      <c r="L487" s="29"/>
      <c r="M487" s="29"/>
    </row>
    <row r="488" ht="16.5" spans="1:13">
      <c r="A488" s="29"/>
      <c r="B488" s="29"/>
      <c r="C488" s="30"/>
      <c r="D488" s="61" t="s">
        <v>59</v>
      </c>
      <c r="E488" s="71">
        <f t="shared" si="62"/>
        <v>391</v>
      </c>
      <c r="F488" s="71">
        <f>G488-G487</f>
        <v>145</v>
      </c>
      <c r="G488" s="71">
        <v>37645</v>
      </c>
      <c r="H488" s="71">
        <v>4950</v>
      </c>
      <c r="I488" s="71">
        <f>SUM($H$98:H488)</f>
        <v>979900</v>
      </c>
      <c r="J488" s="29" t="str">
        <f t="shared" si="63"/>
        <v>[{max_hp,145}]</v>
      </c>
      <c r="K488" s="29" t="str">
        <f t="shared" si="64"/>
        <v>[{63,4950}]</v>
      </c>
      <c r="L488" s="29"/>
      <c r="M488" s="29"/>
    </row>
    <row r="489" ht="16.5" spans="1:13">
      <c r="A489" s="29"/>
      <c r="B489" s="29"/>
      <c r="C489" s="30"/>
      <c r="D489" s="61" t="s">
        <v>59</v>
      </c>
      <c r="E489" s="71">
        <f t="shared" si="62"/>
        <v>392</v>
      </c>
      <c r="F489" s="71">
        <f>G489-G488</f>
        <v>145</v>
      </c>
      <c r="G489" s="71">
        <v>37790</v>
      </c>
      <c r="H489" s="71">
        <v>4950</v>
      </c>
      <c r="I489" s="71">
        <f>SUM($H$98:H489)</f>
        <v>984850</v>
      </c>
      <c r="J489" s="29" t="str">
        <f t="shared" si="63"/>
        <v>[{max_hp,145}]</v>
      </c>
      <c r="K489" s="29" t="str">
        <f t="shared" si="64"/>
        <v>[{63,4950}]</v>
      </c>
      <c r="L489" s="29"/>
      <c r="M489" s="29"/>
    </row>
    <row r="490" ht="16.5" spans="1:13">
      <c r="A490" s="29"/>
      <c r="B490" s="29"/>
      <c r="C490" s="30"/>
      <c r="D490" s="61" t="s">
        <v>59</v>
      </c>
      <c r="E490" s="71">
        <f t="shared" si="62"/>
        <v>393</v>
      </c>
      <c r="F490" s="71">
        <f>G490-G489</f>
        <v>145</v>
      </c>
      <c r="G490" s="71">
        <v>37935</v>
      </c>
      <c r="H490" s="71">
        <v>4950</v>
      </c>
      <c r="I490" s="71">
        <f>SUM($H$98:H490)</f>
        <v>989800</v>
      </c>
      <c r="J490" s="29" t="str">
        <f t="shared" si="63"/>
        <v>[{max_hp,145}]</v>
      </c>
      <c r="K490" s="29" t="str">
        <f t="shared" si="64"/>
        <v>[{63,4950}]</v>
      </c>
      <c r="L490" s="29"/>
      <c r="M490" s="29"/>
    </row>
    <row r="491" ht="16.5" spans="1:13">
      <c r="A491" s="29"/>
      <c r="B491" s="29"/>
      <c r="C491" s="30"/>
      <c r="D491" s="61" t="s">
        <v>59</v>
      </c>
      <c r="E491" s="71">
        <f t="shared" si="62"/>
        <v>394</v>
      </c>
      <c r="F491" s="71">
        <f>G491-G490</f>
        <v>145</v>
      </c>
      <c r="G491" s="71">
        <v>38080</v>
      </c>
      <c r="H491" s="71">
        <v>5000</v>
      </c>
      <c r="I491" s="71">
        <f>SUM($H$98:H491)</f>
        <v>994800</v>
      </c>
      <c r="J491" s="29" t="str">
        <f t="shared" si="63"/>
        <v>[{max_hp,145}]</v>
      </c>
      <c r="K491" s="29" t="str">
        <f t="shared" si="64"/>
        <v>[{63,5000}]</v>
      </c>
      <c r="L491" s="29"/>
      <c r="M491" s="29"/>
    </row>
    <row r="492" ht="16.5" spans="1:13">
      <c r="A492" s="29"/>
      <c r="B492" s="29"/>
      <c r="C492" s="30"/>
      <c r="D492" s="61" t="s">
        <v>59</v>
      </c>
      <c r="E492" s="71">
        <f t="shared" si="62"/>
        <v>395</v>
      </c>
      <c r="F492" s="71">
        <f>G492-G491</f>
        <v>145</v>
      </c>
      <c r="G492" s="71">
        <v>38225</v>
      </c>
      <c r="H492" s="71">
        <v>5000</v>
      </c>
      <c r="I492" s="71">
        <f>SUM($H$98:H492)</f>
        <v>999800</v>
      </c>
      <c r="J492" s="29" t="str">
        <f t="shared" si="63"/>
        <v>[{max_hp,145}]</v>
      </c>
      <c r="K492" s="29" t="str">
        <f t="shared" si="64"/>
        <v>[{63,5000}]</v>
      </c>
      <c r="L492" s="29"/>
      <c r="M492" s="29"/>
    </row>
    <row r="493" ht="16.5" spans="1:13">
      <c r="A493" s="29"/>
      <c r="B493" s="29"/>
      <c r="C493" s="30"/>
      <c r="D493" s="61" t="s">
        <v>59</v>
      </c>
      <c r="E493" s="71">
        <f t="shared" si="62"/>
        <v>396</v>
      </c>
      <c r="F493" s="71">
        <f>G493-G492</f>
        <v>145</v>
      </c>
      <c r="G493" s="71">
        <v>38370</v>
      </c>
      <c r="H493" s="71">
        <v>5000</v>
      </c>
      <c r="I493" s="71">
        <f>SUM($H$98:H493)</f>
        <v>1004800</v>
      </c>
      <c r="J493" s="29" t="str">
        <f t="shared" si="63"/>
        <v>[{max_hp,145}]</v>
      </c>
      <c r="K493" s="29" t="str">
        <f t="shared" si="64"/>
        <v>[{63,5000}]</v>
      </c>
      <c r="L493" s="29"/>
      <c r="M493" s="29"/>
    </row>
    <row r="494" ht="16.5" spans="1:13">
      <c r="A494" s="29"/>
      <c r="B494" s="29"/>
      <c r="C494" s="30"/>
      <c r="D494" s="61" t="s">
        <v>59</v>
      </c>
      <c r="E494" s="71">
        <f t="shared" si="62"/>
        <v>397</v>
      </c>
      <c r="F494" s="71">
        <f>G494-G493</f>
        <v>145</v>
      </c>
      <c r="G494" s="71">
        <v>38515</v>
      </c>
      <c r="H494" s="71">
        <v>5000</v>
      </c>
      <c r="I494" s="71">
        <f>SUM($H$98:H494)</f>
        <v>1009800</v>
      </c>
      <c r="J494" s="29" t="str">
        <f t="shared" si="63"/>
        <v>[{max_hp,145}]</v>
      </c>
      <c r="K494" s="29" t="str">
        <f t="shared" si="64"/>
        <v>[{63,5000}]</v>
      </c>
      <c r="L494" s="29"/>
      <c r="M494" s="29"/>
    </row>
    <row r="495" ht="16.5" spans="1:13">
      <c r="A495" s="29"/>
      <c r="B495" s="29"/>
      <c r="C495" s="30"/>
      <c r="D495" s="61" t="s">
        <v>59</v>
      </c>
      <c r="E495" s="71">
        <f t="shared" si="62"/>
        <v>398</v>
      </c>
      <c r="F495" s="71">
        <f>G495-G494</f>
        <v>145</v>
      </c>
      <c r="G495" s="71">
        <v>38660</v>
      </c>
      <c r="H495" s="71">
        <v>5050</v>
      </c>
      <c r="I495" s="71">
        <f>SUM($H$98:H495)</f>
        <v>1014850</v>
      </c>
      <c r="J495" s="29" t="str">
        <f t="shared" si="63"/>
        <v>[{max_hp,145}]</v>
      </c>
      <c r="K495" s="29" t="str">
        <f t="shared" si="64"/>
        <v>[{63,5050}]</v>
      </c>
      <c r="L495" s="29"/>
      <c r="M495" s="29"/>
    </row>
    <row r="496" ht="16.5" spans="1:13">
      <c r="A496" s="29"/>
      <c r="B496" s="29"/>
      <c r="C496" s="30"/>
      <c r="D496" s="61" t="s">
        <v>59</v>
      </c>
      <c r="E496" s="71">
        <f t="shared" si="62"/>
        <v>399</v>
      </c>
      <c r="F496" s="71">
        <f>G496-G495</f>
        <v>145</v>
      </c>
      <c r="G496" s="71">
        <v>38805</v>
      </c>
      <c r="H496" s="71">
        <v>5050</v>
      </c>
      <c r="I496" s="71">
        <f>SUM($H$98:H496)</f>
        <v>1019900</v>
      </c>
      <c r="J496" s="29" t="str">
        <f t="shared" si="63"/>
        <v>[{max_hp,145}]</v>
      </c>
      <c r="K496" s="29" t="str">
        <f t="shared" si="64"/>
        <v>[{63,5050}]</v>
      </c>
      <c r="L496" s="29"/>
      <c r="M496" s="29"/>
    </row>
    <row r="497" ht="16.5" spans="1:13">
      <c r="A497" s="29"/>
      <c r="B497" s="29"/>
      <c r="C497" s="30"/>
      <c r="D497" s="61" t="s">
        <v>59</v>
      </c>
      <c r="E497" s="71">
        <f t="shared" si="62"/>
        <v>400</v>
      </c>
      <c r="F497" s="71">
        <f>G497-G496</f>
        <v>145</v>
      </c>
      <c r="G497" s="71">
        <v>38950</v>
      </c>
      <c r="H497" s="71">
        <v>5050</v>
      </c>
      <c r="I497" s="71">
        <f>SUM($H$98:H497)</f>
        <v>1024950</v>
      </c>
      <c r="J497" s="29" t="str">
        <f t="shared" si="63"/>
        <v>[{max_hp,145}]</v>
      </c>
      <c r="K497" s="29" t="str">
        <f t="shared" si="64"/>
        <v>[{63,5050}]</v>
      </c>
      <c r="L497" s="29"/>
      <c r="M497" s="29"/>
    </row>
    <row r="498" ht="16.5" spans="1:13">
      <c r="A498" s="29"/>
      <c r="B498" s="29"/>
      <c r="C498" s="30"/>
      <c r="D498" s="107"/>
      <c r="E498" s="108"/>
      <c r="F498" s="108"/>
      <c r="G498" s="108"/>
      <c r="H498" s="108"/>
      <c r="I498" s="29"/>
      <c r="J498" s="29"/>
      <c r="K498" s="29"/>
      <c r="L498" s="29"/>
      <c r="M498" s="29"/>
    </row>
    <row r="499" ht="16.5" spans="1:13">
      <c r="A499" s="29"/>
      <c r="B499" s="29"/>
      <c r="C499" s="30"/>
      <c r="D499" s="107"/>
      <c r="E499" s="108"/>
      <c r="F499" s="108"/>
      <c r="G499" s="108"/>
      <c r="H499" s="108"/>
      <c r="I499" s="29"/>
      <c r="J499" s="29"/>
      <c r="K499" s="29"/>
      <c r="L499" s="29"/>
      <c r="M499" s="29"/>
    </row>
    <row r="500" ht="16.5" spans="1:13">
      <c r="A500" s="29"/>
      <c r="B500" s="34"/>
      <c r="C500" s="42" t="s">
        <v>60</v>
      </c>
      <c r="D500" s="29"/>
      <c r="E500" s="108"/>
      <c r="F500" s="108"/>
      <c r="G500" s="108"/>
      <c r="H500" s="108"/>
      <c r="I500" s="29"/>
      <c r="J500" s="29"/>
      <c r="K500" s="29"/>
      <c r="L500" s="29"/>
      <c r="M500" s="29"/>
    </row>
    <row r="501" ht="15.75" spans="1:13">
      <c r="A501" s="29"/>
      <c r="B501" s="29"/>
      <c r="C501" s="30"/>
      <c r="D501" s="29"/>
      <c r="E501" s="29"/>
      <c r="F501" s="29"/>
      <c r="G501" s="29"/>
      <c r="H501" s="29"/>
      <c r="I501" s="29"/>
      <c r="J501" s="29"/>
      <c r="K501" s="29"/>
      <c r="L501" s="29"/>
      <c r="M501" s="29"/>
    </row>
    <row r="503" ht="16.5" spans="1:13">
      <c r="D503" s="3" t="s">
        <v>61</v>
      </c>
      <c r="E503" s="3" t="s">
        <v>61</v>
      </c>
      <c r="F503" s="3" t="s">
        <v>49</v>
      </c>
      <c r="G503" s="109" t="s">
        <v>62</v>
      </c>
      <c r="H503" s="109"/>
      <c r="I503" s="109"/>
      <c r="J503" s="3" t="s">
        <v>63</v>
      </c>
      <c r="K503" s="3" t="s">
        <v>64</v>
      </c>
    </row>
    <row r="504" ht="16.5" spans="1:13">
      <c r="D504" s="52">
        <v>1</v>
      </c>
      <c r="E504" s="52" t="str">
        <f ca="1">OFFSET(载具产出!$F$19,D504,0)</f>
        <v>硬硬护板</v>
      </c>
      <c r="F504" s="52">
        <v>1</v>
      </c>
      <c r="G504" s="52" t="str">
        <f ca="1">SUBSTITUTE(_xlfn.XLOOKUP(E504,载具产出!$F$19:$F$40,载具产出!$N$19:$N$40),"%d",J504)&amp;IF(K504="","",","&amp;K504)</f>
        <v>载具护盾+100</v>
      </c>
      <c r="H504" s="52"/>
      <c r="I504" s="52"/>
      <c r="J504" s="52">
        <v>100</v>
      </c>
      <c r="K504" s="52"/>
    </row>
    <row r="505" ht="16.5" spans="1:13">
      <c r="D505" s="52">
        <v>1</v>
      </c>
      <c r="E505" s="52" t="str">
        <f ca="1">OFFSET(载具产出!$F$19,D505,0)</f>
        <v>硬硬护板</v>
      </c>
      <c r="F505" s="52">
        <v>5</v>
      </c>
      <c r="G505" s="52" t="str">
        <f ca="1">SUBSTITUTE(_xlfn.XLOOKUP(E505,载具产出!$F$19:$F$40,载具产出!$N$19:$N$40),"%d",J505)&amp;IF(K505="","",","&amp;K505)</f>
        <v>载具护盾+200</v>
      </c>
      <c r="H505" s="52"/>
      <c r="I505" s="52"/>
      <c r="J505" s="52">
        <v>200</v>
      </c>
      <c r="K505" s="52"/>
    </row>
    <row r="506" ht="16.5" spans="1:13">
      <c r="D506" s="52">
        <v>1</v>
      </c>
      <c r="E506" s="52" t="str">
        <f ca="1">OFFSET(载具产出!$F$19,D506,0)</f>
        <v>硬硬护板</v>
      </c>
      <c r="F506" s="52">
        <v>10</v>
      </c>
      <c r="G506" s="52" t="str">
        <f ca="1">SUBSTITUTE(_xlfn.XLOOKUP(E506,载具产出!$F$19:$F$40,载具产出!$N$19:$N$40),"%d",J506)&amp;IF(K506="","",","&amp;K506)</f>
        <v>载具护盾+300</v>
      </c>
      <c r="H506" s="52"/>
      <c r="I506" s="52"/>
      <c r="J506" s="52">
        <v>300</v>
      </c>
      <c r="K506" s="52"/>
    </row>
    <row r="507" ht="16.5" spans="1:13">
      <c r="D507" s="52">
        <v>1</v>
      </c>
      <c r="E507" s="52" t="str">
        <f ca="1">OFFSET(载具产出!$F$19,D507,0)</f>
        <v>硬硬护板</v>
      </c>
      <c r="F507" s="52">
        <v>15</v>
      </c>
      <c r="G507" s="52" t="str">
        <f ca="1">SUBSTITUTE(_xlfn.XLOOKUP(E507,载具产出!$F$19:$F$40,载具产出!$N$19:$N$40),"%d",J507)&amp;IF(K507="","",","&amp;K507)</f>
        <v>载具护盾+400</v>
      </c>
      <c r="H507" s="52"/>
      <c r="I507" s="52"/>
      <c r="J507" s="52">
        <v>400</v>
      </c>
      <c r="K507" s="52"/>
    </row>
    <row r="508" ht="16.5" spans="1:13">
      <c r="D508" s="52">
        <v>1</v>
      </c>
      <c r="E508" s="52" t="str">
        <f ca="1">OFFSET(载具产出!$F$19,D508,0)</f>
        <v>硬硬护板</v>
      </c>
      <c r="F508" s="52">
        <v>20</v>
      </c>
      <c r="G508" s="52" t="str">
        <f ca="1">SUBSTITUTE(_xlfn.XLOOKUP(E508,载具产出!$F$19:$F$40,载具产出!$N$19:$N$40),"%d",J508)&amp;IF(K508="","",","&amp;K508)</f>
        <v>载具护盾+500</v>
      </c>
      <c r="H508" s="52"/>
      <c r="I508" s="52"/>
      <c r="J508" s="52">
        <v>500</v>
      </c>
      <c r="K508" s="52"/>
    </row>
    <row r="509" ht="16.5" spans="1:13">
      <c r="D509" s="52">
        <v>1</v>
      </c>
      <c r="E509" s="52" t="str">
        <f ca="1">OFFSET(载具产出!$F$19,D509,0)</f>
        <v>硬硬护板</v>
      </c>
      <c r="F509" s="52">
        <v>25</v>
      </c>
      <c r="G509" s="52" t="str">
        <f ca="1">SUBSTITUTE(_xlfn.XLOOKUP(E509,载具产出!$F$19:$F$40,载具产出!$N$19:$N$40),"%d",J509)&amp;IF(K509="","",","&amp;K509)</f>
        <v>载具护盾+600</v>
      </c>
      <c r="H509" s="52"/>
      <c r="I509" s="52"/>
      <c r="J509" s="52">
        <v>600</v>
      </c>
      <c r="K509" s="52"/>
    </row>
    <row r="510" ht="16.5" spans="1:13">
      <c r="D510" s="52">
        <v>1</v>
      </c>
      <c r="E510" s="52" t="str">
        <f ca="1">OFFSET(载具产出!$F$19,D510,0)</f>
        <v>硬硬护板</v>
      </c>
      <c r="F510" s="52">
        <v>30</v>
      </c>
      <c r="G510" s="52" t="str">
        <f ca="1">SUBSTITUTE(_xlfn.XLOOKUP(E510,载具产出!$F$19:$F$40,载具产出!$N$19:$N$40),"%d",J510)&amp;IF(K510="","",","&amp;K510)</f>
        <v>载具护盾+700</v>
      </c>
      <c r="H510" s="52"/>
      <c r="I510" s="52"/>
      <c r="J510" s="52">
        <v>700</v>
      </c>
      <c r="K510" s="52"/>
    </row>
    <row r="511" ht="16.5" spans="1:13">
      <c r="D511" s="52">
        <v>1</v>
      </c>
      <c r="E511" s="52" t="str">
        <f ca="1">OFFSET(载具产出!$F$19,D511,0)</f>
        <v>硬硬护板</v>
      </c>
      <c r="F511" s="52">
        <v>35</v>
      </c>
      <c r="G511" s="52" t="str">
        <f ca="1">SUBSTITUTE(_xlfn.XLOOKUP(E511,载具产出!$F$19:$F$40,载具产出!$N$19:$N$40),"%d",J511)&amp;IF(K511="","",","&amp;K511)</f>
        <v>载具护盾+800</v>
      </c>
      <c r="H511" s="52"/>
      <c r="I511" s="52"/>
      <c r="J511" s="52">
        <v>800</v>
      </c>
      <c r="K511" s="52"/>
    </row>
    <row r="512" ht="16.5" spans="1:13">
      <c r="D512" s="52">
        <v>1</v>
      </c>
      <c r="E512" s="52" t="str">
        <f ca="1">OFFSET(载具产出!$F$19,D512,0)</f>
        <v>硬硬护板</v>
      </c>
      <c r="F512" s="52">
        <v>40</v>
      </c>
      <c r="G512" s="52" t="str">
        <f ca="1">SUBSTITUTE(_xlfn.XLOOKUP(E512,载具产出!$F$19:$F$40,载具产出!$N$19:$N$40),"%d",J512)&amp;IF(K512="","",","&amp;K512)</f>
        <v>载具护盾+900</v>
      </c>
      <c r="H512" s="52"/>
      <c r="I512" s="52"/>
      <c r="J512" s="52">
        <v>900</v>
      </c>
      <c r="K512" s="52"/>
    </row>
    <row r="513" ht="16.5" spans="4:11">
      <c r="D513" s="52">
        <v>1</v>
      </c>
      <c r="E513" s="52" t="str">
        <f ca="1">OFFSET(载具产出!$F$19,D513,0)</f>
        <v>硬硬护板</v>
      </c>
      <c r="F513" s="52">
        <v>45</v>
      </c>
      <c r="G513" s="52" t="str">
        <f ca="1">SUBSTITUTE(_xlfn.XLOOKUP(E513,载具产出!$F$19:$F$40,载具产出!$N$19:$N$40),"%d",J513)&amp;IF(K513="","",","&amp;K513)</f>
        <v>载具护盾+1000</v>
      </c>
      <c r="H513" s="52"/>
      <c r="I513" s="52"/>
      <c r="J513" s="52">
        <v>1000</v>
      </c>
      <c r="K513" s="52"/>
    </row>
    <row r="514" ht="16.5" spans="4:11">
      <c r="D514" s="52">
        <v>1</v>
      </c>
      <c r="E514" s="52" t="str">
        <f ca="1">OFFSET(载具产出!$F$19,D514,0)</f>
        <v>硬硬护板</v>
      </c>
      <c r="F514" s="52">
        <v>50</v>
      </c>
      <c r="G514" s="52" t="str">
        <f ca="1">SUBSTITUTE(_xlfn.XLOOKUP(E514,载具产出!$F$19:$F$40,载具产出!$N$19:$N$40),"%d",J514)&amp;IF(K514="","",","&amp;K514)</f>
        <v>载具护盾+1100</v>
      </c>
      <c r="H514" s="52"/>
      <c r="I514" s="52"/>
      <c r="J514" s="52">
        <v>1100</v>
      </c>
      <c r="K514" s="52"/>
    </row>
    <row r="515" ht="16.5" spans="4:11">
      <c r="D515" s="52">
        <v>1</v>
      </c>
      <c r="E515" s="52" t="str">
        <f ca="1">OFFSET(载具产出!$F$19,D515,0)</f>
        <v>硬硬护板</v>
      </c>
      <c r="F515" s="52">
        <v>55</v>
      </c>
      <c r="G515" s="52" t="str">
        <f ca="1">SUBSTITUTE(_xlfn.XLOOKUP(E515,载具产出!$F$19:$F$40,载具产出!$N$19:$N$40),"%d",J515)&amp;IF(K515="","",","&amp;K515)</f>
        <v>载具护盾+1200</v>
      </c>
      <c r="H515" s="52"/>
      <c r="I515" s="52"/>
      <c r="J515" s="52">
        <v>1200</v>
      </c>
      <c r="K515" s="52"/>
    </row>
    <row r="516" ht="16.5" spans="4:11">
      <c r="D516" s="52">
        <v>1</v>
      </c>
      <c r="E516" s="52" t="str">
        <f ca="1">OFFSET(载具产出!$F$19,D516,0)</f>
        <v>硬硬护板</v>
      </c>
      <c r="F516" s="52">
        <v>60</v>
      </c>
      <c r="G516" s="52" t="str">
        <f ca="1">SUBSTITUTE(_xlfn.XLOOKUP(E516,载具产出!$F$19:$F$40,载具产出!$N$19:$N$40),"%d",J516)&amp;IF(K516="","",","&amp;K516)</f>
        <v>载具护盾+1300</v>
      </c>
      <c r="H516" s="52"/>
      <c r="I516" s="52"/>
      <c r="J516" s="52">
        <v>1300</v>
      </c>
      <c r="K516" s="52"/>
    </row>
    <row r="517" ht="16.5" spans="4:11">
      <c r="D517" s="52">
        <f>IF(F516=60,D516+1,D516)</f>
        <v>2</v>
      </c>
      <c r="E517" s="52" t="str">
        <f ca="1">OFFSET(载具产出!$F$19,D517,0)</f>
        <v>厚到离谱壳</v>
      </c>
      <c r="F517" s="52">
        <f>F504</f>
        <v>1</v>
      </c>
      <c r="G517" s="52" t="str">
        <f ca="1">SUBSTITUTE(_xlfn.XLOOKUP(E517,载具产出!$F$19:$F$40,载具产出!$N$19:$N$40),"%d",J517)&amp;IF(K517="","",","&amp;K517)</f>
        <v>载具耐久+120</v>
      </c>
      <c r="H517" s="52"/>
      <c r="I517" s="52"/>
      <c r="J517" s="52">
        <v>120</v>
      </c>
      <c r="K517" s="52"/>
    </row>
    <row r="518" ht="16.5" spans="4:11">
      <c r="D518" s="52">
        <f t="shared" ref="D518:D531" si="65">IF(F517=60,D517+1,D517)</f>
        <v>2</v>
      </c>
      <c r="E518" s="52" t="str">
        <f ca="1">OFFSET(载具产出!$F$19,D518,0)</f>
        <v>厚到离谱壳</v>
      </c>
      <c r="F518" s="52">
        <f t="shared" ref="F518:F531" si="66">F505</f>
        <v>5</v>
      </c>
      <c r="G518" s="52" t="str">
        <f ca="1">SUBSTITUTE(_xlfn.XLOOKUP(E518,载具产出!$F$19:$F$40,载具产出!$N$19:$N$40),"%d",J518)&amp;IF(K518="","",","&amp;K518)</f>
        <v>载具耐久+240</v>
      </c>
      <c r="H518" s="52"/>
      <c r="I518" s="52"/>
      <c r="J518" s="52">
        <v>240</v>
      </c>
      <c r="K518" s="61"/>
    </row>
    <row r="519" ht="16.5" spans="4:11">
      <c r="D519" s="52">
        <f t="shared" si="65"/>
        <v>2</v>
      </c>
      <c r="E519" s="110" t="str">
        <f ca="1">OFFSET(载具产出!$F$19,D519,0)</f>
        <v>厚到离谱壳</v>
      </c>
      <c r="F519" s="110">
        <f t="shared" si="66"/>
        <v>10</v>
      </c>
      <c r="G519" s="110" t="str">
        <f ca="1">SUBSTITUTE(_xlfn.XLOOKUP(E519,载具产出!$F$19:$F$40,载具产出!$N$19:$N$40),"%d",J519)&amp;IF(K519="","",","&amp;K519)</f>
        <v>载具耐久+360,受到伤害-1</v>
      </c>
      <c r="H519" s="110"/>
      <c r="I519" s="110"/>
      <c r="J519" s="110">
        <v>360</v>
      </c>
      <c r="K519" s="110" t="s">
        <v>65</v>
      </c>
    </row>
    <row r="520" ht="16.5" spans="4:11">
      <c r="D520" s="52">
        <f t="shared" si="65"/>
        <v>2</v>
      </c>
      <c r="E520" s="52" t="str">
        <f ca="1">OFFSET(载具产出!$F$19,D520,0)</f>
        <v>厚到离谱壳</v>
      </c>
      <c r="F520" s="52">
        <f t="shared" si="66"/>
        <v>15</v>
      </c>
      <c r="G520" s="52" t="str">
        <f ca="1">SUBSTITUTE(_xlfn.XLOOKUP(E520,载具产出!$F$19:$F$40,载具产出!$N$19:$N$40),"%d",J520)&amp;IF(K520="","",","&amp;K520)</f>
        <v>载具耐久+480,受到伤害-1</v>
      </c>
      <c r="H520" s="52"/>
      <c r="I520" s="52"/>
      <c r="J520" s="52">
        <v>480</v>
      </c>
      <c r="K520" s="61" t="s">
        <v>65</v>
      </c>
    </row>
    <row r="521" ht="16.5" spans="4:11">
      <c r="D521" s="52">
        <f t="shared" si="65"/>
        <v>2</v>
      </c>
      <c r="E521" s="110" t="str">
        <f ca="1">OFFSET(载具产出!$F$19,D521,0)</f>
        <v>厚到离谱壳</v>
      </c>
      <c r="F521" s="110">
        <f t="shared" si="66"/>
        <v>20</v>
      </c>
      <c r="G521" s="110" t="str">
        <f ca="1">SUBSTITUTE(_xlfn.XLOOKUP(E521,载具产出!$F$19:$F$40,载具产出!$N$19:$N$40),"%d",J521)&amp;IF(K521="","",","&amp;K521)</f>
        <v>载具耐久+600,受到伤害-2</v>
      </c>
      <c r="H521" s="110"/>
      <c r="I521" s="110"/>
      <c r="J521" s="110">
        <v>600</v>
      </c>
      <c r="K521" s="110" t="s">
        <v>66</v>
      </c>
    </row>
    <row r="522" ht="16.5" spans="4:11">
      <c r="D522" s="52">
        <f t="shared" si="65"/>
        <v>2</v>
      </c>
      <c r="E522" s="52" t="str">
        <f ca="1">OFFSET(载具产出!$F$19,D522,0)</f>
        <v>厚到离谱壳</v>
      </c>
      <c r="F522" s="52">
        <f t="shared" si="66"/>
        <v>25</v>
      </c>
      <c r="G522" s="52" t="str">
        <f ca="1">SUBSTITUTE(_xlfn.XLOOKUP(E522,载具产出!$F$19:$F$40,载具产出!$N$19:$N$40),"%d",J522)&amp;IF(K522="","",","&amp;K522)</f>
        <v>载具耐久+720,受到伤害-2</v>
      </c>
      <c r="H522" s="52"/>
      <c r="I522" s="52"/>
      <c r="J522" s="52">
        <v>720</v>
      </c>
      <c r="K522" s="61" t="s">
        <v>66</v>
      </c>
    </row>
    <row r="523" ht="16.5" spans="4:11">
      <c r="D523" s="52">
        <f t="shared" si="65"/>
        <v>2</v>
      </c>
      <c r="E523" s="110" t="str">
        <f ca="1">OFFSET(载具产出!$F$19,D523,0)</f>
        <v>厚到离谱壳</v>
      </c>
      <c r="F523" s="110">
        <f t="shared" si="66"/>
        <v>30</v>
      </c>
      <c r="G523" s="110" t="str">
        <f ca="1">SUBSTITUTE(_xlfn.XLOOKUP(E523,载具产出!$F$19:$F$40,载具产出!$N$19:$N$40),"%d",J523)&amp;IF(K523="","",","&amp;K523)</f>
        <v>载具耐久+840,受到伤害-3</v>
      </c>
      <c r="H523" s="110"/>
      <c r="I523" s="110"/>
      <c r="J523" s="110">
        <v>840</v>
      </c>
      <c r="K523" s="110" t="s">
        <v>67</v>
      </c>
    </row>
    <row r="524" ht="16.5" spans="4:11">
      <c r="D524" s="52">
        <f t="shared" si="65"/>
        <v>2</v>
      </c>
      <c r="E524" s="52" t="str">
        <f ca="1">OFFSET(载具产出!$F$19,D524,0)</f>
        <v>厚到离谱壳</v>
      </c>
      <c r="F524" s="52">
        <f t="shared" si="66"/>
        <v>35</v>
      </c>
      <c r="G524" s="52" t="str">
        <f ca="1">SUBSTITUTE(_xlfn.XLOOKUP(E524,载具产出!$F$19:$F$40,载具产出!$N$19:$N$40),"%d",J524)&amp;IF(K524="","",","&amp;K524)</f>
        <v>载具耐久+960,受到伤害-3</v>
      </c>
      <c r="H524" s="52"/>
      <c r="I524" s="52"/>
      <c r="J524" s="52">
        <v>960</v>
      </c>
      <c r="K524" s="61" t="s">
        <v>67</v>
      </c>
    </row>
    <row r="525" ht="16.5" spans="4:11">
      <c r="D525" s="52">
        <f t="shared" si="65"/>
        <v>2</v>
      </c>
      <c r="E525" s="110" t="str">
        <f ca="1">OFFSET(载具产出!$F$19,D525,0)</f>
        <v>厚到离谱壳</v>
      </c>
      <c r="F525" s="110">
        <f t="shared" si="66"/>
        <v>40</v>
      </c>
      <c r="G525" s="110" t="str">
        <f ca="1">SUBSTITUTE(_xlfn.XLOOKUP(E525,载具产出!$F$19:$F$40,载具产出!$N$19:$N$40),"%d",J525)&amp;IF(K525="","",","&amp;K525)</f>
        <v>载具耐久+1080,受到伤害-4</v>
      </c>
      <c r="H525" s="110"/>
      <c r="I525" s="110"/>
      <c r="J525" s="110">
        <v>1080</v>
      </c>
      <c r="K525" s="110" t="s">
        <v>68</v>
      </c>
    </row>
    <row r="526" ht="16.5" spans="4:11">
      <c r="D526" s="52">
        <f t="shared" si="65"/>
        <v>2</v>
      </c>
      <c r="E526" s="52" t="str">
        <f ca="1">OFFSET(载具产出!$F$19,D526,0)</f>
        <v>厚到离谱壳</v>
      </c>
      <c r="F526" s="52">
        <f t="shared" si="66"/>
        <v>45</v>
      </c>
      <c r="G526" s="52" t="str">
        <f ca="1">SUBSTITUTE(_xlfn.XLOOKUP(E526,载具产出!$F$19:$F$40,载具产出!$N$19:$N$40),"%d",J526)&amp;IF(K526="","",","&amp;K526)</f>
        <v>载具耐久+1200,受到伤害-4</v>
      </c>
      <c r="H526" s="52"/>
      <c r="I526" s="52"/>
      <c r="J526" s="52">
        <v>1200</v>
      </c>
      <c r="K526" s="61" t="s">
        <v>68</v>
      </c>
    </row>
    <row r="527" ht="16.5" spans="4:11">
      <c r="D527" s="52">
        <f t="shared" si="65"/>
        <v>2</v>
      </c>
      <c r="E527" s="110" t="str">
        <f ca="1">OFFSET(载具产出!$F$19,D527,0)</f>
        <v>厚到离谱壳</v>
      </c>
      <c r="F527" s="110">
        <f t="shared" si="66"/>
        <v>50</v>
      </c>
      <c r="G527" s="110" t="str">
        <f ca="1">SUBSTITUTE(_xlfn.XLOOKUP(E527,载具产出!$F$19:$F$40,载具产出!$N$19:$N$40),"%d",J527)&amp;IF(K527="","",","&amp;K527)</f>
        <v>载具耐久+1320,受到伤害-5</v>
      </c>
      <c r="H527" s="110"/>
      <c r="I527" s="110"/>
      <c r="J527" s="110">
        <v>1320</v>
      </c>
      <c r="K527" s="110" t="s">
        <v>69</v>
      </c>
    </row>
    <row r="528" ht="16.5" spans="4:11">
      <c r="D528" s="52">
        <f t="shared" si="65"/>
        <v>2</v>
      </c>
      <c r="E528" s="52" t="str">
        <f ca="1">OFFSET(载具产出!$F$19,D528,0)</f>
        <v>厚到离谱壳</v>
      </c>
      <c r="F528" s="52">
        <f t="shared" si="66"/>
        <v>55</v>
      </c>
      <c r="G528" s="52" t="str">
        <f ca="1">SUBSTITUTE(_xlfn.XLOOKUP(E528,载具产出!$F$19:$F$40,载具产出!$N$19:$N$40),"%d",J528)&amp;IF(K528="","",","&amp;K528)</f>
        <v>载具耐久+1440,受到伤害-5</v>
      </c>
      <c r="H528" s="52"/>
      <c r="I528" s="52"/>
      <c r="J528" s="52">
        <v>1440</v>
      </c>
      <c r="K528" s="61" t="s">
        <v>69</v>
      </c>
    </row>
    <row r="529" ht="16.5" spans="4:11">
      <c r="D529" s="52">
        <f t="shared" si="65"/>
        <v>2</v>
      </c>
      <c r="E529" s="110" t="str">
        <f ca="1">OFFSET(载具产出!$F$19,D529,0)</f>
        <v>厚到离谱壳</v>
      </c>
      <c r="F529" s="110">
        <f t="shared" si="66"/>
        <v>60</v>
      </c>
      <c r="G529" s="110" t="str">
        <f ca="1">SUBSTITUTE(_xlfn.XLOOKUP(E529,载具产出!$F$19:$F$40,载具产出!$N$19:$N$40),"%d",J529)&amp;IF(K529="","",","&amp;K529)</f>
        <v>载具耐久+1560,受到伤害-6</v>
      </c>
      <c r="H529" s="110"/>
      <c r="I529" s="110"/>
      <c r="J529" s="110">
        <v>1560</v>
      </c>
      <c r="K529" s="110" t="s">
        <v>70</v>
      </c>
    </row>
    <row r="530" ht="16.5" spans="4:11">
      <c r="D530" s="52">
        <f t="shared" si="65"/>
        <v>3</v>
      </c>
      <c r="E530" s="52" t="str">
        <f ca="1">OFFSET(载具产出!$F$19,D530,0)</f>
        <v>你打你疼板</v>
      </c>
      <c r="F530" s="52">
        <f t="shared" si="66"/>
        <v>1</v>
      </c>
      <c r="G530" s="52" t="str">
        <f ca="1">SUBSTITUTE(_xlfn.XLOOKUP(E530,载具产出!$F$19:$F$40,载具产出!$N$19:$N$40),"%d",J530)&amp;IF(K530="","",","&amp;K530)</f>
        <v>载具对攻击者造成队长100%的伤害</v>
      </c>
      <c r="H530" s="52"/>
      <c r="I530" s="52"/>
      <c r="J530" s="52">
        <v>100</v>
      </c>
      <c r="K530" s="52"/>
    </row>
    <row r="531" ht="16.5" spans="4:11">
      <c r="D531" s="52">
        <f t="shared" ref="D531:D565" si="67">IF(F530=60,D530+1,D530)</f>
        <v>3</v>
      </c>
      <c r="E531" s="52" t="str">
        <f ca="1">OFFSET(载具产出!$F$19,D531,0)</f>
        <v>你打你疼板</v>
      </c>
      <c r="F531" s="52">
        <f t="shared" ref="F531:F565" si="68">F518</f>
        <v>5</v>
      </c>
      <c r="G531" s="52" t="str">
        <f ca="1">SUBSTITUTE(_xlfn.XLOOKUP(E531,载具产出!$F$19:$F$40,载具产出!$N$19:$N$40),"%d",J531)&amp;IF(K531="","",","&amp;K531)</f>
        <v>载具对攻击者造成队长120%的伤害</v>
      </c>
      <c r="H531" s="52"/>
      <c r="I531" s="52"/>
      <c r="J531" s="52">
        <v>120</v>
      </c>
      <c r="K531" s="52"/>
    </row>
    <row r="532" ht="16.5" spans="4:11">
      <c r="D532" s="52">
        <f t="shared" si="67"/>
        <v>3</v>
      </c>
      <c r="E532" s="52" t="str">
        <f ca="1">OFFSET(载具产出!$F$19,D532,0)</f>
        <v>你打你疼板</v>
      </c>
      <c r="F532" s="52">
        <f t="shared" si="68"/>
        <v>10</v>
      </c>
      <c r="G532" s="52" t="str">
        <f ca="1">SUBSTITUTE(_xlfn.XLOOKUP(E532,载具产出!$F$19:$F$40,载具产出!$N$19:$N$40),"%d",J532)&amp;IF(K532="","",","&amp;K532)</f>
        <v>载具对攻击者造成队长140%的伤害,缩短咻咻锤0.1秒技能冷却</v>
      </c>
      <c r="H532" s="52"/>
      <c r="I532" s="52"/>
      <c r="J532" s="52">
        <v>140</v>
      </c>
      <c r="K532" s="52" t="s">
        <v>71</v>
      </c>
    </row>
    <row r="533" ht="16.5" spans="4:11">
      <c r="D533" s="52">
        <f t="shared" si="67"/>
        <v>3</v>
      </c>
      <c r="E533" s="52" t="str">
        <f ca="1">OFFSET(载具产出!$F$19,D533,0)</f>
        <v>你打你疼板</v>
      </c>
      <c r="F533" s="52">
        <f t="shared" si="68"/>
        <v>15</v>
      </c>
      <c r="G533" s="52" t="str">
        <f ca="1">SUBSTITUTE(_xlfn.XLOOKUP(E533,载具产出!$F$19:$F$40,载具产出!$N$19:$N$40),"%d",J533)&amp;IF(K533="","",","&amp;K533)</f>
        <v>载具对攻击者造成队长160%的伤害,缩短咻咻锤0.1秒技能冷却</v>
      </c>
      <c r="H533" s="52"/>
      <c r="I533" s="52"/>
      <c r="J533" s="52">
        <v>160</v>
      </c>
      <c r="K533" s="52" t="s">
        <v>71</v>
      </c>
    </row>
    <row r="534" ht="16.5" spans="4:11">
      <c r="D534" s="52">
        <f t="shared" si="67"/>
        <v>3</v>
      </c>
      <c r="E534" s="52" t="str">
        <f ca="1">OFFSET(载具产出!$F$19,D534,0)</f>
        <v>你打你疼板</v>
      </c>
      <c r="F534" s="52">
        <f t="shared" si="68"/>
        <v>20</v>
      </c>
      <c r="G534" s="52" t="str">
        <f ca="1">SUBSTITUTE(_xlfn.XLOOKUP(E534,载具产出!$F$19:$F$40,载具产出!$N$19:$N$40),"%d",J534)&amp;IF(K534="","",","&amp;K534)</f>
        <v>载具对攻击者造成队长180%的伤害,缩短咻咻锤0.2秒技能冷却</v>
      </c>
      <c r="H534" s="52"/>
      <c r="I534" s="52"/>
      <c r="J534" s="52">
        <v>180</v>
      </c>
      <c r="K534" s="52" t="s">
        <v>72</v>
      </c>
    </row>
    <row r="535" ht="16.5" spans="4:11">
      <c r="D535" s="52">
        <f t="shared" si="67"/>
        <v>3</v>
      </c>
      <c r="E535" s="52" t="str">
        <f ca="1">OFFSET(载具产出!$F$19,D535,0)</f>
        <v>你打你疼板</v>
      </c>
      <c r="F535" s="52">
        <f t="shared" si="68"/>
        <v>25</v>
      </c>
      <c r="G535" s="52" t="str">
        <f ca="1">SUBSTITUTE(_xlfn.XLOOKUP(E535,载具产出!$F$19:$F$40,载具产出!$N$19:$N$40),"%d",J535)&amp;IF(K535="","",","&amp;K535)</f>
        <v>载具对攻击者造成队长200%的伤害,缩短咻咻锤0.2秒技能冷却</v>
      </c>
      <c r="H535" s="52"/>
      <c r="I535" s="52"/>
      <c r="J535" s="52">
        <v>200</v>
      </c>
      <c r="K535" s="52" t="s">
        <v>72</v>
      </c>
    </row>
    <row r="536" ht="16.5" spans="4:11">
      <c r="D536" s="52">
        <f t="shared" si="67"/>
        <v>3</v>
      </c>
      <c r="E536" s="52" t="str">
        <f ca="1">OFFSET(载具产出!$F$19,D536,0)</f>
        <v>你打你疼板</v>
      </c>
      <c r="F536" s="52">
        <f t="shared" si="68"/>
        <v>30</v>
      </c>
      <c r="G536" s="52" t="str">
        <f ca="1">SUBSTITUTE(_xlfn.XLOOKUP(E536,载具产出!$F$19:$F$40,载具产出!$N$19:$N$40),"%d",J536)&amp;IF(K536="","",","&amp;K536)</f>
        <v>载具对攻击者造成队长220%的伤害,缩短咻咻锤0.3秒技能冷却</v>
      </c>
      <c r="H536" s="52"/>
      <c r="I536" s="52"/>
      <c r="J536" s="52">
        <v>220</v>
      </c>
      <c r="K536" s="52" t="s">
        <v>73</v>
      </c>
    </row>
    <row r="537" ht="16.5" spans="4:11">
      <c r="D537" s="52">
        <f t="shared" si="67"/>
        <v>3</v>
      </c>
      <c r="E537" s="52" t="str">
        <f ca="1">OFFSET(载具产出!$F$19,D537,0)</f>
        <v>你打你疼板</v>
      </c>
      <c r="F537" s="52">
        <f t="shared" si="68"/>
        <v>35</v>
      </c>
      <c r="G537" s="52" t="str">
        <f ca="1">SUBSTITUTE(_xlfn.XLOOKUP(E537,载具产出!$F$19:$F$40,载具产出!$N$19:$N$40),"%d",J537)&amp;IF(K537="","",","&amp;K537)</f>
        <v>载具对攻击者造成队长240%的伤害,缩短咻咻锤0.3秒技能冷却</v>
      </c>
      <c r="H537" s="52"/>
      <c r="I537" s="52"/>
      <c r="J537" s="52">
        <v>240</v>
      </c>
      <c r="K537" s="52" t="s">
        <v>73</v>
      </c>
    </row>
    <row r="538" ht="16.5" spans="4:11">
      <c r="D538" s="52">
        <f t="shared" si="67"/>
        <v>3</v>
      </c>
      <c r="E538" s="52" t="str">
        <f ca="1">OFFSET(载具产出!$F$19,D538,0)</f>
        <v>你打你疼板</v>
      </c>
      <c r="F538" s="52">
        <f t="shared" si="68"/>
        <v>40</v>
      </c>
      <c r="G538" s="52" t="str">
        <f ca="1">SUBSTITUTE(_xlfn.XLOOKUP(E538,载具产出!$F$19:$F$40,载具产出!$N$19:$N$40),"%d",J538)&amp;IF(K538="","",","&amp;K538)</f>
        <v>载具对攻击者造成队长260%的伤害,缩短咻咻锤0.4秒技能冷却</v>
      </c>
      <c r="H538" s="52"/>
      <c r="I538" s="52"/>
      <c r="J538" s="52">
        <v>260</v>
      </c>
      <c r="K538" s="52" t="s">
        <v>74</v>
      </c>
    </row>
    <row r="539" ht="16.5" spans="4:11">
      <c r="D539" s="52">
        <f t="shared" si="67"/>
        <v>3</v>
      </c>
      <c r="E539" s="52" t="str">
        <f ca="1">OFFSET(载具产出!$F$19,D539,0)</f>
        <v>你打你疼板</v>
      </c>
      <c r="F539" s="52">
        <f t="shared" si="68"/>
        <v>45</v>
      </c>
      <c r="G539" s="52" t="str">
        <f ca="1">SUBSTITUTE(_xlfn.XLOOKUP(E539,载具产出!$F$19:$F$40,载具产出!$N$19:$N$40),"%d",J539)&amp;IF(K539="","",","&amp;K539)</f>
        <v>载具对攻击者造成队长280%的伤害,缩短咻咻锤0.4秒技能冷却</v>
      </c>
      <c r="H539" s="52"/>
      <c r="I539" s="52"/>
      <c r="J539" s="52">
        <v>280</v>
      </c>
      <c r="K539" s="52" t="s">
        <v>74</v>
      </c>
    </row>
    <row r="540" ht="16.5" spans="4:11">
      <c r="D540" s="52">
        <f t="shared" si="67"/>
        <v>3</v>
      </c>
      <c r="E540" s="52" t="str">
        <f ca="1">OFFSET(载具产出!$F$19,D540,0)</f>
        <v>你打你疼板</v>
      </c>
      <c r="F540" s="52">
        <f t="shared" si="68"/>
        <v>50</v>
      </c>
      <c r="G540" s="52" t="str">
        <f ca="1">SUBSTITUTE(_xlfn.XLOOKUP(E540,载具产出!$F$19:$F$40,载具产出!$N$19:$N$40),"%d",J540)&amp;IF(K540="","",","&amp;K540)</f>
        <v>载具对攻击者造成队长300%的伤害,缩短咻咻锤0.5秒技能冷却</v>
      </c>
      <c r="H540" s="52"/>
      <c r="I540" s="52"/>
      <c r="J540" s="52">
        <v>300</v>
      </c>
      <c r="K540" s="52" t="s">
        <v>75</v>
      </c>
    </row>
    <row r="541" ht="16.5" spans="4:11">
      <c r="D541" s="52">
        <f t="shared" si="67"/>
        <v>3</v>
      </c>
      <c r="E541" s="52" t="str">
        <f ca="1">OFFSET(载具产出!$F$19,D541,0)</f>
        <v>你打你疼板</v>
      </c>
      <c r="F541" s="52">
        <f t="shared" si="68"/>
        <v>55</v>
      </c>
      <c r="G541" s="52" t="str">
        <f ca="1">SUBSTITUTE(_xlfn.XLOOKUP(E541,载具产出!$F$19:$F$40,载具产出!$N$19:$N$40),"%d",J541)&amp;IF(K541="","",","&amp;K541)</f>
        <v>载具对攻击者造成队长320%的伤害,缩短咻咻锤0.5秒技能冷却</v>
      </c>
      <c r="H541" s="52"/>
      <c r="I541" s="52"/>
      <c r="J541" s="52">
        <v>320</v>
      </c>
      <c r="K541" s="52" t="s">
        <v>75</v>
      </c>
    </row>
    <row r="542" ht="16.5" spans="4:11">
      <c r="D542" s="52">
        <f t="shared" si="67"/>
        <v>3</v>
      </c>
      <c r="E542" s="52" t="str">
        <f ca="1">OFFSET(载具产出!$F$19,D542,0)</f>
        <v>你打你疼板</v>
      </c>
      <c r="F542" s="52">
        <f t="shared" si="68"/>
        <v>60</v>
      </c>
      <c r="G542" s="52" t="str">
        <f ca="1">SUBSTITUTE(_xlfn.XLOOKUP(E542,载具产出!$F$19:$F$40,载具产出!$N$19:$N$40),"%d",J542)&amp;IF(K542="","",","&amp;K542)</f>
        <v>载具对攻击者造成队长340%的伤害,缩短咻咻锤0.6秒技能冷却</v>
      </c>
      <c r="H542" s="52"/>
      <c r="I542" s="52"/>
      <c r="J542" s="52">
        <v>340</v>
      </c>
      <c r="K542" s="52" t="s">
        <v>76</v>
      </c>
    </row>
    <row r="543" ht="16.5" spans="4:11">
      <c r="D543" s="52">
        <f t="shared" si="67"/>
        <v>4</v>
      </c>
      <c r="E543" s="52" t="str">
        <f ca="1">OFFSET(载具产出!$F$19,D543,0)</f>
        <v>半场增伤钮</v>
      </c>
      <c r="F543" s="52">
        <f t="shared" si="68"/>
        <v>1</v>
      </c>
      <c r="G543" s="52" t="str">
        <f ca="1">SUBSTITUTE(_xlfn.XLOOKUP(E543,载具产出!$F$19:$F$40,载具产出!$N$19:$N$40),"%d",J543)&amp;IF(K543="","",","&amp;K543)</f>
        <v>对半场内怪物伤害增加5%</v>
      </c>
      <c r="H543" s="52"/>
      <c r="I543" s="52"/>
      <c r="J543" s="52">
        <v>5</v>
      </c>
      <c r="K543" s="52"/>
    </row>
    <row r="544" ht="16.5" spans="4:11">
      <c r="D544" s="52">
        <f t="shared" si="67"/>
        <v>4</v>
      </c>
      <c r="E544" s="52" t="str">
        <f ca="1">OFFSET(载具产出!$F$19,D544,0)</f>
        <v>半场增伤钮</v>
      </c>
      <c r="F544" s="52">
        <f t="shared" si="68"/>
        <v>5</v>
      </c>
      <c r="G544" s="52" t="str">
        <f ca="1">SUBSTITUTE(_xlfn.XLOOKUP(E544,载具产出!$F$19:$F$40,载具产出!$N$19:$N$40),"%d",J544)&amp;IF(K544="","",","&amp;K544)</f>
        <v>对半场内怪物伤害增加10%</v>
      </c>
      <c r="H544" s="52"/>
      <c r="I544" s="52"/>
      <c r="J544" s="52">
        <v>10</v>
      </c>
      <c r="K544" s="52"/>
    </row>
    <row r="545" ht="16.5" spans="4:11">
      <c r="D545" s="52">
        <f t="shared" si="67"/>
        <v>4</v>
      </c>
      <c r="E545" s="52" t="str">
        <f ca="1">OFFSET(载具产出!$F$19,D545,0)</f>
        <v>半场增伤钮</v>
      </c>
      <c r="F545" s="52">
        <f t="shared" si="68"/>
        <v>10</v>
      </c>
      <c r="G545" s="52" t="str">
        <f ca="1">SUBSTITUTE(_xlfn.XLOOKUP(E545,载具产出!$F$19:$F$40,载具产出!$N$19:$N$40),"%d",J545)&amp;IF(K545="","",","&amp;K545)</f>
        <v>对半场内怪物伤害增加15%</v>
      </c>
      <c r="H545" s="52"/>
      <c r="I545" s="52"/>
      <c r="J545" s="52">
        <v>15</v>
      </c>
      <c r="K545" s="52"/>
    </row>
    <row r="546" ht="16.5" spans="4:11">
      <c r="D546" s="52">
        <f t="shared" si="67"/>
        <v>4</v>
      </c>
      <c r="E546" s="52" t="str">
        <f ca="1">OFFSET(载具产出!$F$19,D546,0)</f>
        <v>半场增伤钮</v>
      </c>
      <c r="F546" s="52">
        <f t="shared" si="68"/>
        <v>15</v>
      </c>
      <c r="G546" s="52" t="str">
        <f ca="1">SUBSTITUTE(_xlfn.XLOOKUP(E546,载具产出!$F$19:$F$40,载具产出!$N$19:$N$40),"%d",J546)&amp;IF(K546="","",","&amp;K546)</f>
        <v>对半场内怪物伤害增加20%</v>
      </c>
      <c r="H546" s="52"/>
      <c r="I546" s="52"/>
      <c r="J546" s="52">
        <v>20</v>
      </c>
      <c r="K546" s="52"/>
    </row>
    <row r="547" ht="16.5" spans="4:11">
      <c r="D547" s="52">
        <f t="shared" si="67"/>
        <v>4</v>
      </c>
      <c r="E547" s="52" t="str">
        <f ca="1">OFFSET(载具产出!$F$19,D547,0)</f>
        <v>半场增伤钮</v>
      </c>
      <c r="F547" s="52">
        <f t="shared" si="68"/>
        <v>20</v>
      </c>
      <c r="G547" s="52" t="str">
        <f ca="1">SUBSTITUTE(_xlfn.XLOOKUP(E547,载具产出!$F$19:$F$40,载具产出!$N$19:$N$40),"%d",J547)&amp;IF(K547="","",","&amp;K547)</f>
        <v>对半场内怪物伤害增加25%</v>
      </c>
      <c r="H547" s="52"/>
      <c r="I547" s="52"/>
      <c r="J547" s="52">
        <v>25</v>
      </c>
      <c r="K547" s="52"/>
    </row>
    <row r="548" ht="16.5" spans="4:11">
      <c r="D548" s="52">
        <f t="shared" si="67"/>
        <v>4</v>
      </c>
      <c r="E548" s="52" t="str">
        <f ca="1">OFFSET(载具产出!$F$19,D548,0)</f>
        <v>半场增伤钮</v>
      </c>
      <c r="F548" s="52">
        <f t="shared" si="68"/>
        <v>25</v>
      </c>
      <c r="G548" s="52" t="str">
        <f ca="1">SUBSTITUTE(_xlfn.XLOOKUP(E548,载具产出!$F$19:$F$40,载具产出!$N$19:$N$40),"%d",J548)&amp;IF(K548="","",","&amp;K548)</f>
        <v>对半场内怪物伤害增加30%</v>
      </c>
      <c r="H548" s="52"/>
      <c r="I548" s="52"/>
      <c r="J548" s="52">
        <v>30</v>
      </c>
      <c r="K548" s="52"/>
    </row>
    <row r="549" ht="16.5" spans="4:11">
      <c r="D549" s="52">
        <f t="shared" si="67"/>
        <v>4</v>
      </c>
      <c r="E549" s="52" t="str">
        <f ca="1">OFFSET(载具产出!$F$19,D549,0)</f>
        <v>半场增伤钮</v>
      </c>
      <c r="F549" s="52">
        <f t="shared" si="68"/>
        <v>30</v>
      </c>
      <c r="G549" s="52" t="str">
        <f ca="1">SUBSTITUTE(_xlfn.XLOOKUP(E549,载具产出!$F$19:$F$40,载具产出!$N$19:$N$40),"%d",J549)&amp;IF(K549="","",","&amp;K549)</f>
        <v>对半场内怪物伤害增加35%</v>
      </c>
      <c r="H549" s="52"/>
      <c r="I549" s="52"/>
      <c r="J549" s="52">
        <v>35</v>
      </c>
      <c r="K549" s="52"/>
    </row>
    <row r="550" ht="16.5" spans="4:11">
      <c r="D550" s="52">
        <f t="shared" si="67"/>
        <v>4</v>
      </c>
      <c r="E550" s="52" t="str">
        <f ca="1">OFFSET(载具产出!$F$19,D550,0)</f>
        <v>半场增伤钮</v>
      </c>
      <c r="F550" s="52">
        <f t="shared" si="68"/>
        <v>35</v>
      </c>
      <c r="G550" s="52" t="str">
        <f ca="1">SUBSTITUTE(_xlfn.XLOOKUP(E550,载具产出!$F$19:$F$40,载具产出!$N$19:$N$40),"%d",J550)&amp;IF(K550="","",","&amp;K550)</f>
        <v>对半场内怪物伤害增加40%</v>
      </c>
      <c r="H550" s="52"/>
      <c r="I550" s="52"/>
      <c r="J550" s="52">
        <v>40</v>
      </c>
      <c r="K550" s="52"/>
    </row>
    <row r="551" ht="16.5" spans="4:11">
      <c r="D551" s="52">
        <f t="shared" si="67"/>
        <v>4</v>
      </c>
      <c r="E551" s="52" t="str">
        <f ca="1">OFFSET(载具产出!$F$19,D551,0)</f>
        <v>半场增伤钮</v>
      </c>
      <c r="F551" s="52">
        <f t="shared" si="68"/>
        <v>40</v>
      </c>
      <c r="G551" s="52" t="str">
        <f ca="1">SUBSTITUTE(_xlfn.XLOOKUP(E551,载具产出!$F$19:$F$40,载具产出!$N$19:$N$40),"%d",J551)&amp;IF(K551="","",","&amp;K551)</f>
        <v>对半场内怪物伤害增加45%</v>
      </c>
      <c r="H551" s="52"/>
      <c r="I551" s="52"/>
      <c r="J551" s="52">
        <v>45</v>
      </c>
      <c r="K551" s="52"/>
    </row>
    <row r="552" ht="16.5" spans="4:11">
      <c r="D552" s="52">
        <f t="shared" si="67"/>
        <v>4</v>
      </c>
      <c r="E552" s="52" t="str">
        <f ca="1">OFFSET(载具产出!$F$19,D552,0)</f>
        <v>半场增伤钮</v>
      </c>
      <c r="F552" s="52">
        <f t="shared" si="68"/>
        <v>45</v>
      </c>
      <c r="G552" s="52" t="str">
        <f ca="1">SUBSTITUTE(_xlfn.XLOOKUP(E552,载具产出!$F$19:$F$40,载具产出!$N$19:$N$40),"%d",J552)&amp;IF(K552="","",","&amp;K552)</f>
        <v>对半场内怪物伤害增加50%</v>
      </c>
      <c r="H552" s="52"/>
      <c r="I552" s="52"/>
      <c r="J552" s="52">
        <v>50</v>
      </c>
      <c r="K552" s="52"/>
    </row>
    <row r="553" ht="16.5" spans="4:11">
      <c r="D553" s="52">
        <f t="shared" si="67"/>
        <v>4</v>
      </c>
      <c r="E553" s="52" t="str">
        <f ca="1">OFFSET(载具产出!$F$19,D553,0)</f>
        <v>半场增伤钮</v>
      </c>
      <c r="F553" s="52">
        <f t="shared" si="68"/>
        <v>50</v>
      </c>
      <c r="G553" s="52" t="str">
        <f ca="1">SUBSTITUTE(_xlfn.XLOOKUP(E553,载具产出!$F$19:$F$40,载具产出!$N$19:$N$40),"%d",J553)&amp;IF(K553="","",","&amp;K553)</f>
        <v>对半场内怪物伤害增加55%</v>
      </c>
      <c r="H553" s="52"/>
      <c r="I553" s="52"/>
      <c r="J553" s="52">
        <v>55</v>
      </c>
      <c r="K553" s="52"/>
    </row>
    <row r="554" ht="16.5" spans="4:11">
      <c r="D554" s="52">
        <f t="shared" si="67"/>
        <v>4</v>
      </c>
      <c r="E554" s="52" t="str">
        <f ca="1">OFFSET(载具产出!$F$19,D554,0)</f>
        <v>半场增伤钮</v>
      </c>
      <c r="F554" s="52">
        <f t="shared" si="68"/>
        <v>55</v>
      </c>
      <c r="G554" s="52" t="str">
        <f ca="1">SUBSTITUTE(_xlfn.XLOOKUP(E554,载具产出!$F$19:$F$40,载具产出!$N$19:$N$40),"%d",J554)&amp;IF(K554="","",","&amp;K554)</f>
        <v>对半场内怪物伤害增加60%</v>
      </c>
      <c r="H554" s="52"/>
      <c r="I554" s="52"/>
      <c r="J554" s="52">
        <v>60</v>
      </c>
      <c r="K554" s="52"/>
    </row>
    <row r="555" ht="16.5" spans="4:11">
      <c r="D555" s="52">
        <f t="shared" si="67"/>
        <v>4</v>
      </c>
      <c r="E555" s="52" t="str">
        <f ca="1">OFFSET(载具产出!$F$19,D555,0)</f>
        <v>半场增伤钮</v>
      </c>
      <c r="F555" s="52">
        <f t="shared" si="68"/>
        <v>60</v>
      </c>
      <c r="G555" s="52" t="str">
        <f ca="1">SUBSTITUTE(_xlfn.XLOOKUP(E555,载具产出!$F$19:$F$40,载具产出!$N$19:$N$40),"%d",J555)&amp;IF(K555="","",","&amp;K555)</f>
        <v>对半场内怪物伤害增加65%</v>
      </c>
      <c r="H555" s="52"/>
      <c r="I555" s="52"/>
      <c r="J555" s="52">
        <v>65</v>
      </c>
      <c r="K555" s="52"/>
    </row>
    <row r="556" ht="16.5" spans="4:11">
      <c r="D556" s="52">
        <f t="shared" si="67"/>
        <v>5</v>
      </c>
      <c r="E556" s="52" t="str">
        <f ca="1">OFFSET(载具产出!$F$19,D556,0)</f>
        <v>小弟补个胎</v>
      </c>
      <c r="F556" s="52">
        <f t="shared" si="68"/>
        <v>1</v>
      </c>
      <c r="G556" s="52" t="str">
        <f ca="1">SUBSTITUTE(_xlfn.XLOOKUP(E556,载具产出!$F$19:$F$40,载具产出!$N$19:$N$40),"%d",J556)&amp;IF(K556="","",","&amp;K556)</f>
        <v>每次召唤召唤物获得4点耐久</v>
      </c>
      <c r="H556" s="52"/>
      <c r="I556" s="52"/>
      <c r="J556" s="52">
        <v>4</v>
      </c>
      <c r="K556" s="52"/>
    </row>
    <row r="557" ht="16.5" spans="4:11">
      <c r="D557" s="52">
        <f t="shared" si="67"/>
        <v>5</v>
      </c>
      <c r="E557" s="52" t="str">
        <f ca="1">OFFSET(载具产出!$F$19,D557,0)</f>
        <v>小弟补个胎</v>
      </c>
      <c r="F557" s="52">
        <f t="shared" si="68"/>
        <v>5</v>
      </c>
      <c r="G557" s="52" t="str">
        <f ca="1">SUBSTITUTE(_xlfn.XLOOKUP(E557,载具产出!$F$19:$F$40,载具产出!$N$19:$N$40),"%d",J557)&amp;IF(K557="","",","&amp;K557)</f>
        <v>每次召唤召唤物获得8点耐久</v>
      </c>
      <c r="H557" s="52"/>
      <c r="I557" s="52"/>
      <c r="J557" s="52">
        <v>8</v>
      </c>
      <c r="K557" s="52"/>
    </row>
    <row r="558" ht="16.5" spans="4:11">
      <c r="D558" s="52">
        <f t="shared" ref="D558:D584" si="69">IF(F557=60,D557+1,D557)</f>
        <v>5</v>
      </c>
      <c r="E558" s="52" t="str">
        <f ca="1">OFFSET(载具产出!$F$19,D558,0)</f>
        <v>小弟补个胎</v>
      </c>
      <c r="F558" s="52">
        <f t="shared" ref="F558:F584" si="70">F545</f>
        <v>10</v>
      </c>
      <c r="G558" s="52" t="str">
        <f ca="1">SUBSTITUTE(_xlfn.XLOOKUP(E558,载具产出!$F$19:$F$40,载具产出!$N$19:$N$40),"%d",J558)&amp;IF(K558="","",","&amp;K558)</f>
        <v>每次召唤召唤物获得12点耐久</v>
      </c>
      <c r="H558" s="52"/>
      <c r="I558" s="52"/>
      <c r="J558" s="52">
        <v>12</v>
      </c>
      <c r="K558" s="52"/>
    </row>
    <row r="559" ht="16.5" spans="4:11">
      <c r="D559" s="52">
        <f t="shared" si="69"/>
        <v>5</v>
      </c>
      <c r="E559" s="52" t="str">
        <f ca="1">OFFSET(载具产出!$F$19,D559,0)</f>
        <v>小弟补个胎</v>
      </c>
      <c r="F559" s="52">
        <f t="shared" si="70"/>
        <v>15</v>
      </c>
      <c r="G559" s="52" t="str">
        <f ca="1">SUBSTITUTE(_xlfn.XLOOKUP(E559,载具产出!$F$19:$F$40,载具产出!$N$19:$N$40),"%d",J559)&amp;IF(K559="","",","&amp;K559)</f>
        <v>每次召唤召唤物获得16点耐久</v>
      </c>
      <c r="H559" s="52"/>
      <c r="I559" s="52"/>
      <c r="J559" s="52">
        <v>16</v>
      </c>
      <c r="K559" s="52"/>
    </row>
    <row r="560" ht="16.5" spans="4:11">
      <c r="D560" s="52">
        <f t="shared" si="69"/>
        <v>5</v>
      </c>
      <c r="E560" s="52" t="str">
        <f ca="1">OFFSET(载具产出!$F$19,D560,0)</f>
        <v>小弟补个胎</v>
      </c>
      <c r="F560" s="52">
        <f t="shared" si="70"/>
        <v>20</v>
      </c>
      <c r="G560" s="52" t="str">
        <f ca="1">SUBSTITUTE(_xlfn.XLOOKUP(E560,载具产出!$F$19:$F$40,载具产出!$N$19:$N$40),"%d",J560)&amp;IF(K560="","",","&amp;K560)</f>
        <v>每次召唤召唤物获得20点耐久</v>
      </c>
      <c r="H560" s="52"/>
      <c r="I560" s="52"/>
      <c r="J560" s="52">
        <v>20</v>
      </c>
      <c r="K560" s="52"/>
    </row>
    <row r="561" ht="16.5" spans="4:11">
      <c r="D561" s="52">
        <f t="shared" si="69"/>
        <v>5</v>
      </c>
      <c r="E561" s="52" t="str">
        <f ca="1">OFFSET(载具产出!$F$19,D561,0)</f>
        <v>小弟补个胎</v>
      </c>
      <c r="F561" s="52">
        <f t="shared" si="70"/>
        <v>25</v>
      </c>
      <c r="G561" s="52" t="str">
        <f ca="1">SUBSTITUTE(_xlfn.XLOOKUP(E561,载具产出!$F$19:$F$40,载具产出!$N$19:$N$40),"%d",J561)&amp;IF(K561="","",","&amp;K561)</f>
        <v>每次召唤召唤物获得24点耐久</v>
      </c>
      <c r="H561" s="52"/>
      <c r="I561" s="52"/>
      <c r="J561" s="52">
        <v>24</v>
      </c>
      <c r="K561" s="52"/>
    </row>
    <row r="562" ht="16.5" spans="4:11">
      <c r="D562" s="52">
        <f t="shared" si="69"/>
        <v>5</v>
      </c>
      <c r="E562" s="52" t="str">
        <f ca="1">OFFSET(载具产出!$F$19,D562,0)</f>
        <v>小弟补个胎</v>
      </c>
      <c r="F562" s="52">
        <f t="shared" si="70"/>
        <v>30</v>
      </c>
      <c r="G562" s="52" t="str">
        <f ca="1">SUBSTITUTE(_xlfn.XLOOKUP(E562,载具产出!$F$19:$F$40,载具产出!$N$19:$N$40),"%d",J562)&amp;IF(K562="","",","&amp;K562)</f>
        <v>每次召唤召唤物获得28点耐久</v>
      </c>
      <c r="H562" s="52"/>
      <c r="I562" s="52"/>
      <c r="J562" s="52">
        <v>28</v>
      </c>
      <c r="K562" s="52"/>
    </row>
    <row r="563" ht="16.5" spans="4:11">
      <c r="D563" s="52">
        <f t="shared" si="69"/>
        <v>5</v>
      </c>
      <c r="E563" s="52" t="str">
        <f ca="1">OFFSET(载具产出!$F$19,D563,0)</f>
        <v>小弟补个胎</v>
      </c>
      <c r="F563" s="52">
        <f t="shared" si="70"/>
        <v>35</v>
      </c>
      <c r="G563" s="52" t="str">
        <f ca="1">SUBSTITUTE(_xlfn.XLOOKUP(E563,载具产出!$F$19:$F$40,载具产出!$N$19:$N$40),"%d",J563)&amp;IF(K563="","",","&amp;K563)</f>
        <v>每次召唤召唤物获得32点耐久</v>
      </c>
      <c r="H563" s="52"/>
      <c r="I563" s="52"/>
      <c r="J563" s="52">
        <v>32</v>
      </c>
      <c r="K563" s="52"/>
    </row>
    <row r="564" ht="16.5" spans="4:11">
      <c r="D564" s="52">
        <f t="shared" si="69"/>
        <v>5</v>
      </c>
      <c r="E564" s="52" t="str">
        <f ca="1">OFFSET(载具产出!$F$19,D564,0)</f>
        <v>小弟补个胎</v>
      </c>
      <c r="F564" s="52">
        <f t="shared" si="70"/>
        <v>40</v>
      </c>
      <c r="G564" s="52" t="str">
        <f ca="1">SUBSTITUTE(_xlfn.XLOOKUP(E564,载具产出!$F$19:$F$40,载具产出!$N$19:$N$40),"%d",J564)&amp;IF(K564="","",","&amp;K564)</f>
        <v>每次召唤召唤物获得36点耐久</v>
      </c>
      <c r="H564" s="52"/>
      <c r="I564" s="52"/>
      <c r="J564" s="52">
        <v>36</v>
      </c>
      <c r="K564" s="52"/>
    </row>
    <row r="565" ht="16.5" spans="4:11">
      <c r="D565" s="52">
        <f t="shared" si="69"/>
        <v>5</v>
      </c>
      <c r="E565" s="52" t="str">
        <f ca="1">OFFSET(载具产出!$F$19,D565,0)</f>
        <v>小弟补个胎</v>
      </c>
      <c r="F565" s="52">
        <f t="shared" si="70"/>
        <v>45</v>
      </c>
      <c r="G565" s="52" t="str">
        <f ca="1">SUBSTITUTE(_xlfn.XLOOKUP(E565,载具产出!$F$19:$F$40,载具产出!$N$19:$N$40),"%d",J565)&amp;IF(K565="","",","&amp;K565)</f>
        <v>每次召唤召唤物获得40点耐久</v>
      </c>
      <c r="H565" s="52"/>
      <c r="I565" s="52"/>
      <c r="J565" s="52">
        <v>40</v>
      </c>
      <c r="K565" s="52"/>
    </row>
    <row r="566" ht="16.5" spans="4:11">
      <c r="D566" s="52">
        <f t="shared" si="69"/>
        <v>5</v>
      </c>
      <c r="E566" s="52" t="str">
        <f ca="1">OFFSET(载具产出!$F$19,D566,0)</f>
        <v>小弟补个胎</v>
      </c>
      <c r="F566" s="52">
        <f t="shared" si="70"/>
        <v>50</v>
      </c>
      <c r="G566" s="52" t="str">
        <f ca="1">SUBSTITUTE(_xlfn.XLOOKUP(E566,载具产出!$F$19:$F$40,载具产出!$N$19:$N$40),"%d",J566)&amp;IF(K566="","",","&amp;K566)</f>
        <v>每次召唤召唤物获得44点耐久</v>
      </c>
      <c r="H566" s="52"/>
      <c r="I566" s="52"/>
      <c r="J566" s="52">
        <v>44</v>
      </c>
      <c r="K566" s="52"/>
    </row>
    <row r="567" ht="16.5" spans="4:11">
      <c r="D567" s="52">
        <f t="shared" si="69"/>
        <v>5</v>
      </c>
      <c r="E567" s="52" t="str">
        <f ca="1">OFFSET(载具产出!$F$19,D567,0)</f>
        <v>小弟补个胎</v>
      </c>
      <c r="F567" s="52">
        <f t="shared" si="70"/>
        <v>55</v>
      </c>
      <c r="G567" s="52" t="str">
        <f ca="1">SUBSTITUTE(_xlfn.XLOOKUP(E567,载具产出!$F$19:$F$40,载具产出!$N$19:$N$40),"%d",J567)&amp;IF(K567="","",","&amp;K567)</f>
        <v>每次召唤召唤物获得48点耐久</v>
      </c>
      <c r="H567" s="52"/>
      <c r="I567" s="52"/>
      <c r="J567" s="52">
        <v>48</v>
      </c>
      <c r="K567" s="52"/>
    </row>
    <row r="568" ht="16.5" spans="4:11">
      <c r="D568" s="52">
        <f t="shared" si="69"/>
        <v>5</v>
      </c>
      <c r="E568" s="52" t="str">
        <f ca="1">OFFSET(载具产出!$F$19,D568,0)</f>
        <v>小弟补个胎</v>
      </c>
      <c r="F568" s="52">
        <f t="shared" si="70"/>
        <v>60</v>
      </c>
      <c r="G568" s="52" t="str">
        <f ca="1">SUBSTITUTE(_xlfn.XLOOKUP(E568,载具产出!$F$19:$F$40,载具产出!$N$19:$N$40),"%d",J568)&amp;IF(K568="","",","&amp;K568)</f>
        <v>每次召唤召唤物获得52点耐久</v>
      </c>
      <c r="H568" s="52"/>
      <c r="I568" s="52"/>
      <c r="J568" s="52">
        <v>52</v>
      </c>
      <c r="K568" s="52"/>
    </row>
    <row r="569" ht="16.5" spans="4:11">
      <c r="D569" s="52">
        <f t="shared" si="69"/>
        <v>6</v>
      </c>
      <c r="E569" s="52" t="str">
        <f ca="1">OFFSET(载具产出!$F$19,D569,0)</f>
        <v>波波套盾机</v>
      </c>
      <c r="F569" s="52">
        <f t="shared" si="70"/>
        <v>1</v>
      </c>
      <c r="G569" s="52" t="str">
        <f ca="1">SUBSTITUTE(_xlfn.XLOOKUP(E569,载具产出!$F$19:$F$40,载具产出!$N$19:$N$40),"%d",J569)&amp;IF(K569="","",","&amp;K569)</f>
        <v>每个波次开始时，载具获得200点护盾</v>
      </c>
      <c r="H569" s="52"/>
      <c r="I569" s="52"/>
      <c r="J569" s="52">
        <v>200</v>
      </c>
      <c r="K569" s="52"/>
    </row>
    <row r="570" ht="16.5" spans="4:11">
      <c r="D570" s="52">
        <f t="shared" si="69"/>
        <v>6</v>
      </c>
      <c r="E570" s="52" t="str">
        <f ca="1">OFFSET(载具产出!$F$19,D570,0)</f>
        <v>波波套盾机</v>
      </c>
      <c r="F570" s="52">
        <f t="shared" si="70"/>
        <v>5</v>
      </c>
      <c r="G570" s="52" t="str">
        <f ca="1">SUBSTITUTE(_xlfn.XLOOKUP(E570,载具产出!$F$19:$F$40,载具产出!$N$19:$N$40),"%d",J570)&amp;IF(K570="","",","&amp;K570)</f>
        <v>每个波次开始时，载具获得400点护盾</v>
      </c>
      <c r="H570" s="52"/>
      <c r="I570" s="52"/>
      <c r="J570" s="52">
        <f>J569+200</f>
        <v>400</v>
      </c>
      <c r="K570" s="52"/>
    </row>
    <row r="571" ht="16.5" spans="4:11">
      <c r="D571" s="52">
        <f t="shared" si="69"/>
        <v>6</v>
      </c>
      <c r="E571" s="52" t="str">
        <f ca="1">OFFSET(载具产出!$F$19,D571,0)</f>
        <v>波波套盾机</v>
      </c>
      <c r="F571" s="52">
        <f t="shared" si="70"/>
        <v>10</v>
      </c>
      <c r="G571" s="52" t="str">
        <f ca="1">SUBSTITUTE(_xlfn.XLOOKUP(E571,载具产出!$F$19:$F$40,载具产出!$N$19:$N$40),"%d",J571)&amp;IF(K571="","",","&amp;K571)</f>
        <v>每个波次开始时，载具获得600点护盾</v>
      </c>
      <c r="H571" s="52"/>
      <c r="I571" s="52"/>
      <c r="J571" s="52">
        <f t="shared" ref="J571:J581" si="71">J570+200</f>
        <v>600</v>
      </c>
      <c r="K571" s="52"/>
    </row>
    <row r="572" ht="16.5" spans="4:11">
      <c r="D572" s="52">
        <f t="shared" si="69"/>
        <v>6</v>
      </c>
      <c r="E572" s="52" t="str">
        <f ca="1">OFFSET(载具产出!$F$19,D572,0)</f>
        <v>波波套盾机</v>
      </c>
      <c r="F572" s="52">
        <f t="shared" si="70"/>
        <v>15</v>
      </c>
      <c r="G572" s="52" t="str">
        <f ca="1">SUBSTITUTE(_xlfn.XLOOKUP(E572,载具产出!$F$19:$F$40,载具产出!$N$19:$N$40),"%d",J572)&amp;IF(K572="","",","&amp;K572)</f>
        <v>每个波次开始时，载具获得800点护盾</v>
      </c>
      <c r="H572" s="52"/>
      <c r="I572" s="52"/>
      <c r="J572" s="52">
        <f t="shared" si="71"/>
        <v>800</v>
      </c>
      <c r="K572" s="52"/>
    </row>
    <row r="573" ht="16.5" spans="4:11">
      <c r="D573" s="52">
        <f t="shared" si="69"/>
        <v>6</v>
      </c>
      <c r="E573" s="52" t="str">
        <f ca="1">OFFSET(载具产出!$F$19,D573,0)</f>
        <v>波波套盾机</v>
      </c>
      <c r="F573" s="52">
        <f t="shared" si="70"/>
        <v>20</v>
      </c>
      <c r="G573" s="52" t="str">
        <f ca="1">SUBSTITUTE(_xlfn.XLOOKUP(E573,载具产出!$F$19:$F$40,载具产出!$N$19:$N$40),"%d",J573)&amp;IF(K573="","",","&amp;K573)</f>
        <v>每个波次开始时，载具获得1000点护盾</v>
      </c>
      <c r="H573" s="52"/>
      <c r="I573" s="52"/>
      <c r="J573" s="52">
        <f t="shared" si="71"/>
        <v>1000</v>
      </c>
      <c r="K573" s="52"/>
    </row>
    <row r="574" ht="16.5" spans="4:11">
      <c r="D574" s="52">
        <f t="shared" si="69"/>
        <v>6</v>
      </c>
      <c r="E574" s="52" t="str">
        <f ca="1">OFFSET(载具产出!$F$19,D574,0)</f>
        <v>波波套盾机</v>
      </c>
      <c r="F574" s="52">
        <f t="shared" si="70"/>
        <v>25</v>
      </c>
      <c r="G574" s="52" t="str">
        <f ca="1">SUBSTITUTE(_xlfn.XLOOKUP(E574,载具产出!$F$19:$F$40,载具产出!$N$19:$N$40),"%d",J574)&amp;IF(K574="","",","&amp;K574)</f>
        <v>每个波次开始时，载具获得1200点护盾</v>
      </c>
      <c r="H574" s="52"/>
      <c r="I574" s="52"/>
      <c r="J574" s="52">
        <f t="shared" si="71"/>
        <v>1200</v>
      </c>
      <c r="K574" s="52"/>
    </row>
    <row r="575" ht="16.5" spans="4:11">
      <c r="D575" s="52">
        <f t="shared" si="69"/>
        <v>6</v>
      </c>
      <c r="E575" s="52" t="str">
        <f ca="1">OFFSET(载具产出!$F$19,D575,0)</f>
        <v>波波套盾机</v>
      </c>
      <c r="F575" s="52">
        <f t="shared" si="70"/>
        <v>30</v>
      </c>
      <c r="G575" s="52" t="str">
        <f ca="1">SUBSTITUTE(_xlfn.XLOOKUP(E575,载具产出!$F$19:$F$40,载具产出!$N$19:$N$40),"%d",J575)&amp;IF(K575="","",","&amp;K575)</f>
        <v>每个波次开始时，载具获得1400点护盾</v>
      </c>
      <c r="H575" s="52"/>
      <c r="I575" s="52"/>
      <c r="J575" s="52">
        <f t="shared" si="71"/>
        <v>1400</v>
      </c>
      <c r="K575" s="52"/>
    </row>
    <row r="576" ht="16.5" spans="4:11">
      <c r="D576" s="52">
        <f t="shared" si="69"/>
        <v>6</v>
      </c>
      <c r="E576" s="52" t="str">
        <f ca="1">OFFSET(载具产出!$F$19,D576,0)</f>
        <v>波波套盾机</v>
      </c>
      <c r="F576" s="52">
        <f t="shared" si="70"/>
        <v>35</v>
      </c>
      <c r="G576" s="52" t="str">
        <f ca="1">SUBSTITUTE(_xlfn.XLOOKUP(E576,载具产出!$F$19:$F$40,载具产出!$N$19:$N$40),"%d",J576)&amp;IF(K576="","",","&amp;K576)</f>
        <v>每个波次开始时，载具获得1600点护盾</v>
      </c>
      <c r="H576" s="52"/>
      <c r="I576" s="52"/>
      <c r="J576" s="52">
        <f t="shared" si="71"/>
        <v>1600</v>
      </c>
      <c r="K576" s="52"/>
    </row>
    <row r="577" ht="16.5" spans="4:11">
      <c r="D577" s="52">
        <f t="shared" ref="D577:D608" si="72">IF(F576=60,D576+1,D576)</f>
        <v>6</v>
      </c>
      <c r="E577" s="52" t="str">
        <f ca="1">OFFSET(载具产出!$F$19,D577,0)</f>
        <v>波波套盾机</v>
      </c>
      <c r="F577" s="52">
        <f t="shared" ref="F577:F608" si="73">F564</f>
        <v>40</v>
      </c>
      <c r="G577" s="52" t="str">
        <f ca="1">SUBSTITUTE(_xlfn.XLOOKUP(E577,载具产出!$F$19:$F$40,载具产出!$N$19:$N$40),"%d",J577)&amp;IF(K577="","",","&amp;K577)</f>
        <v>每个波次开始时，载具获得1800点护盾</v>
      </c>
      <c r="H577" s="52"/>
      <c r="I577" s="52"/>
      <c r="J577" s="52">
        <f t="shared" si="71"/>
        <v>1800</v>
      </c>
      <c r="K577" s="52"/>
    </row>
    <row r="578" ht="16.5" spans="4:11">
      <c r="D578" s="52">
        <f t="shared" si="72"/>
        <v>6</v>
      </c>
      <c r="E578" s="52" t="str">
        <f ca="1">OFFSET(载具产出!$F$19,D578,0)</f>
        <v>波波套盾机</v>
      </c>
      <c r="F578" s="52">
        <f t="shared" si="73"/>
        <v>45</v>
      </c>
      <c r="G578" s="52" t="str">
        <f ca="1">SUBSTITUTE(_xlfn.XLOOKUP(E578,载具产出!$F$19:$F$40,载具产出!$N$19:$N$40),"%d",J578)&amp;IF(K578="","",","&amp;K578)</f>
        <v>每个波次开始时，载具获得2000点护盾</v>
      </c>
      <c r="H578" s="52"/>
      <c r="I578" s="52"/>
      <c r="J578" s="52">
        <f t="shared" si="71"/>
        <v>2000</v>
      </c>
      <c r="K578" s="52"/>
    </row>
    <row r="579" ht="16.5" spans="4:11">
      <c r="D579" s="52">
        <f t="shared" si="72"/>
        <v>6</v>
      </c>
      <c r="E579" s="52" t="str">
        <f ca="1">OFFSET(载具产出!$F$19,D579,0)</f>
        <v>波波套盾机</v>
      </c>
      <c r="F579" s="52">
        <f t="shared" si="73"/>
        <v>50</v>
      </c>
      <c r="G579" s="52" t="str">
        <f ca="1">SUBSTITUTE(_xlfn.XLOOKUP(E579,载具产出!$F$19:$F$40,载具产出!$N$19:$N$40),"%d",J579)&amp;IF(K579="","",","&amp;K579)</f>
        <v>每个波次开始时，载具获得2200点护盾</v>
      </c>
      <c r="H579" s="52"/>
      <c r="I579" s="52"/>
      <c r="J579" s="52">
        <f t="shared" si="71"/>
        <v>2200</v>
      </c>
      <c r="K579" s="52"/>
    </row>
    <row r="580" ht="16.5" spans="4:11">
      <c r="D580" s="52">
        <f t="shared" si="72"/>
        <v>6</v>
      </c>
      <c r="E580" s="52" t="str">
        <f ca="1">OFFSET(载具产出!$F$19,D580,0)</f>
        <v>波波套盾机</v>
      </c>
      <c r="F580" s="52">
        <f t="shared" si="73"/>
        <v>55</v>
      </c>
      <c r="G580" s="52" t="str">
        <f ca="1">SUBSTITUTE(_xlfn.XLOOKUP(E580,载具产出!$F$19:$F$40,载具产出!$N$19:$N$40),"%d",J580)&amp;IF(K580="","",","&amp;K580)</f>
        <v>每个波次开始时，载具获得2400点护盾</v>
      </c>
      <c r="H580" s="52"/>
      <c r="I580" s="52"/>
      <c r="J580" s="52">
        <f t="shared" si="71"/>
        <v>2400</v>
      </c>
      <c r="K580" s="52"/>
    </row>
    <row r="581" ht="16.5" spans="4:11">
      <c r="D581" s="52">
        <f t="shared" si="72"/>
        <v>6</v>
      </c>
      <c r="E581" s="52" t="str">
        <f ca="1">OFFSET(载具产出!$F$19,D581,0)</f>
        <v>波波套盾机</v>
      </c>
      <c r="F581" s="52">
        <f t="shared" si="73"/>
        <v>60</v>
      </c>
      <c r="G581" s="52" t="str">
        <f ca="1">SUBSTITUTE(_xlfn.XLOOKUP(E581,载具产出!$F$19:$F$40,载具产出!$N$19:$N$40),"%d",J581)&amp;IF(K581="","",","&amp;K581)</f>
        <v>每个波次开始时，载具获得2600点护盾</v>
      </c>
      <c r="H581" s="52"/>
      <c r="I581" s="52"/>
      <c r="J581" s="52">
        <f t="shared" si="71"/>
        <v>2600</v>
      </c>
      <c r="K581" s="52"/>
    </row>
    <row r="582" ht="16.5" spans="4:11">
      <c r="D582" s="52">
        <f t="shared" si="72"/>
        <v>7</v>
      </c>
      <c r="E582" s="52" t="str">
        <f ca="1">OFFSET(载具产出!$F$19,D582,0)</f>
        <v>漏电小线圈</v>
      </c>
      <c r="F582" s="52">
        <f t="shared" si="73"/>
        <v>1</v>
      </c>
      <c r="G582" s="52" t="str">
        <f ca="1">SUBSTITUTE(_xlfn.XLOOKUP(E582,载具产出!$F$19:$F$40,载具产出!$N$19:$N$40),"%d",J582)&amp;IF(K582="","",","&amp;K582)</f>
        <v>载具每损失20%生命，电击附近敌人造成300%伤害</v>
      </c>
      <c r="H582" s="52"/>
      <c r="I582" s="52"/>
      <c r="J582" s="52">
        <v>300</v>
      </c>
      <c r="K582" s="52"/>
    </row>
    <row r="583" ht="16.5" spans="4:11">
      <c r="D583" s="52">
        <f t="shared" si="72"/>
        <v>7</v>
      </c>
      <c r="E583" s="52" t="str">
        <f ca="1">OFFSET(载具产出!$F$19,D583,0)</f>
        <v>漏电小线圈</v>
      </c>
      <c r="F583" s="52">
        <f t="shared" si="73"/>
        <v>5</v>
      </c>
      <c r="G583" s="52" t="str">
        <f ca="1">SUBSTITUTE(_xlfn.XLOOKUP(E583,载具产出!$F$19:$F$40,载具产出!$N$19:$N$40),"%d",J583)&amp;IF(K583="","",","&amp;K583)</f>
        <v>载具每损失20%生命，电击附近敌人造成600%伤害</v>
      </c>
      <c r="H583" s="52"/>
      <c r="I583" s="52"/>
      <c r="J583" s="52">
        <v>600</v>
      </c>
      <c r="K583" s="52"/>
    </row>
    <row r="584" ht="16.5" spans="4:11">
      <c r="D584" s="52">
        <f t="shared" si="72"/>
        <v>7</v>
      </c>
      <c r="E584" s="52" t="str">
        <f ca="1">OFFSET(载具产出!$F$19,D584,0)</f>
        <v>漏电小线圈</v>
      </c>
      <c r="F584" s="52">
        <f t="shared" si="73"/>
        <v>10</v>
      </c>
      <c r="G584" s="52" t="str">
        <f ca="1">SUBSTITUTE(_xlfn.XLOOKUP(E584,载具产出!$F$19:$F$40,载具产出!$N$19:$N$40),"%d",J584)&amp;IF(K584="","",","&amp;K584)</f>
        <v>载具每损失20%生命，电击附近敌人造成900%伤害</v>
      </c>
      <c r="H584" s="52"/>
      <c r="I584" s="52"/>
      <c r="J584" s="52">
        <v>900</v>
      </c>
      <c r="K584" s="52"/>
    </row>
    <row r="585" ht="16.5" spans="4:11">
      <c r="D585" s="52">
        <f t="shared" si="72"/>
        <v>7</v>
      </c>
      <c r="E585" s="52" t="str">
        <f ca="1">OFFSET(载具产出!$F$19,D585,0)</f>
        <v>漏电小线圈</v>
      </c>
      <c r="F585" s="52">
        <f t="shared" si="73"/>
        <v>15</v>
      </c>
      <c r="G585" s="52" t="str">
        <f ca="1">SUBSTITUTE(_xlfn.XLOOKUP(E585,载具产出!$F$19:$F$40,载具产出!$N$19:$N$40),"%d",J585)&amp;IF(K585="","",","&amp;K585)</f>
        <v>载具每损失20%生命，电击附近敌人造成1200%伤害</v>
      </c>
      <c r="H585" s="52"/>
      <c r="I585" s="52"/>
      <c r="J585" s="52">
        <v>1200</v>
      </c>
      <c r="K585" s="52"/>
    </row>
    <row r="586" ht="16.5" spans="4:11">
      <c r="D586" s="52">
        <f t="shared" si="72"/>
        <v>7</v>
      </c>
      <c r="E586" s="52" t="str">
        <f ca="1">OFFSET(载具产出!$F$19,D586,0)</f>
        <v>漏电小线圈</v>
      </c>
      <c r="F586" s="52">
        <f t="shared" si="73"/>
        <v>20</v>
      </c>
      <c r="G586" s="52" t="str">
        <f ca="1">SUBSTITUTE(_xlfn.XLOOKUP(E586,载具产出!$F$19:$F$40,载具产出!$N$19:$N$40),"%d",J586)&amp;IF(K586="","",","&amp;K586)</f>
        <v>载具每损失20%生命，电击附近敌人造成1500%伤害</v>
      </c>
      <c r="H586" s="52"/>
      <c r="I586" s="52"/>
      <c r="J586" s="52">
        <v>1500</v>
      </c>
      <c r="K586" s="52"/>
    </row>
    <row r="587" ht="16.5" spans="4:11">
      <c r="D587" s="52">
        <f t="shared" si="72"/>
        <v>7</v>
      </c>
      <c r="E587" s="52" t="str">
        <f ca="1">OFFSET(载具产出!$F$19,D587,0)</f>
        <v>漏电小线圈</v>
      </c>
      <c r="F587" s="52">
        <f t="shared" si="73"/>
        <v>25</v>
      </c>
      <c r="G587" s="52" t="str">
        <f ca="1">SUBSTITUTE(_xlfn.XLOOKUP(E587,载具产出!$F$19:$F$40,载具产出!$N$19:$N$40),"%d",J587)&amp;IF(K587="","",","&amp;K587)</f>
        <v>载具每损失20%生命，电击附近敌人造成1800%伤害</v>
      </c>
      <c r="H587" s="52"/>
      <c r="I587" s="52"/>
      <c r="J587" s="52">
        <v>1800</v>
      </c>
      <c r="K587" s="52"/>
    </row>
    <row r="588" ht="16.5" spans="4:11">
      <c r="D588" s="52">
        <f t="shared" si="72"/>
        <v>7</v>
      </c>
      <c r="E588" s="52" t="str">
        <f ca="1">OFFSET(载具产出!$F$19,D588,0)</f>
        <v>漏电小线圈</v>
      </c>
      <c r="F588" s="52">
        <f t="shared" si="73"/>
        <v>30</v>
      </c>
      <c r="G588" s="52" t="str">
        <f ca="1">SUBSTITUTE(_xlfn.XLOOKUP(E588,载具产出!$F$19:$F$40,载具产出!$N$19:$N$40),"%d",J588)&amp;IF(K588="","",","&amp;K588)</f>
        <v>载具每损失20%生命，电击附近敌人造成2100%伤害</v>
      </c>
      <c r="H588" s="52"/>
      <c r="I588" s="52"/>
      <c r="J588" s="52">
        <v>2100</v>
      </c>
      <c r="K588" s="52"/>
    </row>
    <row r="589" ht="16.5" spans="4:11">
      <c r="D589" s="52">
        <f t="shared" si="72"/>
        <v>7</v>
      </c>
      <c r="E589" s="52" t="str">
        <f ca="1">OFFSET(载具产出!$F$19,D589,0)</f>
        <v>漏电小线圈</v>
      </c>
      <c r="F589" s="52">
        <f t="shared" si="73"/>
        <v>35</v>
      </c>
      <c r="G589" s="52" t="str">
        <f ca="1">SUBSTITUTE(_xlfn.XLOOKUP(E589,载具产出!$F$19:$F$40,载具产出!$N$19:$N$40),"%d",J589)&amp;IF(K589="","",","&amp;K589)</f>
        <v>载具每损失20%生命，电击附近敌人造成2400%伤害</v>
      </c>
      <c r="H589" s="52"/>
      <c r="I589" s="52"/>
      <c r="J589" s="52">
        <v>2400</v>
      </c>
      <c r="K589" s="52"/>
    </row>
    <row r="590" ht="16.5" spans="4:11">
      <c r="D590" s="52">
        <f t="shared" si="72"/>
        <v>7</v>
      </c>
      <c r="E590" s="52" t="str">
        <f ca="1">OFFSET(载具产出!$F$19,D590,0)</f>
        <v>漏电小线圈</v>
      </c>
      <c r="F590" s="52">
        <f t="shared" si="73"/>
        <v>40</v>
      </c>
      <c r="G590" s="52" t="str">
        <f ca="1">SUBSTITUTE(_xlfn.XLOOKUP(E590,载具产出!$F$19:$F$40,载具产出!$N$19:$N$40),"%d",J590)&amp;IF(K590="","",","&amp;K590)</f>
        <v>载具每损失20%生命，电击附近敌人造成2700%伤害</v>
      </c>
      <c r="H590" s="52"/>
      <c r="I590" s="52"/>
      <c r="J590" s="52">
        <v>2700</v>
      </c>
      <c r="K590" s="52"/>
    </row>
    <row r="591" ht="16.5" spans="4:11">
      <c r="D591" s="52">
        <f t="shared" si="72"/>
        <v>7</v>
      </c>
      <c r="E591" s="52" t="str">
        <f ca="1">OFFSET(载具产出!$F$19,D591,0)</f>
        <v>漏电小线圈</v>
      </c>
      <c r="F591" s="52">
        <f t="shared" si="73"/>
        <v>45</v>
      </c>
      <c r="G591" s="52" t="str">
        <f ca="1">SUBSTITUTE(_xlfn.XLOOKUP(E591,载具产出!$F$19:$F$40,载具产出!$N$19:$N$40),"%d",J591)&amp;IF(K591="","",","&amp;K591)</f>
        <v>载具每损失20%生命，电击附近敌人造成3000%伤害</v>
      </c>
      <c r="H591" s="52"/>
      <c r="I591" s="52"/>
      <c r="J591" s="52">
        <v>3000</v>
      </c>
      <c r="K591" s="52"/>
    </row>
    <row r="592" ht="16.5" spans="4:11">
      <c r="D592" s="52">
        <f t="shared" si="72"/>
        <v>7</v>
      </c>
      <c r="E592" s="52" t="str">
        <f ca="1">OFFSET(载具产出!$F$19,D592,0)</f>
        <v>漏电小线圈</v>
      </c>
      <c r="F592" s="52">
        <f t="shared" si="73"/>
        <v>50</v>
      </c>
      <c r="G592" s="52" t="str">
        <f ca="1">SUBSTITUTE(_xlfn.XLOOKUP(E592,载具产出!$F$19:$F$40,载具产出!$N$19:$N$40),"%d",J592)&amp;IF(K592="","",","&amp;K592)</f>
        <v>载具每损失20%生命，电击附近敌人造成3300%伤害</v>
      </c>
      <c r="H592" s="52"/>
      <c r="I592" s="52"/>
      <c r="J592" s="52">
        <v>3300</v>
      </c>
      <c r="K592" s="52"/>
    </row>
    <row r="593" ht="16.5" spans="4:11">
      <c r="D593" s="52">
        <f t="shared" si="72"/>
        <v>7</v>
      </c>
      <c r="E593" s="52" t="str">
        <f ca="1">OFFSET(载具产出!$F$19,D593,0)</f>
        <v>漏电小线圈</v>
      </c>
      <c r="F593" s="52">
        <f t="shared" si="73"/>
        <v>55</v>
      </c>
      <c r="G593" s="52" t="str">
        <f ca="1">SUBSTITUTE(_xlfn.XLOOKUP(E593,载具产出!$F$19:$F$40,载具产出!$N$19:$N$40),"%d",J593)&amp;IF(K593="","",","&amp;K593)</f>
        <v>载具每损失20%生命，电击附近敌人造成3600%伤害</v>
      </c>
      <c r="H593" s="52"/>
      <c r="I593" s="52"/>
      <c r="J593" s="52">
        <v>3600</v>
      </c>
      <c r="K593" s="52"/>
    </row>
    <row r="594" ht="16.5" spans="4:11">
      <c r="D594" s="52">
        <f t="shared" si="72"/>
        <v>7</v>
      </c>
      <c r="E594" s="52" t="str">
        <f ca="1">OFFSET(载具产出!$F$19,D594,0)</f>
        <v>漏电小线圈</v>
      </c>
      <c r="F594" s="52">
        <f t="shared" si="73"/>
        <v>60</v>
      </c>
      <c r="G594" s="52" t="str">
        <f ca="1">SUBSTITUTE(_xlfn.XLOOKUP(E594,载具产出!$F$19:$F$40,载具产出!$N$19:$N$40),"%d",J594)&amp;IF(K594="","",","&amp;K594)</f>
        <v>载具每损失20%生命，电击附近敌人造成3900%伤害</v>
      </c>
      <c r="H594" s="52"/>
      <c r="I594" s="52"/>
      <c r="J594" s="52">
        <v>3900</v>
      </c>
      <c r="K594" s="52"/>
    </row>
    <row r="595" ht="16.5" spans="4:11">
      <c r="D595" s="52">
        <f t="shared" si="72"/>
        <v>8</v>
      </c>
      <c r="E595" s="52" t="str">
        <f ca="1">OFFSET(载具产出!$F$19,D595,0)</f>
        <v>前三波按钮</v>
      </c>
      <c r="F595" s="52">
        <f t="shared" si="73"/>
        <v>1</v>
      </c>
      <c r="G595" s="52" t="str">
        <f ca="1">SUBSTITUTE(_xlfn.XLOOKUP(E595,载具产出!$F$19:$F$40,载具产出!$N$19:$N$40),"%d",J595)&amp;IF(K595="","",","&amp;K595)</f>
        <v>梦灵对前三波怪物伤害+8%</v>
      </c>
      <c r="H595" s="52"/>
      <c r="I595" s="52"/>
      <c r="J595" s="52">
        <v>8</v>
      </c>
      <c r="K595" s="52"/>
    </row>
    <row r="596" ht="16.5" spans="4:11">
      <c r="D596" s="52">
        <f t="shared" si="72"/>
        <v>8</v>
      </c>
      <c r="E596" s="52" t="str">
        <f ca="1">OFFSET(载具产出!$F$19,D596,0)</f>
        <v>前三波按钮</v>
      </c>
      <c r="F596" s="52">
        <f t="shared" si="73"/>
        <v>5</v>
      </c>
      <c r="G596" s="52" t="str">
        <f ca="1">SUBSTITUTE(_xlfn.XLOOKUP(E596,载具产出!$F$19:$F$40,载具产出!$N$19:$N$40),"%d",J596)&amp;IF(K596="","",","&amp;K596)</f>
        <v>梦灵对前三波怪物伤害+16%</v>
      </c>
      <c r="H596" s="52"/>
      <c r="I596" s="52"/>
      <c r="J596" s="52">
        <v>16</v>
      </c>
      <c r="K596" s="52"/>
    </row>
    <row r="597" ht="16.5" spans="4:11">
      <c r="D597" s="52">
        <f t="shared" si="72"/>
        <v>8</v>
      </c>
      <c r="E597" s="52" t="str">
        <f ca="1">OFFSET(载具产出!$F$19,D597,0)</f>
        <v>前三波按钮</v>
      </c>
      <c r="F597" s="52">
        <f t="shared" si="73"/>
        <v>10</v>
      </c>
      <c r="G597" s="52" t="str">
        <f ca="1">SUBSTITUTE(_xlfn.XLOOKUP(E597,载具产出!$F$19:$F$40,载具产出!$N$19:$N$40),"%d",J597)&amp;IF(K597="","",","&amp;K597)</f>
        <v>梦灵对前三波怪物伤害+24%</v>
      </c>
      <c r="H597" s="52"/>
      <c r="I597" s="52"/>
      <c r="J597" s="52">
        <v>24</v>
      </c>
      <c r="K597" s="52"/>
    </row>
    <row r="598" ht="16.5" spans="4:11">
      <c r="D598" s="52">
        <f t="shared" si="72"/>
        <v>8</v>
      </c>
      <c r="E598" s="52" t="str">
        <f ca="1">OFFSET(载具产出!$F$19,D598,0)</f>
        <v>前三波按钮</v>
      </c>
      <c r="F598" s="52">
        <f t="shared" si="73"/>
        <v>15</v>
      </c>
      <c r="G598" s="52" t="str">
        <f ca="1">SUBSTITUTE(_xlfn.XLOOKUP(E598,载具产出!$F$19:$F$40,载具产出!$N$19:$N$40),"%d",J598)&amp;IF(K598="","",","&amp;K598)</f>
        <v>梦灵对前三波怪物伤害+32%</v>
      </c>
      <c r="H598" s="52"/>
      <c r="I598" s="52"/>
      <c r="J598" s="52">
        <v>32</v>
      </c>
      <c r="K598" s="52"/>
    </row>
    <row r="599" ht="16.5" spans="4:11">
      <c r="D599" s="52">
        <f t="shared" si="72"/>
        <v>8</v>
      </c>
      <c r="E599" s="52" t="str">
        <f ca="1">OFFSET(载具产出!$F$19,D599,0)</f>
        <v>前三波按钮</v>
      </c>
      <c r="F599" s="52">
        <f t="shared" si="73"/>
        <v>20</v>
      </c>
      <c r="G599" s="52" t="str">
        <f ca="1">SUBSTITUTE(_xlfn.XLOOKUP(E599,载具产出!$F$19:$F$40,载具产出!$N$19:$N$40),"%d",J599)&amp;IF(K599="","",","&amp;K599)</f>
        <v>梦灵对前三波怪物伤害+40%</v>
      </c>
      <c r="H599" s="52"/>
      <c r="I599" s="52"/>
      <c r="J599" s="52">
        <v>40</v>
      </c>
      <c r="K599" s="52"/>
    </row>
    <row r="600" ht="16.5" spans="4:11">
      <c r="D600" s="52">
        <f t="shared" si="72"/>
        <v>8</v>
      </c>
      <c r="E600" s="52" t="str">
        <f ca="1">OFFSET(载具产出!$F$19,D600,0)</f>
        <v>前三波按钮</v>
      </c>
      <c r="F600" s="52">
        <f t="shared" si="73"/>
        <v>25</v>
      </c>
      <c r="G600" s="52" t="str">
        <f ca="1">SUBSTITUTE(_xlfn.XLOOKUP(E600,载具产出!$F$19:$F$40,载具产出!$N$19:$N$40),"%d",J600)&amp;IF(K600="","",","&amp;K600)</f>
        <v>梦灵对前三波怪物伤害+48%</v>
      </c>
      <c r="H600" s="52"/>
      <c r="I600" s="52"/>
      <c r="J600" s="52">
        <v>48</v>
      </c>
      <c r="K600" s="52"/>
    </row>
    <row r="601" ht="16.5" spans="4:11">
      <c r="D601" s="52">
        <f t="shared" si="72"/>
        <v>8</v>
      </c>
      <c r="E601" s="52" t="str">
        <f ca="1">OFFSET(载具产出!$F$19,D601,0)</f>
        <v>前三波按钮</v>
      </c>
      <c r="F601" s="52">
        <f t="shared" si="73"/>
        <v>30</v>
      </c>
      <c r="G601" s="52" t="str">
        <f ca="1">SUBSTITUTE(_xlfn.XLOOKUP(E601,载具产出!$F$19:$F$40,载具产出!$N$19:$N$40),"%d",J601)&amp;IF(K601="","",","&amp;K601)</f>
        <v>梦灵对前三波怪物伤害+56%</v>
      </c>
      <c r="H601" s="52"/>
      <c r="I601" s="52"/>
      <c r="J601" s="52">
        <v>56</v>
      </c>
      <c r="K601" s="52"/>
    </row>
    <row r="602" ht="16.5" spans="4:11">
      <c r="D602" s="52">
        <f t="shared" si="72"/>
        <v>8</v>
      </c>
      <c r="E602" s="52" t="str">
        <f ca="1">OFFSET(载具产出!$F$19,D602,0)</f>
        <v>前三波按钮</v>
      </c>
      <c r="F602" s="52">
        <f t="shared" si="73"/>
        <v>35</v>
      </c>
      <c r="G602" s="52" t="str">
        <f ca="1">SUBSTITUTE(_xlfn.XLOOKUP(E602,载具产出!$F$19:$F$40,载具产出!$N$19:$N$40),"%d",J602)&amp;IF(K602="","",","&amp;K602)</f>
        <v>梦灵对前三波怪物伤害+64%</v>
      </c>
      <c r="H602" s="52"/>
      <c r="I602" s="52"/>
      <c r="J602" s="52">
        <v>64</v>
      </c>
      <c r="K602" s="52"/>
    </row>
    <row r="603" ht="16.5" spans="4:11">
      <c r="D603" s="52">
        <f t="shared" si="72"/>
        <v>8</v>
      </c>
      <c r="E603" s="52" t="str">
        <f ca="1">OFFSET(载具产出!$F$19,D603,0)</f>
        <v>前三波按钮</v>
      </c>
      <c r="F603" s="52">
        <f t="shared" si="73"/>
        <v>40</v>
      </c>
      <c r="G603" s="52" t="str">
        <f ca="1">SUBSTITUTE(_xlfn.XLOOKUP(E603,载具产出!$F$19:$F$40,载具产出!$N$19:$N$40),"%d",J603)&amp;IF(K603="","",","&amp;K603)</f>
        <v>梦灵对前三波怪物伤害+72%</v>
      </c>
      <c r="H603" s="52"/>
      <c r="I603" s="52"/>
      <c r="J603" s="52">
        <v>72</v>
      </c>
      <c r="K603" s="52"/>
    </row>
    <row r="604" ht="16.5" spans="4:11">
      <c r="D604" s="52">
        <f t="shared" si="72"/>
        <v>8</v>
      </c>
      <c r="E604" s="52" t="str">
        <f ca="1">OFFSET(载具产出!$F$19,D604,0)</f>
        <v>前三波按钮</v>
      </c>
      <c r="F604" s="52">
        <f t="shared" si="73"/>
        <v>45</v>
      </c>
      <c r="G604" s="52" t="str">
        <f ca="1">SUBSTITUTE(_xlfn.XLOOKUP(E604,载具产出!$F$19:$F$40,载具产出!$N$19:$N$40),"%d",J604)&amp;IF(K604="","",","&amp;K604)</f>
        <v>梦灵对前三波怪物伤害+80%</v>
      </c>
      <c r="H604" s="52"/>
      <c r="I604" s="52"/>
      <c r="J604" s="52">
        <v>80</v>
      </c>
      <c r="K604" s="52"/>
    </row>
    <row r="605" ht="16.5" spans="4:11">
      <c r="D605" s="52">
        <f t="shared" si="72"/>
        <v>8</v>
      </c>
      <c r="E605" s="52" t="str">
        <f ca="1">OFFSET(载具产出!$F$19,D605,0)</f>
        <v>前三波按钮</v>
      </c>
      <c r="F605" s="52">
        <f t="shared" si="73"/>
        <v>50</v>
      </c>
      <c r="G605" s="52" t="str">
        <f ca="1">SUBSTITUTE(_xlfn.XLOOKUP(E605,载具产出!$F$19:$F$40,载具产出!$N$19:$N$40),"%d",J605)&amp;IF(K605="","",","&amp;K605)</f>
        <v>梦灵对前三波怪物伤害+88%</v>
      </c>
      <c r="H605" s="52"/>
      <c r="I605" s="52"/>
      <c r="J605" s="52">
        <v>88</v>
      </c>
      <c r="K605" s="52"/>
    </row>
    <row r="606" ht="16.5" spans="4:11">
      <c r="D606" s="52">
        <f t="shared" si="72"/>
        <v>8</v>
      </c>
      <c r="E606" s="52" t="str">
        <f ca="1">OFFSET(载具产出!$F$19,D606,0)</f>
        <v>前三波按钮</v>
      </c>
      <c r="F606" s="52">
        <f t="shared" si="73"/>
        <v>55</v>
      </c>
      <c r="G606" s="52" t="str">
        <f ca="1">SUBSTITUTE(_xlfn.XLOOKUP(E606,载具产出!$F$19:$F$40,载具产出!$N$19:$N$40),"%d",J606)&amp;IF(K606="","",","&amp;K606)</f>
        <v>梦灵对前三波怪物伤害+96%</v>
      </c>
      <c r="H606" s="52"/>
      <c r="I606" s="52"/>
      <c r="J606" s="52">
        <v>96</v>
      </c>
      <c r="K606" s="52"/>
    </row>
    <row r="607" ht="16.5" spans="4:11">
      <c r="D607" s="52">
        <f t="shared" si="72"/>
        <v>8</v>
      </c>
      <c r="E607" s="52" t="str">
        <f ca="1">OFFSET(载具产出!$F$19,D607,0)</f>
        <v>前三波按钮</v>
      </c>
      <c r="F607" s="52">
        <f t="shared" si="73"/>
        <v>60</v>
      </c>
      <c r="G607" s="52" t="str">
        <f ca="1">SUBSTITUTE(_xlfn.XLOOKUP(E607,载具产出!$F$19:$F$40,载具产出!$N$19:$N$40),"%d",J607)&amp;IF(K607="","",","&amp;K607)</f>
        <v>梦灵对前三波怪物伤害+104%</v>
      </c>
      <c r="H607" s="52"/>
      <c r="I607" s="52"/>
      <c r="J607" s="52">
        <v>104</v>
      </c>
      <c r="K607" s="52"/>
    </row>
    <row r="608" ht="16.5" spans="4:11">
      <c r="D608" s="52">
        <f t="shared" si="72"/>
        <v>9</v>
      </c>
      <c r="E608" s="52" t="str">
        <f ca="1">OFFSET(载具产出!$F$19,D608,0)</f>
        <v>暴击放大镜</v>
      </c>
      <c r="F608" s="52">
        <f t="shared" si="73"/>
        <v>1</v>
      </c>
      <c r="G608" s="52" t="str">
        <f ca="1">SUBSTITUTE(_xlfn.XLOOKUP(E608,载具产出!$F$19:$F$40,载具产出!$N$19:$N$40),"%d",J608)&amp;IF(K608="","",","&amp;K608)</f>
        <v>暴击伤害+24%</v>
      </c>
      <c r="H608" s="52"/>
      <c r="I608" s="52"/>
      <c r="J608" s="52">
        <v>24</v>
      </c>
      <c r="K608" s="52"/>
    </row>
    <row r="609" ht="16.5" spans="4:11">
      <c r="D609" s="52">
        <f t="shared" ref="D609:D630" si="74">IF(F608=60,D608+1,D608)</f>
        <v>9</v>
      </c>
      <c r="E609" s="52" t="str">
        <f ca="1">OFFSET(载具产出!$F$19,D609,0)</f>
        <v>暴击放大镜</v>
      </c>
      <c r="F609" s="52">
        <f t="shared" ref="F609:F630" si="75">F596</f>
        <v>5</v>
      </c>
      <c r="G609" s="52" t="str">
        <f ca="1">SUBSTITUTE(_xlfn.XLOOKUP(E609,载具产出!$F$19:$F$40,载具产出!$N$19:$N$40),"%d",J609)&amp;IF(K609="","",","&amp;K609)</f>
        <v>暴击伤害+48%</v>
      </c>
      <c r="H609" s="52"/>
      <c r="I609" s="52"/>
      <c r="J609" s="52">
        <v>48</v>
      </c>
      <c r="K609" s="52"/>
    </row>
    <row r="610" ht="16.5" spans="4:11">
      <c r="D610" s="52">
        <f t="shared" si="74"/>
        <v>9</v>
      </c>
      <c r="E610" s="52" t="str">
        <f ca="1">OFFSET(载具产出!$F$19,D610,0)</f>
        <v>暴击放大镜</v>
      </c>
      <c r="F610" s="52">
        <f t="shared" si="75"/>
        <v>10</v>
      </c>
      <c r="G610" s="52" t="str">
        <f ca="1">SUBSTITUTE(_xlfn.XLOOKUP(E610,载具产出!$F$19:$F$40,载具产出!$N$19:$N$40),"%d",J610)&amp;IF(K610="","",","&amp;K610)</f>
        <v>暴击伤害+72%</v>
      </c>
      <c r="H610" s="52"/>
      <c r="I610" s="52"/>
      <c r="J610" s="52">
        <v>72</v>
      </c>
      <c r="K610" s="52"/>
    </row>
    <row r="611" ht="16.5" spans="4:11">
      <c r="D611" s="52">
        <f t="shared" si="74"/>
        <v>9</v>
      </c>
      <c r="E611" s="52" t="str">
        <f ca="1">OFFSET(载具产出!$F$19,D611,0)</f>
        <v>暴击放大镜</v>
      </c>
      <c r="F611" s="52">
        <f t="shared" si="75"/>
        <v>15</v>
      </c>
      <c r="G611" s="52" t="str">
        <f ca="1">SUBSTITUTE(_xlfn.XLOOKUP(E611,载具产出!$F$19:$F$40,载具产出!$N$19:$N$40),"%d",J611)&amp;IF(K611="","",","&amp;K611)</f>
        <v>暴击伤害+96%</v>
      </c>
      <c r="H611" s="52"/>
      <c r="I611" s="52"/>
      <c r="J611" s="52">
        <v>96</v>
      </c>
      <c r="K611" s="52"/>
    </row>
    <row r="612" ht="16.5" spans="4:11">
      <c r="D612" s="52">
        <f t="shared" si="74"/>
        <v>9</v>
      </c>
      <c r="E612" s="52" t="str">
        <f ca="1">OFFSET(载具产出!$F$19,D612,0)</f>
        <v>暴击放大镜</v>
      </c>
      <c r="F612" s="52">
        <f t="shared" si="75"/>
        <v>20</v>
      </c>
      <c r="G612" s="52" t="str">
        <f ca="1">SUBSTITUTE(_xlfn.XLOOKUP(E612,载具产出!$F$19:$F$40,载具产出!$N$19:$N$40),"%d",J612)&amp;IF(K612="","",","&amp;K612)</f>
        <v>暴击伤害+120%</v>
      </c>
      <c r="H612" s="52"/>
      <c r="I612" s="52"/>
      <c r="J612" s="52">
        <v>120</v>
      </c>
      <c r="K612" s="52"/>
    </row>
    <row r="613" ht="16.5" spans="4:11">
      <c r="D613" s="52">
        <f t="shared" si="74"/>
        <v>9</v>
      </c>
      <c r="E613" s="52" t="str">
        <f ca="1">OFFSET(载具产出!$F$19,D613,0)</f>
        <v>暴击放大镜</v>
      </c>
      <c r="F613" s="52">
        <f t="shared" si="75"/>
        <v>25</v>
      </c>
      <c r="G613" s="52" t="str">
        <f ca="1">SUBSTITUTE(_xlfn.XLOOKUP(E613,载具产出!$F$19:$F$40,载具产出!$N$19:$N$40),"%d",J613)&amp;IF(K613="","",","&amp;K613)</f>
        <v>暴击伤害+144%</v>
      </c>
      <c r="H613" s="52"/>
      <c r="I613" s="52"/>
      <c r="J613" s="52">
        <v>144</v>
      </c>
      <c r="K613" s="52"/>
    </row>
    <row r="614" ht="16.5" spans="4:11">
      <c r="D614" s="52">
        <f t="shared" si="74"/>
        <v>9</v>
      </c>
      <c r="E614" s="52" t="str">
        <f ca="1">OFFSET(载具产出!$F$19,D614,0)</f>
        <v>暴击放大镜</v>
      </c>
      <c r="F614" s="52">
        <f t="shared" si="75"/>
        <v>30</v>
      </c>
      <c r="G614" s="52" t="str">
        <f ca="1">SUBSTITUTE(_xlfn.XLOOKUP(E614,载具产出!$F$19:$F$40,载具产出!$N$19:$N$40),"%d",J614)&amp;IF(K614="","",","&amp;K614)</f>
        <v>暴击伤害+168%</v>
      </c>
      <c r="H614" s="52"/>
      <c r="I614" s="52"/>
      <c r="J614" s="52">
        <v>168</v>
      </c>
      <c r="K614" s="52"/>
    </row>
    <row r="615" ht="16.5" spans="4:11">
      <c r="D615" s="52">
        <f t="shared" si="74"/>
        <v>9</v>
      </c>
      <c r="E615" s="52" t="str">
        <f ca="1">OFFSET(载具产出!$F$19,D615,0)</f>
        <v>暴击放大镜</v>
      </c>
      <c r="F615" s="52">
        <f t="shared" si="75"/>
        <v>35</v>
      </c>
      <c r="G615" s="52" t="str">
        <f ca="1">SUBSTITUTE(_xlfn.XLOOKUP(E615,载具产出!$F$19:$F$40,载具产出!$N$19:$N$40),"%d",J615)&amp;IF(K615="","",","&amp;K615)</f>
        <v>暴击伤害+192%</v>
      </c>
      <c r="H615" s="52"/>
      <c r="I615" s="52"/>
      <c r="J615" s="52">
        <v>192</v>
      </c>
      <c r="K615" s="52"/>
    </row>
    <row r="616" ht="16.5" spans="4:11">
      <c r="D616" s="52">
        <f t="shared" si="74"/>
        <v>9</v>
      </c>
      <c r="E616" s="52" t="str">
        <f ca="1">OFFSET(载具产出!$F$19,D616,0)</f>
        <v>暴击放大镜</v>
      </c>
      <c r="F616" s="52">
        <f t="shared" si="75"/>
        <v>40</v>
      </c>
      <c r="G616" s="52" t="str">
        <f ca="1">SUBSTITUTE(_xlfn.XLOOKUP(E616,载具产出!$F$19:$F$40,载具产出!$N$19:$N$40),"%d",J616)&amp;IF(K616="","",","&amp;K616)</f>
        <v>暴击伤害+216%</v>
      </c>
      <c r="H616" s="52"/>
      <c r="I616" s="52"/>
      <c r="J616" s="52">
        <v>216</v>
      </c>
      <c r="K616" s="52"/>
    </row>
    <row r="617" ht="16.5" spans="4:11">
      <c r="D617" s="52">
        <f t="shared" si="74"/>
        <v>9</v>
      </c>
      <c r="E617" s="52" t="str">
        <f ca="1">OFFSET(载具产出!$F$19,D617,0)</f>
        <v>暴击放大镜</v>
      </c>
      <c r="F617" s="52">
        <f t="shared" si="75"/>
        <v>45</v>
      </c>
      <c r="G617" s="52" t="str">
        <f ca="1">SUBSTITUTE(_xlfn.XLOOKUP(E617,载具产出!$F$19:$F$40,载具产出!$N$19:$N$40),"%d",J617)&amp;IF(K617="","",","&amp;K617)</f>
        <v>暴击伤害+240%</v>
      </c>
      <c r="H617" s="52"/>
      <c r="I617" s="52"/>
      <c r="J617" s="52">
        <v>240</v>
      </c>
      <c r="K617" s="52"/>
    </row>
    <row r="618" ht="16.5" spans="4:11">
      <c r="D618" s="52">
        <f t="shared" si="74"/>
        <v>9</v>
      </c>
      <c r="E618" s="52" t="str">
        <f ca="1">OFFSET(载具产出!$F$19,D618,0)</f>
        <v>暴击放大镜</v>
      </c>
      <c r="F618" s="52">
        <f t="shared" si="75"/>
        <v>50</v>
      </c>
      <c r="G618" s="52" t="str">
        <f ca="1">SUBSTITUTE(_xlfn.XLOOKUP(E618,载具产出!$F$19:$F$40,载具产出!$N$19:$N$40),"%d",J618)&amp;IF(K618="","",","&amp;K618)</f>
        <v>暴击伤害+264%</v>
      </c>
      <c r="H618" s="52"/>
      <c r="I618" s="52"/>
      <c r="J618" s="52">
        <v>264</v>
      </c>
      <c r="K618" s="52"/>
    </row>
    <row r="619" ht="16.5" spans="4:11">
      <c r="D619" s="52">
        <f t="shared" si="74"/>
        <v>9</v>
      </c>
      <c r="E619" s="52" t="str">
        <f ca="1">OFFSET(载具产出!$F$19,D619,0)</f>
        <v>暴击放大镜</v>
      </c>
      <c r="F619" s="52">
        <f t="shared" si="75"/>
        <v>55</v>
      </c>
      <c r="G619" s="52" t="str">
        <f ca="1">SUBSTITUTE(_xlfn.XLOOKUP(E619,载具产出!$F$19:$F$40,载具产出!$N$19:$N$40),"%d",J619)&amp;IF(K619="","",","&amp;K619)</f>
        <v>暴击伤害+288%</v>
      </c>
      <c r="H619" s="52"/>
      <c r="I619" s="52"/>
      <c r="J619" s="52">
        <v>288</v>
      </c>
      <c r="K619" s="52"/>
    </row>
    <row r="620" ht="16.5" spans="4:11">
      <c r="D620" s="52">
        <f t="shared" si="74"/>
        <v>9</v>
      </c>
      <c r="E620" s="52" t="str">
        <f ca="1">OFFSET(载具产出!$F$19,D620,0)</f>
        <v>暴击放大镜</v>
      </c>
      <c r="F620" s="52">
        <f t="shared" si="75"/>
        <v>60</v>
      </c>
      <c r="G620" s="52" t="str">
        <f ca="1">SUBSTITUTE(_xlfn.XLOOKUP(E620,载具产出!$F$19:$F$40,载具产出!$N$19:$N$40),"%d",J620)&amp;IF(K620="","",","&amp;K620)</f>
        <v>暴击伤害+312%</v>
      </c>
      <c r="H620" s="52"/>
      <c r="I620" s="52"/>
      <c r="J620" s="52">
        <v>312</v>
      </c>
      <c r="K620" s="52"/>
    </row>
    <row r="621" ht="16.5" spans="4:11">
      <c r="D621" s="52">
        <f t="shared" si="74"/>
        <v>10</v>
      </c>
      <c r="E621" s="52" t="str">
        <f ca="1">OFFSET(载具产出!$F$19,D621,0)</f>
        <v>挨打充电宝</v>
      </c>
      <c r="F621" s="52">
        <f t="shared" si="75"/>
        <v>1</v>
      </c>
      <c r="G621" s="52" t="str">
        <f ca="1">SUBSTITUTE(_xlfn.XLOOKUP(E621,载具产出!$F$19:$F$40,载具产出!$N$19:$N$40),"%d",J621)&amp;IF(K621="","",","&amp;K621)</f>
        <v>载具受到攻击时，梦灵充能冷却缩减+5%</v>
      </c>
      <c r="H621" s="52"/>
      <c r="I621" s="52"/>
      <c r="J621" s="52">
        <v>5</v>
      </c>
      <c r="K621" s="52"/>
    </row>
    <row r="622" ht="16.5" spans="4:11">
      <c r="D622" s="52">
        <f t="shared" si="74"/>
        <v>10</v>
      </c>
      <c r="E622" s="52" t="str">
        <f ca="1">OFFSET(载具产出!$F$19,D622,0)</f>
        <v>挨打充电宝</v>
      </c>
      <c r="F622" s="52">
        <f t="shared" si="75"/>
        <v>5</v>
      </c>
      <c r="G622" s="52" t="str">
        <f ca="1">SUBSTITUTE(_xlfn.XLOOKUP(E622,载具产出!$F$19:$F$40,载具产出!$N$19:$N$40),"%d",J622)&amp;IF(K622="","",","&amp;K622)</f>
        <v>载具受到攻击时，梦灵充能冷却缩减+10%</v>
      </c>
      <c r="H622" s="52"/>
      <c r="I622" s="52"/>
      <c r="J622" s="52">
        <v>10</v>
      </c>
      <c r="K622" s="52"/>
    </row>
    <row r="623" ht="16.5" spans="4:11">
      <c r="D623" s="52">
        <f t="shared" si="74"/>
        <v>10</v>
      </c>
      <c r="E623" s="52" t="str">
        <f ca="1">OFFSET(载具产出!$F$19,D623,0)</f>
        <v>挨打充电宝</v>
      </c>
      <c r="F623" s="52">
        <f t="shared" si="75"/>
        <v>10</v>
      </c>
      <c r="G623" s="52" t="str">
        <f ca="1">SUBSTITUTE(_xlfn.XLOOKUP(E623,载具产出!$F$19:$F$40,载具产出!$N$19:$N$40),"%d",J623)&amp;IF(K623="","",","&amp;K623)</f>
        <v>载具受到攻击时，梦灵充能冷却缩减+15%</v>
      </c>
      <c r="H623" s="52"/>
      <c r="I623" s="52"/>
      <c r="J623" s="52">
        <v>15</v>
      </c>
      <c r="K623" s="55"/>
    </row>
    <row r="624" ht="16.5" spans="4:11">
      <c r="D624" s="52">
        <f t="shared" si="74"/>
        <v>10</v>
      </c>
      <c r="E624" s="52" t="str">
        <f ca="1">OFFSET(载具产出!$F$19,D624,0)</f>
        <v>挨打充电宝</v>
      </c>
      <c r="F624" s="52">
        <f t="shared" si="75"/>
        <v>15</v>
      </c>
      <c r="G624" s="52" t="str">
        <f ca="1">SUBSTITUTE(_xlfn.XLOOKUP(E624,载具产出!$F$19:$F$40,载具产出!$N$19:$N$40),"%d",J624)&amp;IF(K624="","",","&amp;K624)</f>
        <v>载具受到攻击时，梦灵充能冷却缩减+20%</v>
      </c>
      <c r="H624" s="52"/>
      <c r="I624" s="52"/>
      <c r="J624" s="52">
        <v>20</v>
      </c>
      <c r="K624" s="52"/>
    </row>
    <row r="625" ht="16.5" spans="4:11">
      <c r="D625" s="52">
        <f t="shared" si="74"/>
        <v>10</v>
      </c>
      <c r="E625" s="52" t="str">
        <f ca="1">OFFSET(载具产出!$F$19,D625,0)</f>
        <v>挨打充电宝</v>
      </c>
      <c r="F625" s="52">
        <f t="shared" si="75"/>
        <v>20</v>
      </c>
      <c r="G625" s="52" t="str">
        <f ca="1">SUBSTITUTE(_xlfn.XLOOKUP(E625,载具产出!$F$19:$F$40,载具产出!$N$19:$N$40),"%d",J625)&amp;IF(K625="","",","&amp;K625)</f>
        <v>载具受到攻击时，梦灵充能冷却缩减+25%</v>
      </c>
      <c r="H625" s="52"/>
      <c r="I625" s="52"/>
      <c r="J625" s="52">
        <v>25</v>
      </c>
      <c r="K625" s="55"/>
    </row>
    <row r="626" ht="16.5" spans="4:11">
      <c r="D626" s="52">
        <f t="shared" ref="D626:D657" si="76">IF(F625=60,D625+1,D625)</f>
        <v>10</v>
      </c>
      <c r="E626" s="52" t="str">
        <f ca="1">OFFSET(载具产出!$F$19,D626,0)</f>
        <v>挨打充电宝</v>
      </c>
      <c r="F626" s="52">
        <f t="shared" ref="F626:F657" si="77">F613</f>
        <v>25</v>
      </c>
      <c r="G626" s="52" t="str">
        <f ca="1">SUBSTITUTE(_xlfn.XLOOKUP(E626,载具产出!$F$19:$F$40,载具产出!$N$19:$N$40),"%d",J626)&amp;IF(K626="","",","&amp;K626)</f>
        <v>载具受到攻击时，梦灵充能冷却缩减+30%</v>
      </c>
      <c r="H626" s="52"/>
      <c r="I626" s="52"/>
      <c r="J626" s="52">
        <v>30</v>
      </c>
      <c r="K626" s="52"/>
    </row>
    <row r="627" ht="16.5" spans="4:11">
      <c r="D627" s="52">
        <f t="shared" si="76"/>
        <v>10</v>
      </c>
      <c r="E627" s="52" t="str">
        <f ca="1">OFFSET(载具产出!$F$19,D627,0)</f>
        <v>挨打充电宝</v>
      </c>
      <c r="F627" s="52">
        <f t="shared" si="77"/>
        <v>30</v>
      </c>
      <c r="G627" s="52" t="str">
        <f ca="1">SUBSTITUTE(_xlfn.XLOOKUP(E627,载具产出!$F$19:$F$40,载具产出!$N$19:$N$40),"%d",J627)&amp;IF(K627="","",","&amp;K627)</f>
        <v>载具受到攻击时，梦灵充能冷却缩减+35%</v>
      </c>
      <c r="H627" s="52"/>
      <c r="I627" s="52"/>
      <c r="J627" s="52">
        <v>35</v>
      </c>
      <c r="K627" s="55"/>
    </row>
    <row r="628" ht="16.5" spans="4:11">
      <c r="D628" s="52">
        <f t="shared" si="76"/>
        <v>10</v>
      </c>
      <c r="E628" s="52" t="str">
        <f ca="1">OFFSET(载具产出!$F$19,D628,0)</f>
        <v>挨打充电宝</v>
      </c>
      <c r="F628" s="52">
        <f t="shared" si="77"/>
        <v>35</v>
      </c>
      <c r="G628" s="52" t="str">
        <f ca="1">SUBSTITUTE(_xlfn.XLOOKUP(E628,载具产出!$F$19:$F$40,载具产出!$N$19:$N$40),"%d",J628)&amp;IF(K628="","",","&amp;K628)</f>
        <v>载具受到攻击时，梦灵充能冷却缩减+40%</v>
      </c>
      <c r="H628" s="52"/>
      <c r="I628" s="52"/>
      <c r="J628" s="52">
        <v>40</v>
      </c>
      <c r="K628" s="52"/>
    </row>
    <row r="629" ht="16.5" spans="4:11">
      <c r="D629" s="52">
        <f t="shared" si="76"/>
        <v>10</v>
      </c>
      <c r="E629" s="52" t="str">
        <f ca="1">OFFSET(载具产出!$F$19,D629,0)</f>
        <v>挨打充电宝</v>
      </c>
      <c r="F629" s="52">
        <f t="shared" si="77"/>
        <v>40</v>
      </c>
      <c r="G629" s="52" t="str">
        <f ca="1">SUBSTITUTE(_xlfn.XLOOKUP(E629,载具产出!$F$19:$F$40,载具产出!$N$19:$N$40),"%d",J629)&amp;IF(K629="","",","&amp;K629)</f>
        <v>载具受到攻击时，梦灵充能冷却缩减+45%</v>
      </c>
      <c r="H629" s="52"/>
      <c r="I629" s="52"/>
      <c r="J629" s="52">
        <v>45</v>
      </c>
      <c r="K629" s="55"/>
    </row>
    <row r="630" ht="16.5" spans="4:11">
      <c r="D630" s="52">
        <f t="shared" si="76"/>
        <v>10</v>
      </c>
      <c r="E630" s="52" t="str">
        <f ca="1">OFFSET(载具产出!$F$19,D630,0)</f>
        <v>挨打充电宝</v>
      </c>
      <c r="F630" s="52">
        <f t="shared" si="77"/>
        <v>45</v>
      </c>
      <c r="G630" s="52" t="str">
        <f ca="1">SUBSTITUTE(_xlfn.XLOOKUP(E630,载具产出!$F$19:$F$40,载具产出!$N$19:$N$40),"%d",J630)&amp;IF(K630="","",","&amp;K630)</f>
        <v>载具受到攻击时，梦灵充能冷却缩减+50%</v>
      </c>
      <c r="H630" s="52"/>
      <c r="I630" s="52"/>
      <c r="J630" s="52">
        <v>50</v>
      </c>
      <c r="K630" s="52"/>
    </row>
    <row r="631" ht="16.5" spans="4:11">
      <c r="D631" s="52">
        <f t="shared" si="76"/>
        <v>10</v>
      </c>
      <c r="E631" s="52" t="str">
        <f ca="1">OFFSET(载具产出!$F$19,D631,0)</f>
        <v>挨打充电宝</v>
      </c>
      <c r="F631" s="52">
        <f t="shared" si="77"/>
        <v>50</v>
      </c>
      <c r="G631" s="52" t="str">
        <f ca="1">SUBSTITUTE(_xlfn.XLOOKUP(E631,载具产出!$F$19:$F$40,载具产出!$N$19:$N$40),"%d",J631)&amp;IF(K631="","",","&amp;K631)</f>
        <v>载具受到攻击时，梦灵充能冷却缩减+55%</v>
      </c>
      <c r="H631" s="52"/>
      <c r="I631" s="52"/>
      <c r="J631" s="52">
        <v>55</v>
      </c>
      <c r="K631" s="55"/>
    </row>
    <row r="632" ht="16.5" spans="4:11">
      <c r="D632" s="52">
        <f t="shared" si="76"/>
        <v>10</v>
      </c>
      <c r="E632" s="52" t="str">
        <f ca="1">OFFSET(载具产出!$F$19,D632,0)</f>
        <v>挨打充电宝</v>
      </c>
      <c r="F632" s="52">
        <f t="shared" si="77"/>
        <v>55</v>
      </c>
      <c r="G632" s="52" t="str">
        <f ca="1">SUBSTITUTE(_xlfn.XLOOKUP(E632,载具产出!$F$19:$F$40,载具产出!$N$19:$N$40),"%d",J632)&amp;IF(K632="","",","&amp;K632)</f>
        <v>载具受到攻击时，梦灵充能冷却缩减+60%</v>
      </c>
      <c r="H632" s="52"/>
      <c r="I632" s="52"/>
      <c r="J632" s="52">
        <v>60</v>
      </c>
      <c r="K632" s="52"/>
    </row>
    <row r="633" ht="16.5" spans="4:11">
      <c r="D633" s="52">
        <f t="shared" si="76"/>
        <v>10</v>
      </c>
      <c r="E633" s="52" t="str">
        <f ca="1">OFFSET(载具产出!$F$19,D633,0)</f>
        <v>挨打充电宝</v>
      </c>
      <c r="F633" s="52">
        <f t="shared" si="77"/>
        <v>60</v>
      </c>
      <c r="G633" s="52" t="str">
        <f ca="1">SUBSTITUTE(_xlfn.XLOOKUP(E633,载具产出!$F$19:$F$40,载具产出!$N$19:$N$40),"%d",J633)&amp;IF(K633="","",","&amp;K633)</f>
        <v>载具受到攻击时，梦灵充能冷却缩减+65%</v>
      </c>
      <c r="H633" s="52"/>
      <c r="I633" s="52"/>
      <c r="J633" s="52">
        <v>65</v>
      </c>
      <c r="K633" s="55"/>
    </row>
    <row r="634" ht="16.5" spans="4:11">
      <c r="D634" s="52">
        <f t="shared" si="76"/>
        <v>11</v>
      </c>
      <c r="E634" s="52" t="str">
        <f ca="1">OFFSET(载具产出!$F$19,D634,0)</f>
        <v>快修小泵</v>
      </c>
      <c r="F634" s="52">
        <f t="shared" si="77"/>
        <v>1</v>
      </c>
      <c r="G634" s="52" t="str">
        <f ca="1">SUBSTITUTE(_xlfn.XLOOKUP(E634,载具产出!$F$19:$F$40,载具产出!$N$19:$N$40),"%d",J634)&amp;IF(K634="","",","&amp;K634)</f>
        <v>当城墙血量低于30%时，持续修复200血量</v>
      </c>
      <c r="H634" s="52"/>
      <c r="I634" s="52"/>
      <c r="J634" s="52">
        <v>200</v>
      </c>
      <c r="K634" s="52"/>
    </row>
    <row r="635" ht="16.5" spans="4:11">
      <c r="D635" s="52">
        <f t="shared" si="76"/>
        <v>11</v>
      </c>
      <c r="E635" s="52" t="str">
        <f ca="1">OFFSET(载具产出!$F$19,D635,0)</f>
        <v>快修小泵</v>
      </c>
      <c r="F635" s="52">
        <f t="shared" si="77"/>
        <v>5</v>
      </c>
      <c r="G635" s="52" t="str">
        <f ca="1">SUBSTITUTE(_xlfn.XLOOKUP(E635,载具产出!$F$19:$F$40,载具产出!$N$19:$N$40),"%d",J635)&amp;IF(K635="","",","&amp;K635)</f>
        <v>当城墙血量低于30%时，持续修复400血量</v>
      </c>
      <c r="H635" s="52"/>
      <c r="I635" s="52"/>
      <c r="J635" s="52">
        <v>400</v>
      </c>
      <c r="K635" s="52"/>
    </row>
    <row r="636" ht="16.5" spans="4:11">
      <c r="D636" s="52">
        <f t="shared" si="76"/>
        <v>11</v>
      </c>
      <c r="E636" s="52" t="str">
        <f ca="1">OFFSET(载具产出!$F$19,D636,0)</f>
        <v>快修小泵</v>
      </c>
      <c r="F636" s="52">
        <f t="shared" si="77"/>
        <v>10</v>
      </c>
      <c r="G636" s="52" t="str">
        <f ca="1">SUBSTITUTE(_xlfn.XLOOKUP(E636,载具产出!$F$19:$F$40,载具产出!$N$19:$N$40),"%d",J636)&amp;IF(K636="","",","&amp;K636)</f>
        <v>当城墙血量低于30%时，持续修复600血量</v>
      </c>
      <c r="H636" s="52"/>
      <c r="I636" s="52"/>
      <c r="J636" s="52">
        <v>600</v>
      </c>
      <c r="K636" s="52"/>
    </row>
    <row r="637" ht="16.5" spans="4:11">
      <c r="D637" s="52">
        <f t="shared" si="76"/>
        <v>11</v>
      </c>
      <c r="E637" s="52" t="str">
        <f ca="1">OFFSET(载具产出!$F$19,D637,0)</f>
        <v>快修小泵</v>
      </c>
      <c r="F637" s="52">
        <f t="shared" si="77"/>
        <v>15</v>
      </c>
      <c r="G637" s="52" t="str">
        <f ca="1">SUBSTITUTE(_xlfn.XLOOKUP(E637,载具产出!$F$19:$F$40,载具产出!$N$19:$N$40),"%d",J637)&amp;IF(K637="","",","&amp;K637)</f>
        <v>当城墙血量低于30%时，持续修复800血量</v>
      </c>
      <c r="H637" s="52"/>
      <c r="I637" s="52"/>
      <c r="J637" s="52">
        <v>800</v>
      </c>
      <c r="K637" s="52"/>
    </row>
    <row r="638" ht="16.5" spans="4:11">
      <c r="D638" s="52">
        <f t="shared" si="76"/>
        <v>11</v>
      </c>
      <c r="E638" s="52" t="str">
        <f ca="1">OFFSET(载具产出!$F$19,D638,0)</f>
        <v>快修小泵</v>
      </c>
      <c r="F638" s="52">
        <f t="shared" si="77"/>
        <v>20</v>
      </c>
      <c r="G638" s="52" t="str">
        <f ca="1">SUBSTITUTE(_xlfn.XLOOKUP(E638,载具产出!$F$19:$F$40,载具产出!$N$19:$N$40),"%d",J638)&amp;IF(K638="","",","&amp;K638)</f>
        <v>当城墙血量低于30%时，持续修复1000血量</v>
      </c>
      <c r="H638" s="52"/>
      <c r="I638" s="52"/>
      <c r="J638" s="52">
        <v>1000</v>
      </c>
      <c r="K638" s="52"/>
    </row>
    <row r="639" ht="16.5" spans="4:11">
      <c r="D639" s="52">
        <f t="shared" si="76"/>
        <v>11</v>
      </c>
      <c r="E639" s="52" t="str">
        <f ca="1">OFFSET(载具产出!$F$19,D639,0)</f>
        <v>快修小泵</v>
      </c>
      <c r="F639" s="52">
        <f t="shared" si="77"/>
        <v>25</v>
      </c>
      <c r="G639" s="52" t="str">
        <f ca="1">SUBSTITUTE(_xlfn.XLOOKUP(E639,载具产出!$F$19:$F$40,载具产出!$N$19:$N$40),"%d",J639)&amp;IF(K639="","",","&amp;K639)</f>
        <v>当城墙血量低于30%时，持续修复1200血量</v>
      </c>
      <c r="H639" s="52"/>
      <c r="I639" s="52"/>
      <c r="J639" s="52">
        <v>1200</v>
      </c>
      <c r="K639" s="52"/>
    </row>
    <row r="640" ht="16.5" spans="4:11">
      <c r="D640" s="52">
        <f t="shared" si="76"/>
        <v>11</v>
      </c>
      <c r="E640" s="52" t="str">
        <f ca="1">OFFSET(载具产出!$F$19,D640,0)</f>
        <v>快修小泵</v>
      </c>
      <c r="F640" s="52">
        <f t="shared" si="77"/>
        <v>30</v>
      </c>
      <c r="G640" s="52" t="str">
        <f ca="1">SUBSTITUTE(_xlfn.XLOOKUP(E640,载具产出!$F$19:$F$40,载具产出!$N$19:$N$40),"%d",J640)&amp;IF(K640="","",","&amp;K640)</f>
        <v>当城墙血量低于30%时，持续修复1400血量</v>
      </c>
      <c r="H640" s="52"/>
      <c r="I640" s="52"/>
      <c r="J640" s="52">
        <v>1400</v>
      </c>
      <c r="K640" s="52"/>
    </row>
    <row r="641" ht="16.5" spans="4:11">
      <c r="D641" s="52">
        <f t="shared" si="76"/>
        <v>11</v>
      </c>
      <c r="E641" s="52" t="str">
        <f ca="1">OFFSET(载具产出!$F$19,D641,0)</f>
        <v>快修小泵</v>
      </c>
      <c r="F641" s="52">
        <f t="shared" si="77"/>
        <v>35</v>
      </c>
      <c r="G641" s="52" t="str">
        <f ca="1">SUBSTITUTE(_xlfn.XLOOKUP(E641,载具产出!$F$19:$F$40,载具产出!$N$19:$N$40),"%d",J641)&amp;IF(K641="","",","&amp;K641)</f>
        <v>当城墙血量低于30%时，持续修复1600血量</v>
      </c>
      <c r="H641" s="52"/>
      <c r="I641" s="52"/>
      <c r="J641" s="52">
        <v>1600</v>
      </c>
      <c r="K641" s="52"/>
    </row>
    <row r="642" ht="16.5" spans="4:11">
      <c r="D642" s="52">
        <f t="shared" si="76"/>
        <v>11</v>
      </c>
      <c r="E642" s="52" t="str">
        <f ca="1">OFFSET(载具产出!$F$19,D642,0)</f>
        <v>快修小泵</v>
      </c>
      <c r="F642" s="52">
        <f t="shared" si="77"/>
        <v>40</v>
      </c>
      <c r="G642" s="52" t="str">
        <f ca="1">SUBSTITUTE(_xlfn.XLOOKUP(E642,载具产出!$F$19:$F$40,载具产出!$N$19:$N$40),"%d",J642)&amp;IF(K642="","",","&amp;K642)</f>
        <v>当城墙血量低于30%时，持续修复1800血量</v>
      </c>
      <c r="H642" s="52"/>
      <c r="I642" s="52"/>
      <c r="J642" s="52">
        <v>1800</v>
      </c>
      <c r="K642" s="52"/>
    </row>
    <row r="643" ht="16.5" spans="4:11">
      <c r="D643" s="52">
        <f t="shared" si="76"/>
        <v>11</v>
      </c>
      <c r="E643" s="52" t="str">
        <f ca="1">OFFSET(载具产出!$F$19,D643,0)</f>
        <v>快修小泵</v>
      </c>
      <c r="F643" s="52">
        <f t="shared" si="77"/>
        <v>45</v>
      </c>
      <c r="G643" s="52" t="str">
        <f ca="1">SUBSTITUTE(_xlfn.XLOOKUP(E643,载具产出!$F$19:$F$40,载具产出!$N$19:$N$40),"%d",J643)&amp;IF(K643="","",","&amp;K643)</f>
        <v>当城墙血量低于30%时，持续修复2000血量</v>
      </c>
      <c r="H643" s="52"/>
      <c r="I643" s="52"/>
      <c r="J643" s="52">
        <v>2000</v>
      </c>
      <c r="K643" s="52"/>
    </row>
    <row r="644" ht="16.5" spans="4:11">
      <c r="D644" s="52">
        <f t="shared" si="76"/>
        <v>11</v>
      </c>
      <c r="E644" s="52" t="str">
        <f ca="1">OFFSET(载具产出!$F$19,D644,0)</f>
        <v>快修小泵</v>
      </c>
      <c r="F644" s="52">
        <f t="shared" si="77"/>
        <v>50</v>
      </c>
      <c r="G644" s="52" t="str">
        <f ca="1">SUBSTITUTE(_xlfn.XLOOKUP(E644,载具产出!$F$19:$F$40,载具产出!$N$19:$N$40),"%d",J644)&amp;IF(K644="","",","&amp;K644)</f>
        <v>当城墙血量低于30%时，持续修复2200血量</v>
      </c>
      <c r="H644" s="52"/>
      <c r="I644" s="52"/>
      <c r="J644" s="52">
        <v>2200</v>
      </c>
      <c r="K644" s="52"/>
    </row>
    <row r="645" ht="16.5" spans="4:11">
      <c r="D645" s="52">
        <f t="shared" si="76"/>
        <v>11</v>
      </c>
      <c r="E645" s="52" t="str">
        <f ca="1">OFFSET(载具产出!$F$19,D645,0)</f>
        <v>快修小泵</v>
      </c>
      <c r="F645" s="52">
        <f t="shared" si="77"/>
        <v>55</v>
      </c>
      <c r="G645" s="52" t="str">
        <f ca="1">SUBSTITUTE(_xlfn.XLOOKUP(E645,载具产出!$F$19:$F$40,载具产出!$N$19:$N$40),"%d",J645)&amp;IF(K645="","",","&amp;K645)</f>
        <v>当城墙血量低于30%时，持续修复2400血量</v>
      </c>
      <c r="H645" s="52"/>
      <c r="I645" s="52"/>
      <c r="J645" s="52">
        <v>2400</v>
      </c>
      <c r="K645" s="52"/>
    </row>
    <row r="646" ht="16.5" spans="4:11">
      <c r="D646" s="52">
        <f t="shared" si="76"/>
        <v>11</v>
      </c>
      <c r="E646" s="52" t="str">
        <f ca="1">OFFSET(载具产出!$F$19,D646,0)</f>
        <v>快修小泵</v>
      </c>
      <c r="F646" s="52">
        <f t="shared" si="77"/>
        <v>60</v>
      </c>
      <c r="G646" s="52" t="str">
        <f ca="1">SUBSTITUTE(_xlfn.XLOOKUP(E646,载具产出!$F$19:$F$40,载具产出!$N$19:$N$40),"%d",J646)&amp;IF(K646="","",","&amp;K646)</f>
        <v>当城墙血量低于30%时，持续修复2600血量</v>
      </c>
      <c r="H646" s="52"/>
      <c r="I646" s="52"/>
      <c r="J646" s="52">
        <v>2600</v>
      </c>
      <c r="K646" s="52"/>
    </row>
    <row r="647" ht="16.5" spans="4:11">
      <c r="D647" s="52">
        <f t="shared" si="76"/>
        <v>12</v>
      </c>
      <c r="E647" s="52" t="str">
        <f ca="1">OFFSET(载具产出!$F$19,D647,0)</f>
        <v>打我会晕钉</v>
      </c>
      <c r="F647" s="52">
        <f t="shared" si="77"/>
        <v>1</v>
      </c>
      <c r="G647" s="52" t="str">
        <f ca="1">SUBSTITUTE(_xlfn.XLOOKUP(E647,载具产出!$F$19:$F$40,载具产出!$N$19:$N$40),"%d",J647)&amp;IF(K647="","",","&amp;K647)</f>
        <v>载具受攻击有1%概率使攻击者眩晕2秒</v>
      </c>
      <c r="H647" s="52"/>
      <c r="I647" s="52"/>
      <c r="J647" s="52">
        <v>1</v>
      </c>
      <c r="K647" s="52"/>
    </row>
    <row r="648" ht="16.5" spans="4:11">
      <c r="D648" s="52">
        <f t="shared" si="76"/>
        <v>12</v>
      </c>
      <c r="E648" s="52" t="str">
        <f ca="1">OFFSET(载具产出!$F$19,D648,0)</f>
        <v>打我会晕钉</v>
      </c>
      <c r="F648" s="52">
        <f t="shared" si="77"/>
        <v>5</v>
      </c>
      <c r="G648" s="52" t="str">
        <f ca="1">SUBSTITUTE(_xlfn.XLOOKUP(E648,载具产出!$F$19:$F$40,载具产出!$N$19:$N$40),"%d",J648)&amp;IF(K648="","",","&amp;K648)</f>
        <v>载具受攻击有2%概率使攻击者眩晕2秒</v>
      </c>
      <c r="H648" s="52"/>
      <c r="I648" s="52"/>
      <c r="J648" s="52">
        <v>2</v>
      </c>
      <c r="K648" s="52"/>
    </row>
    <row r="649" ht="16.5" spans="4:11">
      <c r="D649" s="52">
        <f t="shared" si="76"/>
        <v>12</v>
      </c>
      <c r="E649" s="52" t="str">
        <f ca="1">OFFSET(载具产出!$F$19,D649,0)</f>
        <v>打我会晕钉</v>
      </c>
      <c r="F649" s="52">
        <f t="shared" si="77"/>
        <v>10</v>
      </c>
      <c r="G649" s="52" t="str">
        <f ca="1">SUBSTITUTE(_xlfn.XLOOKUP(E649,载具产出!$F$19:$F$40,载具产出!$N$19:$N$40),"%d",J649)&amp;IF(K649="","",","&amp;K649)</f>
        <v>载具受攻击有3%概率使攻击者眩晕2秒</v>
      </c>
      <c r="H649" s="52"/>
      <c r="I649" s="52"/>
      <c r="J649" s="52">
        <v>3</v>
      </c>
      <c r="K649" s="52"/>
    </row>
    <row r="650" ht="16.5" spans="4:11">
      <c r="D650" s="52">
        <f t="shared" si="76"/>
        <v>12</v>
      </c>
      <c r="E650" s="52" t="str">
        <f ca="1">OFFSET(载具产出!$F$19,D650,0)</f>
        <v>打我会晕钉</v>
      </c>
      <c r="F650" s="52">
        <f t="shared" si="77"/>
        <v>15</v>
      </c>
      <c r="G650" s="52" t="str">
        <f ca="1">SUBSTITUTE(_xlfn.XLOOKUP(E650,载具产出!$F$19:$F$40,载具产出!$N$19:$N$40),"%d",J650)&amp;IF(K650="","",","&amp;K650)</f>
        <v>载具受攻击有4%概率使攻击者眩晕2秒</v>
      </c>
      <c r="H650" s="52"/>
      <c r="I650" s="52"/>
      <c r="J650" s="52">
        <v>4</v>
      </c>
      <c r="K650" s="52"/>
    </row>
    <row r="651" ht="16.5" spans="4:11">
      <c r="D651" s="52">
        <f t="shared" si="76"/>
        <v>12</v>
      </c>
      <c r="E651" s="52" t="str">
        <f ca="1">OFFSET(载具产出!$F$19,D651,0)</f>
        <v>打我会晕钉</v>
      </c>
      <c r="F651" s="52">
        <f t="shared" si="77"/>
        <v>20</v>
      </c>
      <c r="G651" s="52" t="str">
        <f ca="1">SUBSTITUTE(_xlfn.XLOOKUP(E651,载具产出!$F$19:$F$40,载具产出!$N$19:$N$40),"%d",J651)&amp;IF(K651="","",","&amp;K651)</f>
        <v>载具受攻击有5%概率使攻击者眩晕2秒</v>
      </c>
      <c r="H651" s="52"/>
      <c r="I651" s="52"/>
      <c r="J651" s="52">
        <v>5</v>
      </c>
      <c r="K651" s="52"/>
    </row>
    <row r="652" ht="16.5" spans="4:11">
      <c r="D652" s="52">
        <f t="shared" si="76"/>
        <v>12</v>
      </c>
      <c r="E652" s="52" t="str">
        <f ca="1">OFFSET(载具产出!$F$19,D652,0)</f>
        <v>打我会晕钉</v>
      </c>
      <c r="F652" s="52">
        <f t="shared" si="77"/>
        <v>25</v>
      </c>
      <c r="G652" s="52" t="str">
        <f ca="1">SUBSTITUTE(_xlfn.XLOOKUP(E652,载具产出!$F$19:$F$40,载具产出!$N$19:$N$40),"%d",J652)&amp;IF(K652="","",","&amp;K652)</f>
        <v>载具受攻击有6%概率使攻击者眩晕2秒</v>
      </c>
      <c r="H652" s="52"/>
      <c r="I652" s="52"/>
      <c r="J652" s="52">
        <v>6</v>
      </c>
      <c r="K652" s="52"/>
    </row>
    <row r="653" ht="16.5" spans="4:11">
      <c r="D653" s="52">
        <f t="shared" si="76"/>
        <v>12</v>
      </c>
      <c r="E653" s="52" t="str">
        <f ca="1">OFFSET(载具产出!$F$19,D653,0)</f>
        <v>打我会晕钉</v>
      </c>
      <c r="F653" s="52">
        <f t="shared" si="77"/>
        <v>30</v>
      </c>
      <c r="G653" s="52" t="str">
        <f ca="1">SUBSTITUTE(_xlfn.XLOOKUP(E653,载具产出!$F$19:$F$40,载具产出!$N$19:$N$40),"%d",J653)&amp;IF(K653="","",","&amp;K653)</f>
        <v>载具受攻击有7%概率使攻击者眩晕2秒</v>
      </c>
      <c r="H653" s="52"/>
      <c r="I653" s="52"/>
      <c r="J653" s="52">
        <v>7</v>
      </c>
      <c r="K653" s="52"/>
    </row>
    <row r="654" ht="16.5" spans="4:11">
      <c r="D654" s="52">
        <f t="shared" si="76"/>
        <v>12</v>
      </c>
      <c r="E654" s="52" t="str">
        <f ca="1">OFFSET(载具产出!$F$19,D654,0)</f>
        <v>打我会晕钉</v>
      </c>
      <c r="F654" s="52">
        <f t="shared" si="77"/>
        <v>35</v>
      </c>
      <c r="G654" s="52" t="str">
        <f ca="1">SUBSTITUTE(_xlfn.XLOOKUP(E654,载具产出!$F$19:$F$40,载具产出!$N$19:$N$40),"%d",J654)&amp;IF(K654="","",","&amp;K654)</f>
        <v>载具受攻击有8%概率使攻击者眩晕2秒</v>
      </c>
      <c r="H654" s="52"/>
      <c r="I654" s="52"/>
      <c r="J654" s="52">
        <v>8</v>
      </c>
      <c r="K654" s="52"/>
    </row>
    <row r="655" ht="16.5" spans="4:11">
      <c r="D655" s="52">
        <f t="shared" si="76"/>
        <v>12</v>
      </c>
      <c r="E655" s="52" t="str">
        <f ca="1">OFFSET(载具产出!$F$19,D655,0)</f>
        <v>打我会晕钉</v>
      </c>
      <c r="F655" s="52">
        <f t="shared" si="77"/>
        <v>40</v>
      </c>
      <c r="G655" s="52" t="str">
        <f ca="1">SUBSTITUTE(_xlfn.XLOOKUP(E655,载具产出!$F$19:$F$40,载具产出!$N$19:$N$40),"%d",J655)&amp;IF(K655="","",","&amp;K655)</f>
        <v>载具受攻击有9%概率使攻击者眩晕2秒</v>
      </c>
      <c r="H655" s="52"/>
      <c r="I655" s="52"/>
      <c r="J655" s="52">
        <v>9</v>
      </c>
      <c r="K655" s="52"/>
    </row>
    <row r="656" ht="16.5" spans="4:11">
      <c r="D656" s="52">
        <f t="shared" si="76"/>
        <v>12</v>
      </c>
      <c r="E656" s="52" t="str">
        <f ca="1">OFFSET(载具产出!$F$19,D656,0)</f>
        <v>打我会晕钉</v>
      </c>
      <c r="F656" s="52">
        <f t="shared" si="77"/>
        <v>45</v>
      </c>
      <c r="G656" s="52" t="str">
        <f ca="1">SUBSTITUTE(_xlfn.XLOOKUP(E656,载具产出!$F$19:$F$40,载具产出!$N$19:$N$40),"%d",J656)&amp;IF(K656="","",","&amp;K656)</f>
        <v>载具受攻击有10%概率使攻击者眩晕2秒</v>
      </c>
      <c r="H656" s="52"/>
      <c r="I656" s="52"/>
      <c r="J656" s="52">
        <v>10</v>
      </c>
      <c r="K656" s="52"/>
    </row>
    <row r="657" ht="16.5" spans="4:11">
      <c r="D657" s="52">
        <f t="shared" si="76"/>
        <v>12</v>
      </c>
      <c r="E657" s="52" t="str">
        <f ca="1">OFFSET(载具产出!$F$19,D657,0)</f>
        <v>打我会晕钉</v>
      </c>
      <c r="F657" s="52">
        <f t="shared" si="77"/>
        <v>50</v>
      </c>
      <c r="G657" s="52" t="str">
        <f ca="1">SUBSTITUTE(_xlfn.XLOOKUP(E657,载具产出!$F$19:$F$40,载具产出!$N$19:$N$40),"%d",J657)&amp;IF(K657="","",","&amp;K657)</f>
        <v>载具受攻击有11%概率使攻击者眩晕2秒</v>
      </c>
      <c r="H657" s="52"/>
      <c r="I657" s="52"/>
      <c r="J657" s="52">
        <v>11</v>
      </c>
      <c r="K657" s="52"/>
    </row>
    <row r="658" ht="16.5" spans="4:11">
      <c r="D658" s="52">
        <f t="shared" ref="D658:D689" si="78">IF(F657=60,D657+1,D657)</f>
        <v>12</v>
      </c>
      <c r="E658" s="52" t="str">
        <f ca="1">OFFSET(载具产出!$F$19,D658,0)</f>
        <v>打我会晕钉</v>
      </c>
      <c r="F658" s="52">
        <f t="shared" ref="F658:F689" si="79">F645</f>
        <v>55</v>
      </c>
      <c r="G658" s="52" t="str">
        <f ca="1">SUBSTITUTE(_xlfn.XLOOKUP(E658,载具产出!$F$19:$F$40,载具产出!$N$19:$N$40),"%d",J658)&amp;IF(K658="","",","&amp;K658)</f>
        <v>载具受攻击有12%概率使攻击者眩晕2秒</v>
      </c>
      <c r="H658" s="52"/>
      <c r="I658" s="52"/>
      <c r="J658" s="52">
        <v>12</v>
      </c>
      <c r="K658" s="52"/>
    </row>
    <row r="659" ht="16.5" spans="4:11">
      <c r="D659" s="52">
        <f t="shared" si="78"/>
        <v>12</v>
      </c>
      <c r="E659" s="52" t="str">
        <f ca="1">OFFSET(载具产出!$F$19,D659,0)</f>
        <v>打我会晕钉</v>
      </c>
      <c r="F659" s="52">
        <f t="shared" si="79"/>
        <v>60</v>
      </c>
      <c r="G659" s="52" t="str">
        <f ca="1">SUBSTITUTE(_xlfn.XLOOKUP(E659,载具产出!$F$19:$F$40,载具产出!$N$19:$N$40),"%d",J659)&amp;IF(K659="","",","&amp;K659)</f>
        <v>载具受攻击有13%概率使攻击者眩晕2秒</v>
      </c>
      <c r="H659" s="52"/>
      <c r="I659" s="52"/>
      <c r="J659" s="52">
        <v>13</v>
      </c>
      <c r="K659" s="52"/>
    </row>
    <row r="660" ht="16.5" spans="4:11">
      <c r="D660" s="52">
        <f t="shared" si="78"/>
        <v>13</v>
      </c>
      <c r="E660" s="52" t="str">
        <f ca="1">OFFSET(载具产出!$F$19,D660,0)</f>
        <v>越打越疼贴</v>
      </c>
      <c r="F660" s="52">
        <f t="shared" si="79"/>
        <v>1</v>
      </c>
      <c r="G660" s="52" t="str">
        <f ca="1">SUBSTITUTE(_xlfn.XLOOKUP(E660,载具产出!$F$19:$F$40,载具产出!$N$19:$N$40),"%d",J660)&amp;IF(K660="","",","&amp;K660)</f>
        <v>怪物攻击城墙后，受到伤害+4%</v>
      </c>
      <c r="H660" s="52"/>
      <c r="I660" s="52"/>
      <c r="J660" s="52">
        <v>4</v>
      </c>
      <c r="K660" s="52"/>
    </row>
    <row r="661" ht="16.5" spans="4:11">
      <c r="D661" s="52">
        <f t="shared" si="78"/>
        <v>13</v>
      </c>
      <c r="E661" s="52" t="str">
        <f ca="1">OFFSET(载具产出!$F$19,D661,0)</f>
        <v>越打越疼贴</v>
      </c>
      <c r="F661" s="52">
        <f t="shared" si="79"/>
        <v>5</v>
      </c>
      <c r="G661" s="52" t="str">
        <f ca="1">SUBSTITUTE(_xlfn.XLOOKUP(E661,载具产出!$F$19:$F$40,载具产出!$N$19:$N$40),"%d",J661)&amp;IF(K661="","",","&amp;K661)</f>
        <v>怪物攻击城墙后，受到伤害+8%</v>
      </c>
      <c r="H661" s="52"/>
      <c r="I661" s="52"/>
      <c r="J661" s="52">
        <f t="shared" ref="J661:J672" si="80">J660+4</f>
        <v>8</v>
      </c>
      <c r="K661" s="52"/>
    </row>
    <row r="662" ht="16.5" spans="4:11">
      <c r="D662" s="52">
        <f t="shared" si="78"/>
        <v>13</v>
      </c>
      <c r="E662" s="52" t="str">
        <f ca="1">OFFSET(载具产出!$F$19,D662,0)</f>
        <v>越打越疼贴</v>
      </c>
      <c r="F662" s="52">
        <f t="shared" si="79"/>
        <v>10</v>
      </c>
      <c r="G662" s="52" t="str">
        <f ca="1">SUBSTITUTE(_xlfn.XLOOKUP(E662,载具产出!$F$19:$F$40,载具产出!$N$19:$N$40),"%d",J662)&amp;IF(K662="","",","&amp;K662)</f>
        <v>怪物攻击城墙后，受到伤害+12%</v>
      </c>
      <c r="H662" s="52"/>
      <c r="I662" s="52"/>
      <c r="J662" s="52">
        <f t="shared" si="80"/>
        <v>12</v>
      </c>
      <c r="K662" s="52"/>
    </row>
    <row r="663" ht="16.5" spans="4:11">
      <c r="D663" s="52">
        <f t="shared" si="78"/>
        <v>13</v>
      </c>
      <c r="E663" s="52" t="str">
        <f ca="1">OFFSET(载具产出!$F$19,D663,0)</f>
        <v>越打越疼贴</v>
      </c>
      <c r="F663" s="52">
        <f t="shared" si="79"/>
        <v>15</v>
      </c>
      <c r="G663" s="52" t="str">
        <f ca="1">SUBSTITUTE(_xlfn.XLOOKUP(E663,载具产出!$F$19:$F$40,载具产出!$N$19:$N$40),"%d",J663)&amp;IF(K663="","",","&amp;K663)</f>
        <v>怪物攻击城墙后，受到伤害+16%</v>
      </c>
      <c r="H663" s="52"/>
      <c r="I663" s="52"/>
      <c r="J663" s="52">
        <f t="shared" si="80"/>
        <v>16</v>
      </c>
      <c r="K663" s="52"/>
    </row>
    <row r="664" ht="16.5" spans="4:11">
      <c r="D664" s="52">
        <f t="shared" si="78"/>
        <v>13</v>
      </c>
      <c r="E664" s="52" t="str">
        <f ca="1">OFFSET(载具产出!$F$19,D664,0)</f>
        <v>越打越疼贴</v>
      </c>
      <c r="F664" s="52">
        <f t="shared" si="79"/>
        <v>20</v>
      </c>
      <c r="G664" s="52" t="str">
        <f ca="1">SUBSTITUTE(_xlfn.XLOOKUP(E664,载具产出!$F$19:$F$40,载具产出!$N$19:$N$40),"%d",J664)&amp;IF(K664="","",","&amp;K664)</f>
        <v>怪物攻击城墙后，受到伤害+20%</v>
      </c>
      <c r="H664" s="52"/>
      <c r="I664" s="52"/>
      <c r="J664" s="52">
        <f t="shared" si="80"/>
        <v>20</v>
      </c>
      <c r="K664" s="52"/>
    </row>
    <row r="665" ht="16.5" spans="4:11">
      <c r="D665" s="52">
        <f t="shared" si="78"/>
        <v>13</v>
      </c>
      <c r="E665" s="52" t="str">
        <f ca="1">OFFSET(载具产出!$F$19,D665,0)</f>
        <v>越打越疼贴</v>
      </c>
      <c r="F665" s="52">
        <f t="shared" si="79"/>
        <v>25</v>
      </c>
      <c r="G665" s="52" t="str">
        <f ca="1">SUBSTITUTE(_xlfn.XLOOKUP(E665,载具产出!$F$19:$F$40,载具产出!$N$19:$N$40),"%d",J665)&amp;IF(K665="","",","&amp;K665)</f>
        <v>怪物攻击城墙后，受到伤害+24%</v>
      </c>
      <c r="H665" s="52"/>
      <c r="I665" s="52"/>
      <c r="J665" s="52">
        <f t="shared" si="80"/>
        <v>24</v>
      </c>
      <c r="K665" s="52"/>
    </row>
    <row r="666" ht="16.5" spans="4:11">
      <c r="D666" s="52">
        <f t="shared" si="78"/>
        <v>13</v>
      </c>
      <c r="E666" s="52" t="str">
        <f ca="1">OFFSET(载具产出!$F$19,D666,0)</f>
        <v>越打越疼贴</v>
      </c>
      <c r="F666" s="52">
        <f t="shared" si="79"/>
        <v>30</v>
      </c>
      <c r="G666" s="52" t="str">
        <f ca="1">SUBSTITUTE(_xlfn.XLOOKUP(E666,载具产出!$F$19:$F$40,载具产出!$N$19:$N$40),"%d",J666)&amp;IF(K666="","",","&amp;K666)</f>
        <v>怪物攻击城墙后，受到伤害+28%</v>
      </c>
      <c r="H666" s="52"/>
      <c r="I666" s="52"/>
      <c r="J666" s="52">
        <f t="shared" si="80"/>
        <v>28</v>
      </c>
      <c r="K666" s="52"/>
    </row>
    <row r="667" ht="16.5" spans="4:11">
      <c r="D667" s="52">
        <f t="shared" si="78"/>
        <v>13</v>
      </c>
      <c r="E667" s="52" t="str">
        <f ca="1">OFFSET(载具产出!$F$19,D667,0)</f>
        <v>越打越疼贴</v>
      </c>
      <c r="F667" s="52">
        <f t="shared" si="79"/>
        <v>35</v>
      </c>
      <c r="G667" s="52" t="str">
        <f ca="1">SUBSTITUTE(_xlfn.XLOOKUP(E667,载具产出!$F$19:$F$40,载具产出!$N$19:$N$40),"%d",J667)&amp;IF(K667="","",","&amp;K667)</f>
        <v>怪物攻击城墙后，受到伤害+32%</v>
      </c>
      <c r="H667" s="52"/>
      <c r="I667" s="52"/>
      <c r="J667" s="52">
        <f t="shared" si="80"/>
        <v>32</v>
      </c>
      <c r="K667" s="52"/>
    </row>
    <row r="668" ht="16.5" spans="4:11">
      <c r="D668" s="52">
        <f t="shared" si="78"/>
        <v>13</v>
      </c>
      <c r="E668" s="52" t="str">
        <f ca="1">OFFSET(载具产出!$F$19,D668,0)</f>
        <v>越打越疼贴</v>
      </c>
      <c r="F668" s="52">
        <f t="shared" si="79"/>
        <v>40</v>
      </c>
      <c r="G668" s="52" t="str">
        <f ca="1">SUBSTITUTE(_xlfn.XLOOKUP(E668,载具产出!$F$19:$F$40,载具产出!$N$19:$N$40),"%d",J668)&amp;IF(K668="","",","&amp;K668)</f>
        <v>怪物攻击城墙后，受到伤害+36%</v>
      </c>
      <c r="H668" s="52"/>
      <c r="I668" s="52"/>
      <c r="J668" s="52">
        <f t="shared" si="80"/>
        <v>36</v>
      </c>
      <c r="K668" s="52"/>
    </row>
    <row r="669" ht="16.5" spans="4:11">
      <c r="D669" s="52">
        <f t="shared" si="78"/>
        <v>13</v>
      </c>
      <c r="E669" s="52" t="str">
        <f ca="1">OFFSET(载具产出!$F$19,D669,0)</f>
        <v>越打越疼贴</v>
      </c>
      <c r="F669" s="52">
        <f t="shared" si="79"/>
        <v>45</v>
      </c>
      <c r="G669" s="52" t="str">
        <f ca="1">SUBSTITUTE(_xlfn.XLOOKUP(E669,载具产出!$F$19:$F$40,载具产出!$N$19:$N$40),"%d",J669)&amp;IF(K669="","",","&amp;K669)</f>
        <v>怪物攻击城墙后，受到伤害+40%</v>
      </c>
      <c r="H669" s="52"/>
      <c r="I669" s="52"/>
      <c r="J669" s="52">
        <f t="shared" si="80"/>
        <v>40</v>
      </c>
      <c r="K669" s="52"/>
    </row>
    <row r="670" ht="16.5" spans="4:11">
      <c r="D670" s="52">
        <f t="shared" si="78"/>
        <v>13</v>
      </c>
      <c r="E670" s="52" t="str">
        <f ca="1">OFFSET(载具产出!$F$19,D670,0)</f>
        <v>越打越疼贴</v>
      </c>
      <c r="F670" s="52">
        <f t="shared" si="79"/>
        <v>50</v>
      </c>
      <c r="G670" s="52" t="str">
        <f ca="1">SUBSTITUTE(_xlfn.XLOOKUP(E670,载具产出!$F$19:$F$40,载具产出!$N$19:$N$40),"%d",J670)&amp;IF(K670="","",","&amp;K670)</f>
        <v>怪物攻击城墙后，受到伤害+44%</v>
      </c>
      <c r="H670" s="52"/>
      <c r="I670" s="52"/>
      <c r="J670" s="52">
        <f t="shared" si="80"/>
        <v>44</v>
      </c>
      <c r="K670" s="52"/>
    </row>
    <row r="671" ht="16.5" spans="4:11">
      <c r="D671" s="52">
        <f t="shared" si="78"/>
        <v>13</v>
      </c>
      <c r="E671" s="52" t="str">
        <f ca="1">OFFSET(载具产出!$F$19,D671,0)</f>
        <v>越打越疼贴</v>
      </c>
      <c r="F671" s="52">
        <f t="shared" si="79"/>
        <v>55</v>
      </c>
      <c r="G671" s="52" t="str">
        <f ca="1">SUBSTITUTE(_xlfn.XLOOKUP(E671,载具产出!$F$19:$F$40,载具产出!$N$19:$N$40),"%d",J671)&amp;IF(K671="","",","&amp;K671)</f>
        <v>怪物攻击城墙后，受到伤害+48%</v>
      </c>
      <c r="H671" s="52"/>
      <c r="I671" s="52"/>
      <c r="J671" s="52">
        <f t="shared" si="80"/>
        <v>48</v>
      </c>
      <c r="K671" s="52"/>
    </row>
    <row r="672" ht="16.5" spans="4:11">
      <c r="D672" s="52">
        <f t="shared" si="78"/>
        <v>13</v>
      </c>
      <c r="E672" s="52" t="str">
        <f ca="1">OFFSET(载具产出!$F$19,D672,0)</f>
        <v>越打越疼贴</v>
      </c>
      <c r="F672" s="52">
        <f t="shared" si="79"/>
        <v>60</v>
      </c>
      <c r="G672" s="52" t="str">
        <f ca="1">SUBSTITUTE(_xlfn.XLOOKUP(E672,载具产出!$F$19:$F$40,载具产出!$N$19:$N$40),"%d",J672)&amp;IF(K672="","",","&amp;K672)</f>
        <v>怪物攻击城墙后，受到伤害+52%</v>
      </c>
      <c r="H672" s="52"/>
      <c r="I672" s="52"/>
      <c r="J672" s="52">
        <f t="shared" si="80"/>
        <v>52</v>
      </c>
      <c r="K672" s="52"/>
    </row>
    <row r="673" ht="16.5" spans="4:11">
      <c r="D673" s="52">
        <f t="shared" si="78"/>
        <v>14</v>
      </c>
      <c r="E673" s="52" t="str">
        <f ca="1">OFFSET(载具产出!$F$19,D673,0)</f>
        <v>爆爆火花塞</v>
      </c>
      <c r="F673" s="52">
        <f t="shared" si="79"/>
        <v>1</v>
      </c>
      <c r="G673" s="52" t="str">
        <f ca="1">SUBSTITUTE(_xlfn.XLOOKUP(E673,载具产出!$F$19:$F$40,载具产出!$N$19:$N$40),"%d",J673)&amp;IF(K673="","",","&amp;K673)</f>
        <v>攻击有10%概率造成8%范围伤害</v>
      </c>
      <c r="H673" s="52"/>
      <c r="I673" s="52"/>
      <c r="J673" s="52">
        <v>8</v>
      </c>
      <c r="K673" s="52"/>
    </row>
    <row r="674" ht="16.5" spans="4:11">
      <c r="D674" s="52">
        <f t="shared" si="78"/>
        <v>14</v>
      </c>
      <c r="E674" s="52" t="str">
        <f ca="1">OFFSET(载具产出!$F$19,D674,0)</f>
        <v>爆爆火花塞</v>
      </c>
      <c r="F674" s="52">
        <f t="shared" si="79"/>
        <v>5</v>
      </c>
      <c r="G674" s="52" t="str">
        <f ca="1">SUBSTITUTE(_xlfn.XLOOKUP(E674,载具产出!$F$19:$F$40,载具产出!$N$19:$N$40),"%d",J674)&amp;IF(K674="","",","&amp;K674)</f>
        <v>攻击有10%概率造成16%范围伤害</v>
      </c>
      <c r="H674" s="52"/>
      <c r="I674" s="52"/>
      <c r="J674" s="52">
        <v>16</v>
      </c>
      <c r="K674" s="52"/>
    </row>
    <row r="675" ht="16.5" spans="4:11">
      <c r="D675" s="52">
        <f t="shared" si="78"/>
        <v>14</v>
      </c>
      <c r="E675" s="52" t="str">
        <f ca="1">OFFSET(载具产出!$F$19,D675,0)</f>
        <v>爆爆火花塞</v>
      </c>
      <c r="F675" s="52">
        <f t="shared" si="79"/>
        <v>10</v>
      </c>
      <c r="G675" s="52" t="str">
        <f ca="1">SUBSTITUTE(_xlfn.XLOOKUP(E675,载具产出!$F$19:$F$40,载具产出!$N$19:$N$40),"%d",J675)&amp;IF(K675="","",","&amp;K675)</f>
        <v>攻击有10%概率造成24%范围伤害</v>
      </c>
      <c r="H675" s="52"/>
      <c r="I675" s="52"/>
      <c r="J675" s="52">
        <v>24</v>
      </c>
      <c r="K675" s="52"/>
    </row>
    <row r="676" ht="16.5" spans="4:11">
      <c r="D676" s="52">
        <f t="shared" si="78"/>
        <v>14</v>
      </c>
      <c r="E676" s="52" t="str">
        <f ca="1">OFFSET(载具产出!$F$19,D676,0)</f>
        <v>爆爆火花塞</v>
      </c>
      <c r="F676" s="52">
        <f t="shared" si="79"/>
        <v>15</v>
      </c>
      <c r="G676" s="52" t="str">
        <f ca="1">SUBSTITUTE(_xlfn.XLOOKUP(E676,载具产出!$F$19:$F$40,载具产出!$N$19:$N$40),"%d",J676)&amp;IF(K676="","",","&amp;K676)</f>
        <v>攻击有10%概率造成32%范围伤害</v>
      </c>
      <c r="H676" s="52"/>
      <c r="I676" s="52"/>
      <c r="J676" s="52">
        <v>32</v>
      </c>
      <c r="K676" s="52"/>
    </row>
    <row r="677" ht="16.5" spans="4:11">
      <c r="D677" s="52">
        <f t="shared" si="78"/>
        <v>14</v>
      </c>
      <c r="E677" s="52" t="str">
        <f ca="1">OFFSET(载具产出!$F$19,D677,0)</f>
        <v>爆爆火花塞</v>
      </c>
      <c r="F677" s="52">
        <f t="shared" si="79"/>
        <v>20</v>
      </c>
      <c r="G677" s="52" t="str">
        <f ca="1">SUBSTITUTE(_xlfn.XLOOKUP(E677,载具产出!$F$19:$F$40,载具产出!$N$19:$N$40),"%d",J677)&amp;IF(K677="","",","&amp;K677)</f>
        <v>攻击有10%概率造成40%范围伤害</v>
      </c>
      <c r="H677" s="52"/>
      <c r="I677" s="52"/>
      <c r="J677" s="52">
        <v>40</v>
      </c>
      <c r="K677" s="52"/>
    </row>
    <row r="678" ht="16.5" spans="4:11">
      <c r="D678" s="52">
        <f t="shared" si="78"/>
        <v>14</v>
      </c>
      <c r="E678" s="52" t="str">
        <f ca="1">OFFSET(载具产出!$F$19,D678,0)</f>
        <v>爆爆火花塞</v>
      </c>
      <c r="F678" s="52">
        <f t="shared" si="79"/>
        <v>25</v>
      </c>
      <c r="G678" s="52" t="str">
        <f ca="1">SUBSTITUTE(_xlfn.XLOOKUP(E678,载具产出!$F$19:$F$40,载具产出!$N$19:$N$40),"%d",J678)&amp;IF(K678="","",","&amp;K678)</f>
        <v>攻击有10%概率造成48%范围伤害</v>
      </c>
      <c r="H678" s="52"/>
      <c r="I678" s="52"/>
      <c r="J678" s="52">
        <v>48</v>
      </c>
      <c r="K678" s="52"/>
    </row>
    <row r="679" ht="16.5" spans="4:11">
      <c r="D679" s="52">
        <f t="shared" si="78"/>
        <v>14</v>
      </c>
      <c r="E679" s="52" t="str">
        <f ca="1">OFFSET(载具产出!$F$19,D679,0)</f>
        <v>爆爆火花塞</v>
      </c>
      <c r="F679" s="52">
        <f t="shared" si="79"/>
        <v>30</v>
      </c>
      <c r="G679" s="52" t="str">
        <f ca="1">SUBSTITUTE(_xlfn.XLOOKUP(E679,载具产出!$F$19:$F$40,载具产出!$N$19:$N$40),"%d",J679)&amp;IF(K679="","",","&amp;K679)</f>
        <v>攻击有10%概率造成56%范围伤害</v>
      </c>
      <c r="H679" s="52"/>
      <c r="I679" s="52"/>
      <c r="J679" s="52">
        <v>56</v>
      </c>
      <c r="K679" s="52"/>
    </row>
    <row r="680" ht="16.5" spans="4:11">
      <c r="D680" s="52">
        <f t="shared" si="78"/>
        <v>14</v>
      </c>
      <c r="E680" s="52" t="str">
        <f ca="1">OFFSET(载具产出!$F$19,D680,0)</f>
        <v>爆爆火花塞</v>
      </c>
      <c r="F680" s="52">
        <f t="shared" si="79"/>
        <v>35</v>
      </c>
      <c r="G680" s="52" t="str">
        <f ca="1">SUBSTITUTE(_xlfn.XLOOKUP(E680,载具产出!$F$19:$F$40,载具产出!$N$19:$N$40),"%d",J680)&amp;IF(K680="","",","&amp;K680)</f>
        <v>攻击有10%概率造成64%范围伤害</v>
      </c>
      <c r="H680" s="52"/>
      <c r="I680" s="52"/>
      <c r="J680" s="52">
        <v>64</v>
      </c>
      <c r="K680" s="52"/>
    </row>
    <row r="681" ht="16.5" spans="4:11">
      <c r="D681" s="52">
        <f t="shared" si="78"/>
        <v>14</v>
      </c>
      <c r="E681" s="52" t="str">
        <f ca="1">OFFSET(载具产出!$F$19,D681,0)</f>
        <v>爆爆火花塞</v>
      </c>
      <c r="F681" s="52">
        <f t="shared" si="79"/>
        <v>40</v>
      </c>
      <c r="G681" s="52" t="str">
        <f ca="1">SUBSTITUTE(_xlfn.XLOOKUP(E681,载具产出!$F$19:$F$40,载具产出!$N$19:$N$40),"%d",J681)&amp;IF(K681="","",","&amp;K681)</f>
        <v>攻击有10%概率造成72%范围伤害</v>
      </c>
      <c r="H681" s="52"/>
      <c r="I681" s="52"/>
      <c r="J681" s="52">
        <v>72</v>
      </c>
      <c r="K681" s="52"/>
    </row>
    <row r="682" ht="16.5" spans="4:11">
      <c r="D682" s="52">
        <f t="shared" si="78"/>
        <v>14</v>
      </c>
      <c r="E682" s="52" t="str">
        <f ca="1">OFFSET(载具产出!$F$19,D682,0)</f>
        <v>爆爆火花塞</v>
      </c>
      <c r="F682" s="52">
        <f t="shared" si="79"/>
        <v>45</v>
      </c>
      <c r="G682" s="52" t="str">
        <f ca="1">SUBSTITUTE(_xlfn.XLOOKUP(E682,载具产出!$F$19:$F$40,载具产出!$N$19:$N$40),"%d",J682)&amp;IF(K682="","",","&amp;K682)</f>
        <v>攻击有10%概率造成80%范围伤害</v>
      </c>
      <c r="H682" s="52"/>
      <c r="I682" s="52"/>
      <c r="J682" s="52">
        <v>80</v>
      </c>
      <c r="K682" s="52"/>
    </row>
    <row r="683" ht="16.5" spans="4:11">
      <c r="D683" s="52">
        <f t="shared" si="78"/>
        <v>14</v>
      </c>
      <c r="E683" s="52" t="str">
        <f ca="1">OFFSET(载具产出!$F$19,D683,0)</f>
        <v>爆爆火花塞</v>
      </c>
      <c r="F683" s="52">
        <f t="shared" si="79"/>
        <v>50</v>
      </c>
      <c r="G683" s="52" t="str">
        <f ca="1">SUBSTITUTE(_xlfn.XLOOKUP(E683,载具产出!$F$19:$F$40,载具产出!$N$19:$N$40),"%d",J683)&amp;IF(K683="","",","&amp;K683)</f>
        <v>攻击有10%概率造成88%范围伤害</v>
      </c>
      <c r="H683" s="52"/>
      <c r="I683" s="52"/>
      <c r="J683" s="52">
        <v>88</v>
      </c>
      <c r="K683" s="52"/>
    </row>
    <row r="684" ht="16.5" spans="4:11">
      <c r="D684" s="52">
        <f t="shared" si="78"/>
        <v>14</v>
      </c>
      <c r="E684" s="52" t="str">
        <f ca="1">OFFSET(载具产出!$F$19,D684,0)</f>
        <v>爆爆火花塞</v>
      </c>
      <c r="F684" s="52">
        <f t="shared" si="79"/>
        <v>55</v>
      </c>
      <c r="G684" s="52" t="str">
        <f ca="1">SUBSTITUTE(_xlfn.XLOOKUP(E684,载具产出!$F$19:$F$40,载具产出!$N$19:$N$40),"%d",J684)&amp;IF(K684="","",","&amp;K684)</f>
        <v>攻击有10%概率造成96%范围伤害</v>
      </c>
      <c r="H684" s="52"/>
      <c r="I684" s="52"/>
      <c r="J684" s="52">
        <v>96</v>
      </c>
      <c r="K684" s="52"/>
    </row>
    <row r="685" ht="16.5" spans="4:11">
      <c r="D685" s="52">
        <f t="shared" si="78"/>
        <v>14</v>
      </c>
      <c r="E685" s="52" t="str">
        <f ca="1">OFFSET(载具产出!$F$19,D685,0)</f>
        <v>爆爆火花塞</v>
      </c>
      <c r="F685" s="52">
        <f t="shared" si="79"/>
        <v>60</v>
      </c>
      <c r="G685" s="52" t="str">
        <f ca="1">SUBSTITUTE(_xlfn.XLOOKUP(E685,载具产出!$F$19:$F$40,载具产出!$N$19:$N$40),"%d",J685)&amp;IF(K685="","",","&amp;K685)</f>
        <v>攻击有10%概率造成100%范围伤害</v>
      </c>
      <c r="H685" s="52"/>
      <c r="I685" s="52"/>
      <c r="J685" s="52">
        <v>100</v>
      </c>
      <c r="K685" s="52"/>
    </row>
    <row r="686" ht="16.5" spans="4:11">
      <c r="D686" s="52">
        <f t="shared" si="78"/>
        <v>15</v>
      </c>
      <c r="E686" s="52" t="str">
        <f ca="1">OFFSET(载具产出!$F$19,D686,0)</f>
        <v>三下蓄力阀</v>
      </c>
      <c r="F686" s="52">
        <f t="shared" si="79"/>
        <v>1</v>
      </c>
      <c r="G686" s="52" t="str">
        <f ca="1">SUBSTITUTE(_xlfn.XLOOKUP(E686,载具产出!$F$19:$F$40,载具产出!$N$19:$N$40),"%d",J686)&amp;IF(K686="","",","&amp;K686)</f>
        <v>每充能3次，下一次造成额外20%伤害，持续5秒</v>
      </c>
      <c r="H686" s="52"/>
      <c r="I686" s="52"/>
      <c r="J686" s="52">
        <v>20</v>
      </c>
      <c r="K686" s="52"/>
    </row>
    <row r="687" ht="16.5" spans="4:11">
      <c r="D687" s="52">
        <f t="shared" si="78"/>
        <v>15</v>
      </c>
      <c r="E687" s="52" t="str">
        <f ca="1">OFFSET(载具产出!$F$19,D687,0)</f>
        <v>三下蓄力阀</v>
      </c>
      <c r="F687" s="52">
        <f t="shared" si="79"/>
        <v>5</v>
      </c>
      <c r="G687" s="52" t="str">
        <f ca="1">SUBSTITUTE(_xlfn.XLOOKUP(E687,载具产出!$F$19:$F$40,载具产出!$N$19:$N$40),"%d",J687)&amp;IF(K687="","",","&amp;K687)</f>
        <v>每充能3次，下一次造成额外40%伤害，持续5秒</v>
      </c>
      <c r="H687" s="52"/>
      <c r="I687" s="52"/>
      <c r="J687" s="52">
        <v>40</v>
      </c>
      <c r="K687" s="52"/>
    </row>
    <row r="688" ht="16.5" spans="4:11">
      <c r="D688" s="52">
        <f t="shared" ref="D688:D702" si="81">IF(F687=60,D687+1,D687)</f>
        <v>15</v>
      </c>
      <c r="E688" s="52" t="str">
        <f ca="1">OFFSET(载具产出!$F$19,D688,0)</f>
        <v>三下蓄力阀</v>
      </c>
      <c r="F688" s="52">
        <f t="shared" ref="F688:F702" si="82">F675</f>
        <v>10</v>
      </c>
      <c r="G688" s="52" t="str">
        <f ca="1">SUBSTITUTE(_xlfn.XLOOKUP(E688,载具产出!$F$19:$F$40,载具产出!$N$19:$N$40),"%d",J688)&amp;IF(K688="","",","&amp;K688)</f>
        <v>每充能3次，下一次造成额外60%伤害，持续5秒</v>
      </c>
      <c r="H688" s="52"/>
      <c r="I688" s="52"/>
      <c r="J688" s="52">
        <v>60</v>
      </c>
      <c r="K688" s="52"/>
    </row>
    <row r="689" ht="16.5" spans="4:11">
      <c r="D689" s="52">
        <f t="shared" si="81"/>
        <v>15</v>
      </c>
      <c r="E689" s="52" t="str">
        <f ca="1">OFFSET(载具产出!$F$19,D689,0)</f>
        <v>三下蓄力阀</v>
      </c>
      <c r="F689" s="52">
        <f t="shared" si="82"/>
        <v>15</v>
      </c>
      <c r="G689" s="52" t="str">
        <f ca="1">SUBSTITUTE(_xlfn.XLOOKUP(E689,载具产出!$F$19:$F$40,载具产出!$N$19:$N$40),"%d",J689)&amp;IF(K689="","",","&amp;K689)</f>
        <v>每充能3次，下一次造成额外80%伤害，持续5秒</v>
      </c>
      <c r="H689" s="52"/>
      <c r="I689" s="52"/>
      <c r="J689" s="52">
        <v>80</v>
      </c>
      <c r="K689" s="52"/>
    </row>
    <row r="690" ht="16.5" spans="4:11">
      <c r="D690" s="52">
        <f t="shared" si="81"/>
        <v>15</v>
      </c>
      <c r="E690" s="52" t="str">
        <f ca="1">OFFSET(载具产出!$F$19,D690,0)</f>
        <v>三下蓄力阀</v>
      </c>
      <c r="F690" s="52">
        <f t="shared" si="82"/>
        <v>20</v>
      </c>
      <c r="G690" s="52" t="str">
        <f ca="1">SUBSTITUTE(_xlfn.XLOOKUP(E690,载具产出!$F$19:$F$40,载具产出!$N$19:$N$40),"%d",J690)&amp;IF(K690="","",","&amp;K690)</f>
        <v>每充能3次，下一次造成额外100%伤害，持续5秒</v>
      </c>
      <c r="H690" s="52"/>
      <c r="I690" s="52"/>
      <c r="J690" s="52">
        <v>100</v>
      </c>
      <c r="K690" s="52"/>
    </row>
    <row r="691" ht="16.5" spans="4:11">
      <c r="D691" s="52">
        <f t="shared" si="81"/>
        <v>15</v>
      </c>
      <c r="E691" s="52" t="str">
        <f ca="1">OFFSET(载具产出!$F$19,D691,0)</f>
        <v>三下蓄力阀</v>
      </c>
      <c r="F691" s="52">
        <f t="shared" si="82"/>
        <v>25</v>
      </c>
      <c r="G691" s="52" t="str">
        <f ca="1">SUBSTITUTE(_xlfn.XLOOKUP(E691,载具产出!$F$19:$F$40,载具产出!$N$19:$N$40),"%d",J691)&amp;IF(K691="","",","&amp;K691)</f>
        <v>每充能3次，下一次造成额外120%伤害，持续5秒</v>
      </c>
      <c r="H691" s="52"/>
      <c r="I691" s="52"/>
      <c r="J691" s="52">
        <v>120</v>
      </c>
      <c r="K691" s="52"/>
    </row>
    <row r="692" ht="16.5" spans="4:11">
      <c r="D692" s="52">
        <f t="shared" si="81"/>
        <v>15</v>
      </c>
      <c r="E692" s="52" t="str">
        <f ca="1">OFFSET(载具产出!$F$19,D692,0)</f>
        <v>三下蓄力阀</v>
      </c>
      <c r="F692" s="52">
        <f t="shared" si="82"/>
        <v>30</v>
      </c>
      <c r="G692" s="52" t="str">
        <f ca="1">SUBSTITUTE(_xlfn.XLOOKUP(E692,载具产出!$F$19:$F$40,载具产出!$N$19:$N$40),"%d",J692)&amp;IF(K692="","",","&amp;K692)</f>
        <v>每充能3次，下一次造成额外140%伤害，持续5秒</v>
      </c>
      <c r="H692" s="52"/>
      <c r="I692" s="52"/>
      <c r="J692" s="52">
        <v>140</v>
      </c>
      <c r="K692" s="52"/>
    </row>
    <row r="693" ht="16.5" spans="4:11">
      <c r="D693" s="52">
        <f t="shared" si="81"/>
        <v>15</v>
      </c>
      <c r="E693" s="52" t="str">
        <f ca="1">OFFSET(载具产出!$F$19,D693,0)</f>
        <v>三下蓄力阀</v>
      </c>
      <c r="F693" s="52">
        <f t="shared" si="82"/>
        <v>35</v>
      </c>
      <c r="G693" s="52" t="str">
        <f ca="1">SUBSTITUTE(_xlfn.XLOOKUP(E693,载具产出!$F$19:$F$40,载具产出!$N$19:$N$40),"%d",J693)&amp;IF(K693="","",","&amp;K693)</f>
        <v>每充能3次，下一次造成额外160%伤害，持续5秒</v>
      </c>
      <c r="H693" s="52"/>
      <c r="I693" s="52"/>
      <c r="J693" s="52">
        <v>160</v>
      </c>
      <c r="K693" s="52"/>
    </row>
    <row r="694" ht="16.5" spans="4:11">
      <c r="D694" s="52">
        <f t="shared" si="81"/>
        <v>15</v>
      </c>
      <c r="E694" s="52" t="str">
        <f ca="1">OFFSET(载具产出!$F$19,D694,0)</f>
        <v>三下蓄力阀</v>
      </c>
      <c r="F694" s="52">
        <f t="shared" si="82"/>
        <v>40</v>
      </c>
      <c r="G694" s="52" t="str">
        <f ca="1">SUBSTITUTE(_xlfn.XLOOKUP(E694,载具产出!$F$19:$F$40,载具产出!$N$19:$N$40),"%d",J694)&amp;IF(K694="","",","&amp;K694)</f>
        <v>每充能3次，下一次造成额外180%伤害，持续5秒</v>
      </c>
      <c r="H694" s="52"/>
      <c r="I694" s="52"/>
      <c r="J694" s="52">
        <v>180</v>
      </c>
      <c r="K694" s="52"/>
    </row>
    <row r="695" ht="16.5" spans="4:11">
      <c r="D695" s="52">
        <f t="shared" si="81"/>
        <v>15</v>
      </c>
      <c r="E695" s="52" t="str">
        <f ca="1">OFFSET(载具产出!$F$19,D695,0)</f>
        <v>三下蓄力阀</v>
      </c>
      <c r="F695" s="52">
        <f t="shared" si="82"/>
        <v>45</v>
      </c>
      <c r="G695" s="52" t="str">
        <f ca="1">SUBSTITUTE(_xlfn.XLOOKUP(E695,载具产出!$F$19:$F$40,载具产出!$N$19:$N$40),"%d",J695)&amp;IF(K695="","",","&amp;K695)</f>
        <v>每充能3次，下一次造成额外200%伤害，持续5秒</v>
      </c>
      <c r="H695" s="52"/>
      <c r="I695" s="52"/>
      <c r="J695" s="52">
        <v>200</v>
      </c>
      <c r="K695" s="52"/>
    </row>
    <row r="696" ht="16.5" spans="4:11">
      <c r="D696" s="52">
        <f t="shared" si="81"/>
        <v>15</v>
      </c>
      <c r="E696" s="52" t="str">
        <f ca="1">OFFSET(载具产出!$F$19,D696,0)</f>
        <v>三下蓄力阀</v>
      </c>
      <c r="F696" s="52">
        <f t="shared" si="82"/>
        <v>50</v>
      </c>
      <c r="G696" s="52" t="str">
        <f ca="1">SUBSTITUTE(_xlfn.XLOOKUP(E696,载具产出!$F$19:$F$40,载具产出!$N$19:$N$40),"%d",J696)&amp;IF(K696="","",","&amp;K696)</f>
        <v>每充能3次，下一次造成额外220%伤害，持续5秒</v>
      </c>
      <c r="H696" s="52"/>
      <c r="I696" s="52"/>
      <c r="J696" s="52">
        <v>220</v>
      </c>
      <c r="K696" s="52"/>
    </row>
    <row r="697" ht="16.5" spans="4:11">
      <c r="D697" s="52">
        <f t="shared" si="81"/>
        <v>15</v>
      </c>
      <c r="E697" s="52" t="str">
        <f ca="1">OFFSET(载具产出!$F$19,D697,0)</f>
        <v>三下蓄力阀</v>
      </c>
      <c r="F697" s="52">
        <f t="shared" si="82"/>
        <v>55</v>
      </c>
      <c r="G697" s="52" t="str">
        <f ca="1">SUBSTITUTE(_xlfn.XLOOKUP(E697,载具产出!$F$19:$F$40,载具产出!$N$19:$N$40),"%d",J697)&amp;IF(K697="","",","&amp;K697)</f>
        <v>每充能3次，下一次造成额外240%伤害，持续5秒</v>
      </c>
      <c r="H697" s="52"/>
      <c r="I697" s="52"/>
      <c r="J697" s="52">
        <v>240</v>
      </c>
      <c r="K697" s="52"/>
    </row>
    <row r="698" ht="16.5" spans="4:11">
      <c r="D698" s="52">
        <f t="shared" si="81"/>
        <v>15</v>
      </c>
      <c r="E698" s="52" t="str">
        <f ca="1">OFFSET(载具产出!$F$19,D698,0)</f>
        <v>三下蓄力阀</v>
      </c>
      <c r="F698" s="52">
        <f t="shared" si="82"/>
        <v>60</v>
      </c>
      <c r="G698" s="52" t="str">
        <f ca="1">SUBSTITUTE(_xlfn.XLOOKUP(E698,载具产出!$F$19:$F$40,载具产出!$N$19:$N$40),"%d",J698)&amp;IF(K698="","",","&amp;K698)</f>
        <v>每充能3次，下一次造成额外260%伤害，持续5秒</v>
      </c>
      <c r="H698" s="52"/>
      <c r="I698" s="52"/>
      <c r="J698" s="52">
        <v>260</v>
      </c>
      <c r="K698" s="52"/>
    </row>
    <row r="699" ht="16.5" spans="4:11">
      <c r="D699" s="52">
        <f t="shared" si="81"/>
        <v>16</v>
      </c>
      <c r="E699" s="52" t="str">
        <f ca="1">OFFSET(载具产出!$F$19,D699,0)</f>
        <v>毒火加班芯</v>
      </c>
      <c r="F699" s="52">
        <f t="shared" si="82"/>
        <v>1</v>
      </c>
      <c r="G699" s="52" t="str">
        <f ca="1">SUBSTITUTE(_xlfn.XLOOKUP(E699,载具产出!$F$19:$F$40,载具产出!$N$19:$N$40),"%d",J699)&amp;IF(K699="","",","&amp;K699)</f>
        <v>梦灵持续伤害有30%概率最终伤害+20%</v>
      </c>
      <c r="H699" s="52"/>
      <c r="I699" s="52"/>
      <c r="J699" s="52">
        <v>20</v>
      </c>
      <c r="K699" s="52"/>
    </row>
    <row r="700" ht="16.5" spans="4:11">
      <c r="D700" s="52">
        <f t="shared" si="81"/>
        <v>16</v>
      </c>
      <c r="E700" s="52" t="str">
        <f ca="1">OFFSET(载具产出!$F$19,D700,0)</f>
        <v>毒火加班芯</v>
      </c>
      <c r="F700" s="52">
        <f t="shared" si="82"/>
        <v>5</v>
      </c>
      <c r="G700" s="52" t="str">
        <f ca="1">SUBSTITUTE(_xlfn.XLOOKUP(E700,载具产出!$F$19:$F$40,载具产出!$N$19:$N$40),"%d",J700)&amp;IF(K700="","",","&amp;K700)</f>
        <v>梦灵持续伤害有30%概率最终伤害+40%</v>
      </c>
      <c r="H700" s="52"/>
      <c r="I700" s="52"/>
      <c r="J700" s="52">
        <v>40</v>
      </c>
      <c r="K700" s="52"/>
    </row>
    <row r="701" ht="16.5" spans="4:11">
      <c r="D701" s="52">
        <f t="shared" si="81"/>
        <v>16</v>
      </c>
      <c r="E701" s="52" t="str">
        <f ca="1">OFFSET(载具产出!$F$19,D701,0)</f>
        <v>毒火加班芯</v>
      </c>
      <c r="F701" s="52">
        <f t="shared" si="82"/>
        <v>10</v>
      </c>
      <c r="G701" s="52" t="str">
        <f ca="1">SUBSTITUTE(_xlfn.XLOOKUP(E701,载具产出!$F$19:$F$40,载具产出!$N$19:$N$40),"%d",J701)&amp;IF(K701="","",","&amp;K701)</f>
        <v>梦灵持续伤害有30%概率最终伤害+60%</v>
      </c>
      <c r="H701" s="52"/>
      <c r="I701" s="52"/>
      <c r="J701" s="52">
        <v>60</v>
      </c>
      <c r="K701" s="52"/>
    </row>
    <row r="702" ht="16.5" spans="4:11">
      <c r="D702" s="52">
        <f t="shared" ref="D702:D741" si="83">IF(F701=60,D701+1,D701)</f>
        <v>16</v>
      </c>
      <c r="E702" s="52" t="str">
        <f ca="1">OFFSET(载具产出!$F$19,D702,0)</f>
        <v>毒火加班芯</v>
      </c>
      <c r="F702" s="52">
        <f t="shared" ref="F702:F741" si="84">F689</f>
        <v>15</v>
      </c>
      <c r="G702" s="52" t="str">
        <f ca="1">SUBSTITUTE(_xlfn.XLOOKUP(E702,载具产出!$F$19:$F$40,载具产出!$N$19:$N$40),"%d",J702)&amp;IF(K702="","",","&amp;K702)</f>
        <v>梦灵持续伤害有30%概率最终伤害+80%</v>
      </c>
      <c r="H702" s="52"/>
      <c r="I702" s="52"/>
      <c r="J702" s="52">
        <v>80</v>
      </c>
      <c r="K702" s="52"/>
    </row>
    <row r="703" ht="16.5" spans="4:11">
      <c r="D703" s="52">
        <f t="shared" si="83"/>
        <v>16</v>
      </c>
      <c r="E703" s="52" t="str">
        <f ca="1">OFFSET(载具产出!$F$19,D703,0)</f>
        <v>毒火加班芯</v>
      </c>
      <c r="F703" s="52">
        <f t="shared" si="84"/>
        <v>20</v>
      </c>
      <c r="G703" s="52" t="str">
        <f ca="1">SUBSTITUTE(_xlfn.XLOOKUP(E703,载具产出!$F$19:$F$40,载具产出!$N$19:$N$40),"%d",J703)&amp;IF(K703="","",","&amp;K703)</f>
        <v>梦灵持续伤害有30%概率最终伤害+100%</v>
      </c>
      <c r="H703" s="52"/>
      <c r="I703" s="52"/>
      <c r="J703" s="52">
        <v>100</v>
      </c>
      <c r="K703" s="52"/>
    </row>
    <row r="704" ht="16.5" spans="4:11">
      <c r="D704" s="52">
        <f t="shared" si="83"/>
        <v>16</v>
      </c>
      <c r="E704" s="52" t="str">
        <f ca="1">OFFSET(载具产出!$F$19,D704,0)</f>
        <v>毒火加班芯</v>
      </c>
      <c r="F704" s="52">
        <f t="shared" si="84"/>
        <v>25</v>
      </c>
      <c r="G704" s="52" t="str">
        <f ca="1">SUBSTITUTE(_xlfn.XLOOKUP(E704,载具产出!$F$19:$F$40,载具产出!$N$19:$N$40),"%d",J704)&amp;IF(K704="","",","&amp;K704)</f>
        <v>梦灵持续伤害有30%概率最终伤害+120%</v>
      </c>
      <c r="H704" s="52"/>
      <c r="I704" s="52"/>
      <c r="J704" s="52">
        <v>120</v>
      </c>
      <c r="K704" s="52"/>
    </row>
    <row r="705" ht="16.5" spans="4:11">
      <c r="D705" s="52">
        <f t="shared" si="83"/>
        <v>16</v>
      </c>
      <c r="E705" s="52" t="str">
        <f ca="1">OFFSET(载具产出!$F$19,D705,0)</f>
        <v>毒火加班芯</v>
      </c>
      <c r="F705" s="52">
        <f t="shared" si="84"/>
        <v>30</v>
      </c>
      <c r="G705" s="52" t="str">
        <f ca="1">SUBSTITUTE(_xlfn.XLOOKUP(E705,载具产出!$F$19:$F$40,载具产出!$N$19:$N$40),"%d",J705)&amp;IF(K705="","",","&amp;K705)</f>
        <v>梦灵持续伤害有30%概率最终伤害+140%</v>
      </c>
      <c r="H705" s="52"/>
      <c r="I705" s="52"/>
      <c r="J705" s="52">
        <v>140</v>
      </c>
      <c r="K705" s="52"/>
    </row>
    <row r="706" ht="16.5" spans="4:11">
      <c r="D706" s="52">
        <f t="shared" si="83"/>
        <v>16</v>
      </c>
      <c r="E706" s="52" t="str">
        <f ca="1">OFFSET(载具产出!$F$19,D706,0)</f>
        <v>毒火加班芯</v>
      </c>
      <c r="F706" s="52">
        <f t="shared" si="84"/>
        <v>35</v>
      </c>
      <c r="G706" s="52" t="str">
        <f ca="1">SUBSTITUTE(_xlfn.XLOOKUP(E706,载具产出!$F$19:$F$40,载具产出!$N$19:$N$40),"%d",J706)&amp;IF(K706="","",","&amp;K706)</f>
        <v>梦灵持续伤害有30%概率最终伤害+160%</v>
      </c>
      <c r="H706" s="52"/>
      <c r="I706" s="52"/>
      <c r="J706" s="52">
        <v>160</v>
      </c>
      <c r="K706" s="52"/>
    </row>
    <row r="707" ht="16.5" spans="4:11">
      <c r="D707" s="52">
        <f t="shared" si="83"/>
        <v>16</v>
      </c>
      <c r="E707" s="52" t="str">
        <f ca="1">OFFSET(载具产出!$F$19,D707,0)</f>
        <v>毒火加班芯</v>
      </c>
      <c r="F707" s="52">
        <f t="shared" si="84"/>
        <v>40</v>
      </c>
      <c r="G707" s="52" t="str">
        <f ca="1">SUBSTITUTE(_xlfn.XLOOKUP(E707,载具产出!$F$19:$F$40,载具产出!$N$19:$N$40),"%d",J707)&amp;IF(K707="","",","&amp;K707)</f>
        <v>梦灵持续伤害有30%概率最终伤害+180%</v>
      </c>
      <c r="H707" s="52"/>
      <c r="I707" s="52"/>
      <c r="J707" s="52">
        <v>180</v>
      </c>
      <c r="K707" s="52"/>
    </row>
    <row r="708" ht="16.5" spans="4:11">
      <c r="D708" s="52">
        <f t="shared" si="83"/>
        <v>16</v>
      </c>
      <c r="E708" s="52" t="str">
        <f ca="1">OFFSET(载具产出!$F$19,D708,0)</f>
        <v>毒火加班芯</v>
      </c>
      <c r="F708" s="52">
        <f t="shared" si="84"/>
        <v>45</v>
      </c>
      <c r="G708" s="52" t="str">
        <f ca="1">SUBSTITUTE(_xlfn.XLOOKUP(E708,载具产出!$F$19:$F$40,载具产出!$N$19:$N$40),"%d",J708)&amp;IF(K708="","",","&amp;K708)</f>
        <v>梦灵持续伤害有30%概率最终伤害+200%</v>
      </c>
      <c r="H708" s="52"/>
      <c r="I708" s="52"/>
      <c r="J708" s="52">
        <v>200</v>
      </c>
      <c r="K708" s="52"/>
    </row>
    <row r="709" ht="16.5" spans="4:11">
      <c r="D709" s="52">
        <f t="shared" si="83"/>
        <v>16</v>
      </c>
      <c r="E709" s="52" t="str">
        <f ca="1">OFFSET(载具产出!$F$19,D709,0)</f>
        <v>毒火加班芯</v>
      </c>
      <c r="F709" s="52">
        <f t="shared" si="84"/>
        <v>50</v>
      </c>
      <c r="G709" s="52" t="str">
        <f ca="1">SUBSTITUTE(_xlfn.XLOOKUP(E709,载具产出!$F$19:$F$40,载具产出!$N$19:$N$40),"%d",J709)&amp;IF(K709="","",","&amp;K709)</f>
        <v>梦灵持续伤害有30%概率最终伤害+220%</v>
      </c>
      <c r="H709" s="52"/>
      <c r="I709" s="52"/>
      <c r="J709" s="52">
        <v>220</v>
      </c>
      <c r="K709" s="52"/>
    </row>
    <row r="710" ht="16.5" spans="4:11">
      <c r="D710" s="52">
        <f t="shared" si="83"/>
        <v>16</v>
      </c>
      <c r="E710" s="52" t="str">
        <f ca="1">OFFSET(载具产出!$F$19,D710,0)</f>
        <v>毒火加班芯</v>
      </c>
      <c r="F710" s="52">
        <f t="shared" si="84"/>
        <v>55</v>
      </c>
      <c r="G710" s="52" t="str">
        <f ca="1">SUBSTITUTE(_xlfn.XLOOKUP(E710,载具产出!$F$19:$F$40,载具产出!$N$19:$N$40),"%d",J710)&amp;IF(K710="","",","&amp;K710)</f>
        <v>梦灵持续伤害有30%概率最终伤害+240%</v>
      </c>
      <c r="H710" s="52"/>
      <c r="I710" s="52"/>
      <c r="J710" s="52">
        <v>240</v>
      </c>
      <c r="K710" s="52"/>
    </row>
    <row r="711" ht="16.5" spans="4:11">
      <c r="D711" s="52">
        <f t="shared" si="83"/>
        <v>16</v>
      </c>
      <c r="E711" s="52" t="str">
        <f ca="1">OFFSET(载具产出!$F$19,D711,0)</f>
        <v>毒火加班芯</v>
      </c>
      <c r="F711" s="52">
        <f t="shared" si="84"/>
        <v>60</v>
      </c>
      <c r="G711" s="52" t="str">
        <f ca="1">SUBSTITUTE(_xlfn.XLOOKUP(E711,载具产出!$F$19:$F$40,载具产出!$N$19:$N$40),"%d",J711)&amp;IF(K711="","",","&amp;K711)</f>
        <v>梦灵持续伤害有30%概率最终伤害+260%</v>
      </c>
      <c r="H711" s="52"/>
      <c r="I711" s="52"/>
      <c r="J711" s="52">
        <v>260</v>
      </c>
      <c r="K711" s="52"/>
    </row>
    <row r="712" ht="16.5" spans="4:11">
      <c r="D712" s="52">
        <f t="shared" si="83"/>
        <v>17</v>
      </c>
      <c r="E712" s="52" t="str">
        <f ca="1">OFFSET(载具产出!$F$19,D712,0)</f>
        <v>残血补刀镜</v>
      </c>
      <c r="F712" s="52">
        <f t="shared" si="84"/>
        <v>1</v>
      </c>
      <c r="G712" s="52" t="str">
        <f ca="1">SUBSTITUTE(_xlfn.XLOOKUP(E712,载具产出!$F$19:$F$40,载具产出!$N$19:$N$40),"%d",J712)&amp;IF(K712="","",","&amp;K712)</f>
        <v>梦灵对低于50%怪物血量，造成额外20%伤害</v>
      </c>
      <c r="H712" s="52"/>
      <c r="I712" s="52"/>
      <c r="J712" s="52">
        <v>20</v>
      </c>
      <c r="K712" s="52"/>
    </row>
    <row r="713" ht="16.5" spans="4:11">
      <c r="D713" s="52">
        <f t="shared" si="83"/>
        <v>17</v>
      </c>
      <c r="E713" s="52" t="str">
        <f ca="1">OFFSET(载具产出!$F$19,D713,0)</f>
        <v>残血补刀镜</v>
      </c>
      <c r="F713" s="52">
        <f t="shared" si="84"/>
        <v>5</v>
      </c>
      <c r="G713" s="52" t="str">
        <f ca="1">SUBSTITUTE(_xlfn.XLOOKUP(E713,载具产出!$F$19:$F$40,载具产出!$N$19:$N$40),"%d",J713)&amp;IF(K713="","",","&amp;K713)</f>
        <v>梦灵对低于50%怪物血量，造成额外40%伤害</v>
      </c>
      <c r="H713" s="52"/>
      <c r="I713" s="52"/>
      <c r="J713" s="52">
        <f>J712+$J$712</f>
        <v>40</v>
      </c>
      <c r="K713" s="52"/>
    </row>
    <row r="714" ht="16.5" spans="4:11">
      <c r="D714" s="52">
        <f t="shared" si="83"/>
        <v>17</v>
      </c>
      <c r="E714" s="52" t="str">
        <f ca="1">OFFSET(载具产出!$F$19,D714,0)</f>
        <v>残血补刀镜</v>
      </c>
      <c r="F714" s="52">
        <f t="shared" si="84"/>
        <v>10</v>
      </c>
      <c r="G714" s="52" t="str">
        <f ca="1">SUBSTITUTE(_xlfn.XLOOKUP(E714,载具产出!$F$19:$F$40,载具产出!$N$19:$N$40),"%d",J714)&amp;IF(K714="","",","&amp;K714)</f>
        <v>梦灵对低于50%怪物血量，造成额外60%伤害</v>
      </c>
      <c r="H714" s="52"/>
      <c r="I714" s="52"/>
      <c r="J714" s="52">
        <f t="shared" ref="J714:J724" si="85">J713+$J$712</f>
        <v>60</v>
      </c>
      <c r="K714" s="52"/>
    </row>
    <row r="715" ht="16.5" spans="4:11">
      <c r="D715" s="52">
        <f t="shared" si="83"/>
        <v>17</v>
      </c>
      <c r="E715" s="52" t="str">
        <f ca="1">OFFSET(载具产出!$F$19,D715,0)</f>
        <v>残血补刀镜</v>
      </c>
      <c r="F715" s="52">
        <f t="shared" si="84"/>
        <v>15</v>
      </c>
      <c r="G715" s="52" t="str">
        <f ca="1">SUBSTITUTE(_xlfn.XLOOKUP(E715,载具产出!$F$19:$F$40,载具产出!$N$19:$N$40),"%d",J715)&amp;IF(K715="","",","&amp;K715)</f>
        <v>梦灵对低于50%怪物血量，造成额外80%伤害</v>
      </c>
      <c r="H715" s="52"/>
      <c r="I715" s="52"/>
      <c r="J715" s="52">
        <f t="shared" si="85"/>
        <v>80</v>
      </c>
      <c r="K715" s="52"/>
    </row>
    <row r="716" ht="16.5" spans="4:11">
      <c r="D716" s="52">
        <f t="shared" si="83"/>
        <v>17</v>
      </c>
      <c r="E716" s="52" t="str">
        <f ca="1">OFFSET(载具产出!$F$19,D716,0)</f>
        <v>残血补刀镜</v>
      </c>
      <c r="F716" s="52">
        <f t="shared" si="84"/>
        <v>20</v>
      </c>
      <c r="G716" s="52" t="str">
        <f ca="1">SUBSTITUTE(_xlfn.XLOOKUP(E716,载具产出!$F$19:$F$40,载具产出!$N$19:$N$40),"%d",J716)&amp;IF(K716="","",","&amp;K716)</f>
        <v>梦灵对低于50%怪物血量，造成额外100%伤害</v>
      </c>
      <c r="H716" s="52"/>
      <c r="I716" s="52"/>
      <c r="J716" s="52">
        <f t="shared" si="85"/>
        <v>100</v>
      </c>
      <c r="K716" s="52"/>
    </row>
    <row r="717" ht="16.5" spans="4:11">
      <c r="D717" s="52">
        <f t="shared" si="83"/>
        <v>17</v>
      </c>
      <c r="E717" s="52" t="str">
        <f ca="1">OFFSET(载具产出!$F$19,D717,0)</f>
        <v>残血补刀镜</v>
      </c>
      <c r="F717" s="52">
        <f t="shared" si="84"/>
        <v>25</v>
      </c>
      <c r="G717" s="52" t="str">
        <f ca="1">SUBSTITUTE(_xlfn.XLOOKUP(E717,载具产出!$F$19:$F$40,载具产出!$N$19:$N$40),"%d",J717)&amp;IF(K717="","",","&amp;K717)</f>
        <v>梦灵对低于50%怪物血量，造成额外120%伤害</v>
      </c>
      <c r="H717" s="52"/>
      <c r="I717" s="52"/>
      <c r="J717" s="52">
        <f t="shared" si="85"/>
        <v>120</v>
      </c>
      <c r="K717" s="52"/>
    </row>
    <row r="718" ht="16.5" spans="4:11">
      <c r="D718" s="52">
        <f t="shared" si="83"/>
        <v>17</v>
      </c>
      <c r="E718" s="52" t="str">
        <f ca="1">OFFSET(载具产出!$F$19,D718,0)</f>
        <v>残血补刀镜</v>
      </c>
      <c r="F718" s="52">
        <f t="shared" si="84"/>
        <v>30</v>
      </c>
      <c r="G718" s="52" t="str">
        <f ca="1">SUBSTITUTE(_xlfn.XLOOKUP(E718,载具产出!$F$19:$F$40,载具产出!$N$19:$N$40),"%d",J718)&amp;IF(K718="","",","&amp;K718)</f>
        <v>梦灵对低于50%怪物血量，造成额外140%伤害</v>
      </c>
      <c r="H718" s="52"/>
      <c r="I718" s="52"/>
      <c r="J718" s="52">
        <f t="shared" si="85"/>
        <v>140</v>
      </c>
      <c r="K718" s="52"/>
    </row>
    <row r="719" ht="16.5" spans="4:11">
      <c r="D719" s="52">
        <f t="shared" si="83"/>
        <v>17</v>
      </c>
      <c r="E719" s="52" t="str">
        <f ca="1">OFFSET(载具产出!$F$19,D719,0)</f>
        <v>残血补刀镜</v>
      </c>
      <c r="F719" s="52">
        <f t="shared" si="84"/>
        <v>35</v>
      </c>
      <c r="G719" s="52" t="str">
        <f ca="1">SUBSTITUTE(_xlfn.XLOOKUP(E719,载具产出!$F$19:$F$40,载具产出!$N$19:$N$40),"%d",J719)&amp;IF(K719="","",","&amp;K719)</f>
        <v>梦灵对低于50%怪物血量，造成额外160%伤害</v>
      </c>
      <c r="H719" s="52"/>
      <c r="I719" s="52"/>
      <c r="J719" s="52">
        <f t="shared" si="85"/>
        <v>160</v>
      </c>
      <c r="K719" s="52"/>
    </row>
    <row r="720" ht="16.5" spans="4:11">
      <c r="D720" s="52">
        <f t="shared" si="83"/>
        <v>17</v>
      </c>
      <c r="E720" s="52" t="str">
        <f ca="1">OFFSET(载具产出!$F$19,D720,0)</f>
        <v>残血补刀镜</v>
      </c>
      <c r="F720" s="52">
        <f t="shared" si="84"/>
        <v>40</v>
      </c>
      <c r="G720" s="52" t="str">
        <f ca="1">SUBSTITUTE(_xlfn.XLOOKUP(E720,载具产出!$F$19:$F$40,载具产出!$N$19:$N$40),"%d",J720)&amp;IF(K720="","",","&amp;K720)</f>
        <v>梦灵对低于50%怪物血量，造成额外180%伤害</v>
      </c>
      <c r="H720" s="52"/>
      <c r="I720" s="52"/>
      <c r="J720" s="52">
        <f t="shared" si="85"/>
        <v>180</v>
      </c>
      <c r="K720" s="52"/>
    </row>
    <row r="721" ht="16.5" spans="4:11">
      <c r="D721" s="52">
        <f t="shared" si="83"/>
        <v>17</v>
      </c>
      <c r="E721" s="52" t="str">
        <f ca="1">OFFSET(载具产出!$F$19,D721,0)</f>
        <v>残血补刀镜</v>
      </c>
      <c r="F721" s="52">
        <f t="shared" si="84"/>
        <v>45</v>
      </c>
      <c r="G721" s="52" t="str">
        <f ca="1">SUBSTITUTE(_xlfn.XLOOKUP(E721,载具产出!$F$19:$F$40,载具产出!$N$19:$N$40),"%d",J721)&amp;IF(K721="","",","&amp;K721)</f>
        <v>梦灵对低于50%怪物血量，造成额外200%伤害</v>
      </c>
      <c r="H721" s="52"/>
      <c r="I721" s="52"/>
      <c r="J721" s="52">
        <f t="shared" si="85"/>
        <v>200</v>
      </c>
      <c r="K721" s="52"/>
    </row>
    <row r="722" ht="16.5" spans="4:11">
      <c r="D722" s="52">
        <f t="shared" si="83"/>
        <v>17</v>
      </c>
      <c r="E722" s="52" t="str">
        <f ca="1">OFFSET(载具产出!$F$19,D722,0)</f>
        <v>残血补刀镜</v>
      </c>
      <c r="F722" s="52">
        <f t="shared" si="84"/>
        <v>50</v>
      </c>
      <c r="G722" s="52" t="str">
        <f ca="1">SUBSTITUTE(_xlfn.XLOOKUP(E722,载具产出!$F$19:$F$40,载具产出!$N$19:$N$40),"%d",J722)&amp;IF(K722="","",","&amp;K722)</f>
        <v>梦灵对低于50%怪物血量，造成额外220%伤害</v>
      </c>
      <c r="H722" s="52"/>
      <c r="I722" s="52"/>
      <c r="J722" s="52">
        <f t="shared" si="85"/>
        <v>220</v>
      </c>
      <c r="K722" s="52"/>
    </row>
    <row r="723" ht="16.5" spans="4:11">
      <c r="D723" s="52">
        <f t="shared" si="83"/>
        <v>17</v>
      </c>
      <c r="E723" s="52" t="str">
        <f ca="1">OFFSET(载具产出!$F$19,D723,0)</f>
        <v>残血补刀镜</v>
      </c>
      <c r="F723" s="52">
        <f t="shared" si="84"/>
        <v>55</v>
      </c>
      <c r="G723" s="52" t="str">
        <f ca="1">SUBSTITUTE(_xlfn.XLOOKUP(E723,载具产出!$F$19:$F$40,载具产出!$N$19:$N$40),"%d",J723)&amp;IF(K723="","",","&amp;K723)</f>
        <v>梦灵对低于50%怪物血量，造成额外240%伤害</v>
      </c>
      <c r="H723" s="52"/>
      <c r="I723" s="52"/>
      <c r="J723" s="52">
        <f t="shared" si="85"/>
        <v>240</v>
      </c>
      <c r="K723" s="52"/>
    </row>
    <row r="724" ht="16.5" spans="4:11">
      <c r="D724" s="52">
        <f t="shared" si="83"/>
        <v>17</v>
      </c>
      <c r="E724" s="52" t="str">
        <f ca="1">OFFSET(载具产出!$F$19,D724,0)</f>
        <v>残血补刀镜</v>
      </c>
      <c r="F724" s="52">
        <f t="shared" si="84"/>
        <v>60</v>
      </c>
      <c r="G724" s="52" t="str">
        <f ca="1">SUBSTITUTE(_xlfn.XLOOKUP(E724,载具产出!$F$19:$F$40,载具产出!$N$19:$N$40),"%d",J724)&amp;IF(K724="","",","&amp;K724)</f>
        <v>梦灵对低于50%怪物血量，造成额外260%伤害</v>
      </c>
      <c r="H724" s="52"/>
      <c r="I724" s="52"/>
      <c r="J724" s="52">
        <f t="shared" si="85"/>
        <v>260</v>
      </c>
      <c r="K724" s="52"/>
    </row>
    <row r="725" ht="16.5" spans="4:11">
      <c r="D725" s="52">
        <f t="shared" si="83"/>
        <v>18</v>
      </c>
      <c r="E725" s="52" t="str">
        <f ca="1">OFFSET(载具产出!$F$19,D725,0)</f>
        <v>不许死保险</v>
      </c>
      <c r="F725" s="52">
        <f t="shared" si="84"/>
        <v>1</v>
      </c>
      <c r="G725" s="52" t="str">
        <f ca="1">SUBSTITUTE(_xlfn.XLOOKUP(E725,载具产出!$F$19:$F$40,载具产出!$N$19:$N$40),"%d",J725)&amp;IF(K725="","",","&amp;K725)</f>
        <v>受到致命伤害，免疫所有受到的伤害，持续1秒</v>
      </c>
      <c r="H725" s="52"/>
      <c r="I725" s="52"/>
      <c r="J725" s="52">
        <v>1</v>
      </c>
      <c r="K725" s="52"/>
    </row>
    <row r="726" ht="16.5" spans="4:11">
      <c r="D726" s="52">
        <f t="shared" si="83"/>
        <v>18</v>
      </c>
      <c r="E726" s="52" t="str">
        <f ca="1">OFFSET(载具产出!$F$19,D726,0)</f>
        <v>不许死保险</v>
      </c>
      <c r="F726" s="52">
        <f t="shared" si="84"/>
        <v>5</v>
      </c>
      <c r="G726" s="52" t="str">
        <f ca="1">SUBSTITUTE(_xlfn.XLOOKUP(E726,载具产出!$F$19:$F$40,载具产出!$N$19:$N$40),"%d",J726)&amp;IF(K726="","",","&amp;K726)</f>
        <v>受到致命伤害，免疫所有受到的伤害，持续2秒</v>
      </c>
      <c r="H726" s="52"/>
      <c r="I726" s="52"/>
      <c r="J726" s="52">
        <v>2</v>
      </c>
      <c r="K726" s="52"/>
    </row>
    <row r="727" ht="16.5" spans="4:11">
      <c r="D727" s="52">
        <f t="shared" si="83"/>
        <v>18</v>
      </c>
      <c r="E727" s="52" t="str">
        <f ca="1">OFFSET(载具产出!$F$19,D727,0)</f>
        <v>不许死保险</v>
      </c>
      <c r="F727" s="52">
        <f t="shared" si="84"/>
        <v>10</v>
      </c>
      <c r="G727" s="52" t="str">
        <f ca="1">SUBSTITUTE(_xlfn.XLOOKUP(E727,载具产出!$F$19:$F$40,载具产出!$N$19:$N$40),"%d",J727)&amp;IF(K727="","",","&amp;K727)</f>
        <v>受到致命伤害，免疫所有受到的伤害，持续3秒</v>
      </c>
      <c r="H727" s="52"/>
      <c r="I727" s="52"/>
      <c r="J727" s="52">
        <v>3</v>
      </c>
      <c r="K727" s="52"/>
    </row>
    <row r="728" ht="16.5" spans="4:11">
      <c r="D728" s="52">
        <f t="shared" si="83"/>
        <v>18</v>
      </c>
      <c r="E728" s="52" t="str">
        <f ca="1">OFFSET(载具产出!$F$19,D728,0)</f>
        <v>不许死保险</v>
      </c>
      <c r="F728" s="52">
        <f t="shared" si="84"/>
        <v>15</v>
      </c>
      <c r="G728" s="52" t="str">
        <f ca="1">SUBSTITUTE(_xlfn.XLOOKUP(E728,载具产出!$F$19:$F$40,载具产出!$N$19:$N$40),"%d",J728)&amp;IF(K728="","",","&amp;K728)</f>
        <v>受到致命伤害，免疫所有受到的伤害，持续4秒</v>
      </c>
      <c r="H728" s="52"/>
      <c r="I728" s="52"/>
      <c r="J728" s="52">
        <v>4</v>
      </c>
      <c r="K728" s="52"/>
    </row>
    <row r="729" ht="16.5" spans="4:11">
      <c r="D729" s="52">
        <f t="shared" si="83"/>
        <v>18</v>
      </c>
      <c r="E729" s="52" t="str">
        <f ca="1">OFFSET(载具产出!$F$19,D729,0)</f>
        <v>不许死保险</v>
      </c>
      <c r="F729" s="52">
        <f t="shared" si="84"/>
        <v>20</v>
      </c>
      <c r="G729" s="52" t="str">
        <f ca="1">SUBSTITUTE(_xlfn.XLOOKUP(E729,载具产出!$F$19:$F$40,载具产出!$N$19:$N$40),"%d",J729)&amp;IF(K729="","",","&amp;K729)</f>
        <v>受到致命伤害，免疫所有受到的伤害，持续5秒</v>
      </c>
      <c r="H729" s="52"/>
      <c r="I729" s="52"/>
      <c r="J729" s="52">
        <v>5</v>
      </c>
      <c r="K729" s="52"/>
    </row>
    <row r="730" ht="16.5" spans="4:11">
      <c r="D730" s="52">
        <f t="shared" si="83"/>
        <v>18</v>
      </c>
      <c r="E730" s="52" t="str">
        <f ca="1">OFFSET(载具产出!$F$19,D730,0)</f>
        <v>不许死保险</v>
      </c>
      <c r="F730" s="52">
        <f t="shared" si="84"/>
        <v>25</v>
      </c>
      <c r="G730" s="52" t="str">
        <f ca="1">SUBSTITUTE(_xlfn.XLOOKUP(E730,载具产出!$F$19:$F$40,载具产出!$N$19:$N$40),"%d",J730)&amp;IF(K730="","",","&amp;K730)</f>
        <v>受到致命伤害，免疫所有受到的伤害，持续6秒</v>
      </c>
      <c r="H730" s="52"/>
      <c r="I730" s="52"/>
      <c r="J730" s="52">
        <v>6</v>
      </c>
      <c r="K730" s="52"/>
    </row>
    <row r="731" ht="16.5" spans="4:11">
      <c r="D731" s="52">
        <f t="shared" si="83"/>
        <v>18</v>
      </c>
      <c r="E731" s="52" t="str">
        <f ca="1">OFFSET(载具产出!$F$19,D731,0)</f>
        <v>不许死保险</v>
      </c>
      <c r="F731" s="52">
        <f t="shared" si="84"/>
        <v>30</v>
      </c>
      <c r="G731" s="52" t="str">
        <f ca="1">SUBSTITUTE(_xlfn.XLOOKUP(E731,载具产出!$F$19:$F$40,载具产出!$N$19:$N$40),"%d",J731)&amp;IF(K731="","",","&amp;K731)</f>
        <v>受到致命伤害，免疫所有受到的伤害，持续7秒</v>
      </c>
      <c r="H731" s="52"/>
      <c r="I731" s="52"/>
      <c r="J731" s="52">
        <v>7</v>
      </c>
      <c r="K731" s="52"/>
    </row>
    <row r="732" ht="16.5" spans="4:11">
      <c r="D732" s="52">
        <f t="shared" si="83"/>
        <v>18</v>
      </c>
      <c r="E732" s="52" t="str">
        <f ca="1">OFFSET(载具产出!$F$19,D732,0)</f>
        <v>不许死保险</v>
      </c>
      <c r="F732" s="52">
        <f t="shared" si="84"/>
        <v>35</v>
      </c>
      <c r="G732" s="52" t="str">
        <f ca="1">SUBSTITUTE(_xlfn.XLOOKUP(E732,载具产出!$F$19:$F$40,载具产出!$N$19:$N$40),"%d",J732)&amp;IF(K732="","",","&amp;K732)</f>
        <v>受到致命伤害，免疫所有受到的伤害，持续8秒</v>
      </c>
      <c r="H732" s="52"/>
      <c r="I732" s="52"/>
      <c r="J732" s="52">
        <v>8</v>
      </c>
      <c r="K732" s="52"/>
    </row>
    <row r="733" ht="16.5" spans="4:11">
      <c r="D733" s="52">
        <f t="shared" si="83"/>
        <v>18</v>
      </c>
      <c r="E733" s="52" t="str">
        <f ca="1">OFFSET(载具产出!$F$19,D733,0)</f>
        <v>不许死保险</v>
      </c>
      <c r="F733" s="52">
        <f t="shared" si="84"/>
        <v>40</v>
      </c>
      <c r="G733" s="52" t="str">
        <f ca="1">SUBSTITUTE(_xlfn.XLOOKUP(E733,载具产出!$F$19:$F$40,载具产出!$N$19:$N$40),"%d",J733)&amp;IF(K733="","",","&amp;K733)</f>
        <v>受到致命伤害，免疫所有受到的伤害，持续9秒</v>
      </c>
      <c r="H733" s="52"/>
      <c r="I733" s="52"/>
      <c r="J733" s="52">
        <v>9</v>
      </c>
      <c r="K733" s="52"/>
    </row>
    <row r="734" ht="16.5" spans="4:11">
      <c r="D734" s="52">
        <f t="shared" si="83"/>
        <v>18</v>
      </c>
      <c r="E734" s="52" t="str">
        <f ca="1">OFFSET(载具产出!$F$19,D734,0)</f>
        <v>不许死保险</v>
      </c>
      <c r="F734" s="52">
        <f t="shared" si="84"/>
        <v>45</v>
      </c>
      <c r="G734" s="52" t="str">
        <f ca="1">SUBSTITUTE(_xlfn.XLOOKUP(E734,载具产出!$F$19:$F$40,载具产出!$N$19:$N$40),"%d",J734)&amp;IF(K734="","",","&amp;K734)</f>
        <v>受到致命伤害，免疫所有受到的伤害，持续10秒</v>
      </c>
      <c r="H734" s="52"/>
      <c r="I734" s="52"/>
      <c r="J734" s="52">
        <v>10</v>
      </c>
      <c r="K734" s="52"/>
    </row>
    <row r="735" ht="16.5" spans="4:11">
      <c r="D735" s="52">
        <f t="shared" si="83"/>
        <v>18</v>
      </c>
      <c r="E735" s="52" t="str">
        <f ca="1">OFFSET(载具产出!$F$19,D735,0)</f>
        <v>不许死保险</v>
      </c>
      <c r="F735" s="52">
        <f t="shared" si="84"/>
        <v>50</v>
      </c>
      <c r="G735" s="52" t="str">
        <f ca="1">SUBSTITUTE(_xlfn.XLOOKUP(E735,载具产出!$F$19:$F$40,载具产出!$N$19:$N$40),"%d",J735)&amp;IF(K735="","",","&amp;K735)</f>
        <v>受到致命伤害，免疫所有受到的伤害，持续11秒</v>
      </c>
      <c r="H735" s="52"/>
      <c r="I735" s="52"/>
      <c r="J735" s="52">
        <v>11</v>
      </c>
      <c r="K735" s="52"/>
    </row>
    <row r="736" ht="16.5" spans="4:11">
      <c r="D736" s="52">
        <f t="shared" si="83"/>
        <v>18</v>
      </c>
      <c r="E736" s="52" t="str">
        <f ca="1">OFFSET(载具产出!$F$19,D736,0)</f>
        <v>不许死保险</v>
      </c>
      <c r="F736" s="52">
        <f t="shared" si="84"/>
        <v>55</v>
      </c>
      <c r="G736" s="52" t="str">
        <f ca="1">SUBSTITUTE(_xlfn.XLOOKUP(E736,载具产出!$F$19:$F$40,载具产出!$N$19:$N$40),"%d",J736)&amp;IF(K736="","",","&amp;K736)</f>
        <v>受到致命伤害，免疫所有受到的伤害，持续12秒</v>
      </c>
      <c r="H736" s="52"/>
      <c r="I736" s="52"/>
      <c r="J736" s="52">
        <v>12</v>
      </c>
      <c r="K736" s="52"/>
    </row>
    <row r="737" ht="16.5" spans="4:11">
      <c r="D737" s="52">
        <f t="shared" si="83"/>
        <v>18</v>
      </c>
      <c r="E737" s="52" t="str">
        <f ca="1">OFFSET(载具产出!$F$19,D737,0)</f>
        <v>不许死保险</v>
      </c>
      <c r="F737" s="52">
        <f t="shared" si="84"/>
        <v>60</v>
      </c>
      <c r="G737" s="52" t="str">
        <f ca="1">SUBSTITUTE(_xlfn.XLOOKUP(E737,载具产出!$F$19:$F$40,载具产出!$N$19:$N$40),"%d",J737)&amp;IF(K737="","",","&amp;K737)</f>
        <v>受到致命伤害，免疫所有受到的伤害，持续13秒</v>
      </c>
      <c r="H737" s="52"/>
      <c r="I737" s="52"/>
      <c r="J737" s="52">
        <v>13</v>
      </c>
      <c r="K737" s="52"/>
    </row>
    <row r="738" ht="16.5" spans="4:11">
      <c r="D738" s="52">
        <f t="shared" si="83"/>
        <v>19</v>
      </c>
      <c r="E738" s="52" t="str">
        <f ca="1">OFFSET(载具产出!$F$19,D738,0)</f>
        <v>越残越猛芯</v>
      </c>
      <c r="F738" s="52">
        <f t="shared" si="84"/>
        <v>1</v>
      </c>
      <c r="G738" s="52" t="str">
        <f ca="1">SUBSTITUTE(_xlfn.XLOOKUP(E738,载具产出!$F$19:$F$40,载具产出!$N$19:$N$40),"%d",J738)&amp;IF(K738="","",","&amp;K738)</f>
        <v>载具生命每降低10%，所有梦灵最终伤害+2%</v>
      </c>
      <c r="H738" s="52"/>
      <c r="I738" s="52"/>
      <c r="J738" s="52">
        <v>2</v>
      </c>
      <c r="K738" s="52"/>
    </row>
    <row r="739" ht="16.5" spans="4:11">
      <c r="D739" s="52">
        <f t="shared" si="83"/>
        <v>19</v>
      </c>
      <c r="E739" s="52" t="str">
        <f ca="1">OFFSET(载具产出!$F$19,D739,0)</f>
        <v>越残越猛芯</v>
      </c>
      <c r="F739" s="52">
        <f t="shared" si="84"/>
        <v>5</v>
      </c>
      <c r="G739" s="52" t="str">
        <f ca="1">SUBSTITUTE(_xlfn.XLOOKUP(E739,载具产出!$F$19:$F$40,载具产出!$N$19:$N$40),"%d",J739)&amp;IF(K739="","",","&amp;K739)</f>
        <v>载具生命每降低10%，所有梦灵最终伤害+4%</v>
      </c>
      <c r="H739" s="52"/>
      <c r="I739" s="52"/>
      <c r="J739" s="52">
        <v>4</v>
      </c>
      <c r="K739" s="52"/>
    </row>
    <row r="740" ht="16.5" spans="4:11">
      <c r="D740" s="52">
        <f t="shared" si="83"/>
        <v>19</v>
      </c>
      <c r="E740" s="52" t="str">
        <f ca="1">OFFSET(载具产出!$F$19,D740,0)</f>
        <v>越残越猛芯</v>
      </c>
      <c r="F740" s="52">
        <f t="shared" si="84"/>
        <v>10</v>
      </c>
      <c r="G740" s="52" t="str">
        <f ca="1">SUBSTITUTE(_xlfn.XLOOKUP(E740,载具产出!$F$19:$F$40,载具产出!$N$19:$N$40),"%d",J740)&amp;IF(K740="","",","&amp;K740)</f>
        <v>载具生命每降低10%，所有梦灵最终伤害+6%</v>
      </c>
      <c r="H740" s="52"/>
      <c r="I740" s="52"/>
      <c r="J740" s="52">
        <v>6</v>
      </c>
      <c r="K740" s="52"/>
    </row>
    <row r="741" ht="16.5" spans="4:11">
      <c r="D741" s="52">
        <f t="shared" si="83"/>
        <v>19</v>
      </c>
      <c r="E741" s="52" t="str">
        <f ca="1">OFFSET(载具产出!$F$19,D741,0)</f>
        <v>越残越猛芯</v>
      </c>
      <c r="F741" s="52">
        <f t="shared" si="84"/>
        <v>15</v>
      </c>
      <c r="G741" s="52" t="str">
        <f ca="1">SUBSTITUTE(_xlfn.XLOOKUP(E741,载具产出!$F$19:$F$40,载具产出!$N$19:$N$40),"%d",J741)&amp;IF(K741="","",","&amp;K741)</f>
        <v>载具生命每降低10%，所有梦灵最终伤害+8%</v>
      </c>
      <c r="H741" s="52"/>
      <c r="I741" s="52"/>
      <c r="J741" s="52">
        <v>8</v>
      </c>
      <c r="K741" s="52"/>
    </row>
    <row r="742" ht="16.5" spans="4:11">
      <c r="D742" s="52">
        <f t="shared" ref="D742:D776" si="86">IF(F741=60,D741+1,D741)</f>
        <v>19</v>
      </c>
      <c r="E742" s="52" t="str">
        <f ca="1">OFFSET(载具产出!$F$19,D742,0)</f>
        <v>越残越猛芯</v>
      </c>
      <c r="F742" s="52">
        <f t="shared" ref="F742:F776" si="87">F729</f>
        <v>20</v>
      </c>
      <c r="G742" s="52" t="str">
        <f ca="1">SUBSTITUTE(_xlfn.XLOOKUP(E742,载具产出!$F$19:$F$40,载具产出!$N$19:$N$40),"%d",J742)&amp;IF(K742="","",","&amp;K742)</f>
        <v>载具生命每降低10%，所有梦灵最终伤害+10%</v>
      </c>
      <c r="H742" s="52"/>
      <c r="I742" s="52"/>
      <c r="J742" s="52">
        <v>10</v>
      </c>
      <c r="K742" s="52"/>
    </row>
    <row r="743" ht="16.5" spans="4:11">
      <c r="D743" s="52">
        <f t="shared" si="86"/>
        <v>19</v>
      </c>
      <c r="E743" s="52" t="str">
        <f ca="1">OFFSET(载具产出!$F$19,D743,0)</f>
        <v>越残越猛芯</v>
      </c>
      <c r="F743" s="52">
        <f t="shared" si="87"/>
        <v>25</v>
      </c>
      <c r="G743" s="52" t="str">
        <f ca="1">SUBSTITUTE(_xlfn.XLOOKUP(E743,载具产出!$F$19:$F$40,载具产出!$N$19:$N$40),"%d",J743)&amp;IF(K743="","",","&amp;K743)</f>
        <v>载具生命每降低10%，所有梦灵最终伤害+12%</v>
      </c>
      <c r="H743" s="52"/>
      <c r="I743" s="52"/>
      <c r="J743" s="52">
        <v>12</v>
      </c>
      <c r="K743" s="52"/>
    </row>
    <row r="744" ht="16.5" spans="4:11">
      <c r="D744" s="52">
        <f t="shared" si="86"/>
        <v>19</v>
      </c>
      <c r="E744" s="52" t="str">
        <f ca="1">OFFSET(载具产出!$F$19,D744,0)</f>
        <v>越残越猛芯</v>
      </c>
      <c r="F744" s="52">
        <f t="shared" si="87"/>
        <v>30</v>
      </c>
      <c r="G744" s="52" t="str">
        <f ca="1">SUBSTITUTE(_xlfn.XLOOKUP(E744,载具产出!$F$19:$F$40,载具产出!$N$19:$N$40),"%d",J744)&amp;IF(K744="","",","&amp;K744)</f>
        <v>载具生命每降低10%，所有梦灵最终伤害+14%</v>
      </c>
      <c r="H744" s="52"/>
      <c r="I744" s="52"/>
      <c r="J744" s="52">
        <v>14</v>
      </c>
      <c r="K744" s="52"/>
    </row>
    <row r="745" ht="16.5" spans="4:11">
      <c r="D745" s="52">
        <f t="shared" si="86"/>
        <v>19</v>
      </c>
      <c r="E745" s="52" t="str">
        <f ca="1">OFFSET(载具产出!$F$19,D745,0)</f>
        <v>越残越猛芯</v>
      </c>
      <c r="F745" s="52">
        <f t="shared" si="87"/>
        <v>35</v>
      </c>
      <c r="G745" s="52" t="str">
        <f ca="1">SUBSTITUTE(_xlfn.XLOOKUP(E745,载具产出!$F$19:$F$40,载具产出!$N$19:$N$40),"%d",J745)&amp;IF(K745="","",","&amp;K745)</f>
        <v>载具生命每降低10%，所有梦灵最终伤害+16%</v>
      </c>
      <c r="H745" s="52"/>
      <c r="I745" s="52"/>
      <c r="J745" s="52">
        <v>16</v>
      </c>
      <c r="K745" s="52"/>
    </row>
    <row r="746" ht="16.5" spans="4:11">
      <c r="D746" s="52">
        <f t="shared" si="86"/>
        <v>19</v>
      </c>
      <c r="E746" s="52" t="str">
        <f ca="1">OFFSET(载具产出!$F$19,D746,0)</f>
        <v>越残越猛芯</v>
      </c>
      <c r="F746" s="52">
        <f t="shared" si="87"/>
        <v>40</v>
      </c>
      <c r="G746" s="52" t="str">
        <f ca="1">SUBSTITUTE(_xlfn.XLOOKUP(E746,载具产出!$F$19:$F$40,载具产出!$N$19:$N$40),"%d",J746)&amp;IF(K746="","",","&amp;K746)</f>
        <v>载具生命每降低10%，所有梦灵最终伤害+18%</v>
      </c>
      <c r="H746" s="52"/>
      <c r="I746" s="52"/>
      <c r="J746" s="52">
        <v>18</v>
      </c>
      <c r="K746" s="52"/>
    </row>
    <row r="747" ht="16.5" spans="4:11">
      <c r="D747" s="52">
        <f t="shared" si="86"/>
        <v>19</v>
      </c>
      <c r="E747" s="52" t="str">
        <f ca="1">OFFSET(载具产出!$F$19,D747,0)</f>
        <v>越残越猛芯</v>
      </c>
      <c r="F747" s="52">
        <f t="shared" si="87"/>
        <v>45</v>
      </c>
      <c r="G747" s="52" t="str">
        <f ca="1">SUBSTITUTE(_xlfn.XLOOKUP(E747,载具产出!$F$19:$F$40,载具产出!$N$19:$N$40),"%d",J747)&amp;IF(K747="","",","&amp;K747)</f>
        <v>载具生命每降低10%，所有梦灵最终伤害+20%</v>
      </c>
      <c r="H747" s="52"/>
      <c r="I747" s="52"/>
      <c r="J747" s="52">
        <v>20</v>
      </c>
      <c r="K747" s="52"/>
    </row>
    <row r="748" ht="16.5" spans="4:11">
      <c r="D748" s="52">
        <f t="shared" si="86"/>
        <v>19</v>
      </c>
      <c r="E748" s="52" t="str">
        <f ca="1">OFFSET(载具产出!$F$19,D748,0)</f>
        <v>越残越猛芯</v>
      </c>
      <c r="F748" s="52">
        <f t="shared" si="87"/>
        <v>50</v>
      </c>
      <c r="G748" s="52" t="str">
        <f ca="1">SUBSTITUTE(_xlfn.XLOOKUP(E748,载具产出!$F$19:$F$40,载具产出!$N$19:$N$40),"%d",J748)&amp;IF(K748="","",","&amp;K748)</f>
        <v>载具生命每降低10%，所有梦灵最终伤害+22%</v>
      </c>
      <c r="H748" s="52"/>
      <c r="I748" s="52"/>
      <c r="J748" s="52">
        <v>22</v>
      </c>
      <c r="K748" s="52"/>
    </row>
    <row r="749" ht="16.5" spans="4:11">
      <c r="D749" s="52">
        <f t="shared" si="86"/>
        <v>19</v>
      </c>
      <c r="E749" s="52" t="str">
        <f ca="1">OFFSET(载具产出!$F$19,D749,0)</f>
        <v>越残越猛芯</v>
      </c>
      <c r="F749" s="52">
        <f t="shared" si="87"/>
        <v>55</v>
      </c>
      <c r="G749" s="52" t="str">
        <f ca="1">SUBSTITUTE(_xlfn.XLOOKUP(E749,载具产出!$F$19:$F$40,载具产出!$N$19:$N$40),"%d",J749)&amp;IF(K749="","",","&amp;K749)</f>
        <v>载具生命每降低10%，所有梦灵最终伤害+24%</v>
      </c>
      <c r="H749" s="52"/>
      <c r="I749" s="52"/>
      <c r="J749" s="52">
        <v>24</v>
      </c>
      <c r="K749" s="52"/>
    </row>
    <row r="750" ht="16.5" spans="4:11">
      <c r="D750" s="52">
        <f t="shared" si="86"/>
        <v>19</v>
      </c>
      <c r="E750" s="52" t="str">
        <f ca="1">OFFSET(载具产出!$F$19,D750,0)</f>
        <v>越残越猛芯</v>
      </c>
      <c r="F750" s="52">
        <f t="shared" si="87"/>
        <v>60</v>
      </c>
      <c r="G750" s="52" t="str">
        <f ca="1">SUBSTITUTE(_xlfn.XLOOKUP(E750,载具产出!$F$19:$F$40,载具产出!$N$19:$N$40),"%d",J750)&amp;IF(K750="","",","&amp;K750)</f>
        <v>载具生命每降低10%，所有梦灵最终伤害+26%</v>
      </c>
      <c r="H750" s="52"/>
      <c r="I750" s="52"/>
      <c r="J750" s="52">
        <v>26</v>
      </c>
      <c r="K750" s="52"/>
    </row>
    <row r="751" ht="16.5" spans="4:11">
      <c r="D751" s="52">
        <f t="shared" si="86"/>
        <v>20</v>
      </c>
      <c r="E751" s="52" t="str">
        <f ca="1">OFFSET(载具产出!$F$19,D751,0)</f>
        <v>乖乖减伤器</v>
      </c>
      <c r="F751" s="52">
        <f t="shared" si="87"/>
        <v>1</v>
      </c>
      <c r="G751" s="52" t="str">
        <f ca="1">SUBSTITUTE(_xlfn.XLOOKUP(E751,载具产出!$F$19:$F$40,载具产出!$N$19:$N$40),"%d",J751)&amp;IF(K751="","",","&amp;K751)</f>
        <v>怪物受到控制/魅惑后，造成伤害降低2%</v>
      </c>
      <c r="H751" s="52"/>
      <c r="I751" s="52"/>
      <c r="J751" s="52">
        <v>2</v>
      </c>
      <c r="K751" s="52"/>
    </row>
    <row r="752" ht="16.5" spans="4:11">
      <c r="D752" s="52">
        <f t="shared" si="86"/>
        <v>20</v>
      </c>
      <c r="E752" s="52" t="str">
        <f ca="1">OFFSET(载具产出!$F$19,D752,0)</f>
        <v>乖乖减伤器</v>
      </c>
      <c r="F752" s="52">
        <f t="shared" si="87"/>
        <v>5</v>
      </c>
      <c r="G752" s="52" t="str">
        <f ca="1">SUBSTITUTE(_xlfn.XLOOKUP(E752,载具产出!$F$19:$F$40,载具产出!$N$19:$N$40),"%d",J752)&amp;IF(K752="","",","&amp;K752)</f>
        <v>怪物受到控制/魅惑后，造成伤害降低4%</v>
      </c>
      <c r="H752" s="52"/>
      <c r="I752" s="52"/>
      <c r="J752" s="52">
        <v>4</v>
      </c>
      <c r="K752" s="52"/>
    </row>
    <row r="753" ht="16.5" spans="4:11">
      <c r="D753" s="52">
        <f t="shared" si="86"/>
        <v>20</v>
      </c>
      <c r="E753" s="52" t="str">
        <f ca="1">OFFSET(载具产出!$F$19,D753,0)</f>
        <v>乖乖减伤器</v>
      </c>
      <c r="F753" s="52">
        <f t="shared" si="87"/>
        <v>10</v>
      </c>
      <c r="G753" s="52" t="str">
        <f ca="1">SUBSTITUTE(_xlfn.XLOOKUP(E753,载具产出!$F$19:$F$40,载具产出!$N$19:$N$40),"%d",J753)&amp;IF(K753="","",","&amp;K753)</f>
        <v>怪物受到控制/魅惑后，造成伤害降低6%</v>
      </c>
      <c r="H753" s="52"/>
      <c r="I753" s="52"/>
      <c r="J753" s="52">
        <v>6</v>
      </c>
      <c r="K753" s="52"/>
    </row>
    <row r="754" ht="16.5" spans="4:11">
      <c r="D754" s="52">
        <f t="shared" si="86"/>
        <v>20</v>
      </c>
      <c r="E754" s="52" t="str">
        <f ca="1">OFFSET(载具产出!$F$19,D754,0)</f>
        <v>乖乖减伤器</v>
      </c>
      <c r="F754" s="52">
        <f t="shared" si="87"/>
        <v>15</v>
      </c>
      <c r="G754" s="52" t="str">
        <f ca="1">SUBSTITUTE(_xlfn.XLOOKUP(E754,载具产出!$F$19:$F$40,载具产出!$N$19:$N$40),"%d",J754)&amp;IF(K754="","",","&amp;K754)</f>
        <v>怪物受到控制/魅惑后，造成伤害降低8%</v>
      </c>
      <c r="H754" s="52"/>
      <c r="I754" s="52"/>
      <c r="J754" s="52">
        <v>8</v>
      </c>
      <c r="K754" s="52"/>
    </row>
    <row r="755" ht="16.5" spans="4:11">
      <c r="D755" s="52">
        <f t="shared" si="86"/>
        <v>20</v>
      </c>
      <c r="E755" s="52" t="str">
        <f ca="1">OFFSET(载具产出!$F$19,D755,0)</f>
        <v>乖乖减伤器</v>
      </c>
      <c r="F755" s="52">
        <f t="shared" si="87"/>
        <v>20</v>
      </c>
      <c r="G755" s="52" t="str">
        <f ca="1">SUBSTITUTE(_xlfn.XLOOKUP(E755,载具产出!$F$19:$F$40,载具产出!$N$19:$N$40),"%d",J755)&amp;IF(K755="","",","&amp;K755)</f>
        <v>怪物受到控制/魅惑后，造成伤害降低10%</v>
      </c>
      <c r="H755" s="52"/>
      <c r="I755" s="52"/>
      <c r="J755" s="52">
        <v>10</v>
      </c>
      <c r="K755" s="52"/>
    </row>
    <row r="756" ht="16.5" spans="4:11">
      <c r="D756" s="52">
        <f t="shared" si="86"/>
        <v>20</v>
      </c>
      <c r="E756" s="52" t="str">
        <f ca="1">OFFSET(载具产出!$F$19,D756,0)</f>
        <v>乖乖减伤器</v>
      </c>
      <c r="F756" s="52">
        <f t="shared" si="87"/>
        <v>25</v>
      </c>
      <c r="G756" s="52" t="str">
        <f ca="1">SUBSTITUTE(_xlfn.XLOOKUP(E756,载具产出!$F$19:$F$40,载具产出!$N$19:$N$40),"%d",J756)&amp;IF(K756="","",","&amp;K756)</f>
        <v>怪物受到控制/魅惑后，造成伤害降低12%</v>
      </c>
      <c r="H756" s="52"/>
      <c r="I756" s="52"/>
      <c r="J756" s="52">
        <v>12</v>
      </c>
      <c r="K756" s="52"/>
    </row>
    <row r="757" ht="16.5" spans="4:11">
      <c r="D757" s="52">
        <f t="shared" si="86"/>
        <v>20</v>
      </c>
      <c r="E757" s="52" t="str">
        <f ca="1">OFFSET(载具产出!$F$19,D757,0)</f>
        <v>乖乖减伤器</v>
      </c>
      <c r="F757" s="52">
        <f t="shared" si="87"/>
        <v>30</v>
      </c>
      <c r="G757" s="52" t="str">
        <f ca="1">SUBSTITUTE(_xlfn.XLOOKUP(E757,载具产出!$F$19:$F$40,载具产出!$N$19:$N$40),"%d",J757)&amp;IF(K757="","",","&amp;K757)</f>
        <v>怪物受到控制/魅惑后，造成伤害降低14%</v>
      </c>
      <c r="H757" s="52"/>
      <c r="I757" s="52"/>
      <c r="J757" s="52">
        <v>14</v>
      </c>
      <c r="K757" s="52"/>
    </row>
    <row r="758" ht="16.5" spans="4:11">
      <c r="D758" s="52">
        <f t="shared" si="86"/>
        <v>20</v>
      </c>
      <c r="E758" s="52" t="str">
        <f ca="1">OFFSET(载具产出!$F$19,D758,0)</f>
        <v>乖乖减伤器</v>
      </c>
      <c r="F758" s="52">
        <f t="shared" si="87"/>
        <v>35</v>
      </c>
      <c r="G758" s="52" t="str">
        <f ca="1">SUBSTITUTE(_xlfn.XLOOKUP(E758,载具产出!$F$19:$F$40,载具产出!$N$19:$N$40),"%d",J758)&amp;IF(K758="","",","&amp;K758)</f>
        <v>怪物受到控制/魅惑后，造成伤害降低16%</v>
      </c>
      <c r="H758" s="52"/>
      <c r="I758" s="52"/>
      <c r="J758" s="52">
        <v>16</v>
      </c>
      <c r="K758" s="52"/>
    </row>
    <row r="759" ht="16.5" spans="4:11">
      <c r="D759" s="52">
        <f t="shared" si="86"/>
        <v>20</v>
      </c>
      <c r="E759" s="52" t="str">
        <f ca="1">OFFSET(载具产出!$F$19,D759,0)</f>
        <v>乖乖减伤器</v>
      </c>
      <c r="F759" s="52">
        <f t="shared" si="87"/>
        <v>40</v>
      </c>
      <c r="G759" s="52" t="str">
        <f ca="1">SUBSTITUTE(_xlfn.XLOOKUP(E759,载具产出!$F$19:$F$40,载具产出!$N$19:$N$40),"%d",J759)&amp;IF(K759="","",","&amp;K759)</f>
        <v>怪物受到控制/魅惑后，造成伤害降低18%</v>
      </c>
      <c r="H759" s="52"/>
      <c r="I759" s="52"/>
      <c r="J759" s="52">
        <v>18</v>
      </c>
      <c r="K759" s="52"/>
    </row>
    <row r="760" ht="16.5" spans="4:11">
      <c r="D760" s="52">
        <f t="shared" si="86"/>
        <v>20</v>
      </c>
      <c r="E760" s="52" t="str">
        <f ca="1">OFFSET(载具产出!$F$19,D760,0)</f>
        <v>乖乖减伤器</v>
      </c>
      <c r="F760" s="52">
        <f t="shared" si="87"/>
        <v>45</v>
      </c>
      <c r="G760" s="52" t="str">
        <f ca="1">SUBSTITUTE(_xlfn.XLOOKUP(E760,载具产出!$F$19:$F$40,载具产出!$N$19:$N$40),"%d",J760)&amp;IF(K760="","",","&amp;K760)</f>
        <v>怪物受到控制/魅惑后，造成伤害降低20%</v>
      </c>
      <c r="H760" s="52"/>
      <c r="I760" s="52"/>
      <c r="J760" s="52">
        <v>20</v>
      </c>
      <c r="K760" s="52"/>
    </row>
    <row r="761" ht="16.5" spans="4:11">
      <c r="D761" s="52">
        <f t="shared" si="86"/>
        <v>20</v>
      </c>
      <c r="E761" s="52" t="str">
        <f ca="1">OFFSET(载具产出!$F$19,D761,0)</f>
        <v>乖乖减伤器</v>
      </c>
      <c r="F761" s="52">
        <f t="shared" si="87"/>
        <v>50</v>
      </c>
      <c r="G761" s="52" t="str">
        <f ca="1">SUBSTITUTE(_xlfn.XLOOKUP(E761,载具产出!$F$19:$F$40,载具产出!$N$19:$N$40),"%d",J761)&amp;IF(K761="","",","&amp;K761)</f>
        <v>怪物受到控制/魅惑后，造成伤害降低22%</v>
      </c>
      <c r="H761" s="52"/>
      <c r="I761" s="52"/>
      <c r="J761" s="52">
        <v>22</v>
      </c>
      <c r="K761" s="52"/>
    </row>
    <row r="762" ht="16.5" spans="4:11">
      <c r="D762" s="52">
        <f t="shared" si="86"/>
        <v>20</v>
      </c>
      <c r="E762" s="52" t="str">
        <f ca="1">OFFSET(载具产出!$F$19,D762,0)</f>
        <v>乖乖减伤器</v>
      </c>
      <c r="F762" s="52">
        <f t="shared" si="87"/>
        <v>55</v>
      </c>
      <c r="G762" s="52" t="str">
        <f ca="1">SUBSTITUTE(_xlfn.XLOOKUP(E762,载具产出!$F$19:$F$40,载具产出!$N$19:$N$40),"%d",J762)&amp;IF(K762="","",","&amp;K762)</f>
        <v>怪物受到控制/魅惑后，造成伤害降低24%</v>
      </c>
      <c r="H762" s="52"/>
      <c r="I762" s="52"/>
      <c r="J762" s="52">
        <v>24</v>
      </c>
      <c r="K762" s="52"/>
    </row>
    <row r="763" ht="16.5" spans="4:11">
      <c r="D763" s="52">
        <f t="shared" si="86"/>
        <v>20</v>
      </c>
      <c r="E763" s="52" t="str">
        <f ca="1">OFFSET(载具产出!$F$19,D763,0)</f>
        <v>乖乖减伤器</v>
      </c>
      <c r="F763" s="52">
        <f t="shared" si="87"/>
        <v>60</v>
      </c>
      <c r="G763" s="52" t="str">
        <f ca="1">SUBSTITUTE(_xlfn.XLOOKUP(E763,载具产出!$F$19:$F$40,载具产出!$N$19:$N$40),"%d",J763)&amp;IF(K763="","",","&amp;K763)</f>
        <v>怪物受到控制/魅惑后，造成伤害降低26%</v>
      </c>
      <c r="H763" s="52"/>
      <c r="I763" s="52"/>
      <c r="J763" s="52">
        <v>26</v>
      </c>
      <c r="K763" s="52"/>
    </row>
    <row r="764" ht="16.5" spans="4:11">
      <c r="D764" s="52">
        <f t="shared" si="86"/>
        <v>21</v>
      </c>
      <c r="E764" s="52" t="str">
        <f ca="1">OFFSET(载具产出!$F$19,D764,0)</f>
        <v>套装快进芯</v>
      </c>
      <c r="F764" s="52">
        <f t="shared" si="87"/>
        <v>1</v>
      </c>
      <c r="G764" s="52" t="str">
        <f ca="1">SUBSTITUTE(_xlfn.XLOOKUP(E764,载具产出!$F$19:$F$40,载具产出!$N$19:$N$40),"%d",J764)&amp;IF(K764="","",","&amp;K764)</f>
        <v>载具的套装效果-15%冷却，伤害+8%</v>
      </c>
      <c r="H764" s="52"/>
      <c r="I764" s="52"/>
      <c r="J764" s="52">
        <v>8</v>
      </c>
      <c r="K764" s="52"/>
    </row>
    <row r="765" ht="16.5" spans="4:11">
      <c r="D765" s="52">
        <f t="shared" si="86"/>
        <v>21</v>
      </c>
      <c r="E765" s="52" t="str">
        <f ca="1">OFFSET(载具产出!$F$19,D765,0)</f>
        <v>套装快进芯</v>
      </c>
      <c r="F765" s="52">
        <f t="shared" si="87"/>
        <v>5</v>
      </c>
      <c r="G765" s="52" t="str">
        <f ca="1">SUBSTITUTE(_xlfn.XLOOKUP(E765,载具产出!$F$19:$F$40,载具产出!$N$19:$N$40),"%d",J765)&amp;IF(K765="","",","&amp;K765)</f>
        <v>载具的套装效果-15%冷却，伤害+16%</v>
      </c>
      <c r="H765" s="52"/>
      <c r="I765" s="52"/>
      <c r="J765" s="52">
        <v>16</v>
      </c>
      <c r="K765" s="52"/>
    </row>
    <row r="766" ht="16.5" spans="4:11">
      <c r="D766" s="52">
        <f t="shared" si="86"/>
        <v>21</v>
      </c>
      <c r="E766" s="52" t="str">
        <f ca="1">OFFSET(载具产出!$F$19,D766,0)</f>
        <v>套装快进芯</v>
      </c>
      <c r="F766" s="52">
        <f t="shared" si="87"/>
        <v>10</v>
      </c>
      <c r="G766" s="52" t="str">
        <f ca="1">SUBSTITUTE(_xlfn.XLOOKUP(E766,载具产出!$F$19:$F$40,载具产出!$N$19:$N$40),"%d",J766)&amp;IF(K766="","",","&amp;K766)</f>
        <v>载具的套装效果-15%冷却，伤害+24%</v>
      </c>
      <c r="H766" s="52"/>
      <c r="I766" s="52"/>
      <c r="J766" s="52">
        <v>24</v>
      </c>
      <c r="K766" s="52"/>
    </row>
    <row r="767" ht="16.5" spans="4:11">
      <c r="D767" s="52">
        <f t="shared" si="86"/>
        <v>21</v>
      </c>
      <c r="E767" s="52" t="str">
        <f ca="1">OFFSET(载具产出!$F$19,D767,0)</f>
        <v>套装快进芯</v>
      </c>
      <c r="F767" s="52">
        <f t="shared" si="87"/>
        <v>15</v>
      </c>
      <c r="G767" s="52" t="str">
        <f ca="1">SUBSTITUTE(_xlfn.XLOOKUP(E767,载具产出!$F$19:$F$40,载具产出!$N$19:$N$40),"%d",J767)&amp;IF(K767="","",","&amp;K767)</f>
        <v>载具的套装效果-15%冷却，伤害+32%</v>
      </c>
      <c r="H767" s="52"/>
      <c r="I767" s="52"/>
      <c r="J767" s="52">
        <v>32</v>
      </c>
      <c r="K767" s="52"/>
    </row>
    <row r="768" ht="16.5" spans="4:11">
      <c r="D768" s="52">
        <f t="shared" si="86"/>
        <v>21</v>
      </c>
      <c r="E768" s="52" t="str">
        <f ca="1">OFFSET(载具产出!$F$19,D768,0)</f>
        <v>套装快进芯</v>
      </c>
      <c r="F768" s="52">
        <f t="shared" si="87"/>
        <v>20</v>
      </c>
      <c r="G768" s="52" t="str">
        <f ca="1">SUBSTITUTE(_xlfn.XLOOKUP(E768,载具产出!$F$19:$F$40,载具产出!$N$19:$N$40),"%d",J768)&amp;IF(K768="","",","&amp;K768)</f>
        <v>载具的套装效果-15%冷却，伤害+40%</v>
      </c>
      <c r="H768" s="52"/>
      <c r="I768" s="52"/>
      <c r="J768" s="52">
        <v>40</v>
      </c>
      <c r="K768" s="52"/>
    </row>
    <row r="769" ht="16.5" spans="4:21">
      <c r="D769" s="52">
        <f t="shared" si="86"/>
        <v>21</v>
      </c>
      <c r="E769" s="52" t="str">
        <f ca="1">OFFSET(载具产出!$F$19,D769,0)</f>
        <v>套装快进芯</v>
      </c>
      <c r="F769" s="52">
        <f t="shared" si="87"/>
        <v>25</v>
      </c>
      <c r="G769" s="52" t="str">
        <f ca="1">SUBSTITUTE(_xlfn.XLOOKUP(E769,载具产出!$F$19:$F$40,载具产出!$N$19:$N$40),"%d",J769)&amp;IF(K769="","",","&amp;K769)</f>
        <v>载具的套装效果-15%冷却，伤害+48%</v>
      </c>
      <c r="H769" s="52"/>
      <c r="I769" s="52"/>
      <c r="J769" s="52">
        <v>48</v>
      </c>
      <c r="K769" s="52"/>
    </row>
    <row r="770" ht="16.5" spans="4:21">
      <c r="D770" s="52">
        <f t="shared" si="86"/>
        <v>21</v>
      </c>
      <c r="E770" s="52" t="str">
        <f ca="1">OFFSET(载具产出!$F$19,D770,0)</f>
        <v>套装快进芯</v>
      </c>
      <c r="F770" s="52">
        <f t="shared" si="87"/>
        <v>30</v>
      </c>
      <c r="G770" s="52" t="str">
        <f ca="1">SUBSTITUTE(_xlfn.XLOOKUP(E770,载具产出!$F$19:$F$40,载具产出!$N$19:$N$40),"%d",J770)&amp;IF(K770="","",","&amp;K770)</f>
        <v>载具的套装效果-15%冷却，伤害+56%</v>
      </c>
      <c r="H770" s="52"/>
      <c r="I770" s="52"/>
      <c r="J770" s="52">
        <v>56</v>
      </c>
      <c r="K770" s="52"/>
    </row>
    <row r="771" ht="16.5" spans="4:21">
      <c r="D771" s="52">
        <f t="shared" si="86"/>
        <v>21</v>
      </c>
      <c r="E771" s="52" t="str">
        <f ca="1">OFFSET(载具产出!$F$19,D771,0)</f>
        <v>套装快进芯</v>
      </c>
      <c r="F771" s="52">
        <f t="shared" si="87"/>
        <v>35</v>
      </c>
      <c r="G771" s="52" t="str">
        <f ca="1">SUBSTITUTE(_xlfn.XLOOKUP(E771,载具产出!$F$19:$F$40,载具产出!$N$19:$N$40),"%d",J771)&amp;IF(K771="","",","&amp;K771)</f>
        <v>载具的套装效果-15%冷却，伤害+64%</v>
      </c>
      <c r="H771" s="52"/>
      <c r="I771" s="52"/>
      <c r="J771" s="52">
        <v>64</v>
      </c>
      <c r="K771" s="52"/>
    </row>
    <row r="772" ht="16.5" spans="4:21">
      <c r="D772" s="52">
        <f t="shared" si="86"/>
        <v>21</v>
      </c>
      <c r="E772" s="52" t="str">
        <f ca="1">OFFSET(载具产出!$F$19,D772,0)</f>
        <v>套装快进芯</v>
      </c>
      <c r="F772" s="52">
        <f t="shared" si="87"/>
        <v>40</v>
      </c>
      <c r="G772" s="52" t="str">
        <f ca="1">SUBSTITUTE(_xlfn.XLOOKUP(E772,载具产出!$F$19:$F$40,载具产出!$N$19:$N$40),"%d",J772)&amp;IF(K772="","",","&amp;K772)</f>
        <v>载具的套装效果-15%冷却，伤害+72%</v>
      </c>
      <c r="H772" s="52"/>
      <c r="I772" s="52"/>
      <c r="J772" s="52">
        <v>72</v>
      </c>
      <c r="K772" s="52"/>
    </row>
    <row r="773" ht="16.5" spans="4:21">
      <c r="D773" s="52">
        <f t="shared" si="86"/>
        <v>21</v>
      </c>
      <c r="E773" s="52" t="str">
        <f ca="1">OFFSET(载具产出!$F$19,D773,0)</f>
        <v>套装快进芯</v>
      </c>
      <c r="F773" s="52">
        <f t="shared" si="87"/>
        <v>45</v>
      </c>
      <c r="G773" s="52" t="str">
        <f ca="1">SUBSTITUTE(_xlfn.XLOOKUP(E773,载具产出!$F$19:$F$40,载具产出!$N$19:$N$40),"%d",J773)&amp;IF(K773="","",","&amp;K773)</f>
        <v>载具的套装效果-15%冷却，伤害+80%</v>
      </c>
      <c r="H773" s="52"/>
      <c r="I773" s="52"/>
      <c r="J773" s="52">
        <v>80</v>
      </c>
      <c r="K773" s="52"/>
    </row>
    <row r="774" ht="16.5" spans="4:21">
      <c r="D774" s="52">
        <f t="shared" si="86"/>
        <v>21</v>
      </c>
      <c r="E774" s="52" t="str">
        <f ca="1">OFFSET(载具产出!$F$19,D774,0)</f>
        <v>套装快进芯</v>
      </c>
      <c r="F774" s="52">
        <f t="shared" si="87"/>
        <v>50</v>
      </c>
      <c r="G774" s="52" t="str">
        <f ca="1">SUBSTITUTE(_xlfn.XLOOKUP(E774,载具产出!$F$19:$F$40,载具产出!$N$19:$N$40),"%d",J774)&amp;IF(K774="","",","&amp;K774)</f>
        <v>载具的套装效果-15%冷却，伤害+88%</v>
      </c>
      <c r="H774" s="52"/>
      <c r="I774" s="52"/>
      <c r="J774" s="52">
        <v>88</v>
      </c>
      <c r="K774" s="52"/>
    </row>
    <row r="775" ht="16.5" spans="4:21">
      <c r="D775" s="52">
        <f t="shared" si="86"/>
        <v>21</v>
      </c>
      <c r="E775" s="52" t="str">
        <f ca="1">OFFSET(载具产出!$F$19,D775,0)</f>
        <v>套装快进芯</v>
      </c>
      <c r="F775" s="52">
        <f t="shared" si="87"/>
        <v>55</v>
      </c>
      <c r="G775" s="52" t="str">
        <f ca="1">SUBSTITUTE(_xlfn.XLOOKUP(E775,载具产出!$F$19:$F$40,载具产出!$N$19:$N$40),"%d",J775)&amp;IF(K775="","",","&amp;K775)</f>
        <v>载具的套装效果-15%冷却，伤害+96%</v>
      </c>
      <c r="H775" s="52"/>
      <c r="I775" s="52"/>
      <c r="J775" s="52">
        <v>96</v>
      </c>
      <c r="K775" s="52"/>
    </row>
    <row r="776" ht="16.5" spans="4:21">
      <c r="D776" s="52">
        <f t="shared" si="86"/>
        <v>21</v>
      </c>
      <c r="E776" s="52" t="str">
        <f ca="1">OFFSET(载具产出!$F$19,D776,0)</f>
        <v>套装快进芯</v>
      </c>
      <c r="F776" s="52">
        <f t="shared" si="87"/>
        <v>60</v>
      </c>
      <c r="G776" s="52" t="str">
        <f ca="1">SUBSTITUTE(_xlfn.XLOOKUP(E776,载具产出!$F$19:$F$40,载具产出!$N$19:$N$40),"%d",J776)&amp;IF(K776="","",","&amp;K776)</f>
        <v>载具的套装效果-15%冷却，伤害+104%</v>
      </c>
      <c r="H776" s="52"/>
      <c r="I776" s="52"/>
      <c r="J776" s="52">
        <v>104</v>
      </c>
      <c r="K776" s="52"/>
    </row>
    <row r="781" ht="54" customHeight="1" spans="4:21">
      <c r="D781" s="111" t="s">
        <v>77</v>
      </c>
      <c r="E781" s="111" t="s">
        <v>78</v>
      </c>
      <c r="F781" s="111" t="s">
        <v>79</v>
      </c>
      <c r="J781" s="111" t="s">
        <v>80</v>
      </c>
      <c r="K781" s="111" t="s">
        <v>81</v>
      </c>
      <c r="L781" s="111" t="s">
        <v>82</v>
      </c>
      <c r="M781" s="111" t="s">
        <v>83</v>
      </c>
      <c r="P781" s="3" t="s">
        <v>84</v>
      </c>
      <c r="Q781" s="3" t="s">
        <v>85</v>
      </c>
      <c r="R781" s="3" t="s">
        <v>61</v>
      </c>
      <c r="S781" s="3" t="s">
        <v>86</v>
      </c>
      <c r="T781" s="3" t="s">
        <v>87</v>
      </c>
      <c r="U781" s="3" t="s">
        <v>88</v>
      </c>
    </row>
    <row r="782" ht="54" customHeight="1" spans="4:21">
      <c r="D782" s="111" t="s">
        <v>89</v>
      </c>
      <c r="E782" s="111" t="s">
        <v>90</v>
      </c>
      <c r="F782" s="112" t="s">
        <v>91</v>
      </c>
      <c r="J782" s="113" t="s">
        <v>92</v>
      </c>
      <c r="K782" s="111" t="s">
        <v>92</v>
      </c>
      <c r="L782" s="111" t="s">
        <v>93</v>
      </c>
      <c r="M782" s="111" t="s">
        <v>94</v>
      </c>
      <c r="P782" s="49">
        <v>1</v>
      </c>
      <c r="Q782" s="50">
        <v>10</v>
      </c>
      <c r="R782" s="52" t="s">
        <v>95</v>
      </c>
      <c r="S782" s="53">
        <v>3</v>
      </c>
      <c r="T782" s="53" t="s">
        <v>96</v>
      </c>
      <c r="U782" s="55" t="s">
        <v>97</v>
      </c>
    </row>
    <row r="783" ht="54" customHeight="1" spans="4:21">
      <c r="D783" s="111" t="s">
        <v>98</v>
      </c>
      <c r="E783" s="111" t="s">
        <v>99</v>
      </c>
      <c r="F783" s="111" t="s">
        <v>100</v>
      </c>
      <c r="J783" s="113" t="s">
        <v>94</v>
      </c>
      <c r="K783" s="111" t="s">
        <v>92</v>
      </c>
      <c r="L783" s="111" t="s">
        <v>93</v>
      </c>
      <c r="M783" s="111" t="s">
        <v>94</v>
      </c>
      <c r="P783" s="49">
        <v>2</v>
      </c>
      <c r="Q783" s="50">
        <v>10</v>
      </c>
      <c r="R783" s="52" t="s">
        <v>101</v>
      </c>
      <c r="S783" s="53">
        <v>3</v>
      </c>
      <c r="T783" s="53" t="s">
        <v>96</v>
      </c>
      <c r="U783" s="55" t="s">
        <v>102</v>
      </c>
    </row>
    <row r="784" ht="54" customHeight="1" spans="4:21">
      <c r="D784" s="111" t="s">
        <v>103</v>
      </c>
      <c r="E784" s="114" t="s">
        <v>104</v>
      </c>
      <c r="F784" s="111" t="s">
        <v>105</v>
      </c>
      <c r="J784" s="115" t="s">
        <v>106</v>
      </c>
      <c r="K784" s="111" t="s">
        <v>92</v>
      </c>
      <c r="L784" s="111" t="s">
        <v>93</v>
      </c>
      <c r="M784" s="111" t="s">
        <v>94</v>
      </c>
      <c r="P784" s="49">
        <v>3</v>
      </c>
      <c r="Q784" s="50">
        <v>20</v>
      </c>
      <c r="R784" s="52" t="s">
        <v>107</v>
      </c>
      <c r="S784" s="53">
        <v>3</v>
      </c>
      <c r="T784" s="56" t="s">
        <v>108</v>
      </c>
      <c r="U784" s="55" t="s">
        <v>109</v>
      </c>
    </row>
    <row r="785" ht="54" customHeight="1" spans="4:21">
      <c r="D785" s="111" t="s">
        <v>110</v>
      </c>
      <c r="E785" s="111" t="s">
        <v>111</v>
      </c>
      <c r="F785" s="111" t="s">
        <v>112</v>
      </c>
      <c r="J785" s="113" t="s">
        <v>113</v>
      </c>
      <c r="K785" s="111" t="s">
        <v>92</v>
      </c>
      <c r="L785" s="111" t="s">
        <v>93</v>
      </c>
      <c r="M785" s="111" t="s">
        <v>94</v>
      </c>
      <c r="P785" s="49">
        <v>4</v>
      </c>
      <c r="Q785" s="50">
        <v>30</v>
      </c>
      <c r="R785" s="53" t="s">
        <v>114</v>
      </c>
      <c r="S785" s="53">
        <v>4</v>
      </c>
      <c r="T785" s="57" t="s">
        <v>115</v>
      </c>
      <c r="U785" s="58" t="s">
        <v>116</v>
      </c>
    </row>
    <row r="786" ht="54" customHeight="1" spans="4:21">
      <c r="D786" s="116" t="s">
        <v>117</v>
      </c>
      <c r="E786" s="111" t="s">
        <v>118</v>
      </c>
      <c r="F786" s="111" t="s">
        <v>119</v>
      </c>
      <c r="J786" s="113" t="s">
        <v>120</v>
      </c>
      <c r="K786" s="111" t="s">
        <v>92</v>
      </c>
      <c r="L786" s="111" t="s">
        <v>93</v>
      </c>
      <c r="M786" s="111" t="s">
        <v>94</v>
      </c>
      <c r="P786" s="49">
        <v>5</v>
      </c>
      <c r="Q786" s="50">
        <v>40</v>
      </c>
      <c r="R786" s="59" t="s">
        <v>121</v>
      </c>
      <c r="S786" s="53">
        <v>4</v>
      </c>
      <c r="T786" s="53" t="s">
        <v>96</v>
      </c>
      <c r="U786" s="60" t="s">
        <v>122</v>
      </c>
    </row>
    <row r="787" ht="54" customHeight="1" spans="4:21">
      <c r="D787" s="111" t="s">
        <v>123</v>
      </c>
      <c r="E787" s="111" t="s">
        <v>124</v>
      </c>
      <c r="F787" s="111" t="s">
        <v>125</v>
      </c>
      <c r="J787" s="113" t="s">
        <v>126</v>
      </c>
      <c r="K787" s="111" t="s">
        <v>92</v>
      </c>
      <c r="L787" s="111" t="s">
        <v>93</v>
      </c>
      <c r="M787" s="111" t="s">
        <v>94</v>
      </c>
      <c r="P787" s="49">
        <v>6</v>
      </c>
      <c r="Q787" s="50">
        <v>60</v>
      </c>
      <c r="R787" s="59" t="s">
        <v>127</v>
      </c>
      <c r="S787" s="53">
        <v>4</v>
      </c>
      <c r="T787" s="53" t="s">
        <v>96</v>
      </c>
      <c r="U787" s="60" t="s">
        <v>128</v>
      </c>
    </row>
    <row r="788" ht="54" customHeight="1" spans="4:21">
      <c r="D788" s="111" t="s">
        <v>129</v>
      </c>
      <c r="E788" s="111" t="s">
        <v>130</v>
      </c>
      <c r="F788" s="111" t="s">
        <v>131</v>
      </c>
      <c r="J788" s="113" t="s">
        <v>132</v>
      </c>
      <c r="K788" s="111" t="s">
        <v>92</v>
      </c>
      <c r="L788" s="111" t="s">
        <v>93</v>
      </c>
      <c r="M788" s="111" t="s">
        <v>94</v>
      </c>
      <c r="P788" s="49">
        <v>7</v>
      </c>
      <c r="Q788" s="50">
        <v>80</v>
      </c>
      <c r="R788" s="61" t="s">
        <v>133</v>
      </c>
      <c r="S788" s="62">
        <v>4</v>
      </c>
      <c r="T788" s="56" t="s">
        <v>108</v>
      </c>
      <c r="U788" s="63" t="s">
        <v>134</v>
      </c>
    </row>
    <row r="789" ht="54" customHeight="1" spans="4:21">
      <c r="D789" s="111" t="s">
        <v>135</v>
      </c>
      <c r="E789" s="111" t="s">
        <v>136</v>
      </c>
      <c r="F789" s="111" t="s">
        <v>137</v>
      </c>
      <c r="J789" s="113" t="s">
        <v>138</v>
      </c>
      <c r="K789" s="111" t="s">
        <v>92</v>
      </c>
      <c r="L789" s="111" t="s">
        <v>93</v>
      </c>
      <c r="M789" s="111" t="s">
        <v>94</v>
      </c>
      <c r="P789" s="49">
        <v>8</v>
      </c>
      <c r="Q789" s="50">
        <v>120</v>
      </c>
      <c r="R789" s="61" t="s">
        <v>139</v>
      </c>
      <c r="S789" s="62">
        <v>5</v>
      </c>
      <c r="T789" s="57" t="s">
        <v>115</v>
      </c>
      <c r="U789" s="63" t="s">
        <v>140</v>
      </c>
    </row>
    <row r="790" ht="54" customHeight="1" spans="4:21">
      <c r="D790" s="111" t="s">
        <v>141</v>
      </c>
      <c r="E790" s="111" t="s">
        <v>142</v>
      </c>
      <c r="F790" s="111" t="s">
        <v>143</v>
      </c>
      <c r="J790" s="113" t="s">
        <v>144</v>
      </c>
      <c r="K790" s="111" t="s">
        <v>92</v>
      </c>
      <c r="L790" s="111" t="s">
        <v>93</v>
      </c>
      <c r="M790" s="111" t="s">
        <v>94</v>
      </c>
      <c r="P790" s="49">
        <v>9</v>
      </c>
      <c r="Q790" s="50">
        <v>140</v>
      </c>
      <c r="R790" s="61" t="s">
        <v>145</v>
      </c>
      <c r="S790" s="62">
        <v>5</v>
      </c>
      <c r="T790" s="57" t="s">
        <v>115</v>
      </c>
      <c r="U790" s="63" t="s">
        <v>146</v>
      </c>
    </row>
    <row r="791" ht="54" customHeight="1" spans="4:21">
      <c r="D791" s="111" t="s">
        <v>147</v>
      </c>
      <c r="E791" s="111" t="s">
        <v>148</v>
      </c>
      <c r="F791" s="117" t="s">
        <v>149</v>
      </c>
      <c r="J791" s="113" t="s">
        <v>150</v>
      </c>
      <c r="K791" s="111" t="s">
        <v>92</v>
      </c>
      <c r="L791" s="111" t="s">
        <v>93</v>
      </c>
      <c r="M791" s="111" t="s">
        <v>94</v>
      </c>
      <c r="P791" s="49">
        <v>10</v>
      </c>
      <c r="Q791" s="50">
        <v>160</v>
      </c>
      <c r="R791" s="61" t="s">
        <v>151</v>
      </c>
      <c r="S791" s="62">
        <v>5</v>
      </c>
      <c r="T791" s="62" t="s">
        <v>96</v>
      </c>
      <c r="U791" s="63" t="s">
        <v>152</v>
      </c>
    </row>
    <row r="792" ht="16.5" spans="4:21">
      <c r="P792" s="49">
        <v>11</v>
      </c>
      <c r="Q792" s="50">
        <v>180</v>
      </c>
      <c r="R792" s="61" t="s">
        <v>153</v>
      </c>
      <c r="S792" s="62">
        <v>5</v>
      </c>
      <c r="T792" s="62" t="s">
        <v>96</v>
      </c>
      <c r="U792" s="63" t="s">
        <v>154</v>
      </c>
    </row>
    <row r="793" ht="16.5" spans="4:21">
      <c r="P793" s="49">
        <v>12</v>
      </c>
      <c r="Q793" s="50">
        <v>200</v>
      </c>
      <c r="R793" s="61" t="s">
        <v>155</v>
      </c>
      <c r="S793" s="62">
        <v>5</v>
      </c>
      <c r="T793" s="56" t="s">
        <v>108</v>
      </c>
      <c r="U793" s="63" t="s">
        <v>156</v>
      </c>
    </row>
    <row r="794" ht="16.5" spans="4:21">
      <c r="P794" s="49">
        <v>13</v>
      </c>
      <c r="Q794" s="50">
        <v>220</v>
      </c>
      <c r="R794" s="61" t="s">
        <v>157</v>
      </c>
      <c r="S794" s="62">
        <v>5</v>
      </c>
      <c r="T794" s="56" t="s">
        <v>108</v>
      </c>
      <c r="U794" s="63" t="s">
        <v>158</v>
      </c>
    </row>
    <row r="795" ht="16.5" spans="4:21">
      <c r="P795" s="49">
        <v>14</v>
      </c>
      <c r="Q795" s="50">
        <v>240</v>
      </c>
      <c r="R795" s="61" t="s">
        <v>159</v>
      </c>
      <c r="S795" s="62">
        <v>6</v>
      </c>
      <c r="T795" s="57" t="s">
        <v>115</v>
      </c>
      <c r="U795" s="63" t="s">
        <v>160</v>
      </c>
    </row>
    <row r="796" ht="16.5" spans="4:21">
      <c r="P796" s="49">
        <v>15</v>
      </c>
      <c r="Q796" s="50">
        <f t="shared" ref="Q796:Q798" si="88">Q795+80</f>
        <v>320</v>
      </c>
      <c r="R796" s="61" t="s">
        <v>161</v>
      </c>
      <c r="S796" s="62">
        <v>6</v>
      </c>
      <c r="T796" s="57" t="s">
        <v>115</v>
      </c>
      <c r="U796" s="63" t="s">
        <v>162</v>
      </c>
    </row>
    <row r="797" ht="16.5" spans="4:21">
      <c r="P797" s="49">
        <v>16</v>
      </c>
      <c r="Q797" s="50">
        <f t="shared" si="88"/>
        <v>400</v>
      </c>
      <c r="R797" s="61" t="s">
        <v>163</v>
      </c>
      <c r="S797" s="62">
        <v>6</v>
      </c>
      <c r="T797" s="57" t="s">
        <v>115</v>
      </c>
      <c r="U797" s="63" t="s">
        <v>164</v>
      </c>
    </row>
    <row r="798" ht="16.5" spans="4:21">
      <c r="P798" s="49">
        <v>17</v>
      </c>
      <c r="Q798" s="50">
        <f t="shared" si="88"/>
        <v>480</v>
      </c>
      <c r="R798" s="61" t="s">
        <v>165</v>
      </c>
      <c r="S798" s="62">
        <v>6</v>
      </c>
      <c r="T798" s="57" t="s">
        <v>115</v>
      </c>
      <c r="U798" s="63" t="s">
        <v>166</v>
      </c>
    </row>
    <row r="799" ht="16.5" spans="4:21">
      <c r="P799" s="49">
        <v>18</v>
      </c>
      <c r="Q799" s="50">
        <v>600</v>
      </c>
      <c r="R799" s="61" t="s">
        <v>167</v>
      </c>
      <c r="S799" s="62">
        <v>6</v>
      </c>
      <c r="T799" s="62" t="s">
        <v>96</v>
      </c>
      <c r="U799" s="63" t="s">
        <v>168</v>
      </c>
    </row>
    <row r="800" ht="16.5" spans="4:21">
      <c r="P800" s="49">
        <v>19</v>
      </c>
      <c r="Q800" s="50">
        <f t="shared" ref="Q800:Q802" si="89">Q799+200</f>
        <v>800</v>
      </c>
      <c r="R800" s="52" t="s">
        <v>169</v>
      </c>
      <c r="S800" s="53">
        <v>6</v>
      </c>
      <c r="T800" s="56" t="s">
        <v>108</v>
      </c>
      <c r="U800" s="55" t="s">
        <v>170</v>
      </c>
    </row>
    <row r="801" ht="16.5" spans="16:21">
      <c r="P801" s="49">
        <v>20</v>
      </c>
      <c r="Q801" s="50">
        <f t="shared" si="89"/>
        <v>1000</v>
      </c>
      <c r="R801" s="52" t="s">
        <v>171</v>
      </c>
      <c r="S801" s="53">
        <v>6</v>
      </c>
      <c r="T801" s="53" t="s">
        <v>96</v>
      </c>
      <c r="U801" s="55" t="s">
        <v>172</v>
      </c>
    </row>
    <row r="802" ht="16.5" spans="16:21">
      <c r="P802" s="49">
        <v>21</v>
      </c>
      <c r="Q802" s="50">
        <f t="shared" si="89"/>
        <v>1200</v>
      </c>
      <c r="R802" s="52" t="s">
        <v>173</v>
      </c>
      <c r="S802" s="53">
        <v>6</v>
      </c>
      <c r="T802" s="56" t="s">
        <v>108</v>
      </c>
      <c r="U802" s="55" t="s">
        <v>174</v>
      </c>
    </row>
    <row r="1000" ht="15.75" spans="1:13">
      <c r="A1000" s="27" t="s">
        <v>19</v>
      </c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</row>
  </sheetData>
  <mergeCells count="274"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15:I515"/>
    <mergeCell ref="G516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56:I556"/>
    <mergeCell ref="G557:I557"/>
    <mergeCell ref="G558:I558"/>
    <mergeCell ref="G559:I559"/>
    <mergeCell ref="G560:I560"/>
    <mergeCell ref="G561:I561"/>
    <mergeCell ref="G562:I562"/>
    <mergeCell ref="G563:I563"/>
    <mergeCell ref="G564:I564"/>
    <mergeCell ref="G565:I565"/>
    <mergeCell ref="G566:I566"/>
    <mergeCell ref="G567:I567"/>
    <mergeCell ref="G568:I568"/>
    <mergeCell ref="G569:I569"/>
    <mergeCell ref="G570:I570"/>
    <mergeCell ref="G571:I571"/>
    <mergeCell ref="G572:I572"/>
    <mergeCell ref="G573:I573"/>
    <mergeCell ref="G574:I574"/>
    <mergeCell ref="G575:I575"/>
    <mergeCell ref="G576:I576"/>
    <mergeCell ref="G577:I577"/>
    <mergeCell ref="G578:I578"/>
    <mergeCell ref="G579:I579"/>
    <mergeCell ref="G580:I580"/>
    <mergeCell ref="G581:I581"/>
    <mergeCell ref="G582:I582"/>
    <mergeCell ref="G583:I583"/>
    <mergeCell ref="G584:I584"/>
    <mergeCell ref="G585:I585"/>
    <mergeCell ref="G586:I586"/>
    <mergeCell ref="G587:I587"/>
    <mergeCell ref="G588:I588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G597:I597"/>
    <mergeCell ref="G598:I598"/>
    <mergeCell ref="G599:I599"/>
    <mergeCell ref="G600:I600"/>
    <mergeCell ref="G601:I601"/>
    <mergeCell ref="G602:I602"/>
    <mergeCell ref="G603:I603"/>
    <mergeCell ref="G604:I604"/>
    <mergeCell ref="G605:I605"/>
    <mergeCell ref="G606:I606"/>
    <mergeCell ref="G607:I607"/>
    <mergeCell ref="G608:I608"/>
    <mergeCell ref="G609:I609"/>
    <mergeCell ref="G610:I610"/>
    <mergeCell ref="G611:I611"/>
    <mergeCell ref="G612:I612"/>
    <mergeCell ref="G613:I613"/>
    <mergeCell ref="G614:I614"/>
    <mergeCell ref="G615:I615"/>
    <mergeCell ref="G616:I616"/>
    <mergeCell ref="G617:I617"/>
    <mergeCell ref="G618:I618"/>
    <mergeCell ref="G619:I619"/>
    <mergeCell ref="G620:I620"/>
    <mergeCell ref="G621:I621"/>
    <mergeCell ref="G622:I622"/>
    <mergeCell ref="G623:I623"/>
    <mergeCell ref="G624:I624"/>
    <mergeCell ref="G625:I625"/>
    <mergeCell ref="G626:I626"/>
    <mergeCell ref="G627:I627"/>
    <mergeCell ref="G628:I628"/>
    <mergeCell ref="G629:I629"/>
    <mergeCell ref="G630:I630"/>
    <mergeCell ref="G631:I631"/>
    <mergeCell ref="G632:I632"/>
    <mergeCell ref="G633:I633"/>
    <mergeCell ref="G634:I634"/>
    <mergeCell ref="G635:I635"/>
    <mergeCell ref="G636:I636"/>
    <mergeCell ref="G637:I637"/>
    <mergeCell ref="G638:I638"/>
    <mergeCell ref="G639:I639"/>
    <mergeCell ref="G640:I640"/>
    <mergeCell ref="G641:I641"/>
    <mergeCell ref="G642:I642"/>
    <mergeCell ref="G643:I643"/>
    <mergeCell ref="G644:I644"/>
    <mergeCell ref="G645:I645"/>
    <mergeCell ref="G646:I646"/>
    <mergeCell ref="G647:I647"/>
    <mergeCell ref="G648:I648"/>
    <mergeCell ref="G649:I649"/>
    <mergeCell ref="G650:I650"/>
    <mergeCell ref="G651:I651"/>
    <mergeCell ref="G652:I652"/>
    <mergeCell ref="G653:I653"/>
    <mergeCell ref="G654:I654"/>
    <mergeCell ref="G655:I655"/>
    <mergeCell ref="G656:I656"/>
    <mergeCell ref="G657:I657"/>
    <mergeCell ref="G658:I658"/>
    <mergeCell ref="G659:I659"/>
    <mergeCell ref="G660:I660"/>
    <mergeCell ref="G661:I661"/>
    <mergeCell ref="G662:I662"/>
    <mergeCell ref="G663:I663"/>
    <mergeCell ref="G664:I664"/>
    <mergeCell ref="G665:I665"/>
    <mergeCell ref="G666:I666"/>
    <mergeCell ref="G667:I667"/>
    <mergeCell ref="G668:I668"/>
    <mergeCell ref="G669:I669"/>
    <mergeCell ref="G670:I670"/>
    <mergeCell ref="G671:I671"/>
    <mergeCell ref="G672:I672"/>
    <mergeCell ref="G673:I673"/>
    <mergeCell ref="G674:I674"/>
    <mergeCell ref="G675:I675"/>
    <mergeCell ref="G676:I676"/>
    <mergeCell ref="G677:I677"/>
    <mergeCell ref="G678:I678"/>
    <mergeCell ref="G679:I679"/>
    <mergeCell ref="G680:I680"/>
    <mergeCell ref="G681:I681"/>
    <mergeCell ref="G682:I682"/>
    <mergeCell ref="G683:I683"/>
    <mergeCell ref="G684:I684"/>
    <mergeCell ref="G685:I685"/>
    <mergeCell ref="G686:I686"/>
    <mergeCell ref="G687:I687"/>
    <mergeCell ref="G688:I688"/>
    <mergeCell ref="G689:I689"/>
    <mergeCell ref="G690:I690"/>
    <mergeCell ref="G691:I691"/>
    <mergeCell ref="G692:I692"/>
    <mergeCell ref="G693:I693"/>
    <mergeCell ref="G694:I694"/>
    <mergeCell ref="G695:I695"/>
    <mergeCell ref="G696:I696"/>
    <mergeCell ref="G697:I697"/>
    <mergeCell ref="G698:I698"/>
    <mergeCell ref="G699:I699"/>
    <mergeCell ref="G700:I700"/>
    <mergeCell ref="G701:I701"/>
    <mergeCell ref="G702:I702"/>
    <mergeCell ref="G703:I703"/>
    <mergeCell ref="G704:I704"/>
    <mergeCell ref="G705:I705"/>
    <mergeCell ref="G706:I706"/>
    <mergeCell ref="G707:I707"/>
    <mergeCell ref="G708:I708"/>
    <mergeCell ref="G709:I709"/>
    <mergeCell ref="G710:I710"/>
    <mergeCell ref="G711:I711"/>
    <mergeCell ref="G712:I712"/>
    <mergeCell ref="G713:I713"/>
    <mergeCell ref="G714:I714"/>
    <mergeCell ref="G715:I715"/>
    <mergeCell ref="G716:I716"/>
    <mergeCell ref="G717:I717"/>
    <mergeCell ref="G718:I718"/>
    <mergeCell ref="G719:I719"/>
    <mergeCell ref="G720:I720"/>
    <mergeCell ref="G721:I721"/>
    <mergeCell ref="G722:I722"/>
    <mergeCell ref="G723:I723"/>
    <mergeCell ref="G724:I724"/>
    <mergeCell ref="G725:I725"/>
    <mergeCell ref="G726:I726"/>
    <mergeCell ref="G727:I727"/>
    <mergeCell ref="G728:I728"/>
    <mergeCell ref="G729:I729"/>
    <mergeCell ref="G730:I730"/>
    <mergeCell ref="G731:I731"/>
    <mergeCell ref="G732:I732"/>
    <mergeCell ref="G733:I733"/>
    <mergeCell ref="G734:I734"/>
    <mergeCell ref="G735:I735"/>
    <mergeCell ref="G736:I736"/>
    <mergeCell ref="G737:I737"/>
    <mergeCell ref="G738:I738"/>
    <mergeCell ref="G739:I739"/>
    <mergeCell ref="G740:I740"/>
    <mergeCell ref="G741:I741"/>
    <mergeCell ref="G742:I742"/>
    <mergeCell ref="G743:I743"/>
    <mergeCell ref="G744:I744"/>
    <mergeCell ref="G745:I745"/>
    <mergeCell ref="G746:I746"/>
    <mergeCell ref="G747:I747"/>
    <mergeCell ref="G748:I748"/>
    <mergeCell ref="G749:I749"/>
    <mergeCell ref="G750:I750"/>
    <mergeCell ref="G751:I751"/>
    <mergeCell ref="G752:I752"/>
    <mergeCell ref="G753:I753"/>
    <mergeCell ref="G754:I754"/>
    <mergeCell ref="G755:I755"/>
    <mergeCell ref="G756:I756"/>
    <mergeCell ref="G757:I757"/>
    <mergeCell ref="G758:I758"/>
    <mergeCell ref="G759:I759"/>
    <mergeCell ref="G760:I760"/>
    <mergeCell ref="G761:I761"/>
    <mergeCell ref="G762:I762"/>
    <mergeCell ref="G763:I763"/>
    <mergeCell ref="G764:I764"/>
    <mergeCell ref="G765:I765"/>
    <mergeCell ref="G766:I766"/>
    <mergeCell ref="G767:I767"/>
    <mergeCell ref="G768:I768"/>
    <mergeCell ref="G769:I769"/>
    <mergeCell ref="G770:I770"/>
    <mergeCell ref="G771:I771"/>
    <mergeCell ref="G772:I772"/>
    <mergeCell ref="G773:I773"/>
    <mergeCell ref="G774:I774"/>
    <mergeCell ref="G775:I775"/>
    <mergeCell ref="G776:I77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N846"/>
  <sheetViews>
    <sheetView topLeftCell="A88" workbookViewId="0">
      <selection activeCell="H111" sqref="H110:H111"/>
    </sheetView>
  </sheetViews>
  <sheetFormatPr defaultColWidth="9.14285714285714" defaultRowHeight="16.5"/>
  <cols>
    <col min="2" max="2" width="2.71428571428571" customWidth="1"/>
    <col min="4" max="4" width="9.28571428571429" style="11"/>
    <col min="5" max="5" width="13.4285714285714" style="11" customWidth="1"/>
    <col min="6" max="6" width="19.7142857142857" style="11" customWidth="1"/>
    <col min="7" max="12" width="12.1428571428571" style="11" customWidth="1"/>
    <col min="13" max="13" width="13.7142857142857" style="11" customWidth="1"/>
    <col min="14" max="14" width="12.8571428571429"/>
    <col min="15" max="20" width="11.2857142857143" customWidth="1"/>
    <col min="21" max="29" width="12.8571428571429"/>
    <col min="34" max="42" width="9.57142857142857"/>
    <col min="43" max="44" width="12.5714285714286" customWidth="1"/>
    <col min="45" max="45" width="13.7142857142857" customWidth="1"/>
    <col min="46" max="50" width="9.57142857142857"/>
    <col min="62" max="62" width="10.5714285714286"/>
    <col min="63" max="69" width="9.57142857142857"/>
  </cols>
  <sheetData>
    <row r="1" spans="1:14">
      <c r="A1" s="27" t="s">
        <v>24</v>
      </c>
      <c r="B1" s="27"/>
      <c r="C1" s="27"/>
      <c r="D1" s="28"/>
      <c r="E1" s="28"/>
      <c r="F1" s="28"/>
      <c r="G1" s="28"/>
      <c r="H1" s="28"/>
      <c r="I1" s="28"/>
    </row>
    <row r="2" spans="1:14">
      <c r="A2" s="29"/>
      <c r="B2" s="29"/>
      <c r="C2" s="30"/>
      <c r="D2" s="31"/>
      <c r="E2" s="31"/>
      <c r="F2" s="31"/>
      <c r="G2" s="31"/>
      <c r="H2" s="31"/>
      <c r="I2" s="31"/>
    </row>
    <row r="3" spans="1:14">
      <c r="A3" s="33"/>
      <c r="B3" s="34"/>
      <c r="C3" s="35" t="s">
        <v>175</v>
      </c>
      <c r="D3" s="36"/>
      <c r="E3" s="36"/>
      <c r="I3" s="31"/>
      <c r="N3" s="37"/>
    </row>
    <row r="4" spans="1:14">
      <c r="A4" s="33"/>
      <c r="B4" s="36"/>
      <c r="C4" s="35"/>
      <c r="D4" s="36"/>
      <c r="E4" s="36"/>
      <c r="I4" s="31"/>
      <c r="N4" s="37"/>
    </row>
    <row r="5" spans="1:14">
      <c r="A5" s="33"/>
      <c r="B5" s="36"/>
      <c r="C5" s="35"/>
      <c r="D5" s="36"/>
      <c r="E5" s="36"/>
      <c r="G5" s="31"/>
      <c r="L5" s="37"/>
      <c r="M5"/>
    </row>
    <row r="6" spans="1:14">
      <c r="A6" s="33"/>
      <c r="B6" s="36"/>
      <c r="C6" s="35"/>
      <c r="D6" s="3" t="s">
        <v>176</v>
      </c>
      <c r="E6" s="3" t="s">
        <v>177</v>
      </c>
      <c r="F6" s="3" t="s">
        <v>31</v>
      </c>
      <c r="G6" s="31"/>
      <c r="L6" s="37"/>
      <c r="M6"/>
    </row>
    <row r="7" spans="1:14">
      <c r="A7" s="33"/>
      <c r="B7" s="36"/>
      <c r="C7" s="35"/>
      <c r="D7" s="49" t="s">
        <v>32</v>
      </c>
      <c r="E7" s="50">
        <v>1</v>
      </c>
      <c r="F7" s="50"/>
      <c r="G7" s="31"/>
      <c r="L7" s="37"/>
      <c r="M7"/>
    </row>
    <row r="8" spans="1:14">
      <c r="A8" s="33"/>
      <c r="B8" s="11"/>
      <c r="C8" s="35"/>
      <c r="D8" s="49" t="s">
        <v>178</v>
      </c>
      <c r="E8" s="50">
        <v>150</v>
      </c>
      <c r="F8" s="50"/>
      <c r="G8" s="31"/>
      <c r="L8" s="37"/>
      <c r="M8"/>
    </row>
    <row r="9" spans="1:14">
      <c r="A9" s="33"/>
      <c r="B9" s="11"/>
      <c r="C9" s="42"/>
      <c r="D9" s="49" t="s">
        <v>52</v>
      </c>
      <c r="E9" s="50">
        <v>2000</v>
      </c>
      <c r="F9" s="50">
        <v>3</v>
      </c>
      <c r="G9" s="9">
        <v>4</v>
      </c>
      <c r="L9" s="37"/>
      <c r="M9"/>
    </row>
    <row r="10" spans="1:14">
      <c r="A10" s="33"/>
      <c r="B10" s="11"/>
      <c r="C10" s="42"/>
      <c r="D10" s="49" t="s">
        <v>53</v>
      </c>
      <c r="E10" s="50">
        <f>E9*2</f>
        <v>4000</v>
      </c>
      <c r="F10" s="50">
        <v>4</v>
      </c>
      <c r="G10" s="9">
        <v>5</v>
      </c>
      <c r="L10" s="37"/>
      <c r="M10"/>
    </row>
    <row r="11" spans="1:14">
      <c r="A11" s="33"/>
      <c r="B11" s="11"/>
      <c r="C11" s="42"/>
      <c r="D11" s="49" t="s">
        <v>54</v>
      </c>
      <c r="E11" s="50">
        <f>E10*2</f>
        <v>8000</v>
      </c>
      <c r="F11" s="50">
        <v>6</v>
      </c>
      <c r="G11" s="9">
        <v>6</v>
      </c>
      <c r="L11" s="37"/>
      <c r="M11"/>
    </row>
    <row r="12" spans="1:14">
      <c r="A12" s="33"/>
      <c r="B12" s="11"/>
      <c r="C12" s="42"/>
      <c r="D12" s="49" t="s">
        <v>55</v>
      </c>
      <c r="E12" s="50">
        <f>E11*2</f>
        <v>16000</v>
      </c>
      <c r="F12" s="50">
        <v>8</v>
      </c>
      <c r="G12" s="9">
        <v>4</v>
      </c>
      <c r="L12" s="37"/>
      <c r="M12"/>
    </row>
    <row r="13" spans="1:14">
      <c r="A13" s="33"/>
      <c r="B13" s="11"/>
      <c r="C13" s="42"/>
      <c r="D13" s="49" t="s">
        <v>34</v>
      </c>
      <c r="E13" s="50">
        <f>E9/10</f>
        <v>200</v>
      </c>
      <c r="F13" s="50"/>
      <c r="L13" s="37"/>
      <c r="M13"/>
    </row>
    <row r="14" spans="1:14">
      <c r="A14" s="33"/>
      <c r="B14" s="11"/>
      <c r="C14" s="42"/>
      <c r="D14" s="49" t="s">
        <v>35</v>
      </c>
      <c r="E14" s="50">
        <f>E10/10</f>
        <v>400</v>
      </c>
      <c r="F14" s="50"/>
      <c r="G14" s="31"/>
      <c r="L14" s="37"/>
      <c r="M14"/>
    </row>
    <row r="15" spans="1:14">
      <c r="A15" s="33"/>
      <c r="B15" s="11"/>
      <c r="C15" s="42"/>
      <c r="D15" s="49" t="s">
        <v>36</v>
      </c>
      <c r="E15" s="50">
        <f>E11/10</f>
        <v>800</v>
      </c>
      <c r="F15" s="50"/>
      <c r="G15" s="31"/>
      <c r="L15" s="37"/>
      <c r="M15"/>
    </row>
    <row r="16" spans="1:14">
      <c r="A16" s="33"/>
      <c r="B16" s="11"/>
      <c r="C16" s="42"/>
      <c r="D16" s="49" t="s">
        <v>37</v>
      </c>
      <c r="E16" s="50">
        <f>E12/10</f>
        <v>1600</v>
      </c>
      <c r="F16" s="50"/>
      <c r="G16" s="31"/>
      <c r="L16" s="37"/>
      <c r="M16"/>
    </row>
    <row r="17" spans="1:14">
      <c r="A17" s="33"/>
      <c r="B17" s="11"/>
      <c r="C17" s="42"/>
      <c r="D17" s="36"/>
      <c r="E17" s="51"/>
      <c r="I17" s="31"/>
      <c r="N17" s="37"/>
    </row>
    <row r="19" spans="1:14">
      <c r="D19" s="3" t="s">
        <v>84</v>
      </c>
      <c r="E19" s="3" t="s">
        <v>85</v>
      </c>
      <c r="F19" s="3" t="s">
        <v>61</v>
      </c>
      <c r="G19" s="3" t="s">
        <v>86</v>
      </c>
      <c r="H19" s="3" t="s">
        <v>87</v>
      </c>
      <c r="I19" s="3" t="s">
        <v>179</v>
      </c>
      <c r="J19" s="3" t="s">
        <v>180</v>
      </c>
      <c r="K19" s="3" t="s">
        <v>181</v>
      </c>
      <c r="L19" s="3" t="s">
        <v>182</v>
      </c>
      <c r="M19" s="3" t="s">
        <v>183</v>
      </c>
      <c r="N19" s="3" t="s">
        <v>88</v>
      </c>
    </row>
    <row r="20" spans="1:14">
      <c r="D20" s="49">
        <v>1</v>
      </c>
      <c r="E20" s="50">
        <v>10</v>
      </c>
      <c r="F20" s="52" t="s">
        <v>95</v>
      </c>
      <c r="G20" s="53">
        <v>3</v>
      </c>
      <c r="H20" s="53" t="s">
        <v>96</v>
      </c>
      <c r="I20" s="54">
        <f ca="1">MAX($E20-30,0)/OFFSET($E$71,MATCH(I$19,$I$19:$L$19,0),0)+28</f>
        <v>28</v>
      </c>
      <c r="J20" s="54">
        <f ca="1">MAX($E20-80,0)/OFFSET($E$71,MATCH(J$19,$I$19:$L$19,0),0)+28</f>
        <v>28</v>
      </c>
      <c r="K20" s="54">
        <f ca="1">MAX($E20-30,0)/OFFSET($E$71,MATCH(K$19,$I$19:$L$19,0),0)+28</f>
        <v>28</v>
      </c>
      <c r="L20" s="54">
        <f ca="1">MAX($E20-30,0)/OFFSET($E$71,MATCH(L$19,$I$19:$L$19,0),0)+28</f>
        <v>28</v>
      </c>
      <c r="M20" s="50">
        <f ca="1">_xlfn.XLOOKUP(INT(K20),载具预期!D:D,载具预期!G:G)</f>
        <v>84</v>
      </c>
      <c r="N20" s="55" t="s">
        <v>97</v>
      </c>
    </row>
    <row r="21" spans="1:14">
      <c r="D21" s="49">
        <v>2</v>
      </c>
      <c r="E21" s="50">
        <v>10</v>
      </c>
      <c r="F21" s="52" t="s">
        <v>101</v>
      </c>
      <c r="G21" s="53">
        <v>3</v>
      </c>
      <c r="H21" s="53" t="s">
        <v>96</v>
      </c>
      <c r="I21" s="54">
        <f ca="1" t="shared" ref="I21:I40" si="0">MAX($E21-30,0)/OFFSET($E$71,MATCH(I$19,$I$19:$L$19,0),0)+28</f>
        <v>28</v>
      </c>
      <c r="J21" s="54">
        <f ca="1" t="shared" ref="J21:J40" si="1">MAX($E21-30,0)/OFFSET($E$71,MATCH(J$19,$I$19:$L$19,0),0)+28</f>
        <v>28</v>
      </c>
      <c r="K21" s="54">
        <f ca="1" t="shared" ref="K21:K40" si="2">MAX($E21-30,0)/OFFSET($E$71,MATCH(K$19,$I$19:$L$19,0),0)+28</f>
        <v>28</v>
      </c>
      <c r="L21" s="54">
        <f ca="1" t="shared" ref="L21:L40" si="3">MAX($E21-30,0)/OFFSET($E$71,MATCH(L$19,$I$19:$L$19,0),0)+28</f>
        <v>28</v>
      </c>
      <c r="M21" s="50">
        <f ca="1">_xlfn.XLOOKUP(INT(K21),载具预期!D:D,载具预期!G:G)</f>
        <v>84</v>
      </c>
      <c r="N21" s="55" t="s">
        <v>102</v>
      </c>
    </row>
    <row r="22" spans="1:14">
      <c r="D22" s="49">
        <v>3</v>
      </c>
      <c r="E22" s="50">
        <v>20</v>
      </c>
      <c r="F22" s="52" t="s">
        <v>107</v>
      </c>
      <c r="G22" s="53">
        <v>3</v>
      </c>
      <c r="H22" s="56" t="s">
        <v>108</v>
      </c>
      <c r="I22" s="54">
        <f ca="1" t="shared" si="0"/>
        <v>28</v>
      </c>
      <c r="J22" s="54">
        <f ca="1" t="shared" si="1"/>
        <v>28</v>
      </c>
      <c r="K22" s="54">
        <f ca="1" t="shared" si="2"/>
        <v>28</v>
      </c>
      <c r="L22" s="54">
        <f ca="1" t="shared" si="3"/>
        <v>28</v>
      </c>
      <c r="M22" s="50">
        <f ca="1">_xlfn.XLOOKUP(INT(K22),载具预期!D:D,载具预期!G:G)</f>
        <v>84</v>
      </c>
      <c r="N22" s="55" t="s">
        <v>109</v>
      </c>
    </row>
    <row r="23" spans="1:14">
      <c r="C23">
        <v>1</v>
      </c>
      <c r="D23" s="49">
        <v>4</v>
      </c>
      <c r="E23" s="50">
        <v>30</v>
      </c>
      <c r="F23" s="53" t="s">
        <v>114</v>
      </c>
      <c r="G23" s="53">
        <v>4</v>
      </c>
      <c r="H23" s="57" t="s">
        <v>115</v>
      </c>
      <c r="I23" s="54">
        <f ca="1" t="shared" si="0"/>
        <v>28</v>
      </c>
      <c r="J23" s="54">
        <f ca="1" t="shared" si="1"/>
        <v>28</v>
      </c>
      <c r="K23" s="54">
        <f ca="1" t="shared" si="2"/>
        <v>28</v>
      </c>
      <c r="L23" s="54">
        <f ca="1" t="shared" si="3"/>
        <v>28</v>
      </c>
      <c r="M23" s="50">
        <f ca="1">_xlfn.XLOOKUP(INT(K23),载具预期!D:D,载具预期!G:G)</f>
        <v>84</v>
      </c>
      <c r="N23" s="58" t="s">
        <v>116</v>
      </c>
    </row>
    <row r="24" spans="1:14">
      <c r="D24" s="49">
        <v>5</v>
      </c>
      <c r="E24" s="50">
        <v>40</v>
      </c>
      <c r="F24" s="59" t="s">
        <v>121</v>
      </c>
      <c r="G24" s="53">
        <v>4</v>
      </c>
      <c r="H24" s="53" t="s">
        <v>96</v>
      </c>
      <c r="I24" s="54">
        <f ca="1" t="shared" si="0"/>
        <v>30</v>
      </c>
      <c r="J24" s="54">
        <f ca="1" t="shared" si="1"/>
        <v>29.3461538461538</v>
      </c>
      <c r="K24" s="54">
        <f ca="1" t="shared" si="2"/>
        <v>28.8502024291498</v>
      </c>
      <c r="L24" s="54">
        <f ca="1" t="shared" si="3"/>
        <v>28.2699228791774</v>
      </c>
      <c r="M24" s="50">
        <f ca="1">_xlfn.XLOOKUP(INT(K24),载具预期!D:D,载具预期!G:G)</f>
        <v>84</v>
      </c>
      <c r="N24" s="60" t="s">
        <v>122</v>
      </c>
    </row>
    <row r="25" spans="1:14">
      <c r="D25" s="49">
        <v>6</v>
      </c>
      <c r="E25" s="50">
        <v>60</v>
      </c>
      <c r="F25" s="59" t="s">
        <v>127</v>
      </c>
      <c r="G25" s="53">
        <v>4</v>
      </c>
      <c r="H25" s="53" t="s">
        <v>96</v>
      </c>
      <c r="I25" s="54">
        <f ca="1" t="shared" si="0"/>
        <v>34</v>
      </c>
      <c r="J25" s="54">
        <f ca="1" t="shared" si="1"/>
        <v>32.0384615384615</v>
      </c>
      <c r="K25" s="54">
        <f ca="1" t="shared" si="2"/>
        <v>30.5506072874494</v>
      </c>
      <c r="L25" s="54">
        <f ca="1" t="shared" si="3"/>
        <v>28.8097686375321</v>
      </c>
      <c r="M25" s="50">
        <f ca="1">_xlfn.XLOOKUP(INT(K25),载具预期!D:D,载具预期!G:G)</f>
        <v>86</v>
      </c>
      <c r="N25" s="60" t="s">
        <v>128</v>
      </c>
    </row>
    <row r="26" spans="1:14">
      <c r="D26" s="49">
        <v>7</v>
      </c>
      <c r="E26" s="50">
        <v>80</v>
      </c>
      <c r="F26" s="61" t="s">
        <v>133</v>
      </c>
      <c r="G26" s="62">
        <v>4</v>
      </c>
      <c r="H26" s="56" t="s">
        <v>108</v>
      </c>
      <c r="I26" s="54">
        <f ca="1" t="shared" si="0"/>
        <v>38</v>
      </c>
      <c r="J26" s="54">
        <f ca="1" t="shared" si="1"/>
        <v>34.7307692307692</v>
      </c>
      <c r="K26" s="54">
        <f ca="1" t="shared" si="2"/>
        <v>32.251012145749</v>
      </c>
      <c r="L26" s="54">
        <f ca="1" t="shared" si="3"/>
        <v>29.3496143958869</v>
      </c>
      <c r="M26" s="50">
        <f ca="1">_xlfn.XLOOKUP(INT(K26),载具预期!D:D,载具预期!G:G)</f>
        <v>88</v>
      </c>
      <c r="N26" s="63" t="s">
        <v>134</v>
      </c>
    </row>
    <row r="27" spans="1:14">
      <c r="D27" s="49">
        <v>8</v>
      </c>
      <c r="E27" s="50">
        <v>120</v>
      </c>
      <c r="F27" s="61" t="s">
        <v>139</v>
      </c>
      <c r="G27" s="62">
        <v>5</v>
      </c>
      <c r="H27" s="57" t="s">
        <v>115</v>
      </c>
      <c r="I27" s="54">
        <f ca="1" t="shared" si="0"/>
        <v>46</v>
      </c>
      <c r="J27" s="54">
        <f ca="1" t="shared" si="1"/>
        <v>40.1153846153846</v>
      </c>
      <c r="K27" s="54">
        <f ca="1" t="shared" si="2"/>
        <v>35.6518218623482</v>
      </c>
      <c r="L27" s="54">
        <f ca="1" t="shared" si="3"/>
        <v>30.4293059125964</v>
      </c>
      <c r="M27" s="50">
        <f ca="1">_xlfn.XLOOKUP(INT(K27),载具预期!D:D,载具预期!G:G)</f>
        <v>91</v>
      </c>
      <c r="N27" s="63" t="s">
        <v>140</v>
      </c>
    </row>
    <row r="28" spans="1:14">
      <c r="D28" s="49">
        <v>9</v>
      </c>
      <c r="E28" s="50">
        <v>140</v>
      </c>
      <c r="F28" s="61" t="s">
        <v>145</v>
      </c>
      <c r="G28" s="62">
        <v>5</v>
      </c>
      <c r="H28" s="57" t="s">
        <v>115</v>
      </c>
      <c r="I28" s="54">
        <f ca="1" t="shared" si="0"/>
        <v>50</v>
      </c>
      <c r="J28" s="54">
        <f ca="1" t="shared" si="1"/>
        <v>42.8076923076923</v>
      </c>
      <c r="K28" s="54">
        <f ca="1" t="shared" si="2"/>
        <v>37.3522267206477</v>
      </c>
      <c r="L28" s="54">
        <f ca="1" t="shared" si="3"/>
        <v>30.9691516709512</v>
      </c>
      <c r="M28" s="50">
        <f ca="1">_xlfn.XLOOKUP(INT(K28),载具预期!D:D,载具预期!G:G)</f>
        <v>93</v>
      </c>
      <c r="N28" s="63" t="s">
        <v>146</v>
      </c>
    </row>
    <row r="29" spans="1:14">
      <c r="D29" s="49">
        <v>10</v>
      </c>
      <c r="E29" s="50">
        <v>160</v>
      </c>
      <c r="F29" s="61" t="s">
        <v>151</v>
      </c>
      <c r="G29" s="62">
        <v>5</v>
      </c>
      <c r="H29" s="62" t="s">
        <v>96</v>
      </c>
      <c r="I29" s="54">
        <f ca="1" t="shared" si="0"/>
        <v>54</v>
      </c>
      <c r="J29" s="54">
        <f ca="1" t="shared" si="1"/>
        <v>45.5</v>
      </c>
      <c r="K29" s="54">
        <f ca="1" t="shared" si="2"/>
        <v>39.0526315789473</v>
      </c>
      <c r="L29" s="54">
        <f ca="1" t="shared" si="3"/>
        <v>31.5089974293059</v>
      </c>
      <c r="M29" s="50">
        <f ca="1">_xlfn.XLOOKUP(INT(K29),载具预期!D:D,载具预期!G:G)</f>
        <v>95</v>
      </c>
      <c r="N29" s="63" t="s">
        <v>152</v>
      </c>
    </row>
    <row r="30" spans="1:14">
      <c r="D30" s="49">
        <v>11</v>
      </c>
      <c r="E30" s="50">
        <v>180</v>
      </c>
      <c r="F30" s="61" t="s">
        <v>153</v>
      </c>
      <c r="G30" s="62">
        <v>5</v>
      </c>
      <c r="H30" s="62" t="s">
        <v>96</v>
      </c>
      <c r="I30" s="54">
        <f ca="1" t="shared" si="0"/>
        <v>58</v>
      </c>
      <c r="J30" s="54">
        <f ca="1" t="shared" si="1"/>
        <v>48.1923076923077</v>
      </c>
      <c r="K30" s="54">
        <f ca="1" t="shared" si="2"/>
        <v>40.7530364372469</v>
      </c>
      <c r="L30" s="54">
        <f ca="1" t="shared" si="3"/>
        <v>32.0488431876607</v>
      </c>
      <c r="M30" s="50">
        <f ca="1">_xlfn.XLOOKUP(INT(K30),载具预期!D:D,载具预期!G:G)</f>
        <v>96</v>
      </c>
      <c r="N30" s="63" t="s">
        <v>154</v>
      </c>
    </row>
    <row r="31" spans="1:14">
      <c r="D31" s="49">
        <v>12</v>
      </c>
      <c r="E31" s="50">
        <v>200</v>
      </c>
      <c r="F31" s="61" t="s">
        <v>155</v>
      </c>
      <c r="G31" s="62">
        <v>5</v>
      </c>
      <c r="H31" s="56" t="s">
        <v>108</v>
      </c>
      <c r="I31" s="54">
        <f ca="1" t="shared" si="0"/>
        <v>62</v>
      </c>
      <c r="J31" s="54">
        <f ca="1" t="shared" si="1"/>
        <v>50.8846153846154</v>
      </c>
      <c r="K31" s="54">
        <f ca="1" t="shared" si="2"/>
        <v>42.4534412955465</v>
      </c>
      <c r="L31" s="54">
        <f ca="1" t="shared" si="3"/>
        <v>32.5886889460154</v>
      </c>
      <c r="M31" s="50">
        <f ca="1">_xlfn.XLOOKUP(INT(K31),载具预期!D:D,载具预期!G:G)</f>
        <v>98</v>
      </c>
      <c r="N31" s="63" t="s">
        <v>156</v>
      </c>
    </row>
    <row r="32" spans="1:14">
      <c r="D32" s="49">
        <v>13</v>
      </c>
      <c r="E32" s="50">
        <v>220</v>
      </c>
      <c r="F32" s="61" t="s">
        <v>157</v>
      </c>
      <c r="G32" s="62">
        <v>5</v>
      </c>
      <c r="H32" s="56" t="s">
        <v>108</v>
      </c>
      <c r="I32" s="54">
        <f ca="1" t="shared" si="0"/>
        <v>66</v>
      </c>
      <c r="J32" s="54">
        <f ca="1" t="shared" si="1"/>
        <v>53.5769230769231</v>
      </c>
      <c r="K32" s="54">
        <f ca="1" t="shared" si="2"/>
        <v>44.1538461538461</v>
      </c>
      <c r="L32" s="54">
        <f ca="1" t="shared" si="3"/>
        <v>33.1285347043702</v>
      </c>
      <c r="M32" s="50">
        <f ca="1">_xlfn.XLOOKUP(INT(K32),载具预期!D:D,载具预期!G:G)</f>
        <v>100</v>
      </c>
      <c r="N32" s="63" t="s">
        <v>158</v>
      </c>
    </row>
    <row r="33" spans="1:14">
      <c r="D33" s="49">
        <v>14</v>
      </c>
      <c r="E33" s="50">
        <v>240</v>
      </c>
      <c r="F33" s="61" t="s">
        <v>159</v>
      </c>
      <c r="G33" s="62">
        <v>6</v>
      </c>
      <c r="H33" s="57" t="s">
        <v>115</v>
      </c>
      <c r="I33" s="54">
        <f ca="1" t="shared" si="0"/>
        <v>70</v>
      </c>
      <c r="J33" s="54">
        <f ca="1" t="shared" si="1"/>
        <v>56.2692307692308</v>
      </c>
      <c r="K33" s="54">
        <f ca="1" t="shared" si="2"/>
        <v>45.8542510121457</v>
      </c>
      <c r="L33" s="54">
        <f ca="1" t="shared" si="3"/>
        <v>33.6683804627249</v>
      </c>
      <c r="M33" s="50">
        <f ca="1">_xlfn.XLOOKUP(INT(K33),载具预期!D:D,载具预期!G:G)</f>
        <v>101</v>
      </c>
      <c r="N33" s="63" t="s">
        <v>160</v>
      </c>
    </row>
    <row r="34" spans="1:14">
      <c r="D34" s="49">
        <v>15</v>
      </c>
      <c r="E34" s="50">
        <v>360</v>
      </c>
      <c r="F34" s="61" t="s">
        <v>161</v>
      </c>
      <c r="G34" s="62">
        <v>6</v>
      </c>
      <c r="H34" s="57" t="s">
        <v>115</v>
      </c>
      <c r="I34" s="54">
        <f ca="1" t="shared" si="0"/>
        <v>94</v>
      </c>
      <c r="J34" s="54">
        <f ca="1" t="shared" si="1"/>
        <v>72.4230769230769</v>
      </c>
      <c r="K34" s="54">
        <f ca="1" t="shared" si="2"/>
        <v>56.0566801619432</v>
      </c>
      <c r="L34" s="54">
        <f ca="1" t="shared" si="3"/>
        <v>36.9074550128535</v>
      </c>
      <c r="M34" s="50">
        <f ca="1">_xlfn.XLOOKUP(INT(K34),载具预期!D:D,载具预期!G:G)</f>
        <v>112</v>
      </c>
      <c r="N34" s="63" t="s">
        <v>162</v>
      </c>
    </row>
    <row r="35" spans="1:14">
      <c r="D35" s="49">
        <v>16</v>
      </c>
      <c r="E35" s="50">
        <v>480</v>
      </c>
      <c r="F35" s="61" t="s">
        <v>163</v>
      </c>
      <c r="G35" s="62">
        <v>6</v>
      </c>
      <c r="H35" s="57" t="s">
        <v>115</v>
      </c>
      <c r="I35" s="54">
        <f ca="1" t="shared" si="0"/>
        <v>118</v>
      </c>
      <c r="J35" s="54">
        <f ca="1" t="shared" si="1"/>
        <v>88.5769230769231</v>
      </c>
      <c r="K35" s="54">
        <f ca="1" t="shared" si="2"/>
        <v>66.2591093117408</v>
      </c>
      <c r="L35" s="54">
        <f ca="1" t="shared" si="3"/>
        <v>40.146529562982</v>
      </c>
      <c r="M35" s="50">
        <f ca="1">_xlfn.XLOOKUP(INT(K35),载具预期!D:D,载具预期!G:G)</f>
        <v>121</v>
      </c>
      <c r="N35" s="63" t="s">
        <v>164</v>
      </c>
    </row>
    <row r="36" spans="1:14">
      <c r="D36" s="49">
        <v>17</v>
      </c>
      <c r="E36" s="50">
        <f>E35+80</f>
        <v>560</v>
      </c>
      <c r="F36" s="61" t="s">
        <v>165</v>
      </c>
      <c r="G36" s="62">
        <v>6</v>
      </c>
      <c r="H36" s="57" t="s">
        <v>115</v>
      </c>
      <c r="I36" s="54">
        <f ca="1" t="shared" si="0"/>
        <v>134</v>
      </c>
      <c r="J36" s="54">
        <f ca="1" t="shared" si="1"/>
        <v>99.3461538461538</v>
      </c>
      <c r="K36" s="54">
        <f ca="1" t="shared" si="2"/>
        <v>73.0607287449391</v>
      </c>
      <c r="L36" s="54">
        <f ca="1" t="shared" si="3"/>
        <v>42.305912596401</v>
      </c>
      <c r="M36" s="50">
        <f ca="1">_xlfn.XLOOKUP(INT(K36),载具预期!D:D,载具预期!G:G)</f>
        <v>124</v>
      </c>
      <c r="N36" s="63" t="s">
        <v>166</v>
      </c>
    </row>
    <row r="37" spans="1:14">
      <c r="D37" s="49">
        <v>18</v>
      </c>
      <c r="E37" s="50">
        <v>600</v>
      </c>
      <c r="F37" s="61" t="s">
        <v>167</v>
      </c>
      <c r="G37" s="62">
        <v>6</v>
      </c>
      <c r="H37" s="62" t="s">
        <v>96</v>
      </c>
      <c r="I37" s="54">
        <f ca="1" t="shared" si="0"/>
        <v>142</v>
      </c>
      <c r="J37" s="54">
        <f ca="1" t="shared" si="1"/>
        <v>104.730769230769</v>
      </c>
      <c r="K37" s="54">
        <f ca="1" t="shared" si="2"/>
        <v>76.4615384615383</v>
      </c>
      <c r="L37" s="54">
        <f ca="1" t="shared" si="3"/>
        <v>43.3856041131105</v>
      </c>
      <c r="M37" s="50">
        <f ca="1">_xlfn.XLOOKUP(INT(K37),载具预期!D:D,载具预期!G:G)</f>
        <v>126</v>
      </c>
      <c r="N37" s="63" t="s">
        <v>168</v>
      </c>
    </row>
    <row r="38" spans="1:14">
      <c r="D38" s="49">
        <v>19</v>
      </c>
      <c r="E38" s="50">
        <v>800</v>
      </c>
      <c r="F38" s="52" t="s">
        <v>169</v>
      </c>
      <c r="G38" s="53">
        <v>6</v>
      </c>
      <c r="H38" s="56" t="s">
        <v>108</v>
      </c>
      <c r="I38" s="54">
        <f ca="1" t="shared" si="0"/>
        <v>182</v>
      </c>
      <c r="J38" s="54">
        <f ca="1" t="shared" si="1"/>
        <v>131.653846153846</v>
      </c>
      <c r="K38" s="54">
        <f ca="1" t="shared" si="2"/>
        <v>93.4655870445342</v>
      </c>
      <c r="L38" s="54">
        <f ca="1" t="shared" si="3"/>
        <v>48.7840616966581</v>
      </c>
      <c r="M38" s="50">
        <f ca="1">_xlfn.XLOOKUP(INT(K38),载具预期!D:D,载具预期!G:G)</f>
        <v>134</v>
      </c>
      <c r="N38" s="55" t="s">
        <v>170</v>
      </c>
    </row>
    <row r="39" spans="1:14">
      <c r="D39" s="49">
        <v>20</v>
      </c>
      <c r="E39" s="50">
        <v>1000</v>
      </c>
      <c r="F39" s="52" t="s">
        <v>171</v>
      </c>
      <c r="G39" s="53">
        <v>6</v>
      </c>
      <c r="H39" s="53" t="s">
        <v>96</v>
      </c>
      <c r="I39" s="54">
        <f ca="1" t="shared" si="0"/>
        <v>222</v>
      </c>
      <c r="J39" s="54">
        <f ca="1" t="shared" si="1"/>
        <v>158.576923076923</v>
      </c>
      <c r="K39" s="54">
        <f ca="1" t="shared" si="2"/>
        <v>110.46963562753</v>
      </c>
      <c r="L39" s="54">
        <f ca="1" t="shared" si="3"/>
        <v>54.1825192802056</v>
      </c>
      <c r="M39" s="50">
        <f ca="1">_xlfn.XLOOKUP(INT(K39),载具预期!D:D,载具预期!G:G)</f>
        <v>143</v>
      </c>
      <c r="N39" s="55" t="s">
        <v>172</v>
      </c>
    </row>
    <row r="40" spans="1:14">
      <c r="D40" s="49">
        <v>21</v>
      </c>
      <c r="E40" s="50">
        <v>1200</v>
      </c>
      <c r="F40" s="52" t="s">
        <v>173</v>
      </c>
      <c r="G40" s="53">
        <v>6</v>
      </c>
      <c r="H40" s="56" t="s">
        <v>108</v>
      </c>
      <c r="I40" s="54">
        <f ca="1" t="shared" si="0"/>
        <v>262</v>
      </c>
      <c r="J40" s="54">
        <f ca="1" t="shared" si="1"/>
        <v>185.5</v>
      </c>
      <c r="K40" s="54">
        <f ca="1" t="shared" si="2"/>
        <v>127.473684210526</v>
      </c>
      <c r="L40" s="54">
        <f ca="1" t="shared" si="3"/>
        <v>59.5809768637532</v>
      </c>
      <c r="M40" s="50">
        <f ca="1">_xlfn.XLOOKUP(INT(K40),载具预期!D:D,载具预期!G:G)</f>
        <v>151</v>
      </c>
      <c r="N40" s="55" t="s">
        <v>174</v>
      </c>
    </row>
    <row r="41" spans="1:14">
      <c r="M41" s="50"/>
    </row>
    <row r="42" spans="1:14">
      <c r="D42" s="11" t="s">
        <v>184</v>
      </c>
    </row>
    <row r="43" spans="1:14">
      <c r="C43">
        <f>144-60</f>
        <v>84</v>
      </c>
      <c r="E43" s="36">
        <f>SUM(E45:E55)</f>
        <v>1</v>
      </c>
      <c r="F43" s="36">
        <f t="shared" ref="F43:L43" si="4">SUM(F45:F55)</f>
        <v>1</v>
      </c>
      <c r="G43" s="36">
        <f t="shared" si="4"/>
        <v>1</v>
      </c>
      <c r="H43" s="36">
        <f t="shared" si="4"/>
        <v>1</v>
      </c>
      <c r="I43" s="36">
        <f t="shared" si="4"/>
        <v>1</v>
      </c>
      <c r="J43" s="36">
        <f t="shared" si="4"/>
        <v>1</v>
      </c>
      <c r="K43" s="36">
        <f t="shared" si="4"/>
        <v>1</v>
      </c>
      <c r="L43" s="36">
        <f t="shared" si="4"/>
        <v>1</v>
      </c>
    </row>
    <row r="44" spans="1:14">
      <c r="C44">
        <f>C43/4</f>
        <v>21</v>
      </c>
      <c r="D44" s="2" t="s">
        <v>185</v>
      </c>
      <c r="E44" s="64">
        <v>1</v>
      </c>
      <c r="F44" s="64">
        <v>2</v>
      </c>
      <c r="G44" s="64">
        <v>3</v>
      </c>
      <c r="H44" s="64">
        <v>4</v>
      </c>
      <c r="I44" s="64">
        <v>5</v>
      </c>
      <c r="J44" s="64">
        <v>6</v>
      </c>
      <c r="K44" s="64">
        <v>7</v>
      </c>
      <c r="L44" s="64">
        <v>8</v>
      </c>
      <c r="M44" s="2" t="s">
        <v>177</v>
      </c>
      <c r="N44" s="2" t="s">
        <v>31</v>
      </c>
    </row>
    <row r="45" spans="1:14">
      <c r="D45" s="65" t="s">
        <v>52</v>
      </c>
      <c r="E45" s="66">
        <v>0.15</v>
      </c>
      <c r="F45" s="66">
        <v>0.15</v>
      </c>
      <c r="G45" s="66">
        <v>0.15</v>
      </c>
      <c r="H45" s="66">
        <v>0.15</v>
      </c>
      <c r="I45" s="66">
        <v>0.15</v>
      </c>
      <c r="J45" s="66">
        <v>0.15</v>
      </c>
      <c r="K45" s="66">
        <v>0.15</v>
      </c>
      <c r="L45" s="66">
        <v>0.15</v>
      </c>
      <c r="M45" s="61">
        <f>_xlfn.XLOOKUP(D45,$D$6:$D$16,$E$6:$E$16)*N45</f>
        <v>2000</v>
      </c>
      <c r="N45" s="61">
        <v>1</v>
      </c>
    </row>
    <row r="46" spans="1:14">
      <c r="D46" s="65" t="s">
        <v>53</v>
      </c>
      <c r="E46" s="66">
        <v>0.023</v>
      </c>
      <c r="F46" s="66">
        <f>F47*2</f>
        <v>0.024</v>
      </c>
      <c r="G46" s="66">
        <f t="shared" ref="G46:L46" si="5">G47*2</f>
        <v>0.028</v>
      </c>
      <c r="H46" s="66">
        <f t="shared" si="5"/>
        <v>0.032</v>
      </c>
      <c r="I46" s="66">
        <f t="shared" si="5"/>
        <v>0.036</v>
      </c>
      <c r="J46" s="66">
        <f t="shared" si="5"/>
        <v>0.04</v>
      </c>
      <c r="K46" s="66">
        <f t="shared" si="5"/>
        <v>0.044</v>
      </c>
      <c r="L46" s="66">
        <f t="shared" si="5"/>
        <v>0.048</v>
      </c>
      <c r="M46" s="61">
        <f t="shared" ref="M46:M55" si="6">_xlfn.XLOOKUP(D46,$D$6:$D$16,$E$6:$E$16)*N46</f>
        <v>4000</v>
      </c>
      <c r="N46" s="61">
        <v>1</v>
      </c>
    </row>
    <row r="47" spans="1:14">
      <c r="D47" s="65" t="s">
        <v>54</v>
      </c>
      <c r="E47" s="66"/>
      <c r="F47" s="66">
        <v>0.012</v>
      </c>
      <c r="G47" s="66">
        <v>0.014</v>
      </c>
      <c r="H47" s="66">
        <v>0.016</v>
      </c>
      <c r="I47" s="66">
        <v>0.018</v>
      </c>
      <c r="J47" s="66">
        <v>0.02</v>
      </c>
      <c r="K47" s="66">
        <v>0.022</v>
      </c>
      <c r="L47" s="66">
        <v>0.024</v>
      </c>
      <c r="M47" s="61">
        <f t="shared" si="6"/>
        <v>8000</v>
      </c>
      <c r="N47" s="61">
        <v>1</v>
      </c>
    </row>
    <row r="48" spans="1:14">
      <c r="A48" s="67"/>
      <c r="D48" s="65" t="s">
        <v>55</v>
      </c>
      <c r="E48" s="66"/>
      <c r="F48" s="66"/>
      <c r="G48" s="66"/>
      <c r="H48" s="66">
        <v>0.004</v>
      </c>
      <c r="I48" s="66">
        <f>H48+0.0005</f>
        <v>0.0045</v>
      </c>
      <c r="J48" s="66">
        <f>I48+0.0005</f>
        <v>0.005</v>
      </c>
      <c r="K48" s="66">
        <f>J48+0.0005</f>
        <v>0.0055</v>
      </c>
      <c r="L48" s="66">
        <f>K48+0.0005</f>
        <v>0.006</v>
      </c>
      <c r="M48" s="61">
        <f t="shared" si="6"/>
        <v>16000</v>
      </c>
      <c r="N48" s="61">
        <v>1</v>
      </c>
    </row>
    <row r="49" spans="1:25">
      <c r="A49" s="67"/>
      <c r="D49" s="65" t="s">
        <v>34</v>
      </c>
      <c r="E49" s="66">
        <v>0.5</v>
      </c>
      <c r="F49" s="66">
        <f>1-SUM(F50:F55)-SUM(F45:F48)</f>
        <v>0.371</v>
      </c>
      <c r="G49" s="66">
        <f t="shared" ref="G49:L49" si="7">1-SUM(G50:G55)-SUM(G45:G48)</f>
        <v>0.36</v>
      </c>
      <c r="H49" s="66">
        <f t="shared" si="7"/>
        <v>0.264</v>
      </c>
      <c r="I49" s="66">
        <f t="shared" si="7"/>
        <v>0.244</v>
      </c>
      <c r="J49" s="66">
        <f t="shared" si="7"/>
        <v>0.224</v>
      </c>
      <c r="K49" s="66">
        <f t="shared" si="7"/>
        <v>0.204</v>
      </c>
      <c r="L49" s="66">
        <f t="shared" si="7"/>
        <v>0.184</v>
      </c>
      <c r="M49" s="61">
        <f t="shared" si="6"/>
        <v>600</v>
      </c>
      <c r="N49" s="61">
        <v>3</v>
      </c>
    </row>
    <row r="50" spans="1:25">
      <c r="D50" s="65" t="s">
        <v>35</v>
      </c>
      <c r="E50" s="66">
        <v>0.25</v>
      </c>
      <c r="F50" s="66">
        <f>E50</f>
        <v>0.25</v>
      </c>
      <c r="G50" s="66">
        <v>0.25</v>
      </c>
      <c r="H50" s="66">
        <v>0.25</v>
      </c>
      <c r="I50" s="66">
        <v>0.25</v>
      </c>
      <c r="J50" s="66">
        <v>0.25</v>
      </c>
      <c r="K50" s="66">
        <v>0.25</v>
      </c>
      <c r="L50" s="66">
        <v>0.25</v>
      </c>
      <c r="M50" s="61">
        <f t="shared" si="6"/>
        <v>800</v>
      </c>
      <c r="N50" s="61">
        <v>2</v>
      </c>
    </row>
    <row r="51" spans="1:25">
      <c r="D51" s="65" t="s">
        <v>36</v>
      </c>
      <c r="E51" s="66"/>
      <c r="F51" s="66">
        <v>0.124</v>
      </c>
      <c r="G51" s="68">
        <f t="shared" ref="G51:L51" si="8">F51+0.6%</f>
        <v>0.13</v>
      </c>
      <c r="H51" s="68">
        <f t="shared" si="8"/>
        <v>0.136</v>
      </c>
      <c r="I51" s="68">
        <f t="shared" si="8"/>
        <v>0.142</v>
      </c>
      <c r="J51" s="68">
        <f t="shared" si="8"/>
        <v>0.148</v>
      </c>
      <c r="K51" s="68">
        <f t="shared" si="8"/>
        <v>0.154</v>
      </c>
      <c r="L51" s="69">
        <f t="shared" si="8"/>
        <v>0.16</v>
      </c>
      <c r="M51" s="61">
        <f t="shared" si="6"/>
        <v>1600</v>
      </c>
      <c r="N51" s="61">
        <v>2</v>
      </c>
    </row>
    <row r="52" spans="1:25">
      <c r="D52" s="65" t="s">
        <v>37</v>
      </c>
      <c r="E52" s="66"/>
      <c r="F52" s="66"/>
      <c r="G52" s="66"/>
      <c r="H52" s="66">
        <v>0.096</v>
      </c>
      <c r="I52" s="66">
        <f>H52+0.006</f>
        <v>0.102</v>
      </c>
      <c r="J52" s="66">
        <f>I52+0.006</f>
        <v>0.108</v>
      </c>
      <c r="K52" s="66">
        <f>J52+0.006</f>
        <v>0.114</v>
      </c>
      <c r="L52" s="66">
        <f>K52+0.006</f>
        <v>0.12</v>
      </c>
      <c r="M52" s="61">
        <f t="shared" si="6"/>
        <v>1600</v>
      </c>
      <c r="N52" s="61">
        <v>1</v>
      </c>
    </row>
    <row r="53" spans="1:25">
      <c r="D53" s="65" t="s">
        <v>32</v>
      </c>
      <c r="E53" s="66">
        <v>0.042</v>
      </c>
      <c r="F53" s="66">
        <v>0.031</v>
      </c>
      <c r="G53" s="66">
        <v>0.025</v>
      </c>
      <c r="H53" s="66"/>
      <c r="I53" s="66"/>
      <c r="J53" s="66"/>
      <c r="K53" s="66"/>
      <c r="L53" s="66"/>
      <c r="M53" s="61">
        <f t="shared" si="6"/>
        <v>50</v>
      </c>
      <c r="N53" s="61">
        <v>50</v>
      </c>
    </row>
    <row r="54" spans="1:25">
      <c r="D54" s="65" t="s">
        <v>32</v>
      </c>
      <c r="E54" s="66">
        <v>0.03</v>
      </c>
      <c r="F54" s="66">
        <v>0.033</v>
      </c>
      <c r="G54" s="66">
        <v>0.038</v>
      </c>
      <c r="H54" s="66">
        <v>0.047</v>
      </c>
      <c r="I54" s="66">
        <v>0.0485</v>
      </c>
      <c r="J54" s="66">
        <v>0.05</v>
      </c>
      <c r="K54" s="66">
        <v>0.0515</v>
      </c>
      <c r="L54" s="66">
        <v>0.053</v>
      </c>
      <c r="M54" s="61">
        <f t="shared" si="6"/>
        <v>100</v>
      </c>
      <c r="N54" s="61">
        <v>100</v>
      </c>
    </row>
    <row r="55" spans="1:25">
      <c r="D55" s="65" t="s">
        <v>32</v>
      </c>
      <c r="E55" s="66">
        <v>0.005</v>
      </c>
      <c r="F55" s="66">
        <v>0.005</v>
      </c>
      <c r="G55" s="66">
        <v>0.005</v>
      </c>
      <c r="H55" s="66">
        <v>0.005</v>
      </c>
      <c r="I55" s="66">
        <v>0.005</v>
      </c>
      <c r="J55" s="66">
        <v>0.005</v>
      </c>
      <c r="K55" s="66">
        <v>0.005</v>
      </c>
      <c r="L55" s="66">
        <v>0.005</v>
      </c>
      <c r="M55" s="61">
        <f t="shared" si="6"/>
        <v>150</v>
      </c>
      <c r="N55" s="61">
        <v>150</v>
      </c>
    </row>
    <row r="56" spans="1:25">
      <c r="D56" s="11" t="s">
        <v>177</v>
      </c>
      <c r="E56" s="36" cm="1">
        <f t="array" ref="E56">SUMPRODUCT(E$45:E$55,$M$45:$M$55)</f>
        <v>897.85</v>
      </c>
      <c r="F56" s="36" cm="1">
        <f t="array" ref="F56">SUMPRODUCT(F$45:F$55,$M$45:$M$55)</f>
        <v>1118.6</v>
      </c>
      <c r="G56" s="36" cm="1">
        <f t="array" ref="G56">SUMPRODUCT(G$45:G$55,$M$45:$M$55)</f>
        <v>1153.8</v>
      </c>
      <c r="H56" s="36" cm="1">
        <f t="array" ref="H56">SUMPRODUCT(H$45:H$55,$M$45:$M$55)</f>
        <v>1355.05</v>
      </c>
      <c r="I56" s="36" cm="1">
        <f t="array" ref="I56">SUMPRODUCT(I$45:I$55,$M$45:$M$55)</f>
        <v>1402.4</v>
      </c>
      <c r="J56" s="36" cm="1">
        <f t="array" ref="J56">SUMPRODUCT(J$45:J$55,$M$45:$M$55)</f>
        <v>1449.75</v>
      </c>
      <c r="K56" s="36" cm="1">
        <f t="array" ref="K56">SUMPRODUCT(K$45:K$55,$M$45:$M$55)</f>
        <v>1497.1</v>
      </c>
      <c r="L56" s="36" cm="1">
        <f t="array" ref="L56">SUMPRODUCT(L$45:L$55,$M$45:$M$55)</f>
        <v>1544.45</v>
      </c>
    </row>
    <row r="57" spans="1:25">
      <c r="E57" s="36" cm="1">
        <f t="array" ref="E57">SUMPRODUCT(E53:E55,$M$53:$M$55)</f>
        <v>5.85</v>
      </c>
      <c r="F57" s="36" cm="1">
        <f t="array" ref="F57">SUMPRODUCT(F53:F55,$M$53:$M$55)</f>
        <v>5.6</v>
      </c>
      <c r="G57" s="36" cm="1">
        <f t="array" ref="G57">SUMPRODUCT(G53:G55,$M$53:$M$55)</f>
        <v>5.8</v>
      </c>
      <c r="H57" s="36" cm="1">
        <f t="array" ref="H57">SUMPRODUCT(H53:H55,$M$53:$M$55)</f>
        <v>5.45</v>
      </c>
      <c r="I57" s="36" cm="1">
        <f t="array" ref="I57">SUMPRODUCT(I53:I55,$M$53:$M$55)</f>
        <v>5.6</v>
      </c>
      <c r="J57" s="36" cm="1">
        <f t="array" ref="J57">SUMPRODUCT(J53:J55,$M$53:$M$55)</f>
        <v>5.75</v>
      </c>
      <c r="K57" s="36" cm="1">
        <f t="array" ref="K57">SUMPRODUCT(K53:K55,$M$53:$M$55)</f>
        <v>5.9</v>
      </c>
      <c r="L57" s="36" cm="1">
        <f t="array" ref="L57">SUMPRODUCT(L53:L55,$M$53:$M$55)</f>
        <v>6.05</v>
      </c>
    </row>
    <row r="58" spans="1:25">
      <c r="F58" s="36">
        <f>_xlfn.XLOOKUP(F59,价值表!$F:$F,价值表!$H:$H)</f>
        <v>2000</v>
      </c>
      <c r="G58" s="36">
        <f>_xlfn.XLOOKUP(G59,价值表!$F:$F,价值表!$H:$H)</f>
        <v>4000</v>
      </c>
      <c r="H58" s="36">
        <f>_xlfn.XLOOKUP(H59,价值表!$F:$F,价值表!$H:$H)</f>
        <v>8000</v>
      </c>
      <c r="I58" s="36">
        <f>_xlfn.XLOOKUP(I59,价值表!$F:$F,价值表!$H:$H)</f>
        <v>16000</v>
      </c>
      <c r="J58" s="36">
        <f>_xlfn.XLOOKUP(J59,价值表!$F:$F,价值表!$H:$H)</f>
        <v>200</v>
      </c>
      <c r="K58" s="36">
        <f>_xlfn.XLOOKUP(K59,价值表!$F:$F,价值表!$H:$H)</f>
        <v>400</v>
      </c>
      <c r="L58" s="36">
        <f>_xlfn.XLOOKUP(L59,价值表!$F:$F,价值表!$H:$H)</f>
        <v>800</v>
      </c>
      <c r="M58" s="36">
        <f>_xlfn.XLOOKUP(M59,价值表!$F:$F,价值表!$H:$H)</f>
        <v>1600</v>
      </c>
      <c r="N58" s="36">
        <f>_xlfn.XLOOKUP(N59,价值表!$F:$F,价值表!$H:$H)</f>
        <v>1</v>
      </c>
      <c r="R58" s="70">
        <v>3</v>
      </c>
      <c r="S58" s="70">
        <v>4</v>
      </c>
      <c r="T58" s="70">
        <v>6</v>
      </c>
      <c r="U58" s="70">
        <v>8</v>
      </c>
    </row>
    <row r="59" spans="1:25">
      <c r="D59" s="2" t="s">
        <v>185</v>
      </c>
      <c r="E59" s="64" t="s">
        <v>186</v>
      </c>
      <c r="F59" s="64" t="s">
        <v>52</v>
      </c>
      <c r="G59" s="64" t="s">
        <v>53</v>
      </c>
      <c r="H59" s="64" t="s">
        <v>54</v>
      </c>
      <c r="I59" s="64" t="s">
        <v>55</v>
      </c>
      <c r="J59" s="64" t="s">
        <v>34</v>
      </c>
      <c r="K59" s="64" t="s">
        <v>35</v>
      </c>
      <c r="L59" s="64" t="s">
        <v>36</v>
      </c>
      <c r="M59" s="64" t="s">
        <v>37</v>
      </c>
      <c r="N59" s="64" t="s">
        <v>32</v>
      </c>
      <c r="O59" s="64" t="s">
        <v>187</v>
      </c>
      <c r="P59" s="64" t="s">
        <v>188</v>
      </c>
      <c r="R59" s="64" t="s">
        <v>52</v>
      </c>
      <c r="S59" s="64" t="s">
        <v>53</v>
      </c>
      <c r="T59" s="64" t="s">
        <v>54</v>
      </c>
      <c r="U59" s="64" t="s">
        <v>55</v>
      </c>
    </row>
    <row r="60" spans="1:25">
      <c r="D60" s="61">
        <v>1</v>
      </c>
      <c r="E60" s="71">
        <v>300</v>
      </c>
      <c r="F60" s="72">
        <f ca="1">OFFSET($D$44,MATCH(F$59,$D$45:$D$55,0),MATCH($D60,$E$44:$L$44,0))*($E60-SUM($E59:$E59))/10*OFFSET($N$44,MATCH(F$59,$D$45:$D$55,0),0)</f>
        <v>4.5</v>
      </c>
      <c r="G60" s="72">
        <f ca="1" t="shared" ref="G60:M60" si="9">OFFSET($D$44,MATCH(G$59,$D$45:$D$55,0),MATCH($D60,$E$44:$L$44,0))*($E60-SUM($E59:$E59))/10*OFFSET($N$44,MATCH(G$59,$D$45:$D$55,0),0)</f>
        <v>0.69</v>
      </c>
      <c r="H60" s="72">
        <f ca="1" t="shared" si="9"/>
        <v>0</v>
      </c>
      <c r="I60" s="72">
        <f ca="1" t="shared" si="9"/>
        <v>0</v>
      </c>
      <c r="J60" s="72">
        <f ca="1" t="shared" si="9"/>
        <v>45</v>
      </c>
      <c r="K60" s="72">
        <f ca="1" t="shared" si="9"/>
        <v>15</v>
      </c>
      <c r="L60" s="72">
        <f ca="1" t="shared" si="9"/>
        <v>0</v>
      </c>
      <c r="M60" s="72">
        <f ca="1" t="shared" si="9"/>
        <v>0</v>
      </c>
      <c r="N60" s="71">
        <f ca="1">OFFSET($D$53,0,D60)*$N$53*E60/10+OFFSET($D$54,0,D60)*$N$54*E60/10+OFFSET($D$55,0,D60)*$N$55*E60/10</f>
        <v>175.5</v>
      </c>
      <c r="O60" s="71" cm="1">
        <f ca="1" t="array" ref="O60">SUMPRODUCT($F60:$N60,$F$58:$N$58)</f>
        <v>26935.5</v>
      </c>
      <c r="P60" s="73">
        <f ca="1">O60/(E60/10*$E$8)</f>
        <v>5.98566666666667</v>
      </c>
      <c r="R60" s="74">
        <f ca="1">IFERROR(MATCH((F60*10+J60)/R$58,载具属性!$G$33:$G$92,1),0)</f>
        <v>5</v>
      </c>
      <c r="S60" s="74">
        <f ca="1">IFERROR(MATCH((G60*10+K60)/S$58,载具属性!$G$33:$G$92,1),0)</f>
        <v>0</v>
      </c>
      <c r="T60" s="74">
        <f ca="1">IFERROR(MATCH((H60*10+L60)/T$58,载具属性!$G$33:$G$92,1),0)</f>
        <v>0</v>
      </c>
      <c r="U60" s="74">
        <f ca="1">IFERROR(MATCH((I60*10+M60)/U$58,载具属性!$G$33:$G$92,1),0)</f>
        <v>0</v>
      </c>
      <c r="V60">
        <f ca="1">J60/(F60*10+J60)</f>
        <v>0.5</v>
      </c>
      <c r="W60">
        <f ca="1">K60/(G60*10+K60)</f>
        <v>0.684931506849315</v>
      </c>
    </row>
    <row r="61" spans="1:25">
      <c r="D61" s="61">
        <v>2</v>
      </c>
      <c r="E61" s="71">
        <v>600</v>
      </c>
      <c r="F61" s="72">
        <f ca="1">OFFSET($D$44,MATCH(F$59,$D$45:$D$55,0),MATCH($D61,$E$44:$L$44,0))*($E61-SUM($E60:$E60))/10*OFFSET($N$44,MATCH(F$59,$D$45:$D$55,0),0)+SUM(F$60:F60)-SUM(F$59:F59)</f>
        <v>9</v>
      </c>
      <c r="G61" s="72">
        <f ca="1">OFFSET($D$44,MATCH(G$59,$D$45:$D$55,0),MATCH($D61,$E$44:$L$44,0))*($E61-SUM($E60:$E60))/10*OFFSET($N$44,MATCH(G$59,$D$45:$D$55,0),0)+SUM(G$60:G60)-SUM(G$59:G59)</f>
        <v>1.41</v>
      </c>
      <c r="H61" s="72">
        <f ca="1">OFFSET($D$44,MATCH(H$59,$D$45:$D$55,0),MATCH($D61,$E$44:$L$44,0))*($E61-SUM($E60:$E60))/10*OFFSET($N$44,MATCH(H$59,$D$45:$D$55,0),0)+SUM(H$60:H60)-SUM(H$59:H59)</f>
        <v>0.36</v>
      </c>
      <c r="I61" s="72">
        <f ca="1">OFFSET($D$44,MATCH(I$59,$D$45:$D$55,0),MATCH($D61,$E$44:$L$44,0))*($E61-SUM($E60:$E60))/10*OFFSET($N$44,MATCH(I$59,$D$45:$D$55,0),0)+SUM(I$60:I60)-SUM(I$59:I59)</f>
        <v>0</v>
      </c>
      <c r="J61" s="72">
        <f ca="1">OFFSET($D$44,MATCH(J$59,$D$45:$D$55,0),MATCH($D61,$E$44:$L$44,0))*($E61-SUM($E60:$E60))/10*OFFSET($N$44,MATCH(J$59,$D$45:$D$55,0),0)+SUM(J$60:J60)-SUM(J$59:J59)</f>
        <v>78.39</v>
      </c>
      <c r="K61" s="72">
        <f ca="1">OFFSET($D$44,MATCH(K$59,$D$45:$D$55,0),MATCH($D61,$E$44:$L$44,0))*($E61-SUM($E60:$E60))/10*OFFSET($N$44,MATCH(K$59,$D$45:$D$55,0),0)+SUM(K$60:K60)-SUM(K$59:K59)</f>
        <v>30</v>
      </c>
      <c r="L61" s="72">
        <f ca="1">OFFSET($D$44,MATCH(L$59,$D$45:$D$55,0),MATCH($D61,$E$44:$L$44,0))*($E61-SUM($E60:$E60))/10*OFFSET($N$44,MATCH(L$59,$D$45:$D$55,0),0)+SUM(L$60:L60)-SUM(L$59:L59)</f>
        <v>7.44</v>
      </c>
      <c r="M61" s="72">
        <f ca="1">OFFSET($D$44,MATCH(M$59,$D$45:$D$55,0),MATCH($D61,$E$44:$L$44,0))*($E61-SUM($E60:$E60))/10*OFFSET($N$44,MATCH(M$59,$D$45:$D$55,0),0)+SUM(M$60:M60)-SUM(M$59:M59)</f>
        <v>0</v>
      </c>
      <c r="N61" s="71">
        <f ca="1" t="shared" ref="N61:N67" si="10">OFFSET($D$53,0,D61)*$N$53*E61/10+OFFSET($D$54,0,D61)*$N$54*E61/10+OFFSET($D$55,0,D61)*$N$55*E61/10</f>
        <v>336</v>
      </c>
      <c r="O61" s="71" cm="1">
        <f ca="1" t="array" ref="O61">SUMPRODUCT($F61:$N61,$F$58:$N$58)</f>
        <v>60486</v>
      </c>
      <c r="P61" s="73">
        <f ca="1" t="shared" ref="P61:P67" si="11">O61/(E61/10*$E$8)</f>
        <v>6.72066666666667</v>
      </c>
      <c r="R61" s="74">
        <f ca="1">IFERROR(MATCH((F61*10+J61)/R$58,载具属性!$G$33:$G$92,1),0)</f>
        <v>7</v>
      </c>
      <c r="S61" s="74">
        <f ca="1">IFERROR(MATCH((G61*10+K61)/S$58,载具属性!$G$33:$G$92,1),0)</f>
        <v>1</v>
      </c>
      <c r="T61" s="74">
        <f ca="1">IFERROR(MATCH((H61*10+L61)/T$58,载具属性!$G$33:$G$92,1),0)</f>
        <v>0</v>
      </c>
      <c r="U61" s="74">
        <f ca="1">IFERROR(MATCH((I61*10+M61)/U$58,载具属性!$G$33:$G$92,1),0)</f>
        <v>0</v>
      </c>
      <c r="V61">
        <f ca="1" t="shared" ref="V61:V67" si="12">J61/(F61*10+J61)</f>
        <v>0.465526456440406</v>
      </c>
      <c r="W61">
        <f ca="1" t="shared" ref="W61:W67" si="13">K61/(G61*10+K61)</f>
        <v>0.680272108843537</v>
      </c>
      <c r="X61">
        <f ca="1" t="shared" ref="X61:X67" si="14">L61/(H61*10+L61)</f>
        <v>0.673913043478261</v>
      </c>
    </row>
    <row r="62" spans="1:25">
      <c r="D62" s="61">
        <v>3</v>
      </c>
      <c r="E62" s="71">
        <v>1200</v>
      </c>
      <c r="F62" s="72">
        <f ca="1">OFFSET($D$44,MATCH(F$59,$D$45:$D$55,0),MATCH($D62,$E$44:$L$44,0))*($E62-SUM($E61:$E61))/10*OFFSET($N$44,MATCH(F$59,$D$45:$D$55,0),0)+SUM(F$60:F61)-SUM(F$59:F60)</f>
        <v>18</v>
      </c>
      <c r="G62" s="72">
        <f ca="1">OFFSET($D$44,MATCH(G$59,$D$45:$D$55,0),MATCH($D62,$E$44:$L$44,0))*($E62-SUM($E61:$E61))/10*OFFSET($N$44,MATCH(G$59,$D$45:$D$55,0),0)+SUM(G$60:G61)-SUM(G$59:G60)</f>
        <v>3.09</v>
      </c>
      <c r="H62" s="72">
        <f ca="1">OFFSET($D$44,MATCH(H$59,$D$45:$D$55,0),MATCH($D62,$E$44:$L$44,0))*($E62-SUM($E61:$E61))/10*OFFSET($N$44,MATCH(H$59,$D$45:$D$55,0),0)+SUM(H$60:H61)-SUM(H$59:H60)</f>
        <v>1.2</v>
      </c>
      <c r="I62" s="72">
        <f ca="1">OFFSET($D$44,MATCH(I$59,$D$45:$D$55,0),MATCH($D62,$E$44:$L$44,0))*($E62-SUM($E61:$E61))/10*OFFSET($N$44,MATCH(I$59,$D$45:$D$55,0),0)+SUM(I$60:I61)-SUM(I$59:I60)</f>
        <v>0</v>
      </c>
      <c r="J62" s="72">
        <f ca="1">OFFSET($D$44,MATCH(J$59,$D$45:$D$55,0),MATCH($D62,$E$44:$L$44,0))*($E62-SUM($E61:$E61))/10*OFFSET($N$44,MATCH(J$59,$D$45:$D$55,0),0)+SUM(J$60:J61)-SUM(J$59:J60)</f>
        <v>143.19</v>
      </c>
      <c r="K62" s="72">
        <f ca="1">OFFSET($D$44,MATCH(K$59,$D$45:$D$55,0),MATCH($D62,$E$44:$L$44,0))*($E62-SUM($E61:$E61))/10*OFFSET($N$44,MATCH(K$59,$D$45:$D$55,0),0)+SUM(K$60:K61)-SUM(K$59:K60)</f>
        <v>60</v>
      </c>
      <c r="L62" s="72">
        <f ca="1">OFFSET($D$44,MATCH(L$59,$D$45:$D$55,0),MATCH($D62,$E$44:$L$44,0))*($E62-SUM($E61:$E61))/10*OFFSET($N$44,MATCH(L$59,$D$45:$D$55,0),0)+SUM(L$60:L61)-SUM(L$59:L60)</f>
        <v>23.04</v>
      </c>
      <c r="M62" s="72">
        <f ca="1">OFFSET($D$44,MATCH(M$59,$D$45:$D$55,0),MATCH($D62,$E$44:$L$44,0))*($E62-SUM($E61:$E61))/10*OFFSET($N$44,MATCH(M$59,$D$45:$D$55,0),0)+SUM(M$60:M61)-SUM(M$59:M60)</f>
        <v>0</v>
      </c>
      <c r="N62" s="71">
        <f ca="1" t="shared" si="10"/>
        <v>696</v>
      </c>
      <c r="O62" s="71" cm="1">
        <f ca="1" t="array" ref="O62">SUMPRODUCT($F62:$N62,$F$58:$N$58)</f>
        <v>129726</v>
      </c>
      <c r="P62" s="73">
        <f ca="1" t="shared" si="11"/>
        <v>7.207</v>
      </c>
      <c r="R62" s="74">
        <f ca="1">IFERROR(MATCH((F62*10+J62)/R$58,载具属性!$G$33:$G$92,1),0)</f>
        <v>11</v>
      </c>
      <c r="S62" s="74">
        <f ca="1">IFERROR(MATCH((G62*10+K62)/S$58,载具属性!$G$33:$G$92,1),0)</f>
        <v>3</v>
      </c>
      <c r="T62" s="74">
        <f ca="1">IFERROR(MATCH((H62*10+L62)/T$58,载具属性!$G$33:$G$92,1),0)</f>
        <v>0</v>
      </c>
      <c r="U62" s="74">
        <f ca="1">IFERROR(MATCH((I62*10+M62)/U$58,载具属性!$G$33:$G$92,1),0)</f>
        <v>0</v>
      </c>
      <c r="V62">
        <f ca="1" t="shared" si="12"/>
        <v>0.443052074631022</v>
      </c>
      <c r="W62">
        <f ca="1" t="shared" si="13"/>
        <v>0.66006600660066</v>
      </c>
      <c r="X62">
        <f ca="1" t="shared" si="14"/>
        <v>0.657534246575342</v>
      </c>
    </row>
    <row r="63" spans="1:25">
      <c r="D63" s="61">
        <v>4</v>
      </c>
      <c r="E63" s="71">
        <v>2400</v>
      </c>
      <c r="F63" s="72">
        <f ca="1">OFFSET($D$44,MATCH(F$59,$D$45:$D$55,0),MATCH($D63,$E$44:$L$44,0))*($E63-SUM($E62:$E62))/10*OFFSET($N$44,MATCH(F$59,$D$45:$D$55,0),0)+SUM(F$60:F62)-SUM(F$59:F61)</f>
        <v>36</v>
      </c>
      <c r="G63" s="72">
        <f ca="1">OFFSET($D$44,MATCH(G$59,$D$45:$D$55,0),MATCH($D63,$E$44:$L$44,0))*($E63-SUM($E62:$E62))/10*OFFSET($N$44,MATCH(G$59,$D$45:$D$55,0),0)+SUM(G$60:G62)-SUM(G$59:G61)</f>
        <v>6.93</v>
      </c>
      <c r="H63" s="72">
        <f ca="1">OFFSET($D$44,MATCH(H$59,$D$45:$D$55,0),MATCH($D63,$E$44:$L$44,0))*($E63-SUM($E62:$E62))/10*OFFSET($N$44,MATCH(H$59,$D$45:$D$55,0),0)+SUM(H$60:H62)-SUM(H$59:H61)</f>
        <v>3.12</v>
      </c>
      <c r="I63" s="72">
        <f ca="1">OFFSET($D$44,MATCH(I$59,$D$45:$D$55,0),MATCH($D63,$E$44:$L$44,0))*($E63-SUM($E62:$E62))/10*OFFSET($N$44,MATCH(I$59,$D$45:$D$55,0),0)+SUM(I$60:I62)-SUM(I$59:I61)</f>
        <v>0.48</v>
      </c>
      <c r="J63" s="72">
        <f ca="1">OFFSET($D$44,MATCH(J$59,$D$45:$D$55,0),MATCH($D63,$E$44:$L$44,0))*($E63-SUM($E62:$E62))/10*OFFSET($N$44,MATCH(J$59,$D$45:$D$55,0),0)+SUM(J$60:J62)-SUM(J$59:J61)</f>
        <v>238.23</v>
      </c>
      <c r="K63" s="72">
        <f ca="1">OFFSET($D$44,MATCH(K$59,$D$45:$D$55,0),MATCH($D63,$E$44:$L$44,0))*($E63-SUM($E62:$E62))/10*OFFSET($N$44,MATCH(K$59,$D$45:$D$55,0),0)+SUM(K$60:K62)-SUM(K$59:K61)</f>
        <v>120</v>
      </c>
      <c r="L63" s="72">
        <f ca="1">OFFSET($D$44,MATCH(L$59,$D$45:$D$55,0),MATCH($D63,$E$44:$L$44,0))*($E63-SUM($E62:$E62))/10*OFFSET($N$44,MATCH(L$59,$D$45:$D$55,0),0)+SUM(L$60:L62)-SUM(L$59:L61)</f>
        <v>55.68</v>
      </c>
      <c r="M63" s="72">
        <f ca="1">OFFSET($D$44,MATCH(M$59,$D$45:$D$55,0),MATCH($D63,$E$44:$L$44,0))*($E63-SUM($E62:$E62))/10*OFFSET($N$44,MATCH(M$59,$D$45:$D$55,0),0)+SUM(M$60:M62)-SUM(M$59:M61)</f>
        <v>11.52</v>
      </c>
      <c r="N63" s="71">
        <f ca="1" t="shared" si="10"/>
        <v>1308</v>
      </c>
      <c r="O63" s="71" cm="1">
        <f ca="1" t="array" ref="O63">SUMPRODUCT($F63:$N63,$F$58:$N$58)</f>
        <v>292290</v>
      </c>
      <c r="P63" s="73">
        <f ca="1" t="shared" si="11"/>
        <v>8.11916666666667</v>
      </c>
      <c r="R63" s="74">
        <f ca="1">IFERROR(MATCH((F63*10+J63)/R$58,载具属性!$G$33:$G$92,1),0)</f>
        <v>14</v>
      </c>
      <c r="S63" s="74">
        <f ca="1">IFERROR(MATCH((G63*10+K63)/S$58,载具属性!$G$33:$G$92,1),0)</f>
        <v>6</v>
      </c>
      <c r="T63" s="74">
        <f ca="1">IFERROR(MATCH((H63*10+L63)/T$58,载具属性!$G$33:$G$92,1),0)</f>
        <v>1</v>
      </c>
      <c r="U63" s="74">
        <f ca="1">IFERROR(MATCH((I63*10+M63)/U$58,载具属性!$G$33:$G$92,1),0)</f>
        <v>0</v>
      </c>
      <c r="V63">
        <f ca="1" t="shared" si="12"/>
        <v>0.398224763051</v>
      </c>
      <c r="W63">
        <f ca="1" t="shared" si="13"/>
        <v>0.63391442155309</v>
      </c>
      <c r="X63">
        <f ca="1" t="shared" si="14"/>
        <v>0.640883977900553</v>
      </c>
      <c r="Y63">
        <f ca="1" t="shared" ref="Y61:Y67" si="15">M63/(I63*10+M63)</f>
        <v>0.705882352941176</v>
      </c>
    </row>
    <row r="64" spans="1:25">
      <c r="D64" s="61">
        <v>5</v>
      </c>
      <c r="E64" s="71">
        <v>6000</v>
      </c>
      <c r="F64" s="72">
        <f ca="1">OFFSET($D$44,MATCH(F$59,$D$45:$D$55,0),MATCH($D64,$E$44:$L$44,0))*($E64-SUM($E63:$E63))/10*OFFSET($N$44,MATCH(F$59,$D$45:$D$55,0),0)+SUM(F$60:F63)-SUM(F$59:F62)</f>
        <v>90</v>
      </c>
      <c r="G64" s="72">
        <f ca="1">OFFSET($D$44,MATCH(G$59,$D$45:$D$55,0),MATCH($D64,$E$44:$L$44,0))*($E64-SUM($E63:$E63))/10*OFFSET($N$44,MATCH(G$59,$D$45:$D$55,0),0)+SUM(G$60:G63)-SUM(G$59:G62)</f>
        <v>19.89</v>
      </c>
      <c r="H64" s="72">
        <f ca="1">OFFSET($D$44,MATCH(H$59,$D$45:$D$55,0),MATCH($D64,$E$44:$L$44,0))*($E64-SUM($E63:$E63))/10*OFFSET($N$44,MATCH(H$59,$D$45:$D$55,0),0)+SUM(H$60:H63)-SUM(H$59:H62)</f>
        <v>9.6</v>
      </c>
      <c r="I64" s="72">
        <f ca="1">OFFSET($D$44,MATCH(I$59,$D$45:$D$55,0),MATCH($D64,$E$44:$L$44,0))*($E64-SUM($E63:$E63))/10*OFFSET($N$44,MATCH(I$59,$D$45:$D$55,0),0)+SUM(I$60:I63)-SUM(I$59:I62)</f>
        <v>2.1</v>
      </c>
      <c r="J64" s="72">
        <f ca="1">OFFSET($D$44,MATCH(J$59,$D$45:$D$55,0),MATCH($D64,$E$44:$L$44,0))*($E64-SUM($E63:$E63))/10*OFFSET($N$44,MATCH(J$59,$D$45:$D$55,0),0)+SUM(J$60:J63)-SUM(J$59:J62)</f>
        <v>501.75</v>
      </c>
      <c r="K64" s="72">
        <f ca="1">OFFSET($D$44,MATCH(K$59,$D$45:$D$55,0),MATCH($D64,$E$44:$L$44,0))*($E64-SUM($E63:$E63))/10*OFFSET($N$44,MATCH(K$59,$D$45:$D$55,0),0)+SUM(K$60:K63)-SUM(K$59:K62)</f>
        <v>300</v>
      </c>
      <c r="L64" s="72">
        <f ca="1">OFFSET($D$44,MATCH(L$59,$D$45:$D$55,0),MATCH($D64,$E$44:$L$44,0))*($E64-SUM($E63:$E63))/10*OFFSET($N$44,MATCH(L$59,$D$45:$D$55,0),0)+SUM(L$60:L63)-SUM(L$59:L62)</f>
        <v>157.92</v>
      </c>
      <c r="M64" s="72">
        <f ca="1">OFFSET($D$44,MATCH(M$59,$D$45:$D$55,0),MATCH($D64,$E$44:$L$44,0))*($E64-SUM($E63:$E63))/10*OFFSET($N$44,MATCH(M$59,$D$45:$D$55,0),0)+SUM(M$60:M63)-SUM(M$59:M62)</f>
        <v>48.24</v>
      </c>
      <c r="N64" s="71">
        <f ca="1" t="shared" si="10"/>
        <v>3360</v>
      </c>
      <c r="O64" s="71" cm="1">
        <f ca="1" t="array" ref="O64">SUMPRODUCT($F64:$N64,$F$58:$N$58)</f>
        <v>797190</v>
      </c>
      <c r="P64" s="73">
        <f ca="1" t="shared" si="11"/>
        <v>8.85766666666667</v>
      </c>
      <c r="R64" s="74">
        <f ca="1">IFERROR(MATCH((F64*10+J64)/R$58,载具属性!$G$33:$G$92,1),0)</f>
        <v>20</v>
      </c>
      <c r="S64" s="74">
        <f ca="1">IFERROR(MATCH((G64*10+K64)/S$58,载具属性!$G$33:$G$92,1),0)</f>
        <v>11</v>
      </c>
      <c r="T64" s="74">
        <f ca="1">IFERROR(MATCH((H64*10+L64)/T$58,载具属性!$G$33:$G$92,1),0)</f>
        <v>6</v>
      </c>
      <c r="U64" s="74">
        <f ca="1">IFERROR(MATCH((I64*10+M64)/U$58,载具属性!$G$33:$G$92,1),0)</f>
        <v>0</v>
      </c>
      <c r="V64">
        <f ca="1" t="shared" si="12"/>
        <v>0.357945425361156</v>
      </c>
      <c r="W64">
        <f ca="1" t="shared" si="13"/>
        <v>0.601322910402886</v>
      </c>
      <c r="X64">
        <f ca="1" t="shared" si="14"/>
        <v>0.621928166351607</v>
      </c>
      <c r="Y64">
        <f ca="1" t="shared" si="15"/>
        <v>0.696707105719237</v>
      </c>
    </row>
    <row r="65" spans="2:25">
      <c r="D65" s="61">
        <v>6</v>
      </c>
      <c r="E65" s="71">
        <v>14400</v>
      </c>
      <c r="F65" s="72">
        <f ca="1">OFFSET($D$44,MATCH(F$59,$D$45:$D$55,0),MATCH($D65,$E$44:$L$44,0))*($E65-SUM($E64:$E64))/10*OFFSET($N$44,MATCH(F$59,$D$45:$D$55,0),0)+SUM(F$60:F64)-SUM(F$59:F63)</f>
        <v>216</v>
      </c>
      <c r="G65" s="72">
        <f ca="1">OFFSET($D$44,MATCH(G$59,$D$45:$D$55,0),MATCH($D65,$E$44:$L$44,0))*($E65-SUM($E64:$E64))/10*OFFSET($N$44,MATCH(G$59,$D$45:$D$55,0),0)+SUM(G$60:G64)-SUM(G$59:G63)</f>
        <v>53.49</v>
      </c>
      <c r="H65" s="72">
        <f ca="1">OFFSET($D$44,MATCH(H$59,$D$45:$D$55,0),MATCH($D65,$E$44:$L$44,0))*($E65-SUM($E64:$E64))/10*OFFSET($N$44,MATCH(H$59,$D$45:$D$55,0),0)+SUM(H$60:H64)-SUM(H$59:H63)</f>
        <v>26.4</v>
      </c>
      <c r="I65" s="72">
        <f ca="1">OFFSET($D$44,MATCH(I$59,$D$45:$D$55,0),MATCH($D65,$E$44:$L$44,0))*($E65-SUM($E64:$E64))/10*OFFSET($N$44,MATCH(I$59,$D$45:$D$55,0),0)+SUM(I$60:I64)-SUM(I$59:I63)</f>
        <v>6.3</v>
      </c>
      <c r="J65" s="72">
        <f ca="1">OFFSET($D$44,MATCH(J$59,$D$45:$D$55,0),MATCH($D65,$E$44:$L$44,0))*($E65-SUM($E64:$E64))/10*OFFSET($N$44,MATCH(J$59,$D$45:$D$55,0),0)+SUM(J$60:J64)-SUM(J$59:J63)</f>
        <v>1066.23</v>
      </c>
      <c r="K65" s="72">
        <f ca="1">OFFSET($D$44,MATCH(K$59,$D$45:$D$55,0),MATCH($D65,$E$44:$L$44,0))*($E65-SUM($E64:$E64))/10*OFFSET($N$44,MATCH(K$59,$D$45:$D$55,0),0)+SUM(K$60:K64)-SUM(K$59:K63)</f>
        <v>720</v>
      </c>
      <c r="L65" s="72">
        <f ca="1">OFFSET($D$44,MATCH(L$59,$D$45:$D$55,0),MATCH($D65,$E$44:$L$44,0))*($E65-SUM($E64:$E64))/10*OFFSET($N$44,MATCH(L$59,$D$45:$D$55,0),0)+SUM(L$60:L64)-SUM(L$59:L63)</f>
        <v>406.56</v>
      </c>
      <c r="M65" s="72">
        <f ca="1">OFFSET($D$44,MATCH(M$59,$D$45:$D$55,0),MATCH($D65,$E$44:$L$44,0))*($E65-SUM($E64:$E64))/10*OFFSET($N$44,MATCH(M$59,$D$45:$D$55,0),0)+SUM(M$60:M64)-SUM(M$59:M63)</f>
        <v>138.96</v>
      </c>
      <c r="N65" s="75">
        <f ca="1" t="shared" si="10"/>
        <v>8280</v>
      </c>
      <c r="O65" s="71" cm="1">
        <f ca="1" t="array" ref="O65">SUMPRODUCT($F65:$N65,$F$58:$N$58)</f>
        <v>2015070</v>
      </c>
      <c r="P65" s="73">
        <f ca="1" t="shared" si="11"/>
        <v>9.32902777777778</v>
      </c>
      <c r="R65" s="74">
        <f ca="1">IFERROR(MATCH((F65*10+J65)/R$58,载具属性!$G$33:$G$92,1),0)</f>
        <v>28</v>
      </c>
      <c r="S65" s="74">
        <f ca="1">IFERROR(MATCH((G65*10+K65)/S$58,载具属性!$G$33:$G$92,1),0)</f>
        <v>17</v>
      </c>
      <c r="T65" s="74">
        <f ca="1">IFERROR(MATCH((H65*10+L65)/T$58,载具属性!$G$33:$G$92,1),0)</f>
        <v>11</v>
      </c>
      <c r="U65" s="74">
        <f ca="1">IFERROR(MATCH((I65*10+M65)/U$58,载具属性!$G$33:$G$92,1),0)</f>
        <v>4</v>
      </c>
      <c r="V65">
        <f ca="1" t="shared" si="12"/>
        <v>0.330487906937819</v>
      </c>
      <c r="W65">
        <f ca="1" t="shared" si="13"/>
        <v>0.573750896485776</v>
      </c>
      <c r="X65">
        <f ca="1" t="shared" si="14"/>
        <v>0.606299212598425</v>
      </c>
      <c r="Y65">
        <f ca="1" t="shared" si="15"/>
        <v>0.688057040998217</v>
      </c>
    </row>
    <row r="66" spans="2:25">
      <c r="D66" s="61">
        <v>7</v>
      </c>
      <c r="E66" s="71">
        <v>36000</v>
      </c>
      <c r="F66" s="72">
        <f ca="1">OFFSET($D$44,MATCH(F$59,$D$45:$D$55,0),MATCH($D66,$E$44:$L$44,0))*($E66-SUM($E65:$E65))/10*OFFSET($N$44,MATCH(F$59,$D$45:$D$55,0),0)+SUM(F$60:F65)-SUM(F$59:F64)</f>
        <v>540</v>
      </c>
      <c r="G66" s="72">
        <f ca="1">OFFSET($D$44,MATCH(G$59,$D$45:$D$55,0),MATCH($D66,$E$44:$L$44,0))*($E66-SUM($E65:$E65))/10*OFFSET($N$44,MATCH(G$59,$D$45:$D$55,0),0)+SUM(G$60:G65)-SUM(G$59:G64)</f>
        <v>148.53</v>
      </c>
      <c r="H66" s="72">
        <f ca="1">OFFSET($D$44,MATCH(H$59,$D$45:$D$55,0),MATCH($D66,$E$44:$L$44,0))*($E66-SUM($E65:$E65))/10*OFFSET($N$44,MATCH(H$59,$D$45:$D$55,0),0)+SUM(H$60:H65)-SUM(H$59:H64)</f>
        <v>73.92</v>
      </c>
      <c r="I66" s="72">
        <f ca="1">OFFSET($D$44,MATCH(I$59,$D$45:$D$55,0),MATCH($D66,$E$44:$L$44,0))*($E66-SUM($E65:$E65))/10*OFFSET($N$44,MATCH(I$59,$D$45:$D$55,0),0)+SUM(I$60:I65)-SUM(I$59:I64)</f>
        <v>18.18</v>
      </c>
      <c r="J66" s="72">
        <f ca="1">OFFSET($D$44,MATCH(J$59,$D$45:$D$55,0),MATCH($D66,$E$44:$L$44,0))*($E66-SUM($E65:$E65))/10*OFFSET($N$44,MATCH(J$59,$D$45:$D$55,0),0)+SUM(J$60:J65)-SUM(J$59:J64)</f>
        <v>2388.15</v>
      </c>
      <c r="K66" s="72">
        <f ca="1">OFFSET($D$44,MATCH(K$59,$D$45:$D$55,0),MATCH($D66,$E$44:$L$44,0))*($E66-SUM($E65:$E65))/10*OFFSET($N$44,MATCH(K$59,$D$45:$D$55,0),0)+SUM(K$60:K65)-SUM(K$59:K64)</f>
        <v>1800</v>
      </c>
      <c r="L66" s="72">
        <f ca="1">OFFSET($D$44,MATCH(L$59,$D$45:$D$55,0),MATCH($D66,$E$44:$L$44,0))*($E66-SUM($E65:$E65))/10*OFFSET($N$44,MATCH(L$59,$D$45:$D$55,0),0)+SUM(L$60:L65)-SUM(L$59:L64)</f>
        <v>1071.84</v>
      </c>
      <c r="M66" s="72">
        <f ca="1">OFFSET($D$44,MATCH(M$59,$D$45:$D$55,0),MATCH($D66,$E$44:$L$44,0))*($E66-SUM($E65:$E65))/10*OFFSET($N$44,MATCH(M$59,$D$45:$D$55,0),0)+SUM(M$60:M65)-SUM(M$59:M64)</f>
        <v>385.2</v>
      </c>
      <c r="N66" s="71">
        <f ca="1" t="shared" si="10"/>
        <v>21240</v>
      </c>
      <c r="O66" s="71" cm="1">
        <f ca="1" t="array" ref="O66">SUMPRODUCT($F66:$N66,$F$58:$N$58)</f>
        <v>5249022</v>
      </c>
      <c r="P66" s="73">
        <f ca="1" t="shared" si="11"/>
        <v>9.72041111111111</v>
      </c>
      <c r="R66" s="74">
        <f ca="1">IFERROR(MATCH((F66*10+J66)/R$58,载具属性!$G$33:$G$92,1),0)</f>
        <v>40</v>
      </c>
      <c r="S66" s="74">
        <f ca="1">IFERROR(MATCH((G66*10+K66)/S$58,载具属性!$G$33:$G$92,1),0)</f>
        <v>25</v>
      </c>
      <c r="T66" s="74">
        <f ca="1">IFERROR(MATCH((H66*10+L66)/T$58,载具属性!$G$33:$G$92,1),0)</f>
        <v>16</v>
      </c>
      <c r="U66" s="74">
        <f ca="1">IFERROR(MATCH((I66*10+M66)/U$58,载具属性!$G$33:$G$92,1),0)</f>
        <v>9</v>
      </c>
      <c r="V66">
        <f ca="1" t="shared" si="12"/>
        <v>0.306638932223956</v>
      </c>
      <c r="W66">
        <f ca="1" t="shared" si="13"/>
        <v>0.547895169390923</v>
      </c>
      <c r="X66">
        <f ca="1" t="shared" si="14"/>
        <v>0.591836734693878</v>
      </c>
      <c r="Y66">
        <f ca="1" t="shared" si="15"/>
        <v>0.679365079365079</v>
      </c>
    </row>
    <row r="67" spans="2:25">
      <c r="D67" s="61">
        <v>8</v>
      </c>
      <c r="E67" s="71">
        <v>80000</v>
      </c>
      <c r="F67" s="72">
        <f ca="1">OFFSET($D$44,MATCH(F$59,$D$45:$D$55,0),MATCH($D67,$E$44:$L$44,0))*($E67-SUM($E66:$E66))/10*OFFSET($N$44,MATCH(F$59,$D$45:$D$55,0),0)+SUM(F$60:F66)-SUM(F$59:F65)</f>
        <v>1200</v>
      </c>
      <c r="G67" s="72">
        <f ca="1">OFFSET($D$44,MATCH(G$59,$D$45:$D$55,0),MATCH($D67,$E$44:$L$44,0))*($E67-SUM($E66:$E66))/10*OFFSET($N$44,MATCH(G$59,$D$45:$D$55,0),0)+SUM(G$60:G66)-SUM(G$59:G65)</f>
        <v>359.73</v>
      </c>
      <c r="H67" s="72">
        <f ca="1">OFFSET($D$44,MATCH(H$59,$D$45:$D$55,0),MATCH($D67,$E$44:$L$44,0))*($E67-SUM($E66:$E66))/10*OFFSET($N$44,MATCH(H$59,$D$45:$D$55,0),0)+SUM(H$60:H66)-SUM(H$59:H65)</f>
        <v>179.52</v>
      </c>
      <c r="I67" s="72">
        <f ca="1">OFFSET($D$44,MATCH(I$59,$D$45:$D$55,0),MATCH($D67,$E$44:$L$44,0))*($E67-SUM($E66:$E66))/10*OFFSET($N$44,MATCH(I$59,$D$45:$D$55,0),0)+SUM(I$60:I66)-SUM(I$59:I65)</f>
        <v>44.58</v>
      </c>
      <c r="J67" s="72">
        <f ca="1">OFFSET($D$44,MATCH(J$59,$D$45:$D$55,0),MATCH($D67,$E$44:$L$44,0))*($E67-SUM($E66:$E66))/10*OFFSET($N$44,MATCH(J$59,$D$45:$D$55,0),0)+SUM(J$60:J66)-SUM(J$59:J65)</f>
        <v>4816.95</v>
      </c>
      <c r="K67" s="72">
        <f ca="1">OFFSET($D$44,MATCH(K$59,$D$45:$D$55,0),MATCH($D67,$E$44:$L$44,0))*($E67-SUM($E66:$E66))/10*OFFSET($N$44,MATCH(K$59,$D$45:$D$55,0),0)+SUM(K$60:K66)-SUM(K$59:K65)</f>
        <v>4000</v>
      </c>
      <c r="L67" s="72">
        <f ca="1">OFFSET($D$44,MATCH(L$59,$D$45:$D$55,0),MATCH($D67,$E$44:$L$44,0))*($E67-SUM($E66:$E66))/10*OFFSET($N$44,MATCH(L$59,$D$45:$D$55,0),0)+SUM(L$60:L66)-SUM(L$59:L65)</f>
        <v>2479.84</v>
      </c>
      <c r="M67" s="72">
        <f ca="1">OFFSET($D$44,MATCH(M$59,$D$45:$D$55,0),MATCH($D67,$E$44:$L$44,0))*($E67-SUM($E66:$E66))/10*OFFSET($N$44,MATCH(M$59,$D$45:$D$55,0),0)+SUM(M$60:M66)-SUM(M$59:M65)</f>
        <v>913.2</v>
      </c>
      <c r="N67" s="71">
        <f ca="1" t="shared" si="10"/>
        <v>48400</v>
      </c>
      <c r="O67" s="71" cm="1">
        <f ca="1" t="array" ref="O67">SUMPRODUCT($F67:$N67,$F$58:$N$58)</f>
        <v>12045142</v>
      </c>
      <c r="P67" s="73">
        <f ca="1" t="shared" si="11"/>
        <v>10.0376183333333</v>
      </c>
      <c r="R67" s="74">
        <f ca="1">IFERROR(MATCH((F67*10+J67)/R$58,载具属性!$G$33:$G$92,1),0)</f>
        <v>57</v>
      </c>
      <c r="S67" s="74">
        <f ca="1">IFERROR(MATCH((G67*10+K67)/S$58,载具属性!$G$33:$G$92,1),0)</f>
        <v>35</v>
      </c>
      <c r="T67" s="74">
        <f ca="1">IFERROR(MATCH((H67*10+L67)/T$58,载具属性!$G$33:$G$92,1),0)</f>
        <v>23</v>
      </c>
      <c r="U67" s="74">
        <f ca="1">IFERROR(MATCH((I67*10+M67)/U$58,载具属性!$G$33:$G$92,1),0)</f>
        <v>13</v>
      </c>
      <c r="V67">
        <f ca="1" t="shared" si="12"/>
        <v>0.286434222614683</v>
      </c>
      <c r="W67">
        <f ca="1" t="shared" si="13"/>
        <v>0.526502836534032</v>
      </c>
      <c r="X67">
        <f ca="1" t="shared" si="14"/>
        <v>0.580074104569782</v>
      </c>
      <c r="Y67">
        <f ca="1" t="shared" si="15"/>
        <v>0.6719646799117</v>
      </c>
    </row>
    <row r="68" spans="2:25">
      <c r="D68" s="36"/>
      <c r="E68" s="36"/>
    </row>
    <row r="69" spans="2:25">
      <c r="B69" s="34"/>
      <c r="C69" s="76" t="s">
        <v>189</v>
      </c>
    </row>
    <row r="70" spans="2:25">
      <c r="J70" s="11">
        <v>1</v>
      </c>
      <c r="K70" s="11">
        <v>2</v>
      </c>
      <c r="L70" s="11">
        <v>3</v>
      </c>
      <c r="M70" s="11">
        <v>4</v>
      </c>
      <c r="N70" s="11">
        <v>5</v>
      </c>
      <c r="O70" s="11">
        <v>6</v>
      </c>
      <c r="P70" s="11">
        <v>7</v>
      </c>
      <c r="Q70" s="11">
        <v>8</v>
      </c>
      <c r="R70" s="11"/>
      <c r="S70">
        <v>1</v>
      </c>
      <c r="T70" t="s">
        <v>190</v>
      </c>
      <c r="U70" t="s">
        <v>191</v>
      </c>
    </row>
    <row r="71" spans="2:25">
      <c r="D71" s="2" t="s">
        <v>192</v>
      </c>
      <c r="E71" s="2" t="s">
        <v>193</v>
      </c>
      <c r="F71" s="2" t="s">
        <v>194</v>
      </c>
      <c r="J71" s="11">
        <f>E45*10000</f>
        <v>1500</v>
      </c>
      <c r="K71" s="11">
        <f t="shared" ref="K71:Q71" si="16">F45*10000</f>
        <v>1500</v>
      </c>
      <c r="L71" s="11">
        <f t="shared" si="16"/>
        <v>1500</v>
      </c>
      <c r="M71" s="11">
        <f t="shared" si="16"/>
        <v>1500</v>
      </c>
      <c r="N71" s="11">
        <f t="shared" si="16"/>
        <v>1500</v>
      </c>
      <c r="O71" s="11">
        <f t="shared" si="16"/>
        <v>1500</v>
      </c>
      <c r="P71" s="11">
        <f t="shared" si="16"/>
        <v>1500</v>
      </c>
      <c r="Q71" s="11">
        <f t="shared" si="16"/>
        <v>1500</v>
      </c>
      <c r="S71">
        <v>6</v>
      </c>
      <c r="T71" t="s">
        <v>195</v>
      </c>
      <c r="U71" t="s">
        <v>196</v>
      </c>
    </row>
    <row r="72" spans="2:25">
      <c r="D72" s="77" t="s">
        <v>179</v>
      </c>
      <c r="E72" s="78">
        <f>$H$395*2+F72</f>
        <v>5</v>
      </c>
      <c r="F72" s="78">
        <v>3</v>
      </c>
      <c r="J72" s="11">
        <f t="shared" ref="J72:J83" si="17">E46*10000</f>
        <v>230</v>
      </c>
      <c r="K72" s="11">
        <f t="shared" ref="K72:K82" si="18">F46*10000</f>
        <v>240</v>
      </c>
      <c r="L72" s="11">
        <f t="shared" ref="L72:L82" si="19">G46*10000</f>
        <v>280</v>
      </c>
      <c r="M72" s="11">
        <f t="shared" ref="M72:M82" si="20">H46*10000</f>
        <v>320</v>
      </c>
      <c r="N72" s="11">
        <f t="shared" ref="N72:N82" si="21">I46*10000</f>
        <v>360</v>
      </c>
      <c r="O72" s="11">
        <f t="shared" ref="O72:O82" si="22">J46*10000</f>
        <v>400</v>
      </c>
      <c r="P72" s="11">
        <f t="shared" ref="P72:P83" si="23">K46*10000</f>
        <v>440</v>
      </c>
      <c r="Q72" s="11">
        <f t="shared" ref="Q72:Q83" si="24">L46*10000</f>
        <v>480</v>
      </c>
      <c r="S72">
        <v>12</v>
      </c>
      <c r="T72" t="s">
        <v>197</v>
      </c>
      <c r="U72" t="s">
        <v>198</v>
      </c>
    </row>
    <row r="73" spans="2:25">
      <c r="D73" s="77" t="s">
        <v>180</v>
      </c>
      <c r="E73" s="78">
        <f>$H$395*2+$E$89/14+F73</f>
        <v>7.42857142857143</v>
      </c>
      <c r="F73" s="78">
        <v>4</v>
      </c>
      <c r="J73" s="11">
        <f t="shared" si="17"/>
        <v>0</v>
      </c>
      <c r="K73" s="11">
        <f t="shared" si="18"/>
        <v>120</v>
      </c>
      <c r="L73" s="11">
        <f t="shared" si="19"/>
        <v>140</v>
      </c>
      <c r="M73" s="11">
        <f t="shared" si="20"/>
        <v>160</v>
      </c>
      <c r="N73" s="11">
        <f t="shared" si="21"/>
        <v>180</v>
      </c>
      <c r="O73" s="11">
        <f t="shared" si="22"/>
        <v>200</v>
      </c>
      <c r="P73" s="11">
        <f t="shared" si="23"/>
        <v>220</v>
      </c>
      <c r="Q73" s="11">
        <f t="shared" si="24"/>
        <v>240</v>
      </c>
      <c r="S73">
        <v>24</v>
      </c>
      <c r="T73" t="s">
        <v>199</v>
      </c>
      <c r="U73" t="s">
        <v>200</v>
      </c>
    </row>
    <row r="74" spans="2:25">
      <c r="D74" s="77" t="s">
        <v>181</v>
      </c>
      <c r="E74" s="78" cm="1">
        <f t="array" ref="E74">$H$395*2+$E$89/14+SUMPRODUCT($E$96:$E$97,$G$96:$G$97)/30+F74</f>
        <v>11.7619047619048</v>
      </c>
      <c r="F74" s="78">
        <v>6</v>
      </c>
      <c r="J74" s="11">
        <f t="shared" si="17"/>
        <v>0</v>
      </c>
      <c r="K74" s="11">
        <f t="shared" si="18"/>
        <v>0</v>
      </c>
      <c r="L74" s="11">
        <f t="shared" si="19"/>
        <v>0</v>
      </c>
      <c r="M74" s="11">
        <f t="shared" si="20"/>
        <v>40</v>
      </c>
      <c r="N74" s="11">
        <f t="shared" si="21"/>
        <v>45</v>
      </c>
      <c r="O74" s="11">
        <f t="shared" si="22"/>
        <v>50</v>
      </c>
      <c r="P74" s="11">
        <f t="shared" si="23"/>
        <v>55</v>
      </c>
      <c r="Q74" s="11">
        <f t="shared" si="24"/>
        <v>60</v>
      </c>
      <c r="S74">
        <v>8</v>
      </c>
      <c r="T74" t="s">
        <v>201</v>
      </c>
      <c r="U74" t="s">
        <v>202</v>
      </c>
    </row>
    <row r="75" spans="2:25">
      <c r="D75" s="77" t="s">
        <v>182</v>
      </c>
      <c r="E75" s="78" cm="1">
        <f t="array" ref="E75">$H$395*2+$E$89/14+SUMPRODUCT($E$96:$E$97,$G$96:$G$97)/30+SUMPRODUCT($E$95,$G$95)/7+SUMPRODUCT($E$94,$G$94)+F75</f>
        <v>37.0476190476191</v>
      </c>
      <c r="F75" s="78">
        <v>12</v>
      </c>
      <c r="J75" s="11">
        <f t="shared" si="17"/>
        <v>5000</v>
      </c>
      <c r="K75" s="11">
        <f t="shared" si="18"/>
        <v>3710</v>
      </c>
      <c r="L75" s="11">
        <f t="shared" si="19"/>
        <v>3600</v>
      </c>
      <c r="M75" s="11">
        <f t="shared" si="20"/>
        <v>2640</v>
      </c>
      <c r="N75" s="11">
        <f t="shared" si="21"/>
        <v>2440</v>
      </c>
      <c r="O75" s="11">
        <f t="shared" si="22"/>
        <v>2240</v>
      </c>
      <c r="P75" s="11">
        <f t="shared" si="23"/>
        <v>2040</v>
      </c>
      <c r="Q75" s="11">
        <f t="shared" si="24"/>
        <v>1840</v>
      </c>
      <c r="S75">
        <v>16</v>
      </c>
      <c r="T75" t="s">
        <v>203</v>
      </c>
    </row>
    <row r="76" spans="2:25">
      <c r="J76" s="11">
        <f t="shared" si="17"/>
        <v>2500</v>
      </c>
      <c r="K76" s="11">
        <f t="shared" si="18"/>
        <v>2500</v>
      </c>
      <c r="L76" s="11">
        <f t="shared" si="19"/>
        <v>2500</v>
      </c>
      <c r="M76" s="11">
        <f t="shared" si="20"/>
        <v>2500</v>
      </c>
      <c r="N76" s="11">
        <f t="shared" si="21"/>
        <v>2500</v>
      </c>
      <c r="O76" s="11">
        <f t="shared" si="22"/>
        <v>2500</v>
      </c>
      <c r="P76" s="11">
        <f t="shared" si="23"/>
        <v>2500</v>
      </c>
      <c r="Q76" s="11">
        <f t="shared" si="24"/>
        <v>2500</v>
      </c>
      <c r="S76">
        <v>24</v>
      </c>
      <c r="T76" t="s">
        <v>204</v>
      </c>
    </row>
    <row r="77" spans="2:25">
      <c r="J77" s="11">
        <f t="shared" si="17"/>
        <v>0</v>
      </c>
      <c r="K77" s="11">
        <f t="shared" si="18"/>
        <v>1240</v>
      </c>
      <c r="L77" s="11">
        <f t="shared" si="19"/>
        <v>1300</v>
      </c>
      <c r="M77" s="11">
        <f t="shared" si="20"/>
        <v>1360</v>
      </c>
      <c r="N77" s="11">
        <f t="shared" si="21"/>
        <v>1420</v>
      </c>
      <c r="O77" s="11">
        <f t="shared" si="22"/>
        <v>1480</v>
      </c>
      <c r="P77" s="11">
        <f t="shared" si="23"/>
        <v>1540</v>
      </c>
      <c r="Q77" s="11">
        <f t="shared" si="24"/>
        <v>1600</v>
      </c>
      <c r="S77">
        <v>7</v>
      </c>
      <c r="T77" t="s">
        <v>205</v>
      </c>
    </row>
    <row r="78" spans="2:25">
      <c r="D78" s="2" t="s">
        <v>193</v>
      </c>
      <c r="E78" s="64" t="s">
        <v>206</v>
      </c>
      <c r="F78" s="64" t="s">
        <v>207</v>
      </c>
      <c r="J78" s="11">
        <f t="shared" si="17"/>
        <v>0</v>
      </c>
      <c r="K78" s="11">
        <f t="shared" si="18"/>
        <v>0</v>
      </c>
      <c r="L78" s="11">
        <f t="shared" si="19"/>
        <v>0</v>
      </c>
      <c r="M78" s="11">
        <f t="shared" si="20"/>
        <v>960</v>
      </c>
      <c r="N78" s="11">
        <f t="shared" si="21"/>
        <v>1020</v>
      </c>
      <c r="O78" s="11">
        <f t="shared" si="22"/>
        <v>1080</v>
      </c>
      <c r="P78" s="11">
        <f t="shared" si="23"/>
        <v>1140</v>
      </c>
      <c r="Q78" s="11">
        <f t="shared" si="24"/>
        <v>1200</v>
      </c>
      <c r="S78">
        <v>28</v>
      </c>
      <c r="T78" t="s">
        <v>208</v>
      </c>
    </row>
    <row r="79" spans="2:25">
      <c r="D79" s="65" t="s">
        <v>52</v>
      </c>
      <c r="E79" s="79">
        <f ca="1">MAX(OFFSET(载具预期!$AE$36:$AE$306,0,MATCH($D79,$D$79:$D$82,0)-1))/MAX(OFFSET(载具预期!$AO$36:$AO$306,0,MATCH($D79,$D$79:$D$82,0)-1))</f>
        <v>0.210552753479111</v>
      </c>
      <c r="F79" s="79">
        <f ca="1">MAX(OFFSET(载具预期!$AK$36:$AK$306,0,MATCH($D79,$D$79:$D$82,0)-1))/MAX(OFFSET(载具预期!$AO$36:$AO$306,0,MATCH($D79,$D$79:$D$82,0)-1))</f>
        <v>0.789447246520889</v>
      </c>
      <c r="J79" s="11">
        <f t="shared" si="17"/>
        <v>420</v>
      </c>
      <c r="K79" s="11">
        <f t="shared" si="18"/>
        <v>310</v>
      </c>
      <c r="L79" s="11">
        <f t="shared" si="19"/>
        <v>250</v>
      </c>
      <c r="M79" s="11">
        <f t="shared" si="20"/>
        <v>0</v>
      </c>
      <c r="N79" s="11">
        <f t="shared" si="21"/>
        <v>0</v>
      </c>
      <c r="O79" s="11">
        <f t="shared" si="22"/>
        <v>0</v>
      </c>
      <c r="P79" s="11">
        <f t="shared" si="23"/>
        <v>0</v>
      </c>
      <c r="Q79" s="11">
        <f t="shared" si="24"/>
        <v>0</v>
      </c>
      <c r="S79">
        <v>42</v>
      </c>
      <c r="T79" t="s">
        <v>209</v>
      </c>
    </row>
    <row r="80" spans="2:25">
      <c r="D80" s="65" t="s">
        <v>53</v>
      </c>
      <c r="E80" s="79">
        <f ca="1">MAX(OFFSET(载具预期!$AE$36:$AE$306,0,MATCH($D80,$D$79:$D$82,0)-1))/MAX(OFFSET(载具预期!$AO$36:$AO$306,0,MATCH($D80,$D$79:$D$82,0)-1))</f>
        <v>0.413586638489665</v>
      </c>
      <c r="F80" s="79">
        <f ca="1">MAX(OFFSET(载具预期!$AK$36:$AK$306,0,MATCH($D80,$D$79:$D$82,0)-1))/MAX(OFFSET(载具预期!$AO$36:$AO$306,0,MATCH($D80,$D$79:$D$82,0)-1))</f>
        <v>0.586413361510335</v>
      </c>
      <c r="J80" s="11">
        <f t="shared" si="17"/>
        <v>300</v>
      </c>
      <c r="K80" s="11">
        <f t="shared" si="18"/>
        <v>330</v>
      </c>
      <c r="L80" s="11">
        <f t="shared" si="19"/>
        <v>380</v>
      </c>
      <c r="M80" s="11">
        <f t="shared" si="20"/>
        <v>470</v>
      </c>
      <c r="N80" s="11">
        <f t="shared" si="21"/>
        <v>485</v>
      </c>
      <c r="O80" s="11">
        <f t="shared" si="22"/>
        <v>500</v>
      </c>
      <c r="P80" s="11">
        <f t="shared" si="23"/>
        <v>515</v>
      </c>
      <c r="Q80" s="11">
        <f t="shared" si="24"/>
        <v>530</v>
      </c>
      <c r="S80">
        <v>63</v>
      </c>
      <c r="T80" t="s">
        <v>210</v>
      </c>
    </row>
    <row r="81" spans="4:20">
      <c r="D81" s="65" t="s">
        <v>54</v>
      </c>
      <c r="E81" s="79">
        <f ca="1">MAX(OFFSET(载具预期!$AE$36:$AE$306,0,MATCH($D81,$D$79:$D$82,0)-1))/MAX(OFFSET(载具预期!$AO$36:$AO$306,0,MATCH($D81,$D$79:$D$82,0)-1))</f>
        <v>0.332379686263841</v>
      </c>
      <c r="F81" s="79">
        <f ca="1">MAX(OFFSET(载具预期!$AK$36:$AK$306,0,MATCH($D81,$D$79:$D$82,0)-1))/MAX(OFFSET(载具预期!$AO$36:$AO$306,0,MATCH($D81,$D$79:$D$82,0)-1))</f>
        <v>0.667620313736158</v>
      </c>
      <c r="J81" s="11">
        <f t="shared" si="17"/>
        <v>50</v>
      </c>
      <c r="K81" s="11">
        <f t="shared" si="18"/>
        <v>50</v>
      </c>
      <c r="L81" s="11">
        <f t="shared" si="19"/>
        <v>50</v>
      </c>
      <c r="M81" s="11">
        <f t="shared" si="20"/>
        <v>50</v>
      </c>
      <c r="N81" s="11">
        <f t="shared" si="21"/>
        <v>50</v>
      </c>
      <c r="O81" s="11">
        <f t="shared" si="22"/>
        <v>50</v>
      </c>
      <c r="P81" s="11">
        <f t="shared" si="23"/>
        <v>50</v>
      </c>
      <c r="Q81" s="11">
        <f t="shared" si="24"/>
        <v>50</v>
      </c>
      <c r="S81">
        <v>84</v>
      </c>
      <c r="T81" t="s">
        <v>211</v>
      </c>
    </row>
    <row r="82" spans="4:20">
      <c r="D82" s="65" t="s">
        <v>55</v>
      </c>
      <c r="E82" s="79">
        <f ca="1">MAX(OFFSET(载具预期!$AE$36:$AE$306,0,MATCH($D82,$D$79:$D$82,0)-1))/MAX(OFFSET(载具预期!$AO$36:$AO$306,0,MATCH($D82,$D$79:$D$82,0)-1))</f>
        <v>0.0492502080087486</v>
      </c>
      <c r="F82" s="79">
        <f ca="1">MAX(OFFSET(载具预期!$AK$36:$AK$306,0,MATCH($D82,$D$79:$D$82,0)-1))/MAX(OFFSET(载具预期!$AO$36:$AO$306,0,MATCH($D82,$D$79:$D$82,0)-1))</f>
        <v>0.950749791991251</v>
      </c>
      <c r="N82" s="11"/>
      <c r="O82" s="11"/>
      <c r="P82" s="11"/>
      <c r="Q82" s="11"/>
      <c r="S82">
        <v>103</v>
      </c>
      <c r="T82" t="s">
        <v>212</v>
      </c>
    </row>
    <row r="83" spans="4:20">
      <c r="K83"/>
      <c r="L83"/>
      <c r="M83"/>
      <c r="P83" s="11"/>
      <c r="Q83" s="11"/>
      <c r="S83">
        <v>5</v>
      </c>
      <c r="T83" t="s">
        <v>213</v>
      </c>
    </row>
    <row r="84" spans="4:20">
      <c r="K84"/>
      <c r="L84"/>
      <c r="M84"/>
      <c r="S84">
        <v>85</v>
      </c>
      <c r="T84" t="s">
        <v>214</v>
      </c>
    </row>
    <row r="85" spans="4:20">
      <c r="K85"/>
      <c r="L85"/>
      <c r="M85"/>
      <c r="S85">
        <v>165</v>
      </c>
      <c r="T85" t="s">
        <v>215</v>
      </c>
    </row>
    <row r="86" spans="4:20">
      <c r="K86"/>
      <c r="L86"/>
      <c r="M86"/>
      <c r="S86">
        <v>245</v>
      </c>
      <c r="T86" t="s">
        <v>216</v>
      </c>
    </row>
    <row r="87" spans="4:20">
      <c r="D87" s="11" t="s">
        <v>217</v>
      </c>
      <c r="K87"/>
      <c r="L87"/>
      <c r="M87"/>
      <c r="S87">
        <v>1</v>
      </c>
      <c r="T87" t="s">
        <v>218</v>
      </c>
    </row>
    <row r="88" spans="4:20">
      <c r="D88" s="2" t="s">
        <v>219</v>
      </c>
      <c r="E88" s="64" t="s">
        <v>31</v>
      </c>
      <c r="K88"/>
      <c r="L88"/>
      <c r="M88"/>
      <c r="O88" s="70"/>
      <c r="S88">
        <v>203</v>
      </c>
      <c r="T88" t="s">
        <v>220</v>
      </c>
    </row>
    <row r="89" spans="4:20">
      <c r="D89" s="80" t="s">
        <v>178</v>
      </c>
      <c r="E89" s="80">
        <v>20</v>
      </c>
      <c r="K89"/>
      <c r="L89"/>
      <c r="M89"/>
      <c r="O89" s="70" cm="1">
        <f t="array" ref="O89">SUMPRODUCT('[1]2.0大富翁抽奖'!O3:O6,'[1]2.0大富翁抽奖'!P3:P6)</f>
        <v>11400</v>
      </c>
      <c r="S89">
        <v>406</v>
      </c>
      <c r="T89" t="s">
        <v>221</v>
      </c>
    </row>
    <row r="90" spans="4:20">
      <c r="D90" s="80" t="s">
        <v>222</v>
      </c>
      <c r="E90" s="80">
        <v>49</v>
      </c>
      <c r="K90"/>
      <c r="L90"/>
      <c r="M90"/>
      <c r="O90" s="70"/>
      <c r="S90">
        <v>609</v>
      </c>
      <c r="T90" t="s">
        <v>223</v>
      </c>
    </row>
    <row r="92" spans="4:20">
      <c r="D92" s="36" cm="1">
        <f t="array" ref="D92">SUMPRODUCT(E94:E97,G94:G97)</f>
        <v>115</v>
      </c>
    </row>
    <row r="93" spans="4:20">
      <c r="D93" s="2" t="s">
        <v>224</v>
      </c>
      <c r="E93" s="64" t="s">
        <v>31</v>
      </c>
      <c r="F93" s="64" t="s">
        <v>225</v>
      </c>
      <c r="G93" s="64" t="s">
        <v>226</v>
      </c>
      <c r="H93" s="64" t="s">
        <v>227</v>
      </c>
    </row>
    <row r="94" spans="4:20">
      <c r="D94" s="80" t="s">
        <v>228</v>
      </c>
      <c r="E94" s="80">
        <v>3</v>
      </c>
      <c r="F94" s="80">
        <v>225</v>
      </c>
      <c r="G94" s="80">
        <v>5</v>
      </c>
      <c r="H94" s="80" t="str">
        <f>F94/(E94*$E$8)*10&amp;"折"</f>
        <v>5折</v>
      </c>
    </row>
    <row r="95" spans="4:20">
      <c r="D95" s="80" t="s">
        <v>229</v>
      </c>
      <c r="E95" s="80">
        <v>10</v>
      </c>
      <c r="F95" s="80">
        <v>600</v>
      </c>
      <c r="G95" s="80">
        <v>3</v>
      </c>
      <c r="H95" s="80" t="str">
        <f>F95/(E95*$E$8)*10&amp;"折"</f>
        <v>4折</v>
      </c>
    </row>
    <row r="96" spans="4:20">
      <c r="D96" s="80" t="s">
        <v>230</v>
      </c>
      <c r="E96" s="80">
        <v>10</v>
      </c>
      <c r="F96" s="80">
        <v>450</v>
      </c>
      <c r="G96" s="80">
        <v>3</v>
      </c>
      <c r="H96" s="80" t="str">
        <f>F96/(E96*$E$8)*10&amp;"折"</f>
        <v>3折</v>
      </c>
    </row>
    <row r="97" spans="2:18">
      <c r="D97" s="80" t="s">
        <v>230</v>
      </c>
      <c r="E97" s="80">
        <v>20</v>
      </c>
      <c r="F97" s="80">
        <v>1200</v>
      </c>
      <c r="G97" s="80">
        <v>2</v>
      </c>
      <c r="H97" s="80" t="str">
        <f>F97/(E97*$E$8)*10&amp;"折"</f>
        <v>4折</v>
      </c>
    </row>
    <row r="100" spans="2:18">
      <c r="E100" s="11" t="s">
        <v>181</v>
      </c>
      <c r="F100" s="11">
        <f>980/30</f>
        <v>32.6666666666667</v>
      </c>
    </row>
    <row r="101" spans="2:18">
      <c r="E101" s="11" t="s">
        <v>182</v>
      </c>
      <c r="F101" s="11">
        <f>F94*G94+F95*G95/7+(F96*G96+F97*G97)/30</f>
        <v>1507.14285714286</v>
      </c>
    </row>
    <row r="102" spans="2:18">
      <c r="O102" s="11"/>
    </row>
    <row r="103" spans="2:18">
      <c r="O103" s="11"/>
    </row>
    <row r="104" spans="2:18">
      <c r="O104" s="11"/>
    </row>
    <row r="105" spans="2:18">
      <c r="B105" s="34"/>
      <c r="C105" s="76" t="s">
        <v>231</v>
      </c>
    </row>
    <row r="106" spans="2:18">
      <c r="C106" s="76"/>
    </row>
    <row r="107" spans="2:18">
      <c r="C107" s="76"/>
      <c r="D107" s="2" t="s">
        <v>232</v>
      </c>
    </row>
    <row r="108" spans="2:18">
      <c r="C108" s="76"/>
      <c r="D108" s="80">
        <v>1</v>
      </c>
    </row>
    <row r="109" spans="2:18">
      <c r="C109" s="76"/>
    </row>
    <row r="110" spans="2:18">
      <c r="C110" s="35"/>
      <c r="E110" s="36" t="s">
        <v>181</v>
      </c>
      <c r="F110" s="36" t="s">
        <v>193</v>
      </c>
      <c r="G110" s="36">
        <f>_xlfn.XLOOKUP(G111,价值表!$F:$F,价值表!$H:$H)</f>
        <v>1</v>
      </c>
      <c r="H110" s="36">
        <f>_xlfn.XLOOKUP(H111,价值表!$F:$F,价值表!$H:$H)</f>
        <v>150</v>
      </c>
      <c r="I110" s="36">
        <f>_xlfn.XLOOKUP(I111,价值表!$F:$F,价值表!$H:$H)</f>
        <v>0.05</v>
      </c>
      <c r="J110" s="36">
        <f>_xlfn.XLOOKUP(J111,价值表!$F:$F,价值表!$H:$H)</f>
        <v>200</v>
      </c>
      <c r="K110" s="36">
        <f>_xlfn.XLOOKUP(K111,价值表!$F:$F,价值表!$H:$H)</f>
        <v>400</v>
      </c>
      <c r="L110" s="36">
        <f>_xlfn.XLOOKUP(L111,价值表!$F:$F,价值表!$H:$H)</f>
        <v>800</v>
      </c>
      <c r="M110" s="36">
        <f>_xlfn.XLOOKUP(M111,价值表!$F:$F,价值表!$H:$H)</f>
        <v>1600</v>
      </c>
    </row>
    <row r="111" spans="2:18">
      <c r="B111" s="11"/>
      <c r="C111" s="35"/>
      <c r="D111" s="2" t="s">
        <v>233</v>
      </c>
      <c r="E111" s="2" t="s">
        <v>234</v>
      </c>
      <c r="F111" s="2" t="s">
        <v>235</v>
      </c>
      <c r="G111" s="2" t="s">
        <v>32</v>
      </c>
      <c r="H111" s="2" t="s">
        <v>178</v>
      </c>
      <c r="I111" s="2" t="s">
        <v>33</v>
      </c>
      <c r="J111" s="2" t="s">
        <v>34</v>
      </c>
      <c r="K111" s="2" t="s">
        <v>35</v>
      </c>
      <c r="L111" s="2" t="s">
        <v>36</v>
      </c>
      <c r="M111" s="2" t="s">
        <v>37</v>
      </c>
      <c r="N111" s="2" t="s">
        <v>236</v>
      </c>
      <c r="O111" s="2" t="s">
        <v>237</v>
      </c>
    </row>
    <row r="112" spans="2:18">
      <c r="B112" s="11"/>
      <c r="C112" s="35"/>
      <c r="D112" s="81" t="s">
        <v>238</v>
      </c>
      <c r="E112" s="81">
        <v>45</v>
      </c>
      <c r="F112" s="81">
        <f ca="1">MATCH(E112,OFFSET(载具预期!$D$7:$D$306,0,MATCH($E$110,载具预期!$E$6:$H$6,0)),1)</f>
        <v>4</v>
      </c>
      <c r="G112" s="81">
        <f>SUMIF($D$156:$D$395,$D112,G$156:G$395)*$D$108</f>
        <v>700</v>
      </c>
      <c r="H112" s="81">
        <f>SUMIF($D$156:$D$395,$D112,H$156:H$395)*$D$108</f>
        <v>1</v>
      </c>
      <c r="I112" s="81">
        <f>SUMIF($D$156:$D$395,$D112,I$156:I$395)*$D$108</f>
        <v>3000</v>
      </c>
      <c r="J112" s="81">
        <f>SUMIF($D$156:$D$395,$D112,O$156:O$395)*SUMIF($D$156:$D$395,$D112,$N$156:$N$395)*$D$108+SUMIF($D$156:$D$395,$D112,J$156:J$395)*$D$108</f>
        <v>25</v>
      </c>
      <c r="K112" s="81">
        <f>SUMIF($D$156:$D$395,$D112,P$156:P$395)*SUMIF($D$156:$D$395,$D112,$N$156:$N$395)*$D$108+SUMIF($D$156:$D$395,$D112,K$156:K$395)*$D$108</f>
        <v>0</v>
      </c>
      <c r="L112" s="81">
        <f>SUMIF($D$156:$D$395,$D112,Q$156:Q$395)*SUMIF($D$156:$D$395,$D112,$N$156:$N$395)*$D$108+SUMIF($D$156:$D$395,$D112,L$156:L$395)*$D$108</f>
        <v>0</v>
      </c>
      <c r="M112" s="81">
        <f>SUMIF($D$156:$D$395,$D112,R$156:R$395)*SUMIF($D$156:$D$395,$D112,$N$156:$N$395)*$D$108+SUMIF($D$156:$D$395,$D112,M$156:M$395)*$D$108</f>
        <v>0</v>
      </c>
      <c r="N112" s="81" cm="1">
        <f t="array" ref="N112">SUMPRODUCT(J112:M112,$J$110:$M$110)</f>
        <v>5000</v>
      </c>
      <c r="O112" s="81" cm="1">
        <f t="array" ref="O112">SUMPRODUCT(G112:I112,$G$110:$I$110)</f>
        <v>1000</v>
      </c>
      <c r="P112">
        <f>SUM(J112:M112)</f>
        <v>25</v>
      </c>
      <c r="R112">
        <f>N112</f>
        <v>5000</v>
      </c>
    </row>
    <row r="113" spans="2:18">
      <c r="B113" s="11"/>
      <c r="C113" s="35"/>
      <c r="D113" s="81" t="s">
        <v>239</v>
      </c>
      <c r="E113" s="81">
        <v>55</v>
      </c>
      <c r="F113" s="81">
        <f ca="1">MATCH(E113,OFFSET(载具预期!$D$7:$D$306,0,MATCH($E$110,载具预期!$E$6:$H$6,0)),1)</f>
        <v>8</v>
      </c>
      <c r="G113" s="81">
        <f t="shared" ref="G113:G151" si="25">SUMIF($D$156:$D$395,$D113,G$156:G$395)*$D$108</f>
        <v>735</v>
      </c>
      <c r="H113" s="81">
        <f t="shared" ref="H113:H151" si="26">SUMIF($D$156:$D$395,$D113,H$156:H$395)*$D$108</f>
        <v>1</v>
      </c>
      <c r="I113" s="81">
        <f t="shared" ref="I113:I151" si="27">SUMIF($D$156:$D$395,$D113,I$156:I$395)*$D$108</f>
        <v>3250</v>
      </c>
      <c r="J113" s="81">
        <f t="shared" ref="J113:J151" si="28">SUMIF($D$156:$D$395,$D113,O$156:O$395)*SUMIF($D$156:$D$395,$D113,$N$156:$N$395)*$D$108+SUMIF($D$156:$D$395,$D113,J$156:J$395)*$D$108</f>
        <v>14.6</v>
      </c>
      <c r="K113" s="81">
        <f t="shared" ref="K113:K151" si="29">SUMIF($D$156:$D$395,$D113,P$156:P$395)*SUMIF($D$156:$D$395,$D113,$N$156:$N$395)*$D$108+SUMIF($D$156:$D$395,$D113,K$156:K$395)*$D$108</f>
        <v>5.4</v>
      </c>
      <c r="L113" s="81">
        <f t="shared" ref="L113:L151" si="30">SUMIF($D$156:$D$395,$D113,Q$156:Q$395)*SUMIF($D$156:$D$395,$D113,$N$156:$N$395)*$D$108+SUMIF($D$156:$D$395,$D113,L$156:L$395)*$D$108</f>
        <v>0</v>
      </c>
      <c r="M113" s="81">
        <f t="shared" ref="M113:M151" si="31">SUMIF($D$156:$D$395,$D113,R$156:R$395)*SUMIF($D$156:$D$395,$D113,$N$156:$N$395)*$D$108+SUMIF($D$156:$D$395,$D113,M$156:M$395)*$D$108</f>
        <v>0</v>
      </c>
      <c r="N113" s="81" cm="1">
        <f t="array" ref="N113">SUMPRODUCT(J113:M113,$J$110:$M$110)</f>
        <v>5080</v>
      </c>
      <c r="O113" s="81" cm="1">
        <f t="array" ref="O113">SUMPRODUCT(G113:I113,$G$110:$I$110)</f>
        <v>1047.5</v>
      </c>
      <c r="P113">
        <f t="shared" ref="P113:P151" si="32">SUM(J113:M113)</f>
        <v>20</v>
      </c>
      <c r="R113">
        <f>N113-N112</f>
        <v>80</v>
      </c>
    </row>
    <row r="114" spans="2:18">
      <c r="B114" s="11"/>
      <c r="C114" s="35"/>
      <c r="D114" s="81" t="s">
        <v>240</v>
      </c>
      <c r="E114" s="81">
        <v>65</v>
      </c>
      <c r="F114" s="81">
        <f ca="1">MATCH(E114,OFFSET(载具预期!$D$7:$D$306,0,MATCH($E$110,载具预期!$E$6:$H$6,0)),1)</f>
        <v>11</v>
      </c>
      <c r="G114" s="81">
        <f t="shared" si="25"/>
        <v>770</v>
      </c>
      <c r="H114" s="81">
        <f t="shared" si="26"/>
        <v>1</v>
      </c>
      <c r="I114" s="81">
        <f t="shared" si="27"/>
        <v>3500</v>
      </c>
      <c r="J114" s="81">
        <f t="shared" si="28"/>
        <v>15</v>
      </c>
      <c r="K114" s="81">
        <f t="shared" si="29"/>
        <v>7</v>
      </c>
      <c r="L114" s="81">
        <f t="shared" si="30"/>
        <v>0</v>
      </c>
      <c r="M114" s="81">
        <f t="shared" si="31"/>
        <v>0</v>
      </c>
      <c r="N114" s="81" cm="1">
        <f t="array" ref="N114">SUMPRODUCT(J114:M114,$J$110:$M$110)</f>
        <v>5800</v>
      </c>
      <c r="O114" s="81" cm="1">
        <f t="array" ref="O114">SUMPRODUCT(G114:I114,$G$110:$I$110)</f>
        <v>1095</v>
      </c>
      <c r="P114">
        <f t="shared" si="32"/>
        <v>22</v>
      </c>
      <c r="R114">
        <f t="shared" ref="R114:R133" si="33">N114-N113</f>
        <v>720</v>
      </c>
    </row>
    <row r="115" spans="2:18">
      <c r="B115" s="11"/>
      <c r="C115" s="35"/>
      <c r="D115" s="81" t="s">
        <v>241</v>
      </c>
      <c r="E115" s="81">
        <v>75</v>
      </c>
      <c r="F115" s="81">
        <f ca="1">MATCH(E115,OFFSET(载具预期!$D$7:$D$306,0,MATCH($E$110,载具预期!$E$6:$H$6,0)),1)</f>
        <v>19</v>
      </c>
      <c r="G115" s="81">
        <f t="shared" si="25"/>
        <v>805</v>
      </c>
      <c r="H115" s="81">
        <f t="shared" si="26"/>
        <v>1</v>
      </c>
      <c r="I115" s="81">
        <f t="shared" si="27"/>
        <v>3750</v>
      </c>
      <c r="J115" s="81">
        <f t="shared" si="28"/>
        <v>13.4</v>
      </c>
      <c r="K115" s="81">
        <f t="shared" si="29"/>
        <v>9.6</v>
      </c>
      <c r="L115" s="81">
        <f t="shared" si="30"/>
        <v>0</v>
      </c>
      <c r="M115" s="81">
        <f t="shared" si="31"/>
        <v>0</v>
      </c>
      <c r="N115" s="81" cm="1">
        <f t="array" ref="N115">SUMPRODUCT(J115:M115,$J$110:$M$110)</f>
        <v>6520</v>
      </c>
      <c r="O115" s="81" cm="1">
        <f t="array" ref="O115">SUMPRODUCT(G115:I115,$G$110:$I$110)</f>
        <v>1142.5</v>
      </c>
      <c r="P115">
        <f t="shared" si="32"/>
        <v>23</v>
      </c>
      <c r="R115">
        <f t="shared" si="33"/>
        <v>720</v>
      </c>
    </row>
    <row r="116" spans="2:18">
      <c r="B116" s="11"/>
      <c r="C116" s="35"/>
      <c r="D116" s="81" t="s">
        <v>242</v>
      </c>
      <c r="E116" s="81">
        <v>85</v>
      </c>
      <c r="F116" s="81">
        <f ca="1">MATCH(E116,OFFSET(载具预期!$D$7:$D$306,0,MATCH($E$110,载具预期!$E$6:$H$6,0)),1)</f>
        <v>29</v>
      </c>
      <c r="G116" s="81">
        <f t="shared" si="25"/>
        <v>840</v>
      </c>
      <c r="H116" s="81">
        <f t="shared" si="26"/>
        <v>1</v>
      </c>
      <c r="I116" s="81">
        <f t="shared" si="27"/>
        <v>4000</v>
      </c>
      <c r="J116" s="81">
        <f t="shared" si="28"/>
        <v>13.8</v>
      </c>
      <c r="K116" s="81">
        <f t="shared" si="29"/>
        <v>10.96</v>
      </c>
      <c r="L116" s="81">
        <f t="shared" si="30"/>
        <v>0.24</v>
      </c>
      <c r="M116" s="81">
        <f t="shared" si="31"/>
        <v>0</v>
      </c>
      <c r="N116" s="81" cm="1">
        <f t="array" ref="N116">SUMPRODUCT(J116:M116,$J$110:$M$110)</f>
        <v>7336</v>
      </c>
      <c r="O116" s="81" cm="1">
        <f t="array" ref="O116">SUMPRODUCT(G116:I116,$G$110:$I$110)</f>
        <v>1190</v>
      </c>
      <c r="P116">
        <f t="shared" si="32"/>
        <v>25</v>
      </c>
      <c r="R116">
        <f t="shared" si="33"/>
        <v>816</v>
      </c>
    </row>
    <row r="117" spans="2:18">
      <c r="B117" s="11"/>
      <c r="C117" s="35"/>
      <c r="D117" s="81" t="s">
        <v>243</v>
      </c>
      <c r="E117" s="81">
        <v>95</v>
      </c>
      <c r="F117" s="81">
        <f ca="1">MATCH(E117,OFFSET(载具预期!$D$7:$D$306,0,MATCH($E$110,载具预期!$E$6:$H$6,0)),1)</f>
        <v>39</v>
      </c>
      <c r="G117" s="81">
        <f t="shared" si="25"/>
        <v>875</v>
      </c>
      <c r="H117" s="81">
        <f t="shared" si="26"/>
        <v>1</v>
      </c>
      <c r="I117" s="81">
        <f t="shared" si="27"/>
        <v>4250</v>
      </c>
      <c r="J117" s="81">
        <f t="shared" si="28"/>
        <v>13</v>
      </c>
      <c r="K117" s="81">
        <f t="shared" si="29"/>
        <v>12.52</v>
      </c>
      <c r="L117" s="81">
        <f t="shared" si="30"/>
        <v>0.48</v>
      </c>
      <c r="M117" s="81">
        <f t="shared" si="31"/>
        <v>0</v>
      </c>
      <c r="N117" s="81" cm="1">
        <f t="array" ref="N117">SUMPRODUCT(J117:M117,$J$110:$M$110)</f>
        <v>7992</v>
      </c>
      <c r="O117" s="81" cm="1">
        <f t="array" ref="O117">SUMPRODUCT(G117:I117,$G$110:$I$110)</f>
        <v>1237.5</v>
      </c>
      <c r="P117">
        <f t="shared" si="32"/>
        <v>26</v>
      </c>
      <c r="R117">
        <f t="shared" si="33"/>
        <v>656</v>
      </c>
    </row>
    <row r="118" spans="2:18">
      <c r="B118" s="11"/>
      <c r="C118" s="35"/>
      <c r="D118" s="81" t="s">
        <v>244</v>
      </c>
      <c r="E118" s="81">
        <v>105</v>
      </c>
      <c r="F118" s="81">
        <f ca="1">MATCH(E118,OFFSET(载具预期!$D$7:$D$306,0,MATCH($E$110,载具预期!$E$6:$H$6,0)),1)</f>
        <v>49</v>
      </c>
      <c r="G118" s="81">
        <f t="shared" si="25"/>
        <v>910</v>
      </c>
      <c r="H118" s="81">
        <f t="shared" si="26"/>
        <v>1</v>
      </c>
      <c r="I118" s="81">
        <f t="shared" si="27"/>
        <v>4500</v>
      </c>
      <c r="J118" s="81">
        <f t="shared" si="28"/>
        <v>14</v>
      </c>
      <c r="K118" s="81">
        <f t="shared" si="29"/>
        <v>12.28</v>
      </c>
      <c r="L118" s="81">
        <f t="shared" si="30"/>
        <v>0.72</v>
      </c>
      <c r="M118" s="81">
        <f t="shared" si="31"/>
        <v>0</v>
      </c>
      <c r="N118" s="81" cm="1">
        <f t="array" ref="N118">SUMPRODUCT(J118:M118,$J$110:$M$110)</f>
        <v>8288</v>
      </c>
      <c r="O118" s="81" cm="1">
        <f t="array" ref="O118">SUMPRODUCT(G118:I118,$G$110:$I$110)</f>
        <v>1285</v>
      </c>
      <c r="P118">
        <f t="shared" si="32"/>
        <v>27</v>
      </c>
      <c r="R118">
        <f t="shared" si="33"/>
        <v>296</v>
      </c>
    </row>
    <row r="119" spans="2:18">
      <c r="B119" s="11"/>
      <c r="C119" s="35"/>
      <c r="D119" s="82" t="s">
        <v>245</v>
      </c>
      <c r="E119" s="82">
        <v>115</v>
      </c>
      <c r="F119" s="82">
        <f ca="1">MATCH(E119,OFFSET(载具预期!$D$7:$D$306,0,MATCH($E$110,载具预期!$E$6:$H$6,0)),1)</f>
        <v>59</v>
      </c>
      <c r="G119" s="82">
        <f t="shared" si="25"/>
        <v>945</v>
      </c>
      <c r="H119" s="82">
        <f t="shared" si="26"/>
        <v>1</v>
      </c>
      <c r="I119" s="82">
        <f t="shared" si="27"/>
        <v>4750</v>
      </c>
      <c r="J119" s="82">
        <f t="shared" si="28"/>
        <v>14</v>
      </c>
      <c r="K119" s="82">
        <f t="shared" si="29"/>
        <v>13.04</v>
      </c>
      <c r="L119" s="82">
        <f t="shared" si="30"/>
        <v>0.96</v>
      </c>
      <c r="M119" s="82">
        <f t="shared" si="31"/>
        <v>0</v>
      </c>
      <c r="N119" s="81" cm="1">
        <f t="array" ref="N119">SUMPRODUCT(J119:M119,$J$110:$M$110)</f>
        <v>8784</v>
      </c>
      <c r="O119" s="81" cm="1">
        <f t="array" ref="O119">SUMPRODUCT(G119:I119,$G$110:$I$110)</f>
        <v>1332.5</v>
      </c>
      <c r="P119">
        <f t="shared" si="32"/>
        <v>28</v>
      </c>
      <c r="R119">
        <f t="shared" si="33"/>
        <v>496</v>
      </c>
    </row>
    <row r="120" spans="2:18">
      <c r="B120" s="11"/>
      <c r="C120" s="35"/>
      <c r="D120" s="81" t="s">
        <v>246</v>
      </c>
      <c r="E120" s="81">
        <v>125</v>
      </c>
      <c r="F120" s="81">
        <f ca="1">MATCH(E120,OFFSET(载具预期!$D$7:$D$306,0,MATCH($E$110,载具预期!$E$6:$H$6,0)),1)</f>
        <v>75</v>
      </c>
      <c r="G120" s="81">
        <f t="shared" si="25"/>
        <v>980</v>
      </c>
      <c r="H120" s="81">
        <f t="shared" si="26"/>
        <v>1</v>
      </c>
      <c r="I120" s="81">
        <f t="shared" si="27"/>
        <v>5000</v>
      </c>
      <c r="J120" s="81">
        <f t="shared" si="28"/>
        <v>15</v>
      </c>
      <c r="K120" s="81">
        <f t="shared" si="29"/>
        <v>12.8</v>
      </c>
      <c r="L120" s="81">
        <f t="shared" si="30"/>
        <v>1.2</v>
      </c>
      <c r="M120" s="81">
        <f t="shared" si="31"/>
        <v>0</v>
      </c>
      <c r="N120" s="81" cm="1">
        <f t="array" ref="N120">SUMPRODUCT(J120:M120,$J$110:$M$110)</f>
        <v>9080</v>
      </c>
      <c r="O120" s="81" cm="1">
        <f t="array" ref="O120">SUMPRODUCT(G120:I120,$G$110:$I$110)</f>
        <v>1380</v>
      </c>
      <c r="P120">
        <f t="shared" si="32"/>
        <v>29</v>
      </c>
      <c r="R120">
        <f t="shared" si="33"/>
        <v>296</v>
      </c>
    </row>
    <row r="121" spans="2:18">
      <c r="B121" s="11"/>
      <c r="C121" s="35"/>
      <c r="D121" s="81" t="s">
        <v>247</v>
      </c>
      <c r="E121" s="81">
        <v>135</v>
      </c>
      <c r="F121" s="81">
        <f ca="1">MATCH(E121,OFFSET(载具预期!$D$7:$D$306,0,MATCH($E$110,载具预期!$E$6:$H$6,0)),1)</f>
        <v>95</v>
      </c>
      <c r="G121" s="81">
        <f t="shared" si="25"/>
        <v>1015</v>
      </c>
      <c r="H121" s="81">
        <f t="shared" si="26"/>
        <v>1</v>
      </c>
      <c r="I121" s="81">
        <f t="shared" si="27"/>
        <v>5250</v>
      </c>
      <c r="J121" s="81">
        <f t="shared" si="28"/>
        <v>9</v>
      </c>
      <c r="K121" s="81">
        <f t="shared" si="29"/>
        <v>14.56</v>
      </c>
      <c r="L121" s="81">
        <f t="shared" si="30"/>
        <v>1.44</v>
      </c>
      <c r="M121" s="81">
        <f t="shared" si="31"/>
        <v>0</v>
      </c>
      <c r="N121" s="81" cm="1">
        <f t="array" ref="N121">SUMPRODUCT(J121:M121,$J$110:$M$110)</f>
        <v>8776</v>
      </c>
      <c r="O121" s="81" cm="1">
        <f t="array" ref="O121">SUMPRODUCT(G121:I121,$G$110:$I$110)</f>
        <v>1427.5</v>
      </c>
      <c r="P121">
        <f t="shared" si="32"/>
        <v>25</v>
      </c>
      <c r="R121" s="83">
        <f t="shared" si="33"/>
        <v>-304</v>
      </c>
    </row>
    <row r="122" spans="2:18">
      <c r="B122" s="11"/>
      <c r="C122" s="35"/>
      <c r="D122" s="82" t="s">
        <v>248</v>
      </c>
      <c r="E122" s="82">
        <v>145</v>
      </c>
      <c r="F122" s="82">
        <f ca="1">MATCH(E122,OFFSET(载具预期!$D$7:$D$306,0,MATCH($E$110,载具预期!$E$6:$H$6,0)),1)</f>
        <v>115</v>
      </c>
      <c r="G122" s="82">
        <f t="shared" si="25"/>
        <v>1050</v>
      </c>
      <c r="H122" s="82">
        <f t="shared" si="26"/>
        <v>1</v>
      </c>
      <c r="I122" s="82">
        <f t="shared" si="27"/>
        <v>5500</v>
      </c>
      <c r="J122" s="82">
        <f t="shared" si="28"/>
        <v>9</v>
      </c>
      <c r="K122" s="82">
        <f t="shared" si="29"/>
        <v>9.32</v>
      </c>
      <c r="L122" s="82">
        <f t="shared" si="30"/>
        <v>3.68</v>
      </c>
      <c r="M122" s="82">
        <f t="shared" si="31"/>
        <v>0</v>
      </c>
      <c r="N122" s="81" cm="1">
        <f t="array" ref="N122">SUMPRODUCT(J122:M122,$J$110:$M$110)</f>
        <v>8472</v>
      </c>
      <c r="O122" s="81" cm="1">
        <f t="array" ref="O122">SUMPRODUCT(G122:I122,$G$110:$I$110)</f>
        <v>1475</v>
      </c>
      <c r="P122">
        <f t="shared" si="32"/>
        <v>22</v>
      </c>
      <c r="R122" s="83">
        <f t="shared" si="33"/>
        <v>-304</v>
      </c>
    </row>
    <row r="123" spans="2:18">
      <c r="B123" s="11"/>
      <c r="C123" s="35"/>
      <c r="D123" s="81" t="s">
        <v>249</v>
      </c>
      <c r="E123" s="81">
        <v>155</v>
      </c>
      <c r="F123" s="81">
        <f ca="1">MATCH(E123,OFFSET(载具预期!$D$7:$D$306,0,MATCH($E$110,载具预期!$E$6:$H$6,0)),1)</f>
        <v>135</v>
      </c>
      <c r="G123" s="81">
        <f t="shared" si="25"/>
        <v>1085</v>
      </c>
      <c r="H123" s="81">
        <f t="shared" si="26"/>
        <v>1</v>
      </c>
      <c r="I123" s="81">
        <f t="shared" si="27"/>
        <v>5750</v>
      </c>
      <c r="J123" s="81">
        <f t="shared" si="28"/>
        <v>9</v>
      </c>
      <c r="K123" s="81">
        <f t="shared" si="29"/>
        <v>10.08</v>
      </c>
      <c r="L123" s="81">
        <f t="shared" si="30"/>
        <v>3.92</v>
      </c>
      <c r="M123" s="81">
        <f t="shared" si="31"/>
        <v>0</v>
      </c>
      <c r="N123" s="81" cm="1">
        <f t="array" ref="N123">SUMPRODUCT(J123:M123,$J$110:$M$110)</f>
        <v>8968</v>
      </c>
      <c r="O123" s="81" cm="1">
        <f t="array" ref="O123">SUMPRODUCT(G123:I123,$G$110:$I$110)</f>
        <v>1522.5</v>
      </c>
      <c r="P123">
        <f t="shared" si="32"/>
        <v>23</v>
      </c>
      <c r="R123">
        <f t="shared" si="33"/>
        <v>496</v>
      </c>
    </row>
    <row r="124" spans="2:18">
      <c r="B124" s="11"/>
      <c r="C124" s="35"/>
      <c r="D124" s="81" t="s">
        <v>250</v>
      </c>
      <c r="E124" s="81">
        <v>165</v>
      </c>
      <c r="F124" s="81">
        <f ca="1">MATCH(E124,OFFSET(载具预期!$D$7:$D$306,0,MATCH($E$110,载具预期!$E$6:$H$6,0)),1)</f>
        <v>155</v>
      </c>
      <c r="G124" s="81">
        <f t="shared" si="25"/>
        <v>1120</v>
      </c>
      <c r="H124" s="81">
        <f t="shared" si="26"/>
        <v>1</v>
      </c>
      <c r="I124" s="81">
        <f t="shared" si="27"/>
        <v>6000</v>
      </c>
      <c r="J124" s="81">
        <f t="shared" si="28"/>
        <v>9</v>
      </c>
      <c r="K124" s="81">
        <f t="shared" si="29"/>
        <v>9.84</v>
      </c>
      <c r="L124" s="81">
        <f t="shared" si="30"/>
        <v>5.16</v>
      </c>
      <c r="M124" s="81">
        <f t="shared" si="31"/>
        <v>0</v>
      </c>
      <c r="N124" s="81" cm="1">
        <f t="array" ref="N124">SUMPRODUCT(J124:M124,$J$110:$M$110)</f>
        <v>9864</v>
      </c>
      <c r="O124" s="81" cm="1">
        <f t="array" ref="O124">SUMPRODUCT(G124:I124,$G$110:$I$110)</f>
        <v>1570</v>
      </c>
      <c r="P124">
        <f t="shared" si="32"/>
        <v>24</v>
      </c>
      <c r="R124">
        <f t="shared" si="33"/>
        <v>896</v>
      </c>
    </row>
    <row r="125" spans="2:18">
      <c r="B125" s="11"/>
      <c r="C125" s="35"/>
      <c r="D125" s="81" t="s">
        <v>251</v>
      </c>
      <c r="E125" s="81">
        <v>175</v>
      </c>
      <c r="F125" s="81">
        <f ca="1">MATCH(E125,OFFSET(载具预期!$D$7:$D$306,0,MATCH($E$110,载具预期!$E$6:$H$6,0)),1)</f>
        <v>175</v>
      </c>
      <c r="G125" s="81">
        <f t="shared" si="25"/>
        <v>1155</v>
      </c>
      <c r="H125" s="81">
        <f t="shared" si="26"/>
        <v>1</v>
      </c>
      <c r="I125" s="81">
        <f t="shared" si="27"/>
        <v>6250</v>
      </c>
      <c r="J125" s="81">
        <f t="shared" si="28"/>
        <v>9</v>
      </c>
      <c r="K125" s="81">
        <f t="shared" si="29"/>
        <v>10.6</v>
      </c>
      <c r="L125" s="81">
        <f t="shared" si="30"/>
        <v>5.4</v>
      </c>
      <c r="M125" s="81">
        <f t="shared" si="31"/>
        <v>0</v>
      </c>
      <c r="N125" s="81" cm="1">
        <f t="array" ref="N125">SUMPRODUCT(J125:M125,$J$110:$M$110)</f>
        <v>10360</v>
      </c>
      <c r="O125" s="81" cm="1">
        <f t="array" ref="O125">SUMPRODUCT(G125:I125,$G$110:$I$110)</f>
        <v>1617.5</v>
      </c>
      <c r="P125">
        <f t="shared" si="32"/>
        <v>25</v>
      </c>
      <c r="R125">
        <f t="shared" si="33"/>
        <v>496</v>
      </c>
    </row>
    <row r="126" spans="2:18">
      <c r="B126" s="11"/>
      <c r="C126" s="35"/>
      <c r="D126" s="81" t="s">
        <v>252</v>
      </c>
      <c r="E126" s="81">
        <v>185</v>
      </c>
      <c r="F126" s="81">
        <f ca="1">MATCH(E126,OFFSET(载具预期!$D$7:$D$306,0,MATCH($E$110,载具预期!$E$6:$H$6,0)),1)</f>
        <v>195</v>
      </c>
      <c r="G126" s="81">
        <f t="shared" si="25"/>
        <v>1190</v>
      </c>
      <c r="H126" s="81">
        <f t="shared" si="26"/>
        <v>1</v>
      </c>
      <c r="I126" s="81">
        <f t="shared" si="27"/>
        <v>6500</v>
      </c>
      <c r="J126" s="81">
        <f t="shared" si="28"/>
        <v>9</v>
      </c>
      <c r="K126" s="81">
        <f t="shared" si="29"/>
        <v>10.36</v>
      </c>
      <c r="L126" s="81">
        <f t="shared" si="30"/>
        <v>6.64</v>
      </c>
      <c r="M126" s="81">
        <f t="shared" si="31"/>
        <v>0</v>
      </c>
      <c r="N126" s="81" cm="1">
        <f t="array" ref="N126">SUMPRODUCT(J126:M126,$J$110:$M$110)</f>
        <v>11256</v>
      </c>
      <c r="O126" s="81" cm="1">
        <f t="array" ref="O126">SUMPRODUCT(G126:I126,$G$110:$I$110)</f>
        <v>1665</v>
      </c>
      <c r="P126">
        <f t="shared" si="32"/>
        <v>26</v>
      </c>
      <c r="R126">
        <f t="shared" si="33"/>
        <v>896</v>
      </c>
    </row>
    <row r="127" spans="2:18">
      <c r="B127" s="11"/>
      <c r="C127" s="35"/>
      <c r="D127" s="81" t="s">
        <v>253</v>
      </c>
      <c r="E127" s="81">
        <v>195</v>
      </c>
      <c r="F127" s="81">
        <f ca="1">MATCH(E127,OFFSET(载具预期!$D$7:$D$306,0,MATCH($E$110,载具预期!$E$6:$H$6,0)),1)</f>
        <v>215</v>
      </c>
      <c r="G127" s="81">
        <f t="shared" si="25"/>
        <v>1225</v>
      </c>
      <c r="H127" s="81">
        <f t="shared" si="26"/>
        <v>1</v>
      </c>
      <c r="I127" s="81">
        <f t="shared" si="27"/>
        <v>6750</v>
      </c>
      <c r="J127" s="81">
        <f t="shared" si="28"/>
        <v>9</v>
      </c>
      <c r="K127" s="81">
        <f t="shared" si="29"/>
        <v>11.12</v>
      </c>
      <c r="L127" s="81">
        <f t="shared" si="30"/>
        <v>6.64</v>
      </c>
      <c r="M127" s="81">
        <f t="shared" si="31"/>
        <v>0.24</v>
      </c>
      <c r="N127" s="81" cm="1">
        <f t="array" ref="N127">SUMPRODUCT(J127:M127,$J$110:$M$110)</f>
        <v>11944</v>
      </c>
      <c r="O127" s="81" cm="1">
        <f t="array" ref="O127">SUMPRODUCT(G127:I127,$G$110:$I$110)</f>
        <v>1712.5</v>
      </c>
      <c r="P127">
        <f t="shared" si="32"/>
        <v>27</v>
      </c>
      <c r="R127">
        <f t="shared" si="33"/>
        <v>688</v>
      </c>
    </row>
    <row r="128" spans="2:18">
      <c r="B128" s="11"/>
      <c r="C128" s="35"/>
      <c r="D128" s="81" t="s">
        <v>254</v>
      </c>
      <c r="E128" s="81">
        <v>205</v>
      </c>
      <c r="F128" s="81">
        <f ca="1">MATCH(E128,OFFSET(载具预期!$D$7:$D$306,0,MATCH($E$110,载具预期!$E$6:$H$6,0)),1)</f>
        <v>247</v>
      </c>
      <c r="G128" s="81">
        <f t="shared" si="25"/>
        <v>1260</v>
      </c>
      <c r="H128" s="81">
        <f t="shared" si="26"/>
        <v>1</v>
      </c>
      <c r="I128" s="81">
        <f t="shared" si="27"/>
        <v>7000</v>
      </c>
      <c r="J128" s="81">
        <f t="shared" si="28"/>
        <v>9</v>
      </c>
      <c r="K128" s="81">
        <f t="shared" si="29"/>
        <v>10.64</v>
      </c>
      <c r="L128" s="81">
        <f t="shared" si="30"/>
        <v>7.88</v>
      </c>
      <c r="M128" s="81">
        <f t="shared" si="31"/>
        <v>0.48</v>
      </c>
      <c r="N128" s="81" cm="1">
        <f t="array" ref="N128">SUMPRODUCT(J128:M128,$J$110:$M$110)</f>
        <v>13128</v>
      </c>
      <c r="O128" s="81" cm="1">
        <f t="array" ref="O128">SUMPRODUCT(G128:I128,$G$110:$I$110)</f>
        <v>1760</v>
      </c>
      <c r="P128">
        <f t="shared" si="32"/>
        <v>28</v>
      </c>
      <c r="R128">
        <f t="shared" si="33"/>
        <v>1184</v>
      </c>
    </row>
    <row r="129" spans="2:18">
      <c r="B129" s="11"/>
      <c r="C129" s="35"/>
      <c r="D129" s="81" t="s">
        <v>255</v>
      </c>
      <c r="E129" s="81">
        <v>215</v>
      </c>
      <c r="F129" s="81">
        <f ca="1">MATCH(E129,OFFSET(载具预期!$D$7:$D$306,0,MATCH($E$110,载具预期!$E$6:$H$6,0)),1)</f>
        <v>287</v>
      </c>
      <c r="G129" s="81">
        <f t="shared" si="25"/>
        <v>1295</v>
      </c>
      <c r="H129" s="81">
        <f t="shared" si="26"/>
        <v>1</v>
      </c>
      <c r="I129" s="81">
        <f t="shared" si="27"/>
        <v>7250</v>
      </c>
      <c r="J129" s="81">
        <f t="shared" si="28"/>
        <v>9</v>
      </c>
      <c r="K129" s="81">
        <f t="shared" si="29"/>
        <v>10.16</v>
      </c>
      <c r="L129" s="81">
        <f t="shared" si="30"/>
        <v>8.12</v>
      </c>
      <c r="M129" s="81">
        <f t="shared" si="31"/>
        <v>0.72</v>
      </c>
      <c r="N129" s="81" cm="1">
        <f t="array" ref="N129">SUMPRODUCT(J129:M129,$J$110:$M$110)</f>
        <v>13512</v>
      </c>
      <c r="O129" s="81" cm="1">
        <f t="array" ref="O129">SUMPRODUCT(G129:I129,$G$110:$I$110)</f>
        <v>1807.5</v>
      </c>
      <c r="P129">
        <f t="shared" si="32"/>
        <v>28</v>
      </c>
      <c r="R129">
        <f t="shared" si="33"/>
        <v>384</v>
      </c>
    </row>
    <row r="130" spans="2:18">
      <c r="B130" s="11"/>
      <c r="C130" s="35"/>
      <c r="D130" s="81" t="s">
        <v>256</v>
      </c>
      <c r="E130" s="81">
        <v>225</v>
      </c>
      <c r="F130" s="81">
        <f ca="1">MATCH(E130,OFFSET(载具预期!$D$7:$D$306,0,MATCH($E$110,载具预期!$E$6:$H$6,0)),1)</f>
        <v>300</v>
      </c>
      <c r="G130" s="81">
        <f t="shared" si="25"/>
        <v>1330</v>
      </c>
      <c r="H130" s="81">
        <f t="shared" si="26"/>
        <v>1</v>
      </c>
      <c r="I130" s="81">
        <f t="shared" si="27"/>
        <v>7500</v>
      </c>
      <c r="J130" s="81">
        <f t="shared" si="28"/>
        <v>9</v>
      </c>
      <c r="K130" s="81">
        <f t="shared" si="29"/>
        <v>9.68</v>
      </c>
      <c r="L130" s="81">
        <f t="shared" si="30"/>
        <v>8.36</v>
      </c>
      <c r="M130" s="81">
        <f t="shared" si="31"/>
        <v>0.96</v>
      </c>
      <c r="N130" s="81" cm="1">
        <f t="array" ref="N130">SUMPRODUCT(J130:M130,$J$110:$M$110)</f>
        <v>13896</v>
      </c>
      <c r="O130" s="81" cm="1">
        <f t="array" ref="O130">SUMPRODUCT(G130:I130,$G$110:$I$110)</f>
        <v>1855</v>
      </c>
      <c r="P130">
        <f t="shared" si="32"/>
        <v>28</v>
      </c>
      <c r="R130">
        <f t="shared" si="33"/>
        <v>384</v>
      </c>
    </row>
    <row r="131" spans="2:18">
      <c r="B131" s="11"/>
      <c r="C131" s="35"/>
      <c r="D131" s="81" t="s">
        <v>257</v>
      </c>
      <c r="E131" s="81">
        <v>235</v>
      </c>
      <c r="F131" s="81">
        <f ca="1">MATCH(E131,OFFSET(载具预期!$D$7:$D$306,0,MATCH($E$110,载具预期!$E$6:$H$6,0)),1)</f>
        <v>300</v>
      </c>
      <c r="G131" s="81">
        <f t="shared" si="25"/>
        <v>1365</v>
      </c>
      <c r="H131" s="81">
        <f t="shared" si="26"/>
        <v>1</v>
      </c>
      <c r="I131" s="81">
        <f t="shared" si="27"/>
        <v>7750</v>
      </c>
      <c r="J131" s="81">
        <f t="shared" si="28"/>
        <v>9</v>
      </c>
      <c r="K131" s="81">
        <f t="shared" si="29"/>
        <v>9.2</v>
      </c>
      <c r="L131" s="81">
        <f t="shared" si="30"/>
        <v>8.6</v>
      </c>
      <c r="M131" s="81">
        <f t="shared" si="31"/>
        <v>1.2</v>
      </c>
      <c r="N131" s="81" cm="1">
        <f t="array" ref="N131">SUMPRODUCT(J131:M131,$J$110:$M$110)</f>
        <v>14280</v>
      </c>
      <c r="O131" s="81" cm="1">
        <f t="array" ref="O131">SUMPRODUCT(G131:I131,$G$110:$I$110)</f>
        <v>1902.5</v>
      </c>
      <c r="P131">
        <f t="shared" si="32"/>
        <v>28</v>
      </c>
      <c r="R131">
        <f t="shared" si="33"/>
        <v>384</v>
      </c>
    </row>
    <row r="132" spans="2:18">
      <c r="B132" s="11"/>
      <c r="C132" s="35"/>
      <c r="D132" s="81" t="s">
        <v>258</v>
      </c>
      <c r="E132" s="81">
        <v>245</v>
      </c>
      <c r="F132" s="81">
        <f ca="1">MATCH(E132,OFFSET(载具预期!$D$7:$D$306,0,MATCH($E$110,载具预期!$E$6:$H$6,0)),1)</f>
        <v>300</v>
      </c>
      <c r="G132" s="81">
        <f t="shared" si="25"/>
        <v>1400</v>
      </c>
      <c r="H132" s="81">
        <f t="shared" si="26"/>
        <v>1</v>
      </c>
      <c r="I132" s="81">
        <f t="shared" si="27"/>
        <v>8000</v>
      </c>
      <c r="J132" s="81">
        <f t="shared" si="28"/>
        <v>9</v>
      </c>
      <c r="K132" s="81">
        <f t="shared" si="29"/>
        <v>8.72</v>
      </c>
      <c r="L132" s="81">
        <f t="shared" si="30"/>
        <v>8.84</v>
      </c>
      <c r="M132" s="81">
        <f t="shared" si="31"/>
        <v>1.44</v>
      </c>
      <c r="N132" s="81" cm="1">
        <f t="array" ref="N132">SUMPRODUCT(J132:M132,$J$110:$M$110)</f>
        <v>14664</v>
      </c>
      <c r="O132" s="81" cm="1">
        <f t="array" ref="O132">SUMPRODUCT(G132:I132,$G$110:$I$110)</f>
        <v>1950</v>
      </c>
      <c r="P132">
        <f t="shared" si="32"/>
        <v>28</v>
      </c>
      <c r="R132">
        <f t="shared" si="33"/>
        <v>384</v>
      </c>
    </row>
    <row r="133" spans="2:18">
      <c r="B133" s="11"/>
      <c r="C133" s="35"/>
      <c r="D133" s="81" t="s">
        <v>259</v>
      </c>
      <c r="E133" s="81">
        <v>255</v>
      </c>
      <c r="F133" s="81">
        <f ca="1">MATCH(E133,OFFSET(载具预期!$D$7:$D$306,0,MATCH($E$110,载具预期!$E$6:$H$6,0)),1)</f>
        <v>300</v>
      </c>
      <c r="G133" s="81">
        <f t="shared" si="25"/>
        <v>1435</v>
      </c>
      <c r="H133" s="81">
        <f t="shared" si="26"/>
        <v>1</v>
      </c>
      <c r="I133" s="81">
        <f t="shared" si="27"/>
        <v>8250</v>
      </c>
      <c r="J133" s="81">
        <f t="shared" si="28"/>
        <v>9</v>
      </c>
      <c r="K133" s="81">
        <f t="shared" si="29"/>
        <v>8.32</v>
      </c>
      <c r="L133" s="81">
        <f t="shared" si="30"/>
        <v>9</v>
      </c>
      <c r="M133" s="81">
        <f t="shared" si="31"/>
        <v>1.68</v>
      </c>
      <c r="N133" s="81" cm="1">
        <f t="array" ref="N133">SUMPRODUCT(J133:M133,$J$110:$M$110)</f>
        <v>15016</v>
      </c>
      <c r="O133" s="81" cm="1">
        <f t="array" ref="O133">SUMPRODUCT(G133:I133,$G$110:$I$110)</f>
        <v>1997.5</v>
      </c>
      <c r="P133">
        <f t="shared" si="32"/>
        <v>28</v>
      </c>
      <c r="R133">
        <f t="shared" si="33"/>
        <v>352</v>
      </c>
    </row>
    <row r="134" spans="2:18">
      <c r="B134" s="11"/>
      <c r="C134" s="35"/>
      <c r="D134" s="81" t="s">
        <v>260</v>
      </c>
      <c r="E134" s="81">
        <v>265</v>
      </c>
      <c r="F134" s="81">
        <f ca="1">MATCH(E134,OFFSET(载具预期!$D$7:$D$306,0,MATCH($E$110,载具预期!$E$6:$H$6,0)),1)</f>
        <v>300</v>
      </c>
      <c r="G134" s="81">
        <f t="shared" si="25"/>
        <v>1470</v>
      </c>
      <c r="H134" s="81">
        <f t="shared" si="26"/>
        <v>1</v>
      </c>
      <c r="I134" s="81">
        <f t="shared" si="27"/>
        <v>8500</v>
      </c>
      <c r="J134" s="81">
        <f t="shared" si="28"/>
        <v>9</v>
      </c>
      <c r="K134" s="81">
        <f t="shared" si="29"/>
        <v>8.08</v>
      </c>
      <c r="L134" s="81">
        <f t="shared" si="30"/>
        <v>9</v>
      </c>
      <c r="M134" s="81">
        <f t="shared" si="31"/>
        <v>1.92</v>
      </c>
      <c r="N134" s="81" cm="1">
        <f t="array" ref="N134">SUMPRODUCT(J134:M134,$J$110:$M$110)</f>
        <v>15304</v>
      </c>
      <c r="O134" s="81" cm="1">
        <f t="array" ref="O134">SUMPRODUCT(G134:I134,$G$110:$I$110)</f>
        <v>2045</v>
      </c>
      <c r="P134">
        <f t="shared" si="32"/>
        <v>28</v>
      </c>
    </row>
    <row r="135" spans="2:18">
      <c r="B135" s="11"/>
      <c r="C135" s="35"/>
      <c r="D135" s="81" t="s">
        <v>261</v>
      </c>
      <c r="E135" s="81">
        <v>275</v>
      </c>
      <c r="F135" s="81">
        <f ca="1">MATCH(E135,OFFSET(载具预期!$D$7:$D$306,0,MATCH($E$110,载具预期!$E$6:$H$6,0)),1)</f>
        <v>300</v>
      </c>
      <c r="G135" s="81">
        <f t="shared" si="25"/>
        <v>1505</v>
      </c>
      <c r="H135" s="81">
        <f t="shared" si="26"/>
        <v>1</v>
      </c>
      <c r="I135" s="81">
        <f t="shared" si="27"/>
        <v>8750</v>
      </c>
      <c r="J135" s="81">
        <f t="shared" si="28"/>
        <v>9</v>
      </c>
      <c r="K135" s="81">
        <f t="shared" si="29"/>
        <v>7.84</v>
      </c>
      <c r="L135" s="81">
        <f t="shared" si="30"/>
        <v>9</v>
      </c>
      <c r="M135" s="81">
        <f t="shared" si="31"/>
        <v>2.16</v>
      </c>
      <c r="N135" s="81" cm="1">
        <f t="array" ref="N135">SUMPRODUCT(J135:M135,$J$110:$M$110)</f>
        <v>15592</v>
      </c>
      <c r="O135" s="81" cm="1">
        <f t="array" ref="O135">SUMPRODUCT(G135:I135,$G$110:$I$110)</f>
        <v>2092.5</v>
      </c>
      <c r="P135">
        <f t="shared" si="32"/>
        <v>28</v>
      </c>
    </row>
    <row r="136" spans="2:18">
      <c r="B136" s="11"/>
      <c r="C136" s="35"/>
      <c r="D136" s="81" t="s">
        <v>262</v>
      </c>
      <c r="E136" s="81">
        <v>285</v>
      </c>
      <c r="F136" s="81">
        <f ca="1">MATCH(E136,OFFSET(载具预期!$D$7:$D$306,0,MATCH($E$110,载具预期!$E$6:$H$6,0)),1)</f>
        <v>300</v>
      </c>
      <c r="G136" s="81">
        <f t="shared" si="25"/>
        <v>1540</v>
      </c>
      <c r="H136" s="81">
        <f t="shared" si="26"/>
        <v>1</v>
      </c>
      <c r="I136" s="81">
        <f t="shared" si="27"/>
        <v>9000</v>
      </c>
      <c r="J136" s="81">
        <f t="shared" si="28"/>
        <v>9</v>
      </c>
      <c r="K136" s="81">
        <f t="shared" si="29"/>
        <v>7.6</v>
      </c>
      <c r="L136" s="81">
        <f t="shared" si="30"/>
        <v>9</v>
      </c>
      <c r="M136" s="81">
        <f t="shared" si="31"/>
        <v>2.4</v>
      </c>
      <c r="N136" s="81" cm="1">
        <f t="array" ref="N136">SUMPRODUCT(J136:M136,$J$110:$M$110)</f>
        <v>15880</v>
      </c>
      <c r="O136" s="81" cm="1">
        <f t="array" ref="O136">SUMPRODUCT(G136:I136,$G$110:$I$110)</f>
        <v>2140</v>
      </c>
      <c r="P136">
        <f t="shared" si="32"/>
        <v>28</v>
      </c>
    </row>
    <row r="137" spans="2:18">
      <c r="B137" s="11"/>
      <c r="C137" s="35"/>
      <c r="D137" s="81" t="s">
        <v>263</v>
      </c>
      <c r="E137" s="81">
        <v>295</v>
      </c>
      <c r="F137" s="81">
        <f ca="1">MATCH(E137,OFFSET(载具预期!$D$7:$D$306,0,MATCH($E$110,载具预期!$E$6:$H$6,0)),1)</f>
        <v>300</v>
      </c>
      <c r="G137" s="81">
        <f t="shared" si="25"/>
        <v>1575</v>
      </c>
      <c r="H137" s="81">
        <f t="shared" si="26"/>
        <v>1</v>
      </c>
      <c r="I137" s="81">
        <f t="shared" si="27"/>
        <v>9250</v>
      </c>
      <c r="J137" s="81">
        <f t="shared" si="28"/>
        <v>9</v>
      </c>
      <c r="K137" s="81">
        <f t="shared" si="29"/>
        <v>7.36</v>
      </c>
      <c r="L137" s="81">
        <f t="shared" si="30"/>
        <v>9</v>
      </c>
      <c r="M137" s="81">
        <f t="shared" si="31"/>
        <v>2.64</v>
      </c>
      <c r="N137" s="81" cm="1">
        <f t="array" ref="N137">SUMPRODUCT(J137:M137,$J$110:$M$110)</f>
        <v>16168</v>
      </c>
      <c r="O137" s="81" cm="1">
        <f t="array" ref="O137">SUMPRODUCT(G137:I137,$G$110:$I$110)</f>
        <v>2187.5</v>
      </c>
      <c r="P137">
        <f t="shared" si="32"/>
        <v>28</v>
      </c>
    </row>
    <row r="138" spans="2:18">
      <c r="B138" s="11"/>
      <c r="C138" s="35"/>
      <c r="D138" s="81" t="s">
        <v>264</v>
      </c>
      <c r="E138" s="81">
        <v>305</v>
      </c>
      <c r="F138" s="81">
        <f ca="1">MATCH(E138,OFFSET(载具预期!$D$7:$D$306,0,MATCH($E$110,载具预期!$E$6:$H$6,0)),1)</f>
        <v>300</v>
      </c>
      <c r="G138" s="81">
        <f t="shared" si="25"/>
        <v>1610</v>
      </c>
      <c r="H138" s="81">
        <f t="shared" si="26"/>
        <v>1</v>
      </c>
      <c r="I138" s="81">
        <f t="shared" si="27"/>
        <v>9500</v>
      </c>
      <c r="J138" s="81">
        <f t="shared" si="28"/>
        <v>9</v>
      </c>
      <c r="K138" s="81">
        <f t="shared" si="29"/>
        <v>7.12</v>
      </c>
      <c r="L138" s="81">
        <f t="shared" si="30"/>
        <v>9</v>
      </c>
      <c r="M138" s="81">
        <f t="shared" si="31"/>
        <v>2.88</v>
      </c>
      <c r="N138" s="81" cm="1">
        <f t="array" ref="N138">SUMPRODUCT(J138:M138,$J$110:$M$110)</f>
        <v>16456</v>
      </c>
      <c r="O138" s="81" cm="1">
        <f t="array" ref="O138">SUMPRODUCT(G138:I138,$G$110:$I$110)</f>
        <v>2235</v>
      </c>
      <c r="P138">
        <f t="shared" si="32"/>
        <v>28</v>
      </c>
    </row>
    <row r="139" spans="2:18">
      <c r="B139" s="11"/>
      <c r="C139" s="35"/>
      <c r="D139" s="81" t="s">
        <v>265</v>
      </c>
      <c r="E139" s="81">
        <v>315</v>
      </c>
      <c r="F139" s="81">
        <f ca="1">MATCH(E139,OFFSET(载具预期!$D$7:$D$306,0,MATCH($E$110,载具预期!$E$6:$H$6,0)),1)</f>
        <v>300</v>
      </c>
      <c r="G139" s="81">
        <f t="shared" si="25"/>
        <v>1645</v>
      </c>
      <c r="H139" s="81">
        <f t="shared" si="26"/>
        <v>1</v>
      </c>
      <c r="I139" s="81">
        <f t="shared" si="27"/>
        <v>9750</v>
      </c>
      <c r="J139" s="81">
        <f t="shared" si="28"/>
        <v>9</v>
      </c>
      <c r="K139" s="81">
        <f t="shared" si="29"/>
        <v>6.88</v>
      </c>
      <c r="L139" s="81">
        <f t="shared" si="30"/>
        <v>9</v>
      </c>
      <c r="M139" s="81">
        <f t="shared" si="31"/>
        <v>3.12</v>
      </c>
      <c r="N139" s="81" cm="1">
        <f t="array" ref="N139">SUMPRODUCT(J139:M139,$J$110:$M$110)</f>
        <v>16744</v>
      </c>
      <c r="O139" s="81" cm="1">
        <f t="array" ref="O139">SUMPRODUCT(G139:I139,$G$110:$I$110)</f>
        <v>2282.5</v>
      </c>
      <c r="P139">
        <f t="shared" si="32"/>
        <v>28</v>
      </c>
    </row>
    <row r="140" spans="2:18">
      <c r="B140" s="11"/>
      <c r="C140" s="35"/>
      <c r="D140" s="81" t="s">
        <v>266</v>
      </c>
      <c r="E140" s="81">
        <v>325</v>
      </c>
      <c r="F140" s="81">
        <f ca="1">MATCH(E140,OFFSET(载具预期!$D$7:$D$306,0,MATCH($E$110,载具预期!$E$6:$H$6,0)),1)</f>
        <v>300</v>
      </c>
      <c r="G140" s="81">
        <f t="shared" si="25"/>
        <v>1680</v>
      </c>
      <c r="H140" s="81">
        <f t="shared" si="26"/>
        <v>1</v>
      </c>
      <c r="I140" s="81">
        <f t="shared" si="27"/>
        <v>10000</v>
      </c>
      <c r="J140" s="81">
        <f t="shared" si="28"/>
        <v>9</v>
      </c>
      <c r="K140" s="81">
        <f t="shared" si="29"/>
        <v>6.64</v>
      </c>
      <c r="L140" s="81">
        <f t="shared" si="30"/>
        <v>9</v>
      </c>
      <c r="M140" s="81">
        <f t="shared" si="31"/>
        <v>3.36</v>
      </c>
      <c r="N140" s="81" cm="1">
        <f t="array" ref="N140">SUMPRODUCT(J140:M140,$J$110:$M$110)</f>
        <v>17032</v>
      </c>
      <c r="O140" s="81" cm="1">
        <f t="array" ref="O140">SUMPRODUCT(G140:I140,$G$110:$I$110)</f>
        <v>2330</v>
      </c>
      <c r="P140">
        <f t="shared" si="32"/>
        <v>28</v>
      </c>
    </row>
    <row r="141" spans="2:18">
      <c r="B141" s="11"/>
      <c r="C141" s="35"/>
      <c r="D141" s="81" t="s">
        <v>267</v>
      </c>
      <c r="E141" s="81">
        <v>335</v>
      </c>
      <c r="F141" s="81">
        <f ca="1">MATCH(E141,OFFSET(载具预期!$D$7:$D$306,0,MATCH($E$110,载具预期!$E$6:$H$6,0)),1)</f>
        <v>300</v>
      </c>
      <c r="G141" s="81">
        <f t="shared" si="25"/>
        <v>1715</v>
      </c>
      <c r="H141" s="81">
        <f t="shared" si="26"/>
        <v>1</v>
      </c>
      <c r="I141" s="81">
        <f t="shared" si="27"/>
        <v>10250</v>
      </c>
      <c r="J141" s="81">
        <f t="shared" si="28"/>
        <v>9</v>
      </c>
      <c r="K141" s="81">
        <f t="shared" si="29"/>
        <v>6.4</v>
      </c>
      <c r="L141" s="81">
        <f t="shared" si="30"/>
        <v>9</v>
      </c>
      <c r="M141" s="81">
        <f t="shared" si="31"/>
        <v>3.6</v>
      </c>
      <c r="N141" s="81" cm="1">
        <f t="array" ref="N141">SUMPRODUCT(J141:M141,$J$110:$M$110)</f>
        <v>17320</v>
      </c>
      <c r="O141" s="81" cm="1">
        <f t="array" ref="O141">SUMPRODUCT(G141:I141,$G$110:$I$110)</f>
        <v>2377.5</v>
      </c>
      <c r="P141">
        <f t="shared" si="32"/>
        <v>28</v>
      </c>
    </row>
    <row r="142" spans="2:18">
      <c r="B142" s="11"/>
      <c r="C142" s="35"/>
      <c r="D142" s="81" t="s">
        <v>268</v>
      </c>
      <c r="E142" s="81">
        <v>345</v>
      </c>
      <c r="F142" s="81">
        <f ca="1">MATCH(E142,OFFSET(载具预期!$D$7:$D$306,0,MATCH($E$110,载具预期!$E$6:$H$6,0)),1)</f>
        <v>300</v>
      </c>
      <c r="G142" s="81">
        <f t="shared" si="25"/>
        <v>1750</v>
      </c>
      <c r="H142" s="81">
        <f t="shared" si="26"/>
        <v>1</v>
      </c>
      <c r="I142" s="81">
        <f t="shared" si="27"/>
        <v>10500</v>
      </c>
      <c r="J142" s="81">
        <f t="shared" si="28"/>
        <v>9</v>
      </c>
      <c r="K142" s="81">
        <f t="shared" si="29"/>
        <v>6</v>
      </c>
      <c r="L142" s="81">
        <f t="shared" si="30"/>
        <v>9.16</v>
      </c>
      <c r="M142" s="81">
        <f t="shared" si="31"/>
        <v>3.84</v>
      </c>
      <c r="N142" s="81" cm="1">
        <f t="array" ref="N142">SUMPRODUCT(J142:M142,$J$110:$M$110)</f>
        <v>17672</v>
      </c>
      <c r="O142" s="81" cm="1">
        <f t="array" ref="O142">SUMPRODUCT(G142:I142,$G$110:$I$110)</f>
        <v>2425</v>
      </c>
      <c r="P142">
        <f t="shared" si="32"/>
        <v>28</v>
      </c>
    </row>
    <row r="143" spans="2:18">
      <c r="B143" s="11"/>
      <c r="C143" s="35"/>
      <c r="D143" s="81" t="s">
        <v>269</v>
      </c>
      <c r="E143" s="81">
        <v>355</v>
      </c>
      <c r="F143" s="81">
        <f ca="1">MATCH(E143,OFFSET(载具预期!$D$7:$D$306,0,MATCH($E$110,载具预期!$E$6:$H$6,0)),1)</f>
        <v>300</v>
      </c>
      <c r="G143" s="81">
        <f t="shared" si="25"/>
        <v>1785</v>
      </c>
      <c r="H143" s="81">
        <f t="shared" si="26"/>
        <v>1</v>
      </c>
      <c r="I143" s="81">
        <f t="shared" si="27"/>
        <v>10750</v>
      </c>
      <c r="J143" s="81">
        <f t="shared" si="28"/>
        <v>9</v>
      </c>
      <c r="K143" s="81">
        <f t="shared" si="29"/>
        <v>6</v>
      </c>
      <c r="L143" s="81">
        <f t="shared" si="30"/>
        <v>8.92</v>
      </c>
      <c r="M143" s="81">
        <f t="shared" si="31"/>
        <v>4.08</v>
      </c>
      <c r="N143" s="81" cm="1">
        <f t="array" ref="N143">SUMPRODUCT(J143:M143,$J$110:$M$110)</f>
        <v>17864</v>
      </c>
      <c r="O143" s="81" cm="1">
        <f t="array" ref="O143">SUMPRODUCT(G143:I143,$G$110:$I$110)</f>
        <v>2472.5</v>
      </c>
      <c r="P143">
        <f t="shared" si="32"/>
        <v>28</v>
      </c>
    </row>
    <row r="144" spans="2:18">
      <c r="B144" s="11"/>
      <c r="C144" s="35"/>
      <c r="D144" s="81" t="s">
        <v>270</v>
      </c>
      <c r="E144" s="81">
        <v>365</v>
      </c>
      <c r="F144" s="81">
        <f ca="1">MATCH(E144,OFFSET(载具预期!$D$7:$D$306,0,MATCH($E$110,载具预期!$E$6:$H$6,0)),1)</f>
        <v>300</v>
      </c>
      <c r="G144" s="81">
        <f t="shared" si="25"/>
        <v>1820</v>
      </c>
      <c r="H144" s="81">
        <f t="shared" si="26"/>
        <v>1</v>
      </c>
      <c r="I144" s="81">
        <f t="shared" si="27"/>
        <v>11000</v>
      </c>
      <c r="J144" s="81">
        <f t="shared" si="28"/>
        <v>9</v>
      </c>
      <c r="K144" s="81">
        <f t="shared" si="29"/>
        <v>6</v>
      </c>
      <c r="L144" s="81">
        <f t="shared" si="30"/>
        <v>8.68</v>
      </c>
      <c r="M144" s="81">
        <f t="shared" si="31"/>
        <v>4.32</v>
      </c>
      <c r="N144" s="81" cm="1">
        <f t="array" ref="N144">SUMPRODUCT(J144:M144,$J$110:$M$110)</f>
        <v>18056</v>
      </c>
      <c r="O144" s="81" cm="1">
        <f t="array" ref="O144">SUMPRODUCT(G144:I144,$G$110:$I$110)</f>
        <v>2520</v>
      </c>
      <c r="P144">
        <f t="shared" si="32"/>
        <v>28</v>
      </c>
    </row>
    <row r="145" spans="2:20">
      <c r="B145" s="11"/>
      <c r="C145" s="35"/>
      <c r="D145" s="81" t="s">
        <v>271</v>
      </c>
      <c r="E145" s="81">
        <v>375</v>
      </c>
      <c r="F145" s="81">
        <f ca="1">MATCH(E145,OFFSET(载具预期!$D$7:$D$306,0,MATCH($E$110,载具预期!$E$6:$H$6,0)),1)</f>
        <v>300</v>
      </c>
      <c r="G145" s="81">
        <f t="shared" si="25"/>
        <v>1855</v>
      </c>
      <c r="H145" s="81">
        <f t="shared" si="26"/>
        <v>1</v>
      </c>
      <c r="I145" s="81">
        <f t="shared" si="27"/>
        <v>11250</v>
      </c>
      <c r="J145" s="81">
        <f t="shared" si="28"/>
        <v>9</v>
      </c>
      <c r="K145" s="81">
        <f t="shared" si="29"/>
        <v>6</v>
      </c>
      <c r="L145" s="81">
        <f t="shared" si="30"/>
        <v>8.44</v>
      </c>
      <c r="M145" s="81">
        <f t="shared" si="31"/>
        <v>4.56</v>
      </c>
      <c r="N145" s="81" cm="1">
        <f t="array" ref="N145">SUMPRODUCT(J145:M145,$J$110:$M$110)</f>
        <v>18248</v>
      </c>
      <c r="O145" s="81" cm="1">
        <f t="array" ref="O145">SUMPRODUCT(G145:I145,$G$110:$I$110)</f>
        <v>2567.5</v>
      </c>
      <c r="P145">
        <f t="shared" si="32"/>
        <v>28</v>
      </c>
    </row>
    <row r="146" spans="2:20">
      <c r="B146" s="11"/>
      <c r="C146" s="35"/>
      <c r="D146" s="81" t="s">
        <v>272</v>
      </c>
      <c r="E146" s="81">
        <v>385</v>
      </c>
      <c r="F146" s="81">
        <f ca="1">MATCH(E146,OFFSET(载具预期!$D$7:$D$306,0,MATCH($E$110,载具预期!$E$6:$H$6,0)),1)</f>
        <v>300</v>
      </c>
      <c r="G146" s="81">
        <f t="shared" si="25"/>
        <v>1890</v>
      </c>
      <c r="H146" s="81">
        <f t="shared" si="26"/>
        <v>1</v>
      </c>
      <c r="I146" s="81">
        <f t="shared" si="27"/>
        <v>11500</v>
      </c>
      <c r="J146" s="81">
        <f t="shared" si="28"/>
        <v>9</v>
      </c>
      <c r="K146" s="81">
        <f t="shared" si="29"/>
        <v>6</v>
      </c>
      <c r="L146" s="81">
        <f t="shared" si="30"/>
        <v>8.2</v>
      </c>
      <c r="M146" s="81">
        <f t="shared" si="31"/>
        <v>4.8</v>
      </c>
      <c r="N146" s="81" cm="1">
        <f t="array" ref="N146">SUMPRODUCT(J146:M146,$J$110:$M$110)</f>
        <v>18440</v>
      </c>
      <c r="O146" s="81" cm="1">
        <f t="array" ref="O146">SUMPRODUCT(G146:I146,$G$110:$I$110)</f>
        <v>2615</v>
      </c>
      <c r="P146">
        <f t="shared" si="32"/>
        <v>28</v>
      </c>
    </row>
    <row r="147" spans="2:20">
      <c r="B147" s="11"/>
      <c r="C147" s="35"/>
      <c r="D147" s="81" t="s">
        <v>273</v>
      </c>
      <c r="E147" s="81">
        <v>395</v>
      </c>
      <c r="F147" s="81">
        <f ca="1">MATCH(E147,OFFSET(载具预期!$D$7:$D$306,0,MATCH($E$110,载具预期!$E$6:$H$6,0)),1)</f>
        <v>300</v>
      </c>
      <c r="G147" s="81">
        <f t="shared" si="25"/>
        <v>1925</v>
      </c>
      <c r="H147" s="81">
        <f t="shared" si="26"/>
        <v>1</v>
      </c>
      <c r="I147" s="81">
        <f t="shared" si="27"/>
        <v>11750</v>
      </c>
      <c r="J147" s="81">
        <f t="shared" si="28"/>
        <v>9</v>
      </c>
      <c r="K147" s="81">
        <f t="shared" si="29"/>
        <v>6</v>
      </c>
      <c r="L147" s="81">
        <f t="shared" si="30"/>
        <v>7.96</v>
      </c>
      <c r="M147" s="81">
        <f t="shared" si="31"/>
        <v>5.04</v>
      </c>
      <c r="N147" s="81" cm="1">
        <f t="array" ref="N147">SUMPRODUCT(J147:M147,$J$110:$M$110)</f>
        <v>18632</v>
      </c>
      <c r="O147" s="81" cm="1">
        <f t="array" ref="O147">SUMPRODUCT(G147:I147,$G$110:$I$110)</f>
        <v>2662.5</v>
      </c>
      <c r="P147">
        <f t="shared" si="32"/>
        <v>28</v>
      </c>
    </row>
    <row r="148" spans="2:20">
      <c r="B148" s="11"/>
      <c r="C148" s="35"/>
      <c r="D148" s="81" t="s">
        <v>274</v>
      </c>
      <c r="E148" s="81">
        <v>405</v>
      </c>
      <c r="F148" s="81">
        <f ca="1">MATCH(E148,OFFSET(载具预期!$D$7:$D$306,0,MATCH($E$110,载具预期!$E$6:$H$6,0)),1)</f>
        <v>300</v>
      </c>
      <c r="G148" s="81">
        <f t="shared" si="25"/>
        <v>1960</v>
      </c>
      <c r="H148" s="81">
        <f t="shared" si="26"/>
        <v>1</v>
      </c>
      <c r="I148" s="81">
        <f t="shared" si="27"/>
        <v>12000</v>
      </c>
      <c r="J148" s="81">
        <f t="shared" si="28"/>
        <v>9</v>
      </c>
      <c r="K148" s="81">
        <f t="shared" si="29"/>
        <v>6</v>
      </c>
      <c r="L148" s="81">
        <f t="shared" si="30"/>
        <v>7.72</v>
      </c>
      <c r="M148" s="81">
        <f t="shared" si="31"/>
        <v>5.28</v>
      </c>
      <c r="N148" s="81" cm="1">
        <f t="array" ref="N148">SUMPRODUCT(J148:M148,$J$110:$M$110)</f>
        <v>18824</v>
      </c>
      <c r="O148" s="81" cm="1">
        <f t="array" ref="O148">SUMPRODUCT(G148:I148,$G$110:$I$110)</f>
        <v>2710</v>
      </c>
      <c r="P148">
        <f t="shared" si="32"/>
        <v>28</v>
      </c>
    </row>
    <row r="149" spans="2:20">
      <c r="B149" s="11"/>
      <c r="C149" s="35"/>
      <c r="D149" s="81" t="s">
        <v>275</v>
      </c>
      <c r="E149" s="81">
        <v>415</v>
      </c>
      <c r="F149" s="81">
        <f ca="1">MATCH(E149,OFFSET(载具预期!$D$7:$D$306,0,MATCH($E$110,载具预期!$E$6:$H$6,0)),1)</f>
        <v>300</v>
      </c>
      <c r="G149" s="81">
        <f t="shared" si="25"/>
        <v>1995</v>
      </c>
      <c r="H149" s="81">
        <f t="shared" si="26"/>
        <v>1</v>
      </c>
      <c r="I149" s="81">
        <f t="shared" si="27"/>
        <v>12250</v>
      </c>
      <c r="J149" s="81">
        <f t="shared" si="28"/>
        <v>9</v>
      </c>
      <c r="K149" s="81">
        <f t="shared" si="29"/>
        <v>6</v>
      </c>
      <c r="L149" s="81">
        <f t="shared" si="30"/>
        <v>7.48</v>
      </c>
      <c r="M149" s="81">
        <f t="shared" si="31"/>
        <v>5.52</v>
      </c>
      <c r="N149" s="81" cm="1">
        <f t="array" ref="N149">SUMPRODUCT(J149:M149,$J$110:$M$110)</f>
        <v>19016</v>
      </c>
      <c r="O149" s="81" cm="1">
        <f t="array" ref="O149">SUMPRODUCT(G149:I149,$G$110:$I$110)</f>
        <v>2757.5</v>
      </c>
      <c r="P149">
        <f t="shared" si="32"/>
        <v>28</v>
      </c>
    </row>
    <row r="150" spans="2:20">
      <c r="B150" s="11"/>
      <c r="C150" s="35"/>
      <c r="D150" s="81" t="s">
        <v>276</v>
      </c>
      <c r="E150" s="81">
        <v>425</v>
      </c>
      <c r="F150" s="81">
        <f ca="1">MATCH(E150,OFFSET(载具预期!$D$7:$D$306,0,MATCH($E$110,载具预期!$E$6:$H$6,0)),1)</f>
        <v>300</v>
      </c>
      <c r="G150" s="81">
        <f t="shared" si="25"/>
        <v>2030</v>
      </c>
      <c r="H150" s="81">
        <f t="shared" si="26"/>
        <v>1</v>
      </c>
      <c r="I150" s="81">
        <f t="shared" si="27"/>
        <v>12500</v>
      </c>
      <c r="J150" s="81">
        <f t="shared" si="28"/>
        <v>9</v>
      </c>
      <c r="K150" s="81">
        <f t="shared" si="29"/>
        <v>6</v>
      </c>
      <c r="L150" s="81">
        <f t="shared" si="30"/>
        <v>7.24</v>
      </c>
      <c r="M150" s="81">
        <f t="shared" si="31"/>
        <v>5.76</v>
      </c>
      <c r="N150" s="81" cm="1">
        <f t="array" ref="N150">SUMPRODUCT(J150:M150,$J$110:$M$110)</f>
        <v>19208</v>
      </c>
      <c r="O150" s="81" cm="1">
        <f t="array" ref="O150">SUMPRODUCT(G150:I150,$G$110:$I$110)</f>
        <v>2805</v>
      </c>
      <c r="P150">
        <f t="shared" si="32"/>
        <v>28</v>
      </c>
    </row>
    <row r="151" spans="2:20">
      <c r="B151" s="11"/>
      <c r="C151" s="35"/>
      <c r="D151" s="81" t="s">
        <v>277</v>
      </c>
      <c r="E151" s="81">
        <v>435</v>
      </c>
      <c r="F151" s="81">
        <f ca="1">MATCH(E151,OFFSET(载具预期!$D$7:$D$306,0,MATCH($E$110,载具预期!$E$6:$H$6,0)),1)</f>
        <v>300</v>
      </c>
      <c r="G151" s="81">
        <f t="shared" si="25"/>
        <v>2065</v>
      </c>
      <c r="H151" s="81">
        <f t="shared" si="26"/>
        <v>1</v>
      </c>
      <c r="I151" s="81">
        <f t="shared" si="27"/>
        <v>12750</v>
      </c>
      <c r="J151" s="81">
        <f t="shared" si="28"/>
        <v>9</v>
      </c>
      <c r="K151" s="81">
        <f t="shared" si="29"/>
        <v>6</v>
      </c>
      <c r="L151" s="81">
        <f t="shared" si="30"/>
        <v>7</v>
      </c>
      <c r="M151" s="81">
        <f t="shared" si="31"/>
        <v>6</v>
      </c>
      <c r="N151" s="81" cm="1">
        <f t="array" ref="N151">SUMPRODUCT(J151:M151,$J$110:$M$110)</f>
        <v>19400</v>
      </c>
      <c r="O151" s="81" cm="1">
        <f t="array" ref="O151">SUMPRODUCT(G151:I151,$G$110:$I$110)</f>
        <v>2852.5</v>
      </c>
      <c r="P151">
        <f t="shared" si="32"/>
        <v>28</v>
      </c>
    </row>
    <row r="152" spans="2:20">
      <c r="B152" s="11"/>
      <c r="C152" s="35"/>
      <c r="O152" s="36"/>
    </row>
    <row r="153" spans="2:20">
      <c r="B153" s="11"/>
      <c r="C153" s="35"/>
    </row>
    <row r="154" spans="2:20">
      <c r="B154" s="11"/>
      <c r="F154" s="36">
        <v>1</v>
      </c>
      <c r="G154" s="36">
        <f t="shared" ref="F154:R154" si="34">_xlfn.XLOOKUP(G155,$D$6:$D$16,$E$6:$E$16)</f>
        <v>1</v>
      </c>
      <c r="H154" s="36">
        <f t="shared" si="34"/>
        <v>150</v>
      </c>
      <c r="I154" s="36">
        <v>1</v>
      </c>
      <c r="J154" s="36">
        <f t="shared" si="34"/>
        <v>200</v>
      </c>
      <c r="K154" s="36">
        <f t="shared" si="34"/>
        <v>400</v>
      </c>
      <c r="L154" s="36">
        <f t="shared" si="34"/>
        <v>800</v>
      </c>
      <c r="M154" s="36">
        <f t="shared" si="34"/>
        <v>1600</v>
      </c>
      <c r="N154" s="36" t="s">
        <v>278</v>
      </c>
      <c r="O154" s="36">
        <f t="shared" si="34"/>
        <v>200</v>
      </c>
      <c r="P154" s="36">
        <f t="shared" si="34"/>
        <v>400</v>
      </c>
      <c r="Q154" s="36">
        <f t="shared" si="34"/>
        <v>800</v>
      </c>
      <c r="R154" s="36">
        <f t="shared" si="34"/>
        <v>1600</v>
      </c>
      <c r="S154" s="36"/>
    </row>
    <row r="155" spans="2:20">
      <c r="B155" s="11"/>
      <c r="D155" s="2" t="s">
        <v>233</v>
      </c>
      <c r="E155" s="64" t="s">
        <v>233</v>
      </c>
      <c r="F155" s="64" t="s">
        <v>279</v>
      </c>
      <c r="G155" s="64" t="s">
        <v>32</v>
      </c>
      <c r="H155" s="64" t="s">
        <v>178</v>
      </c>
      <c r="I155" s="64" t="s">
        <v>33</v>
      </c>
      <c r="J155" s="64" t="s">
        <v>34</v>
      </c>
      <c r="K155" s="64" t="s">
        <v>35</v>
      </c>
      <c r="L155" s="64" t="s">
        <v>36</v>
      </c>
      <c r="M155" s="64" t="s">
        <v>37</v>
      </c>
      <c r="N155" s="64" t="s">
        <v>280</v>
      </c>
      <c r="O155" s="64" t="s">
        <v>34</v>
      </c>
      <c r="P155" s="64" t="s">
        <v>35</v>
      </c>
      <c r="Q155" s="64" t="s">
        <v>36</v>
      </c>
      <c r="R155" s="64" t="s">
        <v>37</v>
      </c>
      <c r="S155" s="64" t="s">
        <v>281</v>
      </c>
      <c r="T155" s="64" t="s">
        <v>177</v>
      </c>
    </row>
    <row r="156" spans="2:20">
      <c r="D156" s="81" t="s">
        <v>238</v>
      </c>
      <c r="E156" s="84">
        <v>1</v>
      </c>
      <c r="F156" s="84">
        <v>120</v>
      </c>
      <c r="G156" s="84"/>
      <c r="H156" s="84"/>
      <c r="I156" s="84">
        <v>600</v>
      </c>
      <c r="J156" s="84">
        <v>3</v>
      </c>
      <c r="K156" s="84"/>
      <c r="L156" s="84"/>
      <c r="M156" s="84"/>
      <c r="N156" s="84"/>
      <c r="O156" s="85"/>
      <c r="P156" s="85"/>
      <c r="Q156" s="85"/>
      <c r="R156" s="85"/>
      <c r="S156" s="86">
        <f>_xlfn.XLOOKUP(D156,$D$111:$D$151,$E$111:$E$151)</f>
        <v>45</v>
      </c>
      <c r="T156" s="86" cm="1">
        <f t="array" ref="T156">SUMPRODUCT(F156:M156,$F$154:$M$154)+N156*SUMPRODUCT(O156:R156,$O$154:$R$154)</f>
        <v>1320</v>
      </c>
    </row>
    <row r="157" spans="2:20">
      <c r="D157" s="81" t="s">
        <v>238</v>
      </c>
      <c r="E157" s="84">
        <v>2</v>
      </c>
      <c r="F157" s="84">
        <v>120</v>
      </c>
      <c r="G157" s="84">
        <v>200</v>
      </c>
      <c r="H157" s="84"/>
      <c r="I157" s="84">
        <v>600</v>
      </c>
      <c r="J157" s="84"/>
      <c r="K157" s="84"/>
      <c r="L157" s="84"/>
      <c r="M157" s="84"/>
      <c r="N157" s="84"/>
      <c r="O157" s="85"/>
      <c r="P157" s="85"/>
      <c r="Q157" s="85"/>
      <c r="R157" s="85"/>
      <c r="S157" s="86">
        <f t="shared" ref="S157:S220" si="35">_xlfn.XLOOKUP(D157,$D$111:$D$151,$E$111:$E$151)</f>
        <v>45</v>
      </c>
      <c r="T157" s="86" cm="1">
        <f t="array" ref="T157">SUMPRODUCT(F157:M157,$F$154:$M$154)+N157*SUMPRODUCT(O157:R157,$O$154:$R$154)</f>
        <v>920</v>
      </c>
    </row>
    <row r="158" spans="2:20">
      <c r="D158" s="81" t="s">
        <v>238</v>
      </c>
      <c r="E158" s="84">
        <v>3</v>
      </c>
      <c r="F158" s="84">
        <v>150</v>
      </c>
      <c r="G158" s="84"/>
      <c r="H158" s="84"/>
      <c r="I158" s="84">
        <v>600</v>
      </c>
      <c r="J158" s="84">
        <v>5</v>
      </c>
      <c r="K158" s="84"/>
      <c r="L158" s="84"/>
      <c r="M158" s="84"/>
      <c r="N158" s="84"/>
      <c r="O158" s="85"/>
      <c r="P158" s="85"/>
      <c r="Q158" s="85"/>
      <c r="R158" s="85"/>
      <c r="S158" s="86">
        <f t="shared" si="35"/>
        <v>45</v>
      </c>
      <c r="T158" s="86" cm="1">
        <f t="array" ref="T158">SUMPRODUCT(F158:M158,$F$154:$M$154)+N158*SUMPRODUCT(O158:R158,$O$154:$R$154)</f>
        <v>1750</v>
      </c>
    </row>
    <row r="159" spans="2:20">
      <c r="D159" s="81" t="s">
        <v>238</v>
      </c>
      <c r="E159" s="84">
        <v>4</v>
      </c>
      <c r="F159" s="84">
        <v>120</v>
      </c>
      <c r="G159" s="84">
        <v>200</v>
      </c>
      <c r="H159" s="84"/>
      <c r="I159" s="84">
        <v>600</v>
      </c>
      <c r="J159" s="84"/>
      <c r="K159" s="84"/>
      <c r="L159" s="84"/>
      <c r="M159" s="84"/>
      <c r="N159" s="84"/>
      <c r="O159" s="85"/>
      <c r="P159" s="85"/>
      <c r="Q159" s="85"/>
      <c r="R159" s="85"/>
      <c r="S159" s="86">
        <f t="shared" si="35"/>
        <v>45</v>
      </c>
      <c r="T159" s="86" cm="1">
        <f t="array" ref="T159">SUMPRODUCT(F159:M159,$F$154:$M$154)+N159*SUMPRODUCT(O159:R159,$O$154:$R$154)</f>
        <v>920</v>
      </c>
    </row>
    <row r="160" spans="2:20">
      <c r="D160" s="81" t="s">
        <v>238</v>
      </c>
      <c r="E160" s="84">
        <v>5</v>
      </c>
      <c r="F160" s="84">
        <v>120</v>
      </c>
      <c r="G160" s="84"/>
      <c r="H160" s="84"/>
      <c r="I160" s="84">
        <v>600</v>
      </c>
      <c r="J160" s="84">
        <v>9</v>
      </c>
      <c r="K160" s="84"/>
      <c r="L160" s="84"/>
      <c r="M160" s="84"/>
      <c r="N160" s="84"/>
      <c r="O160" s="85"/>
      <c r="P160" s="85"/>
      <c r="Q160" s="85"/>
      <c r="R160" s="85"/>
      <c r="S160" s="86">
        <f t="shared" si="35"/>
        <v>45</v>
      </c>
      <c r="T160" s="86" cm="1">
        <f t="array" ref="T160">SUMPRODUCT(F160:M160,$F$154:$M$154)+N160*SUMPRODUCT(O160:R160,$O$154:$R$154)</f>
        <v>2520</v>
      </c>
    </row>
    <row r="161" spans="4:20">
      <c r="D161" s="81" t="s">
        <v>238</v>
      </c>
      <c r="E161" s="84">
        <v>6</v>
      </c>
      <c r="F161" s="84">
        <v>175</v>
      </c>
      <c r="G161" s="84">
        <v>300</v>
      </c>
      <c r="H161" s="84">
        <v>1</v>
      </c>
      <c r="I161" s="84"/>
      <c r="J161" s="84"/>
      <c r="K161" s="84"/>
      <c r="L161" s="84"/>
      <c r="M161" s="84"/>
      <c r="N161" s="84">
        <v>8</v>
      </c>
      <c r="O161" s="85">
        <v>1</v>
      </c>
      <c r="P161" s="85"/>
      <c r="Q161" s="85"/>
      <c r="R161" s="85"/>
      <c r="S161" s="86">
        <f t="shared" si="35"/>
        <v>45</v>
      </c>
      <c r="T161" s="86" cm="1">
        <f t="array" ref="T161">SUMPRODUCT(F161:M161,$F$154:$M$154)+N161*SUMPRODUCT(O161:R161,$O$154:$R$154)</f>
        <v>2225</v>
      </c>
    </row>
    <row r="162" spans="4:20">
      <c r="D162" s="81" t="s">
        <v>239</v>
      </c>
      <c r="E162" s="84">
        <f>E156</f>
        <v>1</v>
      </c>
      <c r="F162" s="84">
        <f>F156+10</f>
        <v>130</v>
      </c>
      <c r="G162" s="84" t="str">
        <f>IF(G156="","",G156+10)</f>
        <v/>
      </c>
      <c r="H162" s="84">
        <f t="shared" ref="G162:N162" si="36">H156</f>
        <v>0</v>
      </c>
      <c r="I162" s="84">
        <f>IF(I156="","",I156+50)</f>
        <v>650</v>
      </c>
      <c r="J162" s="87">
        <v>4</v>
      </c>
      <c r="K162" s="84">
        <f t="shared" si="36"/>
        <v>0</v>
      </c>
      <c r="L162" s="84">
        <f t="shared" si="36"/>
        <v>0</v>
      </c>
      <c r="M162" s="84">
        <f t="shared" si="36"/>
        <v>0</v>
      </c>
      <c r="N162" s="84">
        <f t="shared" si="36"/>
        <v>0</v>
      </c>
      <c r="O162" s="85"/>
      <c r="P162" s="85"/>
      <c r="Q162" s="85"/>
      <c r="R162" s="85"/>
      <c r="S162" s="86">
        <f t="shared" si="35"/>
        <v>55</v>
      </c>
      <c r="T162" s="86" cm="1">
        <f t="array" ref="T162">SUMPRODUCT(F162:M162,$F$154:$M$154)+N162*SUMPRODUCT(O162:R162,$O$154:$R$154)</f>
        <v>1580</v>
      </c>
    </row>
    <row r="163" spans="4:20">
      <c r="D163" s="81" t="s">
        <v>239</v>
      </c>
      <c r="E163" s="84">
        <f t="shared" ref="E163:E168" si="37">E157</f>
        <v>2</v>
      </c>
      <c r="F163" s="84">
        <f>F157+10</f>
        <v>130</v>
      </c>
      <c r="G163" s="84">
        <f>IF(G157="","",G157+10)</f>
        <v>210</v>
      </c>
      <c r="H163" s="84">
        <f t="shared" ref="H163:H226" si="38">H157</f>
        <v>0</v>
      </c>
      <c r="I163" s="84">
        <f t="shared" ref="I163:I226" si="39">IF(I157="","",I157+50)</f>
        <v>650</v>
      </c>
      <c r="J163" s="84">
        <f t="shared" ref="J163:J226" si="40">J157</f>
        <v>0</v>
      </c>
      <c r="K163" s="84">
        <f t="shared" ref="K163:K226" si="41">K157</f>
        <v>0</v>
      </c>
      <c r="L163" s="84">
        <f t="shared" ref="L163:L226" si="42">L157</f>
        <v>0</v>
      </c>
      <c r="M163" s="84">
        <f t="shared" ref="M163:M226" si="43">M157</f>
        <v>0</v>
      </c>
      <c r="N163" s="84">
        <f t="shared" ref="N163:N226" si="44">N157</f>
        <v>0</v>
      </c>
      <c r="O163" s="85"/>
      <c r="P163" s="85"/>
      <c r="Q163" s="85"/>
      <c r="R163" s="85"/>
      <c r="S163" s="86">
        <f t="shared" si="35"/>
        <v>55</v>
      </c>
      <c r="T163" s="86" cm="1">
        <f t="array" ref="T163">SUMPRODUCT(F163:M163,$F$154:$M$154)+N163*SUMPRODUCT(O163:R163,$O$154:$R$154)</f>
        <v>990</v>
      </c>
    </row>
    <row r="164" spans="4:20">
      <c r="D164" s="81" t="s">
        <v>239</v>
      </c>
      <c r="E164" s="84">
        <f t="shared" si="37"/>
        <v>3</v>
      </c>
      <c r="F164" s="84">
        <f>CEILING(F163*1.25,5)</f>
        <v>165</v>
      </c>
      <c r="G164" s="84" t="str">
        <f>IF(G158="","",G158+10)</f>
        <v/>
      </c>
      <c r="H164" s="84">
        <f t="shared" si="38"/>
        <v>0</v>
      </c>
      <c r="I164" s="84">
        <f t="shared" si="39"/>
        <v>650</v>
      </c>
      <c r="J164" s="84">
        <f t="shared" si="40"/>
        <v>5</v>
      </c>
      <c r="K164" s="84">
        <f t="shared" si="41"/>
        <v>0</v>
      </c>
      <c r="L164" s="84">
        <f t="shared" si="42"/>
        <v>0</v>
      </c>
      <c r="M164" s="84">
        <f t="shared" si="43"/>
        <v>0</v>
      </c>
      <c r="N164" s="84">
        <f t="shared" si="44"/>
        <v>0</v>
      </c>
      <c r="O164" s="85"/>
      <c r="P164" s="85"/>
      <c r="Q164" s="85"/>
      <c r="R164" s="85"/>
      <c r="S164" s="86">
        <f t="shared" si="35"/>
        <v>55</v>
      </c>
      <c r="T164" s="86" cm="1">
        <f t="array" ref="T164">SUMPRODUCT(F164:M164,$F$154:$M$154)+N164*SUMPRODUCT(O164:R164,$O$154:$R$154)</f>
        <v>1815</v>
      </c>
    </row>
    <row r="165" spans="4:20">
      <c r="D165" s="81" t="s">
        <v>239</v>
      </c>
      <c r="E165" s="84">
        <f t="shared" si="37"/>
        <v>4</v>
      </c>
      <c r="F165" s="84">
        <f>F159+10</f>
        <v>130</v>
      </c>
      <c r="G165" s="84">
        <f>IF(G159="","",G159+10)</f>
        <v>210</v>
      </c>
      <c r="H165" s="84">
        <f t="shared" si="38"/>
        <v>0</v>
      </c>
      <c r="I165" s="84">
        <f t="shared" si="39"/>
        <v>650</v>
      </c>
      <c r="J165" s="84">
        <f t="shared" si="40"/>
        <v>0</v>
      </c>
      <c r="K165" s="84">
        <f t="shared" si="41"/>
        <v>0</v>
      </c>
      <c r="L165" s="84">
        <f t="shared" si="42"/>
        <v>0</v>
      </c>
      <c r="M165" s="84">
        <f t="shared" si="43"/>
        <v>0</v>
      </c>
      <c r="N165" s="84">
        <f t="shared" si="44"/>
        <v>0</v>
      </c>
      <c r="O165" s="85"/>
      <c r="P165" s="85"/>
      <c r="Q165" s="85"/>
      <c r="R165" s="85"/>
      <c r="S165" s="86">
        <f t="shared" si="35"/>
        <v>55</v>
      </c>
      <c r="T165" s="86" cm="1">
        <f t="array" ref="T165">SUMPRODUCT(F165:M165,$F$154:$M$154)+N165*SUMPRODUCT(O165:R165,$O$154:$R$154)</f>
        <v>990</v>
      </c>
    </row>
    <row r="166" spans="4:20">
      <c r="D166" s="81" t="s">
        <v>239</v>
      </c>
      <c r="E166" s="84">
        <f t="shared" si="37"/>
        <v>5</v>
      </c>
      <c r="F166" s="84">
        <f>F160+10</f>
        <v>130</v>
      </c>
      <c r="G166" s="84" t="str">
        <f>IF(G160="","",G160+10)</f>
        <v/>
      </c>
      <c r="H166" s="84">
        <f t="shared" si="38"/>
        <v>0</v>
      </c>
      <c r="I166" s="84">
        <f t="shared" si="39"/>
        <v>650</v>
      </c>
      <c r="J166" s="84"/>
      <c r="K166" s="87">
        <v>3</v>
      </c>
      <c r="L166" s="84">
        <f t="shared" si="42"/>
        <v>0</v>
      </c>
      <c r="M166" s="84">
        <f t="shared" si="43"/>
        <v>0</v>
      </c>
      <c r="N166" s="84">
        <f t="shared" si="44"/>
        <v>0</v>
      </c>
      <c r="O166" s="85"/>
      <c r="P166" s="85"/>
      <c r="Q166" s="85"/>
      <c r="R166" s="85"/>
      <c r="S166" s="86">
        <f t="shared" si="35"/>
        <v>55</v>
      </c>
      <c r="T166" s="86" cm="1">
        <f t="array" ref="T166">SUMPRODUCT(F166:M166,$F$154:$M$154)+N166*SUMPRODUCT(O166:R166,$O$154:$R$154)</f>
        <v>1980</v>
      </c>
    </row>
    <row r="167" spans="4:20">
      <c r="D167" s="81" t="s">
        <v>239</v>
      </c>
      <c r="E167" s="84">
        <f t="shared" si="37"/>
        <v>6</v>
      </c>
      <c r="F167" s="84">
        <f>CEILING(F166*1.5,5)</f>
        <v>195</v>
      </c>
      <c r="G167" s="84">
        <f>IF(G161="","",CEILING(G165*1.5,5))</f>
        <v>315</v>
      </c>
      <c r="H167" s="84">
        <f t="shared" si="38"/>
        <v>1</v>
      </c>
      <c r="I167" s="84" t="str">
        <f t="shared" si="39"/>
        <v/>
      </c>
      <c r="J167" s="84">
        <f t="shared" si="40"/>
        <v>0</v>
      </c>
      <c r="K167" s="84">
        <f t="shared" si="41"/>
        <v>0</v>
      </c>
      <c r="L167" s="84">
        <f t="shared" si="42"/>
        <v>0</v>
      </c>
      <c r="M167" s="84">
        <f t="shared" si="43"/>
        <v>0</v>
      </c>
      <c r="N167" s="84">
        <f t="shared" si="44"/>
        <v>8</v>
      </c>
      <c r="O167" s="88">
        <v>0.7</v>
      </c>
      <c r="P167" s="88">
        <v>0.3</v>
      </c>
      <c r="Q167" s="85"/>
      <c r="R167" s="85"/>
      <c r="S167" s="86">
        <f t="shared" si="35"/>
        <v>55</v>
      </c>
      <c r="T167" s="86" cm="1">
        <f t="array" ref="T167">SUMPRODUCT(F167:M167,$F$154:$M$154)+N167*SUMPRODUCT(O167:R167,$O$154:$R$154)</f>
        <v>2740</v>
      </c>
    </row>
    <row r="168" spans="4:20">
      <c r="D168" s="81" t="s">
        <v>240</v>
      </c>
      <c r="E168" s="84">
        <f t="shared" si="37"/>
        <v>1</v>
      </c>
      <c r="F168" s="84">
        <f>F162+10</f>
        <v>140</v>
      </c>
      <c r="G168" s="84" t="str">
        <f>IF(G162="","",G162+10)</f>
        <v/>
      </c>
      <c r="H168" s="84">
        <f t="shared" si="38"/>
        <v>0</v>
      </c>
      <c r="I168" s="84">
        <f t="shared" si="39"/>
        <v>700</v>
      </c>
      <c r="J168" s="87">
        <v>5</v>
      </c>
      <c r="K168" s="84">
        <f t="shared" si="41"/>
        <v>0</v>
      </c>
      <c r="L168" s="84">
        <f t="shared" si="42"/>
        <v>0</v>
      </c>
      <c r="M168" s="84">
        <f t="shared" si="43"/>
        <v>0</v>
      </c>
      <c r="N168" s="84">
        <f t="shared" si="44"/>
        <v>0</v>
      </c>
      <c r="O168" s="85"/>
      <c r="P168" s="85"/>
      <c r="Q168" s="85"/>
      <c r="R168" s="85"/>
      <c r="S168" s="86">
        <f t="shared" si="35"/>
        <v>65</v>
      </c>
      <c r="T168" s="86" cm="1">
        <f t="array" ref="T168">SUMPRODUCT(F168:M168,$F$154:$M$154)+N168*SUMPRODUCT(O168:R168,$O$154:$R$154)</f>
        <v>1840</v>
      </c>
    </row>
    <row r="169" spans="4:20">
      <c r="D169" s="81" t="s">
        <v>240</v>
      </c>
      <c r="E169" s="84">
        <f t="shared" ref="E169:E232" si="45">E163</f>
        <v>2</v>
      </c>
      <c r="F169" s="84">
        <f>F163+10</f>
        <v>140</v>
      </c>
      <c r="G169" s="84">
        <f>IF(G163="","",G163+10)</f>
        <v>220</v>
      </c>
      <c r="H169" s="84">
        <f t="shared" si="38"/>
        <v>0</v>
      </c>
      <c r="I169" s="84">
        <f t="shared" si="39"/>
        <v>700</v>
      </c>
      <c r="J169" s="84">
        <f t="shared" si="40"/>
        <v>0</v>
      </c>
      <c r="K169" s="84">
        <f t="shared" si="41"/>
        <v>0</v>
      </c>
      <c r="L169" s="84">
        <f t="shared" si="42"/>
        <v>0</v>
      </c>
      <c r="M169" s="84">
        <f t="shared" si="43"/>
        <v>0</v>
      </c>
      <c r="N169" s="84">
        <f t="shared" si="44"/>
        <v>0</v>
      </c>
      <c r="O169" s="85"/>
      <c r="P169" s="85"/>
      <c r="Q169" s="85"/>
      <c r="R169" s="85"/>
      <c r="S169" s="86">
        <f t="shared" si="35"/>
        <v>65</v>
      </c>
      <c r="T169" s="86" cm="1">
        <f t="array" ref="T169">SUMPRODUCT(F169:M169,$F$154:$M$154)+N169*SUMPRODUCT(O169:R169,$O$154:$R$154)</f>
        <v>1060</v>
      </c>
    </row>
    <row r="170" spans="4:20">
      <c r="D170" s="81" t="s">
        <v>240</v>
      </c>
      <c r="E170" s="84">
        <f t="shared" si="45"/>
        <v>3</v>
      </c>
      <c r="F170" s="84">
        <f>CEILING(F169*1.25,5)</f>
        <v>175</v>
      </c>
      <c r="G170" s="84" t="str">
        <f>IF(G164="","",G164+10)</f>
        <v/>
      </c>
      <c r="H170" s="84">
        <f t="shared" si="38"/>
        <v>0</v>
      </c>
      <c r="I170" s="84">
        <f t="shared" si="39"/>
        <v>700</v>
      </c>
      <c r="J170" s="87">
        <v>6</v>
      </c>
      <c r="K170" s="84">
        <f t="shared" si="41"/>
        <v>0</v>
      </c>
      <c r="L170" s="84">
        <f t="shared" si="42"/>
        <v>0</v>
      </c>
      <c r="M170" s="84">
        <f t="shared" si="43"/>
        <v>0</v>
      </c>
      <c r="N170" s="84">
        <f t="shared" si="44"/>
        <v>0</v>
      </c>
      <c r="O170" s="85"/>
      <c r="P170" s="85"/>
      <c r="Q170" s="85"/>
      <c r="R170" s="85"/>
      <c r="S170" s="86">
        <f t="shared" si="35"/>
        <v>65</v>
      </c>
      <c r="T170" s="86" cm="1">
        <f t="array" ref="T170">SUMPRODUCT(F170:M170,$F$154:$M$154)+N170*SUMPRODUCT(O170:R170,$O$154:$R$154)</f>
        <v>2075</v>
      </c>
    </row>
    <row r="171" spans="4:20">
      <c r="D171" s="81" t="s">
        <v>240</v>
      </c>
      <c r="E171" s="84">
        <f t="shared" si="45"/>
        <v>4</v>
      </c>
      <c r="F171" s="84">
        <f>F165+10</f>
        <v>140</v>
      </c>
      <c r="G171" s="84">
        <f>IF(G165="","",G165+10)</f>
        <v>220</v>
      </c>
      <c r="H171" s="84">
        <f t="shared" si="38"/>
        <v>0</v>
      </c>
      <c r="I171" s="84">
        <f t="shared" si="39"/>
        <v>700</v>
      </c>
      <c r="J171" s="84">
        <f t="shared" si="40"/>
        <v>0</v>
      </c>
      <c r="K171" s="84">
        <f t="shared" si="41"/>
        <v>0</v>
      </c>
      <c r="L171" s="84">
        <f t="shared" si="42"/>
        <v>0</v>
      </c>
      <c r="M171" s="84">
        <f t="shared" si="43"/>
        <v>0</v>
      </c>
      <c r="N171" s="84">
        <f t="shared" si="44"/>
        <v>0</v>
      </c>
      <c r="O171" s="85"/>
      <c r="P171" s="85"/>
      <c r="Q171" s="85"/>
      <c r="R171" s="85"/>
      <c r="S171" s="86">
        <f t="shared" si="35"/>
        <v>65</v>
      </c>
      <c r="T171" s="86" cm="1">
        <f t="array" ref="T171">SUMPRODUCT(F171:M171,$F$154:$M$154)+N171*SUMPRODUCT(O171:R171,$O$154:$R$154)</f>
        <v>1060</v>
      </c>
    </row>
    <row r="172" spans="4:20">
      <c r="D172" s="81" t="s">
        <v>240</v>
      </c>
      <c r="E172" s="84">
        <f t="shared" si="45"/>
        <v>5</v>
      </c>
      <c r="F172" s="84">
        <f>F166+10</f>
        <v>140</v>
      </c>
      <c r="G172" s="84" t="str">
        <f>IF(G166="","",G166+10)</f>
        <v/>
      </c>
      <c r="H172" s="84">
        <f t="shared" si="38"/>
        <v>0</v>
      </c>
      <c r="I172" s="84">
        <f t="shared" si="39"/>
        <v>700</v>
      </c>
      <c r="J172" s="84">
        <f t="shared" si="40"/>
        <v>0</v>
      </c>
      <c r="K172" s="84">
        <f t="shared" si="41"/>
        <v>3</v>
      </c>
      <c r="L172" s="84">
        <f t="shared" si="42"/>
        <v>0</v>
      </c>
      <c r="M172" s="84">
        <f t="shared" si="43"/>
        <v>0</v>
      </c>
      <c r="N172" s="84">
        <f t="shared" si="44"/>
        <v>0</v>
      </c>
      <c r="O172" s="85"/>
      <c r="P172" s="85"/>
      <c r="Q172" s="85"/>
      <c r="R172" s="85"/>
      <c r="S172" s="86">
        <f t="shared" si="35"/>
        <v>65</v>
      </c>
      <c r="T172" s="86" cm="1">
        <f t="array" ref="T172">SUMPRODUCT(F172:M172,$F$154:$M$154)+N172*SUMPRODUCT(O172:R172,$O$154:$R$154)</f>
        <v>2040</v>
      </c>
    </row>
    <row r="173" spans="4:20">
      <c r="D173" s="81" t="s">
        <v>240</v>
      </c>
      <c r="E173" s="84">
        <f t="shared" si="45"/>
        <v>6</v>
      </c>
      <c r="F173" s="84">
        <f>CEILING(F172*1.5,5)</f>
        <v>210</v>
      </c>
      <c r="G173" s="84">
        <f>IF(G167="","",CEILING(G171*1.5,5))</f>
        <v>330</v>
      </c>
      <c r="H173" s="84">
        <f t="shared" si="38"/>
        <v>1</v>
      </c>
      <c r="I173" s="84" t="str">
        <f t="shared" si="39"/>
        <v/>
      </c>
      <c r="J173" s="84">
        <f t="shared" si="40"/>
        <v>0</v>
      </c>
      <c r="K173" s="84">
        <f t="shared" si="41"/>
        <v>0</v>
      </c>
      <c r="L173" s="84">
        <f t="shared" si="42"/>
        <v>0</v>
      </c>
      <c r="M173" s="84">
        <f t="shared" si="43"/>
        <v>0</v>
      </c>
      <c r="N173" s="84">
        <f t="shared" si="44"/>
        <v>8</v>
      </c>
      <c r="O173" s="85">
        <v>0.5</v>
      </c>
      <c r="P173" s="85">
        <v>0.5</v>
      </c>
      <c r="Q173" s="85"/>
      <c r="R173" s="85"/>
      <c r="S173" s="86">
        <f t="shared" si="35"/>
        <v>65</v>
      </c>
      <c r="T173" s="86" cm="1">
        <f t="array" ref="T173">SUMPRODUCT(F173:M173,$F$154:$M$154)+N173*SUMPRODUCT(O173:R173,$O$154:$R$154)</f>
        <v>3090</v>
      </c>
    </row>
    <row r="174" spans="4:20">
      <c r="D174" s="81" t="s">
        <v>241</v>
      </c>
      <c r="E174" s="84">
        <f t="shared" si="45"/>
        <v>1</v>
      </c>
      <c r="F174" s="84">
        <f>F168+10</f>
        <v>150</v>
      </c>
      <c r="G174" s="84" t="str">
        <f>IF(G168="","",G168+10)</f>
        <v/>
      </c>
      <c r="H174" s="84">
        <f t="shared" si="38"/>
        <v>0</v>
      </c>
      <c r="I174" s="84">
        <f t="shared" si="39"/>
        <v>750</v>
      </c>
      <c r="J174" s="84">
        <f t="shared" si="40"/>
        <v>5</v>
      </c>
      <c r="K174" s="84">
        <f t="shared" si="41"/>
        <v>0</v>
      </c>
      <c r="L174" s="84">
        <f t="shared" si="42"/>
        <v>0</v>
      </c>
      <c r="M174" s="84">
        <f t="shared" si="43"/>
        <v>0</v>
      </c>
      <c r="N174" s="84">
        <f t="shared" si="44"/>
        <v>0</v>
      </c>
      <c r="O174" s="85"/>
      <c r="P174" s="85"/>
      <c r="Q174" s="85"/>
      <c r="R174" s="85"/>
      <c r="S174" s="86">
        <f t="shared" si="35"/>
        <v>75</v>
      </c>
      <c r="T174" s="86" cm="1">
        <f t="array" ref="T174">SUMPRODUCT(F174:M174,$F$154:$M$154)+N174*SUMPRODUCT(O174:R174,$O$154:$R$154)</f>
        <v>1900</v>
      </c>
    </row>
    <row r="175" spans="4:20">
      <c r="D175" s="81" t="s">
        <v>241</v>
      </c>
      <c r="E175" s="84">
        <f t="shared" si="45"/>
        <v>2</v>
      </c>
      <c r="F175" s="84">
        <f>F169+10</f>
        <v>150</v>
      </c>
      <c r="G175" s="84">
        <f>IF(G169="","",G169+10)</f>
        <v>230</v>
      </c>
      <c r="H175" s="84">
        <f t="shared" si="38"/>
        <v>0</v>
      </c>
      <c r="I175" s="84">
        <f t="shared" si="39"/>
        <v>750</v>
      </c>
      <c r="J175" s="84">
        <f t="shared" si="40"/>
        <v>0</v>
      </c>
      <c r="K175" s="84">
        <f t="shared" si="41"/>
        <v>0</v>
      </c>
      <c r="L175" s="84">
        <f t="shared" si="42"/>
        <v>0</v>
      </c>
      <c r="M175" s="84">
        <f t="shared" si="43"/>
        <v>0</v>
      </c>
      <c r="N175" s="84">
        <f t="shared" si="44"/>
        <v>0</v>
      </c>
      <c r="O175" s="85"/>
      <c r="P175" s="85"/>
      <c r="Q175" s="85"/>
      <c r="R175" s="85"/>
      <c r="S175" s="86">
        <f t="shared" si="35"/>
        <v>75</v>
      </c>
      <c r="T175" s="86" cm="1">
        <f t="array" ref="T175">SUMPRODUCT(F175:M175,$F$154:$M$154)+N175*SUMPRODUCT(O175:R175,$O$154:$R$154)</f>
        <v>1130</v>
      </c>
    </row>
    <row r="176" spans="4:20">
      <c r="D176" s="81" t="s">
        <v>241</v>
      </c>
      <c r="E176" s="84">
        <f t="shared" si="45"/>
        <v>3</v>
      </c>
      <c r="F176" s="84">
        <f>CEILING(F175*1.25,5)</f>
        <v>190</v>
      </c>
      <c r="G176" s="84" t="str">
        <f>IF(G170="","",G170+10)</f>
        <v/>
      </c>
      <c r="H176" s="84">
        <f t="shared" si="38"/>
        <v>0</v>
      </c>
      <c r="I176" s="84">
        <f t="shared" si="39"/>
        <v>750</v>
      </c>
      <c r="J176" s="84">
        <f t="shared" si="40"/>
        <v>6</v>
      </c>
      <c r="K176" s="84">
        <f t="shared" si="41"/>
        <v>0</v>
      </c>
      <c r="L176" s="84">
        <f t="shared" si="42"/>
        <v>0</v>
      </c>
      <c r="M176" s="84">
        <f t="shared" si="43"/>
        <v>0</v>
      </c>
      <c r="N176" s="84">
        <f t="shared" si="44"/>
        <v>0</v>
      </c>
      <c r="O176" s="85"/>
      <c r="P176" s="85"/>
      <c r="Q176" s="85"/>
      <c r="R176" s="85"/>
      <c r="S176" s="86">
        <f t="shared" si="35"/>
        <v>75</v>
      </c>
      <c r="T176" s="86" cm="1">
        <f t="array" ref="T176">SUMPRODUCT(F176:M176,$F$154:$M$154)+N176*SUMPRODUCT(O176:R176,$O$154:$R$154)</f>
        <v>2140</v>
      </c>
    </row>
    <row r="177" spans="4:20">
      <c r="D177" s="81" t="s">
        <v>241</v>
      </c>
      <c r="E177" s="84">
        <f t="shared" si="45"/>
        <v>4</v>
      </c>
      <c r="F177" s="84">
        <f>F171+10</f>
        <v>150</v>
      </c>
      <c r="G177" s="84">
        <f>IF(G171="","",G171+10)</f>
        <v>230</v>
      </c>
      <c r="H177" s="84">
        <f t="shared" si="38"/>
        <v>0</v>
      </c>
      <c r="I177" s="84">
        <f t="shared" si="39"/>
        <v>750</v>
      </c>
      <c r="J177" s="84">
        <f t="shared" si="40"/>
        <v>0</v>
      </c>
      <c r="K177" s="84">
        <f t="shared" si="41"/>
        <v>0</v>
      </c>
      <c r="L177" s="84">
        <f t="shared" si="42"/>
        <v>0</v>
      </c>
      <c r="M177" s="84">
        <f t="shared" si="43"/>
        <v>0</v>
      </c>
      <c r="N177" s="84">
        <f t="shared" si="44"/>
        <v>0</v>
      </c>
      <c r="O177" s="85"/>
      <c r="P177" s="85"/>
      <c r="Q177" s="85"/>
      <c r="R177" s="85"/>
      <c r="S177" s="86">
        <f t="shared" si="35"/>
        <v>75</v>
      </c>
      <c r="T177" s="86" cm="1">
        <f t="array" ref="T177">SUMPRODUCT(F177:M177,$F$154:$M$154)+N177*SUMPRODUCT(O177:R177,$O$154:$R$154)</f>
        <v>1130</v>
      </c>
    </row>
    <row r="178" spans="4:20">
      <c r="D178" s="81" t="s">
        <v>241</v>
      </c>
      <c r="E178" s="84">
        <f t="shared" si="45"/>
        <v>5</v>
      </c>
      <c r="F178" s="84">
        <f>F172+10</f>
        <v>150</v>
      </c>
      <c r="G178" s="84" t="str">
        <f>IF(G172="","",G172+10)</f>
        <v/>
      </c>
      <c r="H178" s="84">
        <f t="shared" si="38"/>
        <v>0</v>
      </c>
      <c r="I178" s="84">
        <f t="shared" si="39"/>
        <v>750</v>
      </c>
      <c r="J178" s="84">
        <f t="shared" si="40"/>
        <v>0</v>
      </c>
      <c r="K178" s="87">
        <v>4</v>
      </c>
      <c r="L178" s="84">
        <f t="shared" si="42"/>
        <v>0</v>
      </c>
      <c r="M178" s="84">
        <f t="shared" si="43"/>
        <v>0</v>
      </c>
      <c r="N178" s="84">
        <f t="shared" si="44"/>
        <v>0</v>
      </c>
      <c r="O178" s="85"/>
      <c r="P178" s="85"/>
      <c r="Q178" s="85"/>
      <c r="R178" s="85"/>
      <c r="S178" s="86">
        <f t="shared" si="35"/>
        <v>75</v>
      </c>
      <c r="T178" s="86" cm="1">
        <f t="array" ref="T178">SUMPRODUCT(F178:M178,$F$154:$M$154)+N178*SUMPRODUCT(O178:R178,$O$154:$R$154)</f>
        <v>2500</v>
      </c>
    </row>
    <row r="179" spans="4:20">
      <c r="D179" s="81" t="s">
        <v>241</v>
      </c>
      <c r="E179" s="84">
        <f t="shared" si="45"/>
        <v>6</v>
      </c>
      <c r="F179" s="84">
        <f>CEILING(F178*1.5,5)</f>
        <v>225</v>
      </c>
      <c r="G179" s="84">
        <f>IF(G173="","",CEILING(G177*1.5,5))</f>
        <v>345</v>
      </c>
      <c r="H179" s="84">
        <f t="shared" si="38"/>
        <v>1</v>
      </c>
      <c r="I179" s="84" t="str">
        <f t="shared" si="39"/>
        <v/>
      </c>
      <c r="J179" s="84">
        <f t="shared" si="40"/>
        <v>0</v>
      </c>
      <c r="K179" s="84">
        <f t="shared" si="41"/>
        <v>0</v>
      </c>
      <c r="L179" s="84">
        <f t="shared" si="42"/>
        <v>0</v>
      </c>
      <c r="M179" s="84">
        <f t="shared" si="43"/>
        <v>0</v>
      </c>
      <c r="N179" s="84">
        <f t="shared" si="44"/>
        <v>8</v>
      </c>
      <c r="O179" s="85">
        <v>0.3</v>
      </c>
      <c r="P179" s="85">
        <v>0.7</v>
      </c>
      <c r="Q179" s="85"/>
      <c r="R179" s="85"/>
      <c r="S179" s="86">
        <f t="shared" si="35"/>
        <v>75</v>
      </c>
      <c r="T179" s="86" cm="1">
        <f t="array" ref="T179">SUMPRODUCT(F179:M179,$F$154:$M$154)+N179*SUMPRODUCT(O179:R179,$O$154:$R$154)</f>
        <v>3440</v>
      </c>
    </row>
    <row r="180" spans="4:20">
      <c r="D180" s="81" t="s">
        <v>242</v>
      </c>
      <c r="E180" s="84">
        <f t="shared" si="45"/>
        <v>1</v>
      </c>
      <c r="F180" s="84">
        <f>F174+10</f>
        <v>160</v>
      </c>
      <c r="G180" s="84" t="str">
        <f>IF(G174="","",G174+10)</f>
        <v/>
      </c>
      <c r="H180" s="84">
        <f t="shared" si="38"/>
        <v>0</v>
      </c>
      <c r="I180" s="84">
        <f t="shared" si="39"/>
        <v>800</v>
      </c>
      <c r="J180" s="87">
        <v>6</v>
      </c>
      <c r="K180" s="84">
        <f t="shared" si="41"/>
        <v>0</v>
      </c>
      <c r="L180" s="84">
        <f t="shared" si="42"/>
        <v>0</v>
      </c>
      <c r="M180" s="84">
        <f t="shared" si="43"/>
        <v>0</v>
      </c>
      <c r="N180" s="84">
        <f t="shared" si="44"/>
        <v>0</v>
      </c>
      <c r="O180" s="85"/>
      <c r="P180" s="85"/>
      <c r="Q180" s="85"/>
      <c r="R180" s="85"/>
      <c r="S180" s="86">
        <f t="shared" si="35"/>
        <v>85</v>
      </c>
      <c r="T180" s="86" cm="1">
        <f t="array" ref="T180">SUMPRODUCT(F180:M180,$F$154:$M$154)+N180*SUMPRODUCT(O180:R180,$O$154:$R$154)</f>
        <v>2160</v>
      </c>
    </row>
    <row r="181" spans="4:20">
      <c r="D181" s="81" t="s">
        <v>242</v>
      </c>
      <c r="E181" s="84">
        <f t="shared" si="45"/>
        <v>2</v>
      </c>
      <c r="F181" s="84">
        <f>F175+10</f>
        <v>160</v>
      </c>
      <c r="G181" s="84">
        <f>IF(G175="","",G175+10)</f>
        <v>240</v>
      </c>
      <c r="H181" s="84">
        <f t="shared" si="38"/>
        <v>0</v>
      </c>
      <c r="I181" s="84">
        <f t="shared" si="39"/>
        <v>800</v>
      </c>
      <c r="J181" s="84">
        <f t="shared" si="40"/>
        <v>0</v>
      </c>
      <c r="K181" s="84">
        <f t="shared" si="41"/>
        <v>0</v>
      </c>
      <c r="L181" s="84">
        <f t="shared" si="42"/>
        <v>0</v>
      </c>
      <c r="M181" s="84">
        <f t="shared" si="43"/>
        <v>0</v>
      </c>
      <c r="N181" s="84">
        <f t="shared" si="44"/>
        <v>0</v>
      </c>
      <c r="O181" s="85"/>
      <c r="P181" s="85"/>
      <c r="Q181" s="85"/>
      <c r="R181" s="85"/>
      <c r="S181" s="86">
        <f t="shared" si="35"/>
        <v>85</v>
      </c>
      <c r="T181" s="86" cm="1">
        <f t="array" ref="T181">SUMPRODUCT(F181:M181,$F$154:$M$154)+N181*SUMPRODUCT(O181:R181,$O$154:$R$154)</f>
        <v>1200</v>
      </c>
    </row>
    <row r="182" spans="4:20">
      <c r="D182" s="81" t="s">
        <v>242</v>
      </c>
      <c r="E182" s="84">
        <f t="shared" si="45"/>
        <v>3</v>
      </c>
      <c r="F182" s="84">
        <f>CEILING(F181*1.25,5)</f>
        <v>200</v>
      </c>
      <c r="G182" s="84" t="str">
        <f>IF(G176="","",G176+10)</f>
        <v/>
      </c>
      <c r="H182" s="84">
        <f t="shared" si="38"/>
        <v>0</v>
      </c>
      <c r="I182" s="84">
        <f t="shared" si="39"/>
        <v>800</v>
      </c>
      <c r="J182" s="87">
        <v>7</v>
      </c>
      <c r="K182" s="84">
        <f t="shared" si="41"/>
        <v>0</v>
      </c>
      <c r="L182" s="84">
        <f t="shared" si="42"/>
        <v>0</v>
      </c>
      <c r="M182" s="84">
        <f t="shared" si="43"/>
        <v>0</v>
      </c>
      <c r="N182" s="84">
        <f t="shared" si="44"/>
        <v>0</v>
      </c>
      <c r="O182" s="85"/>
      <c r="P182" s="85"/>
      <c r="Q182" s="85"/>
      <c r="R182" s="85"/>
      <c r="S182" s="86">
        <f t="shared" si="35"/>
        <v>85</v>
      </c>
      <c r="T182" s="86" cm="1">
        <f t="array" ref="T182">SUMPRODUCT(F182:M182,$F$154:$M$154)+N182*SUMPRODUCT(O182:R182,$O$154:$R$154)</f>
        <v>2400</v>
      </c>
    </row>
    <row r="183" spans="4:20">
      <c r="D183" s="81" t="s">
        <v>242</v>
      </c>
      <c r="E183" s="84">
        <f t="shared" si="45"/>
        <v>4</v>
      </c>
      <c r="F183" s="84">
        <f>F177+10</f>
        <v>160</v>
      </c>
      <c r="G183" s="84">
        <f>IF(G177="","",G177+10)</f>
        <v>240</v>
      </c>
      <c r="H183" s="84">
        <f t="shared" si="38"/>
        <v>0</v>
      </c>
      <c r="I183" s="84">
        <f t="shared" si="39"/>
        <v>800</v>
      </c>
      <c r="J183" s="84">
        <f t="shared" si="40"/>
        <v>0</v>
      </c>
      <c r="K183" s="84">
        <f t="shared" si="41"/>
        <v>0</v>
      </c>
      <c r="L183" s="84">
        <f t="shared" si="42"/>
        <v>0</v>
      </c>
      <c r="M183" s="84">
        <f t="shared" si="43"/>
        <v>0</v>
      </c>
      <c r="N183" s="84">
        <f t="shared" si="44"/>
        <v>0</v>
      </c>
      <c r="O183" s="85"/>
      <c r="P183" s="85"/>
      <c r="Q183" s="85"/>
      <c r="R183" s="85"/>
      <c r="S183" s="86">
        <f t="shared" si="35"/>
        <v>85</v>
      </c>
      <c r="T183" s="86" cm="1">
        <f t="array" ref="T183">SUMPRODUCT(F183:M183,$F$154:$M$154)+N183*SUMPRODUCT(O183:R183,$O$154:$R$154)</f>
        <v>1200</v>
      </c>
    </row>
    <row r="184" spans="4:20">
      <c r="D184" s="81" t="s">
        <v>242</v>
      </c>
      <c r="E184" s="84">
        <f t="shared" si="45"/>
        <v>5</v>
      </c>
      <c r="F184" s="84">
        <f>F178+10</f>
        <v>160</v>
      </c>
      <c r="G184" s="84" t="str">
        <f>IF(G178="","",G178+10)</f>
        <v/>
      </c>
      <c r="H184" s="84">
        <f t="shared" si="38"/>
        <v>0</v>
      </c>
      <c r="I184" s="84">
        <f t="shared" si="39"/>
        <v>800</v>
      </c>
      <c r="J184" s="84">
        <f t="shared" si="40"/>
        <v>0</v>
      </c>
      <c r="K184" s="84">
        <v>4</v>
      </c>
      <c r="L184" s="84">
        <f t="shared" si="42"/>
        <v>0</v>
      </c>
      <c r="M184" s="84">
        <f t="shared" si="43"/>
        <v>0</v>
      </c>
      <c r="N184" s="84">
        <f t="shared" si="44"/>
        <v>0</v>
      </c>
      <c r="O184" s="85"/>
      <c r="P184" s="85"/>
      <c r="Q184" s="85"/>
      <c r="R184" s="85"/>
      <c r="S184" s="86">
        <f t="shared" si="35"/>
        <v>85</v>
      </c>
      <c r="T184" s="86" cm="1">
        <f t="array" ref="T184">SUMPRODUCT(F184:M184,$F$154:$M$154)+N184*SUMPRODUCT(O184:R184,$O$154:$R$154)</f>
        <v>2560</v>
      </c>
    </row>
    <row r="185" spans="4:20">
      <c r="D185" s="81" t="s">
        <v>242</v>
      </c>
      <c r="E185" s="84">
        <f t="shared" si="45"/>
        <v>6</v>
      </c>
      <c r="F185" s="84">
        <f>CEILING(F184*1.5,5)</f>
        <v>240</v>
      </c>
      <c r="G185" s="84">
        <f>IF(G179="","",CEILING(G183*1.5,5))</f>
        <v>360</v>
      </c>
      <c r="H185" s="84">
        <f t="shared" si="38"/>
        <v>1</v>
      </c>
      <c r="I185" s="84" t="str">
        <f t="shared" si="39"/>
        <v/>
      </c>
      <c r="J185" s="84">
        <f t="shared" si="40"/>
        <v>0</v>
      </c>
      <c r="K185" s="84">
        <f t="shared" si="41"/>
        <v>0</v>
      </c>
      <c r="L185" s="84">
        <f t="shared" si="42"/>
        <v>0</v>
      </c>
      <c r="M185" s="84">
        <f t="shared" si="43"/>
        <v>0</v>
      </c>
      <c r="N185" s="84">
        <f t="shared" si="44"/>
        <v>8</v>
      </c>
      <c r="O185" s="85">
        <v>0.1</v>
      </c>
      <c r="P185" s="85">
        <v>0.87</v>
      </c>
      <c r="Q185" s="85">
        <v>0.03</v>
      </c>
      <c r="R185" s="85"/>
      <c r="S185" s="86">
        <f t="shared" si="35"/>
        <v>85</v>
      </c>
      <c r="T185" s="86" cm="1">
        <f t="array" ref="T185">SUMPRODUCT(F185:M185,$F$154:$M$154)+N185*SUMPRODUCT(O185:R185,$O$154:$R$154)</f>
        <v>3886</v>
      </c>
    </row>
    <row r="186" spans="4:20">
      <c r="D186" s="77" t="str">
        <f>SUBSTITUTE(D156,"精良","豪华")</f>
        <v>豪华Ⅰ</v>
      </c>
      <c r="E186" s="80">
        <f t="shared" si="45"/>
        <v>1</v>
      </c>
      <c r="F186" s="80">
        <f>F180+10</f>
        <v>170</v>
      </c>
      <c r="G186" s="80" t="str">
        <f>IF(G180="","",G180+10)</f>
        <v/>
      </c>
      <c r="H186" s="80">
        <f t="shared" si="38"/>
        <v>0</v>
      </c>
      <c r="I186" s="80">
        <f t="shared" si="39"/>
        <v>850</v>
      </c>
      <c r="J186" s="80">
        <f t="shared" si="40"/>
        <v>6</v>
      </c>
      <c r="K186" s="80">
        <f t="shared" si="41"/>
        <v>0</v>
      </c>
      <c r="L186" s="80">
        <f t="shared" si="42"/>
        <v>0</v>
      </c>
      <c r="M186" s="80">
        <f t="shared" si="43"/>
        <v>0</v>
      </c>
      <c r="N186" s="80">
        <f t="shared" si="44"/>
        <v>0</v>
      </c>
      <c r="O186" s="89"/>
      <c r="P186" s="89"/>
      <c r="Q186" s="89"/>
      <c r="R186" s="89"/>
      <c r="S186" s="90">
        <f t="shared" si="35"/>
        <v>95</v>
      </c>
      <c r="T186" s="90" cm="1">
        <f t="array" ref="T186">SUMPRODUCT(F186:M186,$F$154:$M$154)+N186*SUMPRODUCT(O186:R186,$O$154:$R$154)</f>
        <v>2220</v>
      </c>
    </row>
    <row r="187" spans="4:20">
      <c r="D187" s="77" t="str">
        <f t="shared" ref="D187:D210" si="46">SUBSTITUTE(D157,"精良","豪华")</f>
        <v>豪华Ⅰ</v>
      </c>
      <c r="E187" s="80">
        <f t="shared" si="45"/>
        <v>2</v>
      </c>
      <c r="F187" s="80">
        <f>F181+10</f>
        <v>170</v>
      </c>
      <c r="G187" s="80">
        <f>IF(G181="","",G181+10)</f>
        <v>250</v>
      </c>
      <c r="H187" s="80">
        <f t="shared" si="38"/>
        <v>0</v>
      </c>
      <c r="I187" s="80">
        <f t="shared" si="39"/>
        <v>850</v>
      </c>
      <c r="J187" s="80">
        <f t="shared" si="40"/>
        <v>0</v>
      </c>
      <c r="K187" s="80">
        <f t="shared" si="41"/>
        <v>0</v>
      </c>
      <c r="L187" s="80">
        <f t="shared" si="42"/>
        <v>0</v>
      </c>
      <c r="M187" s="80">
        <f t="shared" si="43"/>
        <v>0</v>
      </c>
      <c r="N187" s="80">
        <f t="shared" si="44"/>
        <v>0</v>
      </c>
      <c r="O187" s="89"/>
      <c r="P187" s="89"/>
      <c r="Q187" s="89"/>
      <c r="R187" s="89"/>
      <c r="S187" s="90">
        <f t="shared" si="35"/>
        <v>95</v>
      </c>
      <c r="T187" s="90" cm="1">
        <f t="array" ref="T187">SUMPRODUCT(F187:M187,$F$154:$M$154)+N187*SUMPRODUCT(O187:R187,$O$154:$R$154)</f>
        <v>1270</v>
      </c>
    </row>
    <row r="188" spans="4:20">
      <c r="D188" s="77" t="str">
        <f t="shared" si="46"/>
        <v>豪华Ⅰ</v>
      </c>
      <c r="E188" s="80">
        <f t="shared" si="45"/>
        <v>3</v>
      </c>
      <c r="F188" s="80">
        <f>CEILING(F187*1.25,5)</f>
        <v>215</v>
      </c>
      <c r="G188" s="80" t="str">
        <f>IF(G182="","",G182+10)</f>
        <v/>
      </c>
      <c r="H188" s="80">
        <f t="shared" si="38"/>
        <v>0</v>
      </c>
      <c r="I188" s="80">
        <f t="shared" si="39"/>
        <v>850</v>
      </c>
      <c r="J188" s="80">
        <f t="shared" si="40"/>
        <v>7</v>
      </c>
      <c r="K188" s="80">
        <f t="shared" si="41"/>
        <v>0</v>
      </c>
      <c r="L188" s="80">
        <f t="shared" si="42"/>
        <v>0</v>
      </c>
      <c r="M188" s="80">
        <f t="shared" si="43"/>
        <v>0</v>
      </c>
      <c r="N188" s="80">
        <f t="shared" si="44"/>
        <v>0</v>
      </c>
      <c r="O188" s="89"/>
      <c r="P188" s="89"/>
      <c r="Q188" s="89"/>
      <c r="R188" s="89"/>
      <c r="S188" s="90">
        <f t="shared" si="35"/>
        <v>95</v>
      </c>
      <c r="T188" s="90" cm="1">
        <f t="array" ref="T188">SUMPRODUCT(F188:M188,$F$154:$M$154)+N188*SUMPRODUCT(O188:R188,$O$154:$R$154)</f>
        <v>2465</v>
      </c>
    </row>
    <row r="189" spans="4:20">
      <c r="D189" s="77" t="str">
        <f t="shared" si="46"/>
        <v>豪华Ⅰ</v>
      </c>
      <c r="E189" s="80">
        <f t="shared" si="45"/>
        <v>4</v>
      </c>
      <c r="F189" s="80">
        <f>F183+10</f>
        <v>170</v>
      </c>
      <c r="G189" s="80">
        <f>IF(G183="","",G183+10)</f>
        <v>250</v>
      </c>
      <c r="H189" s="80">
        <f t="shared" si="38"/>
        <v>0</v>
      </c>
      <c r="I189" s="80">
        <f t="shared" si="39"/>
        <v>850</v>
      </c>
      <c r="J189" s="80">
        <f t="shared" si="40"/>
        <v>0</v>
      </c>
      <c r="K189" s="80">
        <f t="shared" si="41"/>
        <v>0</v>
      </c>
      <c r="L189" s="80">
        <f t="shared" si="42"/>
        <v>0</v>
      </c>
      <c r="M189" s="80">
        <f t="shared" si="43"/>
        <v>0</v>
      </c>
      <c r="N189" s="80">
        <f t="shared" si="44"/>
        <v>0</v>
      </c>
      <c r="O189" s="89"/>
      <c r="P189" s="89"/>
      <c r="Q189" s="89"/>
      <c r="R189" s="89"/>
      <c r="S189" s="90">
        <f t="shared" si="35"/>
        <v>95</v>
      </c>
      <c r="T189" s="90" cm="1">
        <f t="array" ref="T189">SUMPRODUCT(F189:M189,$F$154:$M$154)+N189*SUMPRODUCT(O189:R189,$O$154:$R$154)</f>
        <v>1270</v>
      </c>
    </row>
    <row r="190" spans="4:20">
      <c r="D190" s="77" t="str">
        <f t="shared" si="46"/>
        <v>豪华Ⅰ</v>
      </c>
      <c r="E190" s="80">
        <f t="shared" si="45"/>
        <v>5</v>
      </c>
      <c r="F190" s="80">
        <f>F184+10</f>
        <v>170</v>
      </c>
      <c r="G190" s="80" t="str">
        <f>IF(G184="","",G184+10)</f>
        <v/>
      </c>
      <c r="H190" s="80">
        <f t="shared" si="38"/>
        <v>0</v>
      </c>
      <c r="I190" s="80">
        <f t="shared" si="39"/>
        <v>850</v>
      </c>
      <c r="J190" s="80">
        <f t="shared" si="40"/>
        <v>0</v>
      </c>
      <c r="K190" s="91">
        <v>5</v>
      </c>
      <c r="L190" s="80">
        <f t="shared" si="42"/>
        <v>0</v>
      </c>
      <c r="M190" s="80">
        <f t="shared" si="43"/>
        <v>0</v>
      </c>
      <c r="N190" s="80">
        <f t="shared" si="44"/>
        <v>0</v>
      </c>
      <c r="O190" s="89"/>
      <c r="P190" s="89"/>
      <c r="Q190" s="89"/>
      <c r="R190" s="89"/>
      <c r="S190" s="90">
        <f t="shared" si="35"/>
        <v>95</v>
      </c>
      <c r="T190" s="90" cm="1">
        <f t="array" ref="T190">SUMPRODUCT(F190:M190,$F$154:$M$154)+N190*SUMPRODUCT(O190:R190,$O$154:$R$154)</f>
        <v>3020</v>
      </c>
    </row>
    <row r="191" spans="4:20">
      <c r="D191" s="77" t="str">
        <f t="shared" si="46"/>
        <v>豪华Ⅰ</v>
      </c>
      <c r="E191" s="80">
        <f t="shared" si="45"/>
        <v>6</v>
      </c>
      <c r="F191" s="80">
        <f>CEILING(F190*1.5,5)</f>
        <v>255</v>
      </c>
      <c r="G191" s="80">
        <f>IF(G185="","",CEILING(G189*1.5,5))</f>
        <v>375</v>
      </c>
      <c r="H191" s="80">
        <f t="shared" si="38"/>
        <v>1</v>
      </c>
      <c r="I191" s="80" t="str">
        <f t="shared" si="39"/>
        <v/>
      </c>
      <c r="J191" s="80">
        <f t="shared" si="40"/>
        <v>0</v>
      </c>
      <c r="K191" s="80">
        <f t="shared" si="41"/>
        <v>0</v>
      </c>
      <c r="L191" s="80">
        <f t="shared" si="42"/>
        <v>0</v>
      </c>
      <c r="M191" s="80">
        <f t="shared" si="43"/>
        <v>0</v>
      </c>
      <c r="N191" s="80">
        <f t="shared" si="44"/>
        <v>8</v>
      </c>
      <c r="O191" s="89"/>
      <c r="P191" s="89">
        <v>0.94</v>
      </c>
      <c r="Q191" s="89">
        <v>0.06</v>
      </c>
      <c r="R191" s="89"/>
      <c r="S191" s="90">
        <f t="shared" si="35"/>
        <v>95</v>
      </c>
      <c r="T191" s="90" cm="1">
        <f t="array" ref="T191">SUMPRODUCT(F191:M191,$F$154:$M$154)+N191*SUMPRODUCT(O191:R191,$O$154:$R$154)</f>
        <v>4172</v>
      </c>
    </row>
    <row r="192" spans="4:20">
      <c r="D192" s="77" t="str">
        <f t="shared" si="46"/>
        <v>豪华Ⅱ</v>
      </c>
      <c r="E192" s="80">
        <f t="shared" si="45"/>
        <v>1</v>
      </c>
      <c r="F192" s="80">
        <f>F186+10</f>
        <v>180</v>
      </c>
      <c r="G192" s="80" t="str">
        <f>IF(G186="","",G186+10)</f>
        <v/>
      </c>
      <c r="H192" s="80">
        <f t="shared" si="38"/>
        <v>0</v>
      </c>
      <c r="I192" s="80">
        <f t="shared" si="39"/>
        <v>900</v>
      </c>
      <c r="J192" s="80">
        <v>6</v>
      </c>
      <c r="K192" s="80">
        <f t="shared" si="41"/>
        <v>0</v>
      </c>
      <c r="L192" s="80">
        <f t="shared" si="42"/>
        <v>0</v>
      </c>
      <c r="M192" s="80">
        <f t="shared" si="43"/>
        <v>0</v>
      </c>
      <c r="N192" s="80">
        <f t="shared" si="44"/>
        <v>0</v>
      </c>
      <c r="O192" s="89"/>
      <c r="P192" s="89"/>
      <c r="Q192" s="89"/>
      <c r="R192" s="89"/>
      <c r="S192" s="90">
        <f t="shared" si="35"/>
        <v>105</v>
      </c>
      <c r="T192" s="90" cm="1">
        <f t="array" ref="T192">SUMPRODUCT(F192:M192,$F$154:$M$154)+N192*SUMPRODUCT(O192:R192,$O$154:$R$154)</f>
        <v>2280</v>
      </c>
    </row>
    <row r="193" spans="4:20">
      <c r="D193" s="77" t="str">
        <f t="shared" si="46"/>
        <v>豪华Ⅱ</v>
      </c>
      <c r="E193" s="80">
        <f t="shared" si="45"/>
        <v>2</v>
      </c>
      <c r="F193" s="80">
        <f>F187+10</f>
        <v>180</v>
      </c>
      <c r="G193" s="80">
        <f>IF(G187="","",G187+10)</f>
        <v>260</v>
      </c>
      <c r="H193" s="80">
        <f t="shared" si="38"/>
        <v>0</v>
      </c>
      <c r="I193" s="80">
        <f t="shared" si="39"/>
        <v>900</v>
      </c>
      <c r="J193" s="80"/>
      <c r="K193" s="80">
        <f t="shared" si="41"/>
        <v>0</v>
      </c>
      <c r="L193" s="80">
        <f t="shared" si="42"/>
        <v>0</v>
      </c>
      <c r="M193" s="80">
        <f t="shared" si="43"/>
        <v>0</v>
      </c>
      <c r="N193" s="80">
        <f t="shared" si="44"/>
        <v>0</v>
      </c>
      <c r="O193" s="89"/>
      <c r="P193" s="89"/>
      <c r="Q193" s="89"/>
      <c r="R193" s="89"/>
      <c r="S193" s="90">
        <f t="shared" si="35"/>
        <v>105</v>
      </c>
      <c r="T193" s="90" cm="1">
        <f t="array" ref="T193">SUMPRODUCT(F193:M193,$F$154:$M$154)+N193*SUMPRODUCT(O193:R193,$O$154:$R$154)</f>
        <v>1340</v>
      </c>
    </row>
    <row r="194" spans="4:20">
      <c r="D194" s="77" t="str">
        <f t="shared" si="46"/>
        <v>豪华Ⅱ</v>
      </c>
      <c r="E194" s="80">
        <f t="shared" si="45"/>
        <v>3</v>
      </c>
      <c r="F194" s="80">
        <f>CEILING(F193*1.25,5)</f>
        <v>225</v>
      </c>
      <c r="G194" s="80" t="str">
        <f>IF(G188="","",G188+10)</f>
        <v/>
      </c>
      <c r="H194" s="80">
        <f t="shared" si="38"/>
        <v>0</v>
      </c>
      <c r="I194" s="80">
        <f t="shared" si="39"/>
        <v>900</v>
      </c>
      <c r="J194" s="91">
        <v>8</v>
      </c>
      <c r="K194" s="80">
        <f t="shared" si="41"/>
        <v>0</v>
      </c>
      <c r="L194" s="80">
        <f t="shared" si="42"/>
        <v>0</v>
      </c>
      <c r="M194" s="80">
        <f t="shared" si="43"/>
        <v>0</v>
      </c>
      <c r="N194" s="80">
        <f t="shared" si="44"/>
        <v>0</v>
      </c>
      <c r="O194" s="89"/>
      <c r="P194" s="89"/>
      <c r="Q194" s="89"/>
      <c r="R194" s="89"/>
      <c r="S194" s="90">
        <f t="shared" si="35"/>
        <v>105</v>
      </c>
      <c r="T194" s="90" cm="1">
        <f t="array" ref="T194">SUMPRODUCT(F194:M194,$F$154:$M$154)+N194*SUMPRODUCT(O194:R194,$O$154:$R$154)</f>
        <v>2725</v>
      </c>
    </row>
    <row r="195" spans="4:20">
      <c r="D195" s="77" t="str">
        <f t="shared" si="46"/>
        <v>豪华Ⅱ</v>
      </c>
      <c r="E195" s="80">
        <f t="shared" si="45"/>
        <v>4</v>
      </c>
      <c r="F195" s="80">
        <f>F189+10</f>
        <v>180</v>
      </c>
      <c r="G195" s="80">
        <f>IF(G189="","",G189+10)</f>
        <v>260</v>
      </c>
      <c r="H195" s="80">
        <f t="shared" si="38"/>
        <v>0</v>
      </c>
      <c r="I195" s="80">
        <f t="shared" si="39"/>
        <v>900</v>
      </c>
      <c r="J195" s="80">
        <f t="shared" si="40"/>
        <v>0</v>
      </c>
      <c r="K195" s="80">
        <f t="shared" si="41"/>
        <v>0</v>
      </c>
      <c r="L195" s="80">
        <f t="shared" si="42"/>
        <v>0</v>
      </c>
      <c r="M195" s="80">
        <f t="shared" si="43"/>
        <v>0</v>
      </c>
      <c r="N195" s="80">
        <f t="shared" si="44"/>
        <v>0</v>
      </c>
      <c r="O195" s="89"/>
      <c r="P195" s="89"/>
      <c r="Q195" s="89"/>
      <c r="R195" s="89"/>
      <c r="S195" s="90">
        <f t="shared" si="35"/>
        <v>105</v>
      </c>
      <c r="T195" s="90" cm="1">
        <f t="array" ref="T195">SUMPRODUCT(F195:M195,$F$154:$M$154)+N195*SUMPRODUCT(O195:R195,$O$154:$R$154)</f>
        <v>1340</v>
      </c>
    </row>
    <row r="196" spans="4:20">
      <c r="D196" s="77" t="str">
        <f t="shared" si="46"/>
        <v>豪华Ⅱ</v>
      </c>
      <c r="E196" s="80">
        <f t="shared" si="45"/>
        <v>5</v>
      </c>
      <c r="F196" s="80">
        <f>F190+10</f>
        <v>180</v>
      </c>
      <c r="G196" s="80" t="str">
        <f>IF(G190="","",G190+10)</f>
        <v/>
      </c>
      <c r="H196" s="80">
        <f t="shared" si="38"/>
        <v>0</v>
      </c>
      <c r="I196" s="80">
        <f t="shared" si="39"/>
        <v>900</v>
      </c>
      <c r="J196" s="80">
        <f t="shared" si="40"/>
        <v>0</v>
      </c>
      <c r="K196" s="80">
        <f t="shared" si="41"/>
        <v>5</v>
      </c>
      <c r="L196" s="80">
        <f t="shared" si="42"/>
        <v>0</v>
      </c>
      <c r="M196" s="80">
        <f t="shared" si="43"/>
        <v>0</v>
      </c>
      <c r="N196" s="80">
        <f t="shared" si="44"/>
        <v>0</v>
      </c>
      <c r="O196" s="89"/>
      <c r="P196" s="89"/>
      <c r="Q196" s="89"/>
      <c r="R196" s="89"/>
      <c r="S196" s="90">
        <f t="shared" si="35"/>
        <v>105</v>
      </c>
      <c r="T196" s="90" cm="1">
        <f t="array" ref="T196">SUMPRODUCT(F196:M196,$F$154:$M$154)+N196*SUMPRODUCT(O196:R196,$O$154:$R$154)</f>
        <v>3080</v>
      </c>
    </row>
    <row r="197" spans="4:20">
      <c r="D197" s="77" t="str">
        <f t="shared" si="46"/>
        <v>豪华Ⅱ</v>
      </c>
      <c r="E197" s="80">
        <f t="shared" si="45"/>
        <v>6</v>
      </c>
      <c r="F197" s="80">
        <f>CEILING(F196*1.5,5)</f>
        <v>270</v>
      </c>
      <c r="G197" s="80">
        <f>IF(G191="","",CEILING(G195*1.5,5))</f>
        <v>390</v>
      </c>
      <c r="H197" s="80">
        <f t="shared" si="38"/>
        <v>1</v>
      </c>
      <c r="I197" s="80" t="str">
        <f t="shared" si="39"/>
        <v/>
      </c>
      <c r="J197" s="80">
        <f t="shared" si="40"/>
        <v>0</v>
      </c>
      <c r="K197" s="80">
        <f t="shared" si="41"/>
        <v>0</v>
      </c>
      <c r="L197" s="80">
        <f t="shared" si="42"/>
        <v>0</v>
      </c>
      <c r="M197" s="80">
        <f t="shared" si="43"/>
        <v>0</v>
      </c>
      <c r="N197" s="80">
        <f t="shared" si="44"/>
        <v>8</v>
      </c>
      <c r="O197" s="89"/>
      <c r="P197" s="89">
        <v>0.91</v>
      </c>
      <c r="Q197" s="89">
        <v>0.09</v>
      </c>
      <c r="R197" s="89"/>
      <c r="S197" s="90">
        <f t="shared" si="35"/>
        <v>105</v>
      </c>
      <c r="T197" s="90" cm="1">
        <f t="array" ref="T197">SUMPRODUCT(F197:M197,$F$154:$M$154)+N197*SUMPRODUCT(O197:R197,$O$154:$R$154)</f>
        <v>4298</v>
      </c>
    </row>
    <row r="198" spans="4:20">
      <c r="D198" s="77" t="str">
        <f t="shared" si="46"/>
        <v>豪华Ⅲ</v>
      </c>
      <c r="E198" s="80">
        <f t="shared" si="45"/>
        <v>1</v>
      </c>
      <c r="F198" s="80">
        <f>F192+10</f>
        <v>190</v>
      </c>
      <c r="G198" s="80" t="str">
        <f>IF(G192="","",G192+10)</f>
        <v/>
      </c>
      <c r="H198" s="80">
        <f t="shared" si="38"/>
        <v>0</v>
      </c>
      <c r="I198" s="80">
        <f t="shared" si="39"/>
        <v>950</v>
      </c>
      <c r="J198" s="80">
        <f t="shared" si="40"/>
        <v>6</v>
      </c>
      <c r="K198" s="80">
        <f t="shared" si="41"/>
        <v>0</v>
      </c>
      <c r="L198" s="80">
        <f t="shared" si="42"/>
        <v>0</v>
      </c>
      <c r="M198" s="80">
        <f t="shared" si="43"/>
        <v>0</v>
      </c>
      <c r="N198" s="80">
        <f t="shared" si="44"/>
        <v>0</v>
      </c>
      <c r="O198" s="89"/>
      <c r="P198" s="89"/>
      <c r="Q198" s="89"/>
      <c r="R198" s="89"/>
      <c r="S198" s="90">
        <f t="shared" si="35"/>
        <v>115</v>
      </c>
      <c r="T198" s="90" cm="1">
        <f t="array" ref="T198">SUMPRODUCT(F198:M198,$F$154:$M$154)+N198*SUMPRODUCT(O198:R198,$O$154:$R$154)</f>
        <v>2340</v>
      </c>
    </row>
    <row r="199" spans="4:20">
      <c r="D199" s="77" t="str">
        <f t="shared" si="46"/>
        <v>豪华Ⅲ</v>
      </c>
      <c r="E199" s="80">
        <f t="shared" si="45"/>
        <v>2</v>
      </c>
      <c r="F199" s="80">
        <f>F193+10</f>
        <v>190</v>
      </c>
      <c r="G199" s="80">
        <f>IF(G193="","",G193+10)</f>
        <v>270</v>
      </c>
      <c r="H199" s="80">
        <f t="shared" si="38"/>
        <v>0</v>
      </c>
      <c r="I199" s="80">
        <f t="shared" si="39"/>
        <v>950</v>
      </c>
      <c r="J199" s="80">
        <f t="shared" si="40"/>
        <v>0</v>
      </c>
      <c r="K199" s="80">
        <f t="shared" si="41"/>
        <v>0</v>
      </c>
      <c r="L199" s="80">
        <f t="shared" si="42"/>
        <v>0</v>
      </c>
      <c r="M199" s="80">
        <f t="shared" si="43"/>
        <v>0</v>
      </c>
      <c r="N199" s="80">
        <f t="shared" si="44"/>
        <v>0</v>
      </c>
      <c r="O199" s="89"/>
      <c r="P199" s="89"/>
      <c r="Q199" s="89"/>
      <c r="R199" s="89"/>
      <c r="S199" s="90">
        <f t="shared" si="35"/>
        <v>115</v>
      </c>
      <c r="T199" s="90" cm="1">
        <f t="array" ref="T199">SUMPRODUCT(F199:M199,$F$154:$M$154)+N199*SUMPRODUCT(O199:R199,$O$154:$R$154)</f>
        <v>1410</v>
      </c>
    </row>
    <row r="200" spans="4:20">
      <c r="D200" s="77" t="str">
        <f t="shared" si="46"/>
        <v>豪华Ⅲ</v>
      </c>
      <c r="E200" s="80">
        <f t="shared" si="45"/>
        <v>3</v>
      </c>
      <c r="F200" s="80">
        <f>CEILING(F199*1.25,5)</f>
        <v>240</v>
      </c>
      <c r="G200" s="80" t="str">
        <f>IF(G194="","",G194+10)</f>
        <v/>
      </c>
      <c r="H200" s="80">
        <f t="shared" si="38"/>
        <v>0</v>
      </c>
      <c r="I200" s="80">
        <f t="shared" si="39"/>
        <v>950</v>
      </c>
      <c r="J200" s="80">
        <v>8</v>
      </c>
      <c r="K200" s="80"/>
      <c r="L200" s="80">
        <f t="shared" si="42"/>
        <v>0</v>
      </c>
      <c r="M200" s="80">
        <f t="shared" si="43"/>
        <v>0</v>
      </c>
      <c r="N200" s="80">
        <f t="shared" si="44"/>
        <v>0</v>
      </c>
      <c r="O200" s="89"/>
      <c r="P200" s="89"/>
      <c r="Q200" s="89"/>
      <c r="R200" s="89"/>
      <c r="S200" s="90">
        <f t="shared" si="35"/>
        <v>115</v>
      </c>
      <c r="T200" s="90" cm="1">
        <f t="array" ref="T200">SUMPRODUCT(F200:M200,$F$154:$M$154)+N200*SUMPRODUCT(O200:R200,$O$154:$R$154)</f>
        <v>2790</v>
      </c>
    </row>
    <row r="201" spans="4:20">
      <c r="D201" s="77" t="str">
        <f t="shared" si="46"/>
        <v>豪华Ⅲ</v>
      </c>
      <c r="E201" s="80">
        <f t="shared" si="45"/>
        <v>4</v>
      </c>
      <c r="F201" s="80">
        <f>F195+10</f>
        <v>190</v>
      </c>
      <c r="G201" s="80">
        <f>IF(G195="","",G195+10)</f>
        <v>270</v>
      </c>
      <c r="H201" s="80">
        <f t="shared" si="38"/>
        <v>0</v>
      </c>
      <c r="I201" s="80">
        <f t="shared" si="39"/>
        <v>950</v>
      </c>
      <c r="J201" s="80">
        <f t="shared" si="40"/>
        <v>0</v>
      </c>
      <c r="K201" s="80">
        <f t="shared" si="41"/>
        <v>0</v>
      </c>
      <c r="L201" s="80">
        <f t="shared" si="42"/>
        <v>0</v>
      </c>
      <c r="M201" s="80">
        <f t="shared" si="43"/>
        <v>0</v>
      </c>
      <c r="N201" s="80">
        <f t="shared" si="44"/>
        <v>0</v>
      </c>
      <c r="O201" s="89"/>
      <c r="P201" s="89"/>
      <c r="Q201" s="89"/>
      <c r="R201" s="89"/>
      <c r="S201" s="90">
        <f t="shared" si="35"/>
        <v>115</v>
      </c>
      <c r="T201" s="90" cm="1">
        <f t="array" ref="T201">SUMPRODUCT(F201:M201,$F$154:$M$154)+N201*SUMPRODUCT(O201:R201,$O$154:$R$154)</f>
        <v>1410</v>
      </c>
    </row>
    <row r="202" spans="4:20">
      <c r="D202" s="77" t="str">
        <f t="shared" si="46"/>
        <v>豪华Ⅲ</v>
      </c>
      <c r="E202" s="80">
        <f t="shared" si="45"/>
        <v>5</v>
      </c>
      <c r="F202" s="80">
        <f>F196+10</f>
        <v>190</v>
      </c>
      <c r="G202" s="80" t="str">
        <f>IF(G196="","",G196+10)</f>
        <v/>
      </c>
      <c r="H202" s="80">
        <f t="shared" si="38"/>
        <v>0</v>
      </c>
      <c r="I202" s="80">
        <f t="shared" si="39"/>
        <v>950</v>
      </c>
      <c r="J202" s="80">
        <f t="shared" si="40"/>
        <v>0</v>
      </c>
      <c r="K202" s="91">
        <v>6</v>
      </c>
      <c r="L202" s="80">
        <f t="shared" si="42"/>
        <v>0</v>
      </c>
      <c r="M202" s="80">
        <f t="shared" si="43"/>
        <v>0</v>
      </c>
      <c r="N202" s="80">
        <f t="shared" si="44"/>
        <v>0</v>
      </c>
      <c r="O202" s="89"/>
      <c r="P202" s="89"/>
      <c r="Q202" s="89"/>
      <c r="R202" s="89"/>
      <c r="S202" s="90">
        <f t="shared" si="35"/>
        <v>115</v>
      </c>
      <c r="T202" s="90" cm="1">
        <f t="array" ref="T202">SUMPRODUCT(F202:M202,$F$154:$M$154)+N202*SUMPRODUCT(O202:R202,$O$154:$R$154)</f>
        <v>3540</v>
      </c>
    </row>
    <row r="203" spans="4:20">
      <c r="D203" s="77" t="str">
        <f t="shared" si="46"/>
        <v>豪华Ⅲ</v>
      </c>
      <c r="E203" s="80">
        <f t="shared" si="45"/>
        <v>6</v>
      </c>
      <c r="F203" s="80">
        <f>CEILING(F202*1.5,5)</f>
        <v>285</v>
      </c>
      <c r="G203" s="80">
        <f>IF(G197="","",CEILING(G201*1.5,5))</f>
        <v>405</v>
      </c>
      <c r="H203" s="80">
        <f t="shared" si="38"/>
        <v>1</v>
      </c>
      <c r="I203" s="80" t="str">
        <f t="shared" si="39"/>
        <v/>
      </c>
      <c r="J203" s="80">
        <f t="shared" si="40"/>
        <v>0</v>
      </c>
      <c r="K203" s="80">
        <f t="shared" si="41"/>
        <v>0</v>
      </c>
      <c r="L203" s="80">
        <f t="shared" si="42"/>
        <v>0</v>
      </c>
      <c r="M203" s="80">
        <f t="shared" si="43"/>
        <v>0</v>
      </c>
      <c r="N203" s="80">
        <f t="shared" si="44"/>
        <v>8</v>
      </c>
      <c r="O203" s="89"/>
      <c r="P203" s="89">
        <v>0.88</v>
      </c>
      <c r="Q203" s="89">
        <v>0.12</v>
      </c>
      <c r="R203" s="89"/>
      <c r="S203" s="90">
        <f t="shared" si="35"/>
        <v>115</v>
      </c>
      <c r="T203" s="90" cm="1">
        <f t="array" ref="T203">SUMPRODUCT(F203:M203,$F$154:$M$154)+N203*SUMPRODUCT(O203:R203,$O$154:$R$154)</f>
        <v>4424</v>
      </c>
    </row>
    <row r="204" spans="4:20">
      <c r="D204" s="77" t="str">
        <f t="shared" si="46"/>
        <v>豪华Ⅳ</v>
      </c>
      <c r="E204" s="80">
        <f t="shared" si="45"/>
        <v>1</v>
      </c>
      <c r="F204" s="80">
        <f>F198+10</f>
        <v>200</v>
      </c>
      <c r="G204" s="80" t="str">
        <f>IF(G198="","",G198+10)</f>
        <v/>
      </c>
      <c r="H204" s="80">
        <f t="shared" si="38"/>
        <v>0</v>
      </c>
      <c r="I204" s="80">
        <f t="shared" si="39"/>
        <v>1000</v>
      </c>
      <c r="J204" s="80">
        <v>6</v>
      </c>
      <c r="K204" s="80">
        <f t="shared" si="41"/>
        <v>0</v>
      </c>
      <c r="L204" s="80">
        <f t="shared" si="42"/>
        <v>0</v>
      </c>
      <c r="M204" s="80">
        <f t="shared" si="43"/>
        <v>0</v>
      </c>
      <c r="N204" s="80">
        <f t="shared" si="44"/>
        <v>0</v>
      </c>
      <c r="O204" s="89"/>
      <c r="P204" s="89"/>
      <c r="Q204" s="89"/>
      <c r="R204" s="89"/>
      <c r="S204" s="90">
        <f t="shared" si="35"/>
        <v>125</v>
      </c>
      <c r="T204" s="90" cm="1">
        <f t="array" ref="T204">SUMPRODUCT(F204:M204,$F$154:$M$154)+N204*SUMPRODUCT(O204:R204,$O$154:$R$154)</f>
        <v>2400</v>
      </c>
    </row>
    <row r="205" spans="4:20">
      <c r="D205" s="77" t="str">
        <f t="shared" si="46"/>
        <v>豪华Ⅳ</v>
      </c>
      <c r="E205" s="80">
        <f t="shared" si="45"/>
        <v>2</v>
      </c>
      <c r="F205" s="80">
        <f>F199+10</f>
        <v>200</v>
      </c>
      <c r="G205" s="80">
        <f>IF(G199="","",G199+10)</f>
        <v>280</v>
      </c>
      <c r="H205" s="80">
        <f t="shared" si="38"/>
        <v>0</v>
      </c>
      <c r="I205" s="80">
        <f t="shared" si="39"/>
        <v>1000</v>
      </c>
      <c r="J205" s="80">
        <f t="shared" si="40"/>
        <v>0</v>
      </c>
      <c r="K205" s="80">
        <f t="shared" si="41"/>
        <v>0</v>
      </c>
      <c r="L205" s="80">
        <f t="shared" si="42"/>
        <v>0</v>
      </c>
      <c r="M205" s="80">
        <f t="shared" si="43"/>
        <v>0</v>
      </c>
      <c r="N205" s="80">
        <f t="shared" si="44"/>
        <v>0</v>
      </c>
      <c r="O205" s="89"/>
      <c r="P205" s="89"/>
      <c r="Q205" s="89"/>
      <c r="R205" s="89"/>
      <c r="S205" s="90">
        <f t="shared" si="35"/>
        <v>125</v>
      </c>
      <c r="T205" s="90" cm="1">
        <f t="array" ref="T205">SUMPRODUCT(F205:M205,$F$154:$M$154)+N205*SUMPRODUCT(O205:R205,$O$154:$R$154)</f>
        <v>1480</v>
      </c>
    </row>
    <row r="206" spans="4:20">
      <c r="D206" s="77" t="str">
        <f t="shared" si="46"/>
        <v>豪华Ⅳ</v>
      </c>
      <c r="E206" s="80">
        <f t="shared" si="45"/>
        <v>3</v>
      </c>
      <c r="F206" s="80">
        <f>CEILING(F205*1.25,5)</f>
        <v>250</v>
      </c>
      <c r="G206" s="80" t="str">
        <f>IF(G200="","",G200+10)</f>
        <v/>
      </c>
      <c r="H206" s="80">
        <f t="shared" si="38"/>
        <v>0</v>
      </c>
      <c r="I206" s="80">
        <f t="shared" si="39"/>
        <v>1000</v>
      </c>
      <c r="J206" s="91">
        <v>9</v>
      </c>
      <c r="K206" s="80"/>
      <c r="L206" s="80">
        <f t="shared" si="42"/>
        <v>0</v>
      </c>
      <c r="M206" s="80">
        <f t="shared" si="43"/>
        <v>0</v>
      </c>
      <c r="N206" s="80">
        <f t="shared" si="44"/>
        <v>0</v>
      </c>
      <c r="O206" s="89"/>
      <c r="P206" s="89"/>
      <c r="Q206" s="89"/>
      <c r="R206" s="89"/>
      <c r="S206" s="90">
        <f t="shared" si="35"/>
        <v>125</v>
      </c>
      <c r="T206" s="90" cm="1">
        <f t="array" ref="T206">SUMPRODUCT(F206:M206,$F$154:$M$154)+N206*SUMPRODUCT(O206:R206,$O$154:$R$154)</f>
        <v>3050</v>
      </c>
    </row>
    <row r="207" spans="4:20">
      <c r="D207" s="77" t="str">
        <f t="shared" si="46"/>
        <v>豪华Ⅳ</v>
      </c>
      <c r="E207" s="80">
        <f t="shared" si="45"/>
        <v>4</v>
      </c>
      <c r="F207" s="80">
        <f>F201+10</f>
        <v>200</v>
      </c>
      <c r="G207" s="80">
        <f>IF(G201="","",G201+10)</f>
        <v>280</v>
      </c>
      <c r="H207" s="80">
        <f t="shared" si="38"/>
        <v>0</v>
      </c>
      <c r="I207" s="80">
        <f t="shared" si="39"/>
        <v>1000</v>
      </c>
      <c r="J207" s="80">
        <f t="shared" si="40"/>
        <v>0</v>
      </c>
      <c r="K207" s="80">
        <f t="shared" si="41"/>
        <v>0</v>
      </c>
      <c r="L207" s="80">
        <f t="shared" si="42"/>
        <v>0</v>
      </c>
      <c r="M207" s="80">
        <f t="shared" si="43"/>
        <v>0</v>
      </c>
      <c r="N207" s="80">
        <f t="shared" si="44"/>
        <v>0</v>
      </c>
      <c r="O207" s="89"/>
      <c r="P207" s="89"/>
      <c r="Q207" s="89"/>
      <c r="R207" s="89"/>
      <c r="S207" s="90">
        <f t="shared" si="35"/>
        <v>125</v>
      </c>
      <c r="T207" s="90" cm="1">
        <f t="array" ref="T207">SUMPRODUCT(F207:M207,$F$154:$M$154)+N207*SUMPRODUCT(O207:R207,$O$154:$R$154)</f>
        <v>1480</v>
      </c>
    </row>
    <row r="208" spans="4:20">
      <c r="D208" s="77" t="str">
        <f t="shared" si="46"/>
        <v>豪华Ⅳ</v>
      </c>
      <c r="E208" s="80">
        <f t="shared" si="45"/>
        <v>5</v>
      </c>
      <c r="F208" s="80">
        <f>F202+10</f>
        <v>200</v>
      </c>
      <c r="G208" s="80" t="str">
        <f>IF(G202="","",G202+10)</f>
        <v/>
      </c>
      <c r="H208" s="80">
        <f t="shared" si="38"/>
        <v>0</v>
      </c>
      <c r="I208" s="80">
        <f t="shared" si="39"/>
        <v>1000</v>
      </c>
      <c r="J208" s="80">
        <f t="shared" si="40"/>
        <v>0</v>
      </c>
      <c r="K208" s="80">
        <f t="shared" si="41"/>
        <v>6</v>
      </c>
      <c r="L208" s="80">
        <f t="shared" si="42"/>
        <v>0</v>
      </c>
      <c r="M208" s="80">
        <f t="shared" si="43"/>
        <v>0</v>
      </c>
      <c r="N208" s="80">
        <f t="shared" si="44"/>
        <v>0</v>
      </c>
      <c r="O208" s="89"/>
      <c r="P208" s="89"/>
      <c r="Q208" s="89"/>
      <c r="R208" s="89"/>
      <c r="S208" s="90">
        <f t="shared" si="35"/>
        <v>125</v>
      </c>
      <c r="T208" s="90" cm="1">
        <f t="array" ref="T208">SUMPRODUCT(F208:M208,$F$154:$M$154)+N208*SUMPRODUCT(O208:R208,$O$154:$R$154)</f>
        <v>3600</v>
      </c>
    </row>
    <row r="209" spans="4:20">
      <c r="D209" s="77" t="str">
        <f t="shared" si="46"/>
        <v>豪华Ⅳ</v>
      </c>
      <c r="E209" s="80">
        <f t="shared" si="45"/>
        <v>6</v>
      </c>
      <c r="F209" s="80">
        <f>CEILING(F208*1.5,5)</f>
        <v>300</v>
      </c>
      <c r="G209" s="80">
        <f>IF(G203="","",CEILING(G207*1.5,5))</f>
        <v>420</v>
      </c>
      <c r="H209" s="80">
        <f t="shared" si="38"/>
        <v>1</v>
      </c>
      <c r="I209" s="80" t="str">
        <f t="shared" si="39"/>
        <v/>
      </c>
      <c r="J209" s="80">
        <f t="shared" si="40"/>
        <v>0</v>
      </c>
      <c r="K209" s="80">
        <f t="shared" si="41"/>
        <v>0</v>
      </c>
      <c r="L209" s="80">
        <f t="shared" si="42"/>
        <v>0</v>
      </c>
      <c r="M209" s="80">
        <f t="shared" si="43"/>
        <v>0</v>
      </c>
      <c r="N209" s="80">
        <f t="shared" si="44"/>
        <v>8</v>
      </c>
      <c r="O209" s="89"/>
      <c r="P209" s="89">
        <v>0.85</v>
      </c>
      <c r="Q209" s="89">
        <v>0.15</v>
      </c>
      <c r="R209" s="89"/>
      <c r="S209" s="90">
        <f t="shared" si="35"/>
        <v>125</v>
      </c>
      <c r="T209" s="90" cm="1">
        <f t="array" ref="T209">SUMPRODUCT(F209:M209,$F$154:$M$154)+N209*SUMPRODUCT(O209:R209,$O$154:$R$154)</f>
        <v>4550</v>
      </c>
    </row>
    <row r="210" spans="4:20">
      <c r="D210" s="77" t="str">
        <f t="shared" si="46"/>
        <v>豪华Ⅴ</v>
      </c>
      <c r="E210" s="80">
        <f t="shared" si="45"/>
        <v>1</v>
      </c>
      <c r="F210" s="80">
        <f>F204+10</f>
        <v>210</v>
      </c>
      <c r="G210" s="80" t="str">
        <f>IF(G204="","",G204+10)</f>
        <v/>
      </c>
      <c r="H210" s="80">
        <f t="shared" si="38"/>
        <v>0</v>
      </c>
      <c r="I210" s="80">
        <f t="shared" si="39"/>
        <v>1050</v>
      </c>
      <c r="J210" s="91">
        <v>9</v>
      </c>
      <c r="K210" s="80">
        <f t="shared" si="41"/>
        <v>0</v>
      </c>
      <c r="L210" s="80">
        <f t="shared" si="42"/>
        <v>0</v>
      </c>
      <c r="M210" s="80">
        <f t="shared" si="43"/>
        <v>0</v>
      </c>
      <c r="N210" s="80">
        <f t="shared" si="44"/>
        <v>0</v>
      </c>
      <c r="O210" s="89"/>
      <c r="P210" s="89"/>
      <c r="Q210" s="89"/>
      <c r="R210" s="89"/>
      <c r="S210" s="90">
        <f t="shared" si="35"/>
        <v>135</v>
      </c>
      <c r="T210" s="90" cm="1">
        <f t="array" ref="T210">SUMPRODUCT(F210:M210,$F$154:$M$154)+N210*SUMPRODUCT(O210:R210,$O$154:$R$154)</f>
        <v>3060</v>
      </c>
    </row>
    <row r="211" spans="4:20">
      <c r="D211" s="77" t="str">
        <f t="shared" ref="D211:D216" si="47">SUBSTITUTE(D181,"精良","豪华")</f>
        <v>豪华Ⅴ</v>
      </c>
      <c r="E211" s="80">
        <f t="shared" si="45"/>
        <v>2</v>
      </c>
      <c r="F211" s="80">
        <f>F205+10</f>
        <v>210</v>
      </c>
      <c r="G211" s="80">
        <f>IF(G205="","",G205+10)</f>
        <v>290</v>
      </c>
      <c r="H211" s="80">
        <f t="shared" si="38"/>
        <v>0</v>
      </c>
      <c r="I211" s="80">
        <f t="shared" si="39"/>
        <v>1050</v>
      </c>
      <c r="J211" s="80">
        <f t="shared" si="40"/>
        <v>0</v>
      </c>
      <c r="K211" s="80">
        <f t="shared" si="41"/>
        <v>0</v>
      </c>
      <c r="L211" s="80">
        <f t="shared" si="42"/>
        <v>0</v>
      </c>
      <c r="M211" s="80">
        <f t="shared" si="43"/>
        <v>0</v>
      </c>
      <c r="N211" s="80">
        <f t="shared" si="44"/>
        <v>0</v>
      </c>
      <c r="O211" s="89"/>
      <c r="P211" s="89"/>
      <c r="Q211" s="89"/>
      <c r="R211" s="89"/>
      <c r="S211" s="90">
        <f t="shared" si="35"/>
        <v>135</v>
      </c>
      <c r="T211" s="90" cm="1">
        <f t="array" ref="T211">SUMPRODUCT(F211:M211,$F$154:$M$154)+N211*SUMPRODUCT(O211:R211,$O$154:$R$154)</f>
        <v>1550</v>
      </c>
    </row>
    <row r="212" spans="4:20">
      <c r="D212" s="77" t="str">
        <f t="shared" si="47"/>
        <v>豪华Ⅴ</v>
      </c>
      <c r="E212" s="80">
        <f t="shared" si="45"/>
        <v>3</v>
      </c>
      <c r="F212" s="80">
        <f>CEILING(F211*1.25,5)</f>
        <v>265</v>
      </c>
      <c r="G212" s="80" t="str">
        <f>IF(G206="","",G206+10)</f>
        <v/>
      </c>
      <c r="H212" s="80">
        <f t="shared" si="38"/>
        <v>0</v>
      </c>
      <c r="I212" s="80">
        <f t="shared" si="39"/>
        <v>1050</v>
      </c>
      <c r="J212" s="80"/>
      <c r="K212" s="91">
        <v>2</v>
      </c>
      <c r="L212" s="80">
        <f t="shared" si="42"/>
        <v>0</v>
      </c>
      <c r="M212" s="80">
        <f t="shared" si="43"/>
        <v>0</v>
      </c>
      <c r="N212" s="80">
        <f t="shared" si="44"/>
        <v>0</v>
      </c>
      <c r="O212" s="89"/>
      <c r="P212" s="89"/>
      <c r="Q212" s="89"/>
      <c r="R212" s="89"/>
      <c r="S212" s="90">
        <f t="shared" si="35"/>
        <v>135</v>
      </c>
      <c r="T212" s="90" cm="1">
        <f t="array" ref="T212">SUMPRODUCT(F212:M212,$F$154:$M$154)+N212*SUMPRODUCT(O212:R212,$O$154:$R$154)</f>
        <v>2115</v>
      </c>
    </row>
    <row r="213" spans="4:20">
      <c r="D213" s="77" t="str">
        <f t="shared" si="47"/>
        <v>豪华Ⅴ</v>
      </c>
      <c r="E213" s="80">
        <f t="shared" si="45"/>
        <v>4</v>
      </c>
      <c r="F213" s="80">
        <f>F207+10</f>
        <v>210</v>
      </c>
      <c r="G213" s="80">
        <f>IF(G207="","",G207+10)</f>
        <v>290</v>
      </c>
      <c r="H213" s="80">
        <f t="shared" si="38"/>
        <v>0</v>
      </c>
      <c r="I213" s="80">
        <f t="shared" si="39"/>
        <v>1050</v>
      </c>
      <c r="J213" s="80">
        <f t="shared" si="40"/>
        <v>0</v>
      </c>
      <c r="K213" s="80"/>
      <c r="L213" s="80">
        <f t="shared" si="42"/>
        <v>0</v>
      </c>
      <c r="M213" s="80">
        <f t="shared" si="43"/>
        <v>0</v>
      </c>
      <c r="N213" s="80">
        <f t="shared" si="44"/>
        <v>0</v>
      </c>
      <c r="O213" s="89"/>
      <c r="P213" s="89"/>
      <c r="Q213" s="89"/>
      <c r="R213" s="89"/>
      <c r="S213" s="90">
        <f t="shared" si="35"/>
        <v>135</v>
      </c>
      <c r="T213" s="90" cm="1">
        <f t="array" ref="T213">SUMPRODUCT(F213:M213,$F$154:$M$154)+N213*SUMPRODUCT(O213:R213,$O$154:$R$154)</f>
        <v>1550</v>
      </c>
    </row>
    <row r="214" spans="4:20">
      <c r="D214" s="77" t="str">
        <f t="shared" si="47"/>
        <v>豪华Ⅴ</v>
      </c>
      <c r="E214" s="80">
        <f t="shared" si="45"/>
        <v>5</v>
      </c>
      <c r="F214" s="80">
        <f>F208+10</f>
        <v>210</v>
      </c>
      <c r="G214" s="80" t="str">
        <f>IF(G208="","",G208+10)</f>
        <v/>
      </c>
      <c r="H214" s="80">
        <f t="shared" si="38"/>
        <v>0</v>
      </c>
      <c r="I214" s="80">
        <f t="shared" si="39"/>
        <v>1050</v>
      </c>
      <c r="J214" s="80">
        <f t="shared" si="40"/>
        <v>0</v>
      </c>
      <c r="K214" s="80">
        <v>6</v>
      </c>
      <c r="L214" s="80">
        <f t="shared" si="42"/>
        <v>0</v>
      </c>
      <c r="M214" s="80">
        <f t="shared" si="43"/>
        <v>0</v>
      </c>
      <c r="N214" s="80">
        <f t="shared" si="44"/>
        <v>0</v>
      </c>
      <c r="O214" s="89"/>
      <c r="P214" s="89"/>
      <c r="Q214" s="89"/>
      <c r="R214" s="89"/>
      <c r="S214" s="90">
        <f t="shared" si="35"/>
        <v>135</v>
      </c>
      <c r="T214" s="90" cm="1">
        <f t="array" ref="T214">SUMPRODUCT(F214:M214,$F$154:$M$154)+N214*SUMPRODUCT(O214:R214,$O$154:$R$154)</f>
        <v>3660</v>
      </c>
    </row>
    <row r="215" spans="4:20">
      <c r="D215" s="77" t="str">
        <f t="shared" si="47"/>
        <v>豪华Ⅴ</v>
      </c>
      <c r="E215" s="80">
        <f t="shared" si="45"/>
        <v>6</v>
      </c>
      <c r="F215" s="80">
        <f>CEILING(F214*1.5,5)</f>
        <v>315</v>
      </c>
      <c r="G215" s="80">
        <f>IF(G209="","",CEILING(G213*1.5,5))</f>
        <v>435</v>
      </c>
      <c r="H215" s="80">
        <f t="shared" si="38"/>
        <v>1</v>
      </c>
      <c r="I215" s="80" t="str">
        <f t="shared" si="39"/>
        <v/>
      </c>
      <c r="J215" s="80">
        <f t="shared" si="40"/>
        <v>0</v>
      </c>
      <c r="K215" s="80">
        <f t="shared" si="41"/>
        <v>0</v>
      </c>
      <c r="L215" s="80">
        <f t="shared" si="42"/>
        <v>0</v>
      </c>
      <c r="M215" s="80">
        <f t="shared" si="43"/>
        <v>0</v>
      </c>
      <c r="N215" s="80">
        <f t="shared" si="44"/>
        <v>8</v>
      </c>
      <c r="O215" s="89"/>
      <c r="P215" s="89">
        <v>0.82</v>
      </c>
      <c r="Q215" s="89">
        <v>0.18</v>
      </c>
      <c r="R215" s="89"/>
      <c r="S215" s="90">
        <f t="shared" si="35"/>
        <v>135</v>
      </c>
      <c r="T215" s="90" cm="1">
        <f t="array" ref="T215">SUMPRODUCT(F215:M215,$F$154:$M$154)+N215*SUMPRODUCT(O215:R215,$O$154:$R$154)</f>
        <v>4676</v>
      </c>
    </row>
    <row r="216" spans="4:20">
      <c r="D216" s="81" t="str">
        <f>SUBSTITUTE(D186,"豪华","珍惜")</f>
        <v>珍惜Ⅰ</v>
      </c>
      <c r="E216" s="84">
        <f t="shared" si="45"/>
        <v>1</v>
      </c>
      <c r="F216" s="84">
        <f>F210+10</f>
        <v>220</v>
      </c>
      <c r="G216" s="84" t="str">
        <f>IF(G210="","",G210+10)</f>
        <v/>
      </c>
      <c r="H216" s="84">
        <f t="shared" si="38"/>
        <v>0</v>
      </c>
      <c r="I216" s="84">
        <f t="shared" si="39"/>
        <v>1100</v>
      </c>
      <c r="J216" s="84">
        <v>9</v>
      </c>
      <c r="K216" s="84">
        <f t="shared" si="41"/>
        <v>0</v>
      </c>
      <c r="L216" s="84">
        <f t="shared" si="42"/>
        <v>0</v>
      </c>
      <c r="M216" s="84">
        <f t="shared" si="43"/>
        <v>0</v>
      </c>
      <c r="N216" s="84">
        <f t="shared" si="44"/>
        <v>0</v>
      </c>
      <c r="O216" s="85"/>
      <c r="P216" s="85"/>
      <c r="Q216" s="85"/>
      <c r="R216" s="85"/>
      <c r="S216" s="86">
        <f t="shared" si="35"/>
        <v>145</v>
      </c>
      <c r="T216" s="86" cm="1">
        <f t="array" ref="T216">SUMPRODUCT(F216:M216,$F$154:$M$154)+N216*SUMPRODUCT(O216:R216,$O$154:$R$154)</f>
        <v>3120</v>
      </c>
    </row>
    <row r="217" spans="4:20">
      <c r="D217" s="81" t="str">
        <f t="shared" ref="D217:D245" si="48">SUBSTITUTE(D187,"豪华","珍惜")</f>
        <v>珍惜Ⅰ</v>
      </c>
      <c r="E217" s="84">
        <f t="shared" si="45"/>
        <v>2</v>
      </c>
      <c r="F217" s="84">
        <f>F211+10</f>
        <v>220</v>
      </c>
      <c r="G217" s="84">
        <f>IF(G211="","",G211+10)</f>
        <v>300</v>
      </c>
      <c r="H217" s="84">
        <f t="shared" si="38"/>
        <v>0</v>
      </c>
      <c r="I217" s="84">
        <f t="shared" si="39"/>
        <v>1100</v>
      </c>
      <c r="J217" s="84">
        <f t="shared" si="40"/>
        <v>0</v>
      </c>
      <c r="K217" s="84">
        <f t="shared" si="41"/>
        <v>0</v>
      </c>
      <c r="L217" s="84">
        <f t="shared" si="42"/>
        <v>0</v>
      </c>
      <c r="M217" s="84">
        <f t="shared" si="43"/>
        <v>0</v>
      </c>
      <c r="N217" s="84">
        <f t="shared" si="44"/>
        <v>0</v>
      </c>
      <c r="O217" s="85"/>
      <c r="P217" s="85"/>
      <c r="Q217" s="85"/>
      <c r="R217" s="85"/>
      <c r="S217" s="86">
        <f t="shared" si="35"/>
        <v>145</v>
      </c>
      <c r="T217" s="86" cm="1">
        <f t="array" ref="T217">SUMPRODUCT(F217:M217,$F$154:$M$154)+N217*SUMPRODUCT(O217:R217,$O$154:$R$154)</f>
        <v>1620</v>
      </c>
    </row>
    <row r="218" spans="4:20">
      <c r="D218" s="81" t="str">
        <f t="shared" si="48"/>
        <v>珍惜Ⅰ</v>
      </c>
      <c r="E218" s="84">
        <f t="shared" si="45"/>
        <v>3</v>
      </c>
      <c r="F218" s="84">
        <f>CEILING(F217*1.25,5)</f>
        <v>275</v>
      </c>
      <c r="G218" s="84" t="str">
        <f>IF(G212="","",G212+10)</f>
        <v/>
      </c>
      <c r="H218" s="84">
        <f t="shared" si="38"/>
        <v>0</v>
      </c>
      <c r="I218" s="84">
        <f t="shared" si="39"/>
        <v>1100</v>
      </c>
      <c r="J218" s="84"/>
      <c r="K218" s="87">
        <v>3</v>
      </c>
      <c r="L218" s="84">
        <f t="shared" si="42"/>
        <v>0</v>
      </c>
      <c r="M218" s="84">
        <f t="shared" si="43"/>
        <v>0</v>
      </c>
      <c r="N218" s="84">
        <f t="shared" si="44"/>
        <v>0</v>
      </c>
      <c r="O218" s="85"/>
      <c r="P218" s="85"/>
      <c r="Q218" s="85"/>
      <c r="R218" s="85"/>
      <c r="S218" s="86">
        <f t="shared" si="35"/>
        <v>145</v>
      </c>
      <c r="T218" s="86" cm="1">
        <f t="array" ref="T218">SUMPRODUCT(F218:M218,$F$154:$M$154)+N218*SUMPRODUCT(O218:R218,$O$154:$R$154)</f>
        <v>2575</v>
      </c>
    </row>
    <row r="219" spans="4:20">
      <c r="D219" s="81" t="str">
        <f t="shared" si="48"/>
        <v>珍惜Ⅰ</v>
      </c>
      <c r="E219" s="84">
        <f t="shared" si="45"/>
        <v>4</v>
      </c>
      <c r="F219" s="84">
        <f>F213+10</f>
        <v>220</v>
      </c>
      <c r="G219" s="84">
        <f>IF(G213="","",G213+10)</f>
        <v>300</v>
      </c>
      <c r="H219" s="84">
        <f t="shared" si="38"/>
        <v>0</v>
      </c>
      <c r="I219" s="84">
        <f t="shared" si="39"/>
        <v>1100</v>
      </c>
      <c r="J219" s="84">
        <f t="shared" si="40"/>
        <v>0</v>
      </c>
      <c r="K219" s="84">
        <f t="shared" si="41"/>
        <v>0</v>
      </c>
      <c r="L219" s="84">
        <f t="shared" si="42"/>
        <v>0</v>
      </c>
      <c r="M219" s="84">
        <f t="shared" si="43"/>
        <v>0</v>
      </c>
      <c r="N219" s="84">
        <f t="shared" si="44"/>
        <v>0</v>
      </c>
      <c r="O219" s="85"/>
      <c r="P219" s="85"/>
      <c r="Q219" s="85"/>
      <c r="R219" s="85"/>
      <c r="S219" s="86">
        <f t="shared" si="35"/>
        <v>145</v>
      </c>
      <c r="T219" s="86" cm="1">
        <f t="array" ref="T219">SUMPRODUCT(F219:M219,$F$154:$M$154)+N219*SUMPRODUCT(O219:R219,$O$154:$R$154)</f>
        <v>1620</v>
      </c>
    </row>
    <row r="220" spans="4:20">
      <c r="D220" s="81" t="str">
        <f t="shared" si="48"/>
        <v>珍惜Ⅰ</v>
      </c>
      <c r="E220" s="84">
        <f t="shared" si="45"/>
        <v>5</v>
      </c>
      <c r="F220" s="84">
        <f>F214+10</f>
        <v>220</v>
      </c>
      <c r="G220" s="84" t="str">
        <f>IF(G214="","",G214+10)</f>
        <v/>
      </c>
      <c r="H220" s="84">
        <f t="shared" si="38"/>
        <v>0</v>
      </c>
      <c r="I220" s="84">
        <f t="shared" si="39"/>
        <v>1100</v>
      </c>
      <c r="J220" s="84">
        <f t="shared" si="40"/>
        <v>0</v>
      </c>
      <c r="K220" s="84"/>
      <c r="L220" s="87">
        <v>2</v>
      </c>
      <c r="M220" s="84">
        <f t="shared" si="43"/>
        <v>0</v>
      </c>
      <c r="N220" s="84">
        <f t="shared" si="44"/>
        <v>0</v>
      </c>
      <c r="O220" s="85"/>
      <c r="P220" s="85"/>
      <c r="Q220" s="85"/>
      <c r="R220" s="85"/>
      <c r="S220" s="86">
        <f t="shared" si="35"/>
        <v>145</v>
      </c>
      <c r="T220" s="86" cm="1">
        <f t="array" ref="T220">SUMPRODUCT(F220:M220,$F$154:$M$154)+N220*SUMPRODUCT(O220:R220,$O$154:$R$154)</f>
        <v>2920</v>
      </c>
    </row>
    <row r="221" spans="4:20">
      <c r="D221" s="81" t="str">
        <f t="shared" si="48"/>
        <v>珍惜Ⅰ</v>
      </c>
      <c r="E221" s="84">
        <f t="shared" si="45"/>
        <v>6</v>
      </c>
      <c r="F221" s="84">
        <f>CEILING(F220*1.5,5)</f>
        <v>330</v>
      </c>
      <c r="G221" s="84">
        <f>IF(G215="","",CEILING(G219*1.5,5))</f>
        <v>450</v>
      </c>
      <c r="H221" s="84">
        <f t="shared" si="38"/>
        <v>1</v>
      </c>
      <c r="I221" s="84" t="str">
        <f t="shared" si="39"/>
        <v/>
      </c>
      <c r="J221" s="84">
        <f t="shared" si="40"/>
        <v>0</v>
      </c>
      <c r="K221" s="84">
        <f t="shared" si="41"/>
        <v>0</v>
      </c>
      <c r="L221" s="84">
        <f t="shared" si="42"/>
        <v>0</v>
      </c>
      <c r="M221" s="84">
        <f t="shared" si="43"/>
        <v>0</v>
      </c>
      <c r="N221" s="84">
        <f t="shared" si="44"/>
        <v>8</v>
      </c>
      <c r="O221" s="85"/>
      <c r="P221" s="85">
        <v>0.79</v>
      </c>
      <c r="Q221" s="85">
        <v>0.21</v>
      </c>
      <c r="R221" s="85"/>
      <c r="S221" s="86">
        <f t="shared" ref="S221:S284" si="49">_xlfn.XLOOKUP(D221,$D$111:$D$151,$E$111:$E$151)</f>
        <v>145</v>
      </c>
      <c r="T221" s="86" cm="1">
        <f t="array" ref="T221">SUMPRODUCT(F221:M221,$F$154:$M$154)+N221*SUMPRODUCT(O221:R221,$O$154:$R$154)</f>
        <v>4802</v>
      </c>
    </row>
    <row r="222" spans="4:20">
      <c r="D222" s="81" t="str">
        <f t="shared" si="48"/>
        <v>珍惜Ⅱ</v>
      </c>
      <c r="E222" s="84">
        <f t="shared" si="45"/>
        <v>1</v>
      </c>
      <c r="F222" s="84">
        <f>F216+10</f>
        <v>230</v>
      </c>
      <c r="G222" s="84" t="str">
        <f>IF(G216="","",G216+10)</f>
        <v/>
      </c>
      <c r="H222" s="84">
        <f t="shared" si="38"/>
        <v>0</v>
      </c>
      <c r="I222" s="84">
        <f t="shared" si="39"/>
        <v>1150</v>
      </c>
      <c r="J222" s="84">
        <f t="shared" si="40"/>
        <v>9</v>
      </c>
      <c r="K222" s="84">
        <f t="shared" si="41"/>
        <v>0</v>
      </c>
      <c r="L222" s="84">
        <f t="shared" si="42"/>
        <v>0</v>
      </c>
      <c r="M222" s="84">
        <f t="shared" si="43"/>
        <v>0</v>
      </c>
      <c r="N222" s="84">
        <f t="shared" si="44"/>
        <v>0</v>
      </c>
      <c r="O222" s="85"/>
      <c r="P222" s="85"/>
      <c r="Q222" s="85"/>
      <c r="R222" s="85"/>
      <c r="S222" s="86">
        <f t="shared" si="49"/>
        <v>155</v>
      </c>
      <c r="T222" s="86" cm="1">
        <f t="array" ref="T222">SUMPRODUCT(F222:M222,$F$154:$M$154)+N222*SUMPRODUCT(O222:R222,$O$154:$R$154)</f>
        <v>3180</v>
      </c>
    </row>
    <row r="223" spans="4:20">
      <c r="D223" s="81" t="str">
        <f t="shared" si="48"/>
        <v>珍惜Ⅱ</v>
      </c>
      <c r="E223" s="84">
        <f t="shared" si="45"/>
        <v>2</v>
      </c>
      <c r="F223" s="84">
        <f>F217+10</f>
        <v>230</v>
      </c>
      <c r="G223" s="84">
        <f>IF(G217="","",G217+10)</f>
        <v>310</v>
      </c>
      <c r="H223" s="84">
        <f t="shared" si="38"/>
        <v>0</v>
      </c>
      <c r="I223" s="84">
        <f t="shared" si="39"/>
        <v>1150</v>
      </c>
      <c r="J223" s="84">
        <f t="shared" si="40"/>
        <v>0</v>
      </c>
      <c r="K223" s="84">
        <f t="shared" si="41"/>
        <v>0</v>
      </c>
      <c r="L223" s="84">
        <f t="shared" si="42"/>
        <v>0</v>
      </c>
      <c r="M223" s="84">
        <f t="shared" si="43"/>
        <v>0</v>
      </c>
      <c r="N223" s="84">
        <f t="shared" si="44"/>
        <v>0</v>
      </c>
      <c r="O223" s="85"/>
      <c r="P223" s="85"/>
      <c r="Q223" s="85"/>
      <c r="R223" s="85"/>
      <c r="S223" s="86">
        <f t="shared" si="49"/>
        <v>155</v>
      </c>
      <c r="T223" s="86" cm="1">
        <f t="array" ref="T223">SUMPRODUCT(F223:M223,$F$154:$M$154)+N223*SUMPRODUCT(O223:R223,$O$154:$R$154)</f>
        <v>1690</v>
      </c>
    </row>
    <row r="224" spans="4:20">
      <c r="D224" s="81" t="str">
        <f t="shared" si="48"/>
        <v>珍惜Ⅱ</v>
      </c>
      <c r="E224" s="84">
        <f t="shared" si="45"/>
        <v>3</v>
      </c>
      <c r="F224" s="84">
        <f>CEILING(F223*1.25,5)</f>
        <v>290</v>
      </c>
      <c r="G224" s="84" t="str">
        <f>IF(G218="","",G218+10)</f>
        <v/>
      </c>
      <c r="H224" s="84">
        <f t="shared" si="38"/>
        <v>0</v>
      </c>
      <c r="I224" s="84">
        <f t="shared" si="39"/>
        <v>1150</v>
      </c>
      <c r="J224" s="84">
        <f t="shared" si="40"/>
        <v>0</v>
      </c>
      <c r="K224" s="87">
        <v>4</v>
      </c>
      <c r="L224" s="84">
        <f t="shared" si="42"/>
        <v>0</v>
      </c>
      <c r="M224" s="84">
        <f t="shared" si="43"/>
        <v>0</v>
      </c>
      <c r="N224" s="84">
        <f t="shared" si="44"/>
        <v>0</v>
      </c>
      <c r="O224" s="85"/>
      <c r="P224" s="85"/>
      <c r="Q224" s="85"/>
      <c r="R224" s="85"/>
      <c r="S224" s="86">
        <f t="shared" si="49"/>
        <v>155</v>
      </c>
      <c r="T224" s="86" cm="1">
        <f t="array" ref="T224">SUMPRODUCT(F224:M224,$F$154:$M$154)+N224*SUMPRODUCT(O224:R224,$O$154:$R$154)</f>
        <v>3040</v>
      </c>
    </row>
    <row r="225" spans="4:20">
      <c r="D225" s="81" t="str">
        <f t="shared" si="48"/>
        <v>珍惜Ⅱ</v>
      </c>
      <c r="E225" s="84">
        <f t="shared" si="45"/>
        <v>4</v>
      </c>
      <c r="F225" s="84">
        <f>F219+10</f>
        <v>230</v>
      </c>
      <c r="G225" s="84">
        <f>IF(G219="","",G219+10)</f>
        <v>310</v>
      </c>
      <c r="H225" s="84">
        <f t="shared" si="38"/>
        <v>0</v>
      </c>
      <c r="I225" s="84">
        <f t="shared" si="39"/>
        <v>1150</v>
      </c>
      <c r="J225" s="84">
        <f t="shared" si="40"/>
        <v>0</v>
      </c>
      <c r="K225" s="84">
        <f t="shared" si="41"/>
        <v>0</v>
      </c>
      <c r="L225" s="84">
        <f t="shared" si="42"/>
        <v>0</v>
      </c>
      <c r="M225" s="84">
        <f t="shared" si="43"/>
        <v>0</v>
      </c>
      <c r="N225" s="84">
        <f t="shared" si="44"/>
        <v>0</v>
      </c>
      <c r="O225" s="85"/>
      <c r="P225" s="85"/>
      <c r="Q225" s="85"/>
      <c r="R225" s="85"/>
      <c r="S225" s="86">
        <f t="shared" si="49"/>
        <v>155</v>
      </c>
      <c r="T225" s="86" cm="1">
        <f t="array" ref="T225">SUMPRODUCT(F225:M225,$F$154:$M$154)+N225*SUMPRODUCT(O225:R225,$O$154:$R$154)</f>
        <v>1690</v>
      </c>
    </row>
    <row r="226" spans="4:20">
      <c r="D226" s="81" t="str">
        <f t="shared" si="48"/>
        <v>珍惜Ⅱ</v>
      </c>
      <c r="E226" s="84">
        <f t="shared" si="45"/>
        <v>5</v>
      </c>
      <c r="F226" s="84">
        <f>F220+10</f>
        <v>230</v>
      </c>
      <c r="G226" s="84" t="str">
        <f>IF(G220="","",G220+10)</f>
        <v/>
      </c>
      <c r="H226" s="84">
        <f t="shared" si="38"/>
        <v>0</v>
      </c>
      <c r="I226" s="84">
        <f t="shared" si="39"/>
        <v>1150</v>
      </c>
      <c r="J226" s="84">
        <f t="shared" si="40"/>
        <v>0</v>
      </c>
      <c r="K226" s="84"/>
      <c r="L226" s="84">
        <v>2</v>
      </c>
      <c r="M226" s="84">
        <f t="shared" si="43"/>
        <v>0</v>
      </c>
      <c r="N226" s="84">
        <f t="shared" si="44"/>
        <v>0</v>
      </c>
      <c r="O226" s="85"/>
      <c r="P226" s="85"/>
      <c r="Q226" s="85"/>
      <c r="R226" s="85"/>
      <c r="S226" s="86">
        <f t="shared" si="49"/>
        <v>155</v>
      </c>
      <c r="T226" s="86" cm="1">
        <f t="array" ref="T226">SUMPRODUCT(F226:M226,$F$154:$M$154)+N226*SUMPRODUCT(O226:R226,$O$154:$R$154)</f>
        <v>2980</v>
      </c>
    </row>
    <row r="227" spans="4:20">
      <c r="D227" s="81" t="str">
        <f t="shared" si="48"/>
        <v>珍惜Ⅱ</v>
      </c>
      <c r="E227" s="84">
        <f t="shared" si="45"/>
        <v>6</v>
      </c>
      <c r="F227" s="84">
        <f>CEILING(F226*1.5,5)</f>
        <v>345</v>
      </c>
      <c r="G227" s="84">
        <f>IF(G221="","",CEILING(G225*1.5,5))</f>
        <v>465</v>
      </c>
      <c r="H227" s="84">
        <f t="shared" ref="H227:H290" si="50">H221</f>
        <v>1</v>
      </c>
      <c r="I227" s="84" t="str">
        <f t="shared" ref="I227:I290" si="51">IF(I221="","",I221+50)</f>
        <v/>
      </c>
      <c r="J227" s="84">
        <f t="shared" ref="J227:J290" si="52">J221</f>
        <v>0</v>
      </c>
      <c r="K227" s="84">
        <f t="shared" ref="K227:K290" si="53">K221</f>
        <v>0</v>
      </c>
      <c r="L227" s="84">
        <f t="shared" ref="L227:L290" si="54">L221</f>
        <v>0</v>
      </c>
      <c r="M227" s="84">
        <f t="shared" ref="M227:M290" si="55">M221</f>
        <v>0</v>
      </c>
      <c r="N227" s="84">
        <f t="shared" ref="N227:N290" si="56">N221</f>
        <v>8</v>
      </c>
      <c r="O227" s="85"/>
      <c r="P227" s="85">
        <v>0.76</v>
      </c>
      <c r="Q227" s="85">
        <v>0.24</v>
      </c>
      <c r="R227" s="85"/>
      <c r="S227" s="86">
        <f t="shared" si="49"/>
        <v>155</v>
      </c>
      <c r="T227" s="86" cm="1">
        <f t="array" ref="T227">SUMPRODUCT(F227:M227,$F$154:$M$154)+N227*SUMPRODUCT(O227:R227,$O$154:$R$154)</f>
        <v>4928</v>
      </c>
    </row>
    <row r="228" spans="4:20">
      <c r="D228" s="81" t="str">
        <f t="shared" si="48"/>
        <v>珍惜Ⅲ</v>
      </c>
      <c r="E228" s="84">
        <f t="shared" si="45"/>
        <v>1</v>
      </c>
      <c r="F228" s="84">
        <f>F222+10</f>
        <v>240</v>
      </c>
      <c r="G228" s="84" t="str">
        <f>IF(G222="","",G222+10)</f>
        <v/>
      </c>
      <c r="H228" s="84">
        <f t="shared" si="50"/>
        <v>0</v>
      </c>
      <c r="I228" s="84">
        <f t="shared" si="51"/>
        <v>1200</v>
      </c>
      <c r="J228" s="84">
        <f t="shared" si="52"/>
        <v>9</v>
      </c>
      <c r="K228" s="84">
        <f t="shared" si="53"/>
        <v>0</v>
      </c>
      <c r="L228" s="84">
        <f t="shared" si="54"/>
        <v>0</v>
      </c>
      <c r="M228" s="84">
        <f t="shared" si="55"/>
        <v>0</v>
      </c>
      <c r="N228" s="84">
        <f t="shared" si="56"/>
        <v>0</v>
      </c>
      <c r="O228" s="85"/>
      <c r="P228" s="85"/>
      <c r="Q228" s="85"/>
      <c r="R228" s="85"/>
      <c r="S228" s="86">
        <f t="shared" si="49"/>
        <v>165</v>
      </c>
      <c r="T228" s="86" cm="1">
        <f t="array" ref="T228">SUMPRODUCT(F228:M228,$F$154:$M$154)+N228*SUMPRODUCT(O228:R228,$O$154:$R$154)</f>
        <v>3240</v>
      </c>
    </row>
    <row r="229" spans="4:20">
      <c r="D229" s="81" t="str">
        <f t="shared" si="48"/>
        <v>珍惜Ⅲ</v>
      </c>
      <c r="E229" s="84">
        <f t="shared" si="45"/>
        <v>2</v>
      </c>
      <c r="F229" s="84">
        <f>F223+10</f>
        <v>240</v>
      </c>
      <c r="G229" s="84">
        <f>IF(G223="","",G223+10)</f>
        <v>320</v>
      </c>
      <c r="H229" s="84">
        <f t="shared" si="50"/>
        <v>0</v>
      </c>
      <c r="I229" s="84">
        <f t="shared" si="51"/>
        <v>1200</v>
      </c>
      <c r="J229" s="84">
        <f t="shared" si="52"/>
        <v>0</v>
      </c>
      <c r="K229" s="84">
        <f t="shared" si="53"/>
        <v>0</v>
      </c>
      <c r="L229" s="84">
        <f t="shared" si="54"/>
        <v>0</v>
      </c>
      <c r="M229" s="84">
        <f t="shared" si="55"/>
        <v>0</v>
      </c>
      <c r="N229" s="84">
        <f t="shared" si="56"/>
        <v>0</v>
      </c>
      <c r="O229" s="85"/>
      <c r="P229" s="85"/>
      <c r="Q229" s="85"/>
      <c r="R229" s="85"/>
      <c r="S229" s="86">
        <f t="shared" si="49"/>
        <v>165</v>
      </c>
      <c r="T229" s="86" cm="1">
        <f t="array" ref="T229">SUMPRODUCT(F229:M229,$F$154:$M$154)+N229*SUMPRODUCT(O229:R229,$O$154:$R$154)</f>
        <v>1760</v>
      </c>
    </row>
    <row r="230" spans="4:20">
      <c r="D230" s="81" t="str">
        <f t="shared" si="48"/>
        <v>珍惜Ⅲ</v>
      </c>
      <c r="E230" s="84">
        <f t="shared" si="45"/>
        <v>3</v>
      </c>
      <c r="F230" s="84">
        <f>CEILING(F229*1.25,5)</f>
        <v>300</v>
      </c>
      <c r="G230" s="84" t="str">
        <f>IF(G224="","",G224+10)</f>
        <v/>
      </c>
      <c r="H230" s="84">
        <f t="shared" si="50"/>
        <v>0</v>
      </c>
      <c r="I230" s="84">
        <f t="shared" si="51"/>
        <v>1200</v>
      </c>
      <c r="J230" s="84">
        <f t="shared" si="52"/>
        <v>0</v>
      </c>
      <c r="K230" s="84">
        <f t="shared" si="53"/>
        <v>4</v>
      </c>
      <c r="L230" s="84">
        <f t="shared" si="54"/>
        <v>0</v>
      </c>
      <c r="M230" s="84">
        <f t="shared" si="55"/>
        <v>0</v>
      </c>
      <c r="N230" s="84">
        <f t="shared" si="56"/>
        <v>0</v>
      </c>
      <c r="O230" s="85"/>
      <c r="P230" s="85"/>
      <c r="Q230" s="85"/>
      <c r="R230" s="85"/>
      <c r="S230" s="86">
        <f t="shared" si="49"/>
        <v>165</v>
      </c>
      <c r="T230" s="86" cm="1">
        <f t="array" ref="T230">SUMPRODUCT(F230:M230,$F$154:$M$154)+N230*SUMPRODUCT(O230:R230,$O$154:$R$154)</f>
        <v>3100</v>
      </c>
    </row>
    <row r="231" spans="4:20">
      <c r="D231" s="81" t="str">
        <f t="shared" si="48"/>
        <v>珍惜Ⅲ</v>
      </c>
      <c r="E231" s="84">
        <f t="shared" si="45"/>
        <v>4</v>
      </c>
      <c r="F231" s="84">
        <f>F225+10</f>
        <v>240</v>
      </c>
      <c r="G231" s="84">
        <f>IF(G225="","",G225+10)</f>
        <v>320</v>
      </c>
      <c r="H231" s="84">
        <f t="shared" si="50"/>
        <v>0</v>
      </c>
      <c r="I231" s="84">
        <f t="shared" si="51"/>
        <v>1200</v>
      </c>
      <c r="J231" s="84">
        <f t="shared" si="52"/>
        <v>0</v>
      </c>
      <c r="K231" s="84">
        <f t="shared" si="53"/>
        <v>0</v>
      </c>
      <c r="L231" s="84">
        <f t="shared" si="54"/>
        <v>0</v>
      </c>
      <c r="M231" s="84">
        <f t="shared" si="55"/>
        <v>0</v>
      </c>
      <c r="N231" s="84">
        <f t="shared" si="56"/>
        <v>0</v>
      </c>
      <c r="O231" s="85"/>
      <c r="P231" s="85"/>
      <c r="Q231" s="85"/>
      <c r="R231" s="85"/>
      <c r="S231" s="86">
        <f t="shared" si="49"/>
        <v>165</v>
      </c>
      <c r="T231" s="86" cm="1">
        <f t="array" ref="T231">SUMPRODUCT(F231:M231,$F$154:$M$154)+N231*SUMPRODUCT(O231:R231,$O$154:$R$154)</f>
        <v>1760</v>
      </c>
    </row>
    <row r="232" spans="4:20">
      <c r="D232" s="81" t="str">
        <f t="shared" si="48"/>
        <v>珍惜Ⅲ</v>
      </c>
      <c r="E232" s="84">
        <f t="shared" si="45"/>
        <v>5</v>
      </c>
      <c r="F232" s="84">
        <f>F226+10</f>
        <v>240</v>
      </c>
      <c r="G232" s="84" t="str">
        <f>IF(G226="","",G226+10)</f>
        <v/>
      </c>
      <c r="H232" s="84">
        <f t="shared" si="50"/>
        <v>0</v>
      </c>
      <c r="I232" s="84">
        <f t="shared" si="51"/>
        <v>1200</v>
      </c>
      <c r="J232" s="84">
        <f t="shared" si="52"/>
        <v>0</v>
      </c>
      <c r="K232" s="84">
        <f t="shared" si="53"/>
        <v>0</v>
      </c>
      <c r="L232" s="87">
        <v>3</v>
      </c>
      <c r="M232" s="84">
        <f t="shared" si="55"/>
        <v>0</v>
      </c>
      <c r="N232" s="84">
        <f t="shared" si="56"/>
        <v>0</v>
      </c>
      <c r="O232" s="85"/>
      <c r="P232" s="85"/>
      <c r="Q232" s="85"/>
      <c r="R232" s="85"/>
      <c r="S232" s="86">
        <f t="shared" si="49"/>
        <v>165</v>
      </c>
      <c r="T232" s="86" cm="1">
        <f t="array" ref="T232">SUMPRODUCT(F232:M232,$F$154:$M$154)+N232*SUMPRODUCT(O232:R232,$O$154:$R$154)</f>
        <v>3840</v>
      </c>
    </row>
    <row r="233" spans="4:20">
      <c r="D233" s="81" t="str">
        <f t="shared" si="48"/>
        <v>珍惜Ⅲ</v>
      </c>
      <c r="E233" s="84">
        <f t="shared" ref="E233:E296" si="57">E227</f>
        <v>6</v>
      </c>
      <c r="F233" s="84">
        <f>CEILING(F232*1.5,5)</f>
        <v>360</v>
      </c>
      <c r="G233" s="84">
        <f>IF(G227="","",CEILING(G231*1.5,5))</f>
        <v>480</v>
      </c>
      <c r="H233" s="84">
        <f t="shared" si="50"/>
        <v>1</v>
      </c>
      <c r="I233" s="84" t="str">
        <f t="shared" si="51"/>
        <v/>
      </c>
      <c r="J233" s="84">
        <f t="shared" si="52"/>
        <v>0</v>
      </c>
      <c r="K233" s="84">
        <f t="shared" si="53"/>
        <v>0</v>
      </c>
      <c r="L233" s="84">
        <f t="shared" si="54"/>
        <v>0</v>
      </c>
      <c r="M233" s="84">
        <f t="shared" si="55"/>
        <v>0</v>
      </c>
      <c r="N233" s="84">
        <f t="shared" si="56"/>
        <v>8</v>
      </c>
      <c r="O233" s="85"/>
      <c r="P233" s="85">
        <v>0.73</v>
      </c>
      <c r="Q233" s="85">
        <v>0.27</v>
      </c>
      <c r="R233" s="85"/>
      <c r="S233" s="86">
        <f t="shared" si="49"/>
        <v>165</v>
      </c>
      <c r="T233" s="86" cm="1">
        <f t="array" ref="T233">SUMPRODUCT(F233:M233,$F$154:$M$154)+N233*SUMPRODUCT(O233:R233,$O$154:$R$154)</f>
        <v>5054</v>
      </c>
    </row>
    <row r="234" spans="4:20">
      <c r="D234" s="81" t="str">
        <f t="shared" si="48"/>
        <v>珍惜Ⅳ</v>
      </c>
      <c r="E234" s="84">
        <f t="shared" si="57"/>
        <v>1</v>
      </c>
      <c r="F234" s="84">
        <f>F228+10</f>
        <v>250</v>
      </c>
      <c r="G234" s="84" t="str">
        <f>IF(G228="","",G228+10)</f>
        <v/>
      </c>
      <c r="H234" s="84">
        <f t="shared" si="50"/>
        <v>0</v>
      </c>
      <c r="I234" s="84">
        <f t="shared" si="51"/>
        <v>1250</v>
      </c>
      <c r="J234" s="84">
        <f t="shared" si="52"/>
        <v>9</v>
      </c>
      <c r="K234" s="84">
        <f t="shared" si="53"/>
        <v>0</v>
      </c>
      <c r="L234" s="84">
        <f t="shared" si="54"/>
        <v>0</v>
      </c>
      <c r="M234" s="84">
        <f t="shared" si="55"/>
        <v>0</v>
      </c>
      <c r="N234" s="84">
        <f t="shared" si="56"/>
        <v>0</v>
      </c>
      <c r="O234" s="85"/>
      <c r="P234" s="85"/>
      <c r="Q234" s="85"/>
      <c r="R234" s="85"/>
      <c r="S234" s="86">
        <f t="shared" si="49"/>
        <v>175</v>
      </c>
      <c r="T234" s="86" cm="1">
        <f t="array" ref="T234">SUMPRODUCT(F234:M234,$F$154:$M$154)+N234*SUMPRODUCT(O234:R234,$O$154:$R$154)</f>
        <v>3300</v>
      </c>
    </row>
    <row r="235" spans="4:20">
      <c r="D235" s="81" t="str">
        <f t="shared" si="48"/>
        <v>珍惜Ⅳ</v>
      </c>
      <c r="E235" s="84">
        <f t="shared" si="57"/>
        <v>2</v>
      </c>
      <c r="F235" s="84">
        <f>F229+10</f>
        <v>250</v>
      </c>
      <c r="G235" s="84">
        <f>IF(G229="","",G229+10)</f>
        <v>330</v>
      </c>
      <c r="H235" s="84">
        <f t="shared" si="50"/>
        <v>0</v>
      </c>
      <c r="I235" s="84">
        <f t="shared" si="51"/>
        <v>1250</v>
      </c>
      <c r="J235" s="84">
        <f t="shared" si="52"/>
        <v>0</v>
      </c>
      <c r="K235" s="84">
        <f t="shared" si="53"/>
        <v>0</v>
      </c>
      <c r="L235" s="84">
        <f t="shared" si="54"/>
        <v>0</v>
      </c>
      <c r="M235" s="84">
        <f t="shared" si="55"/>
        <v>0</v>
      </c>
      <c r="N235" s="84">
        <f t="shared" si="56"/>
        <v>0</v>
      </c>
      <c r="O235" s="85"/>
      <c r="P235" s="85"/>
      <c r="Q235" s="85"/>
      <c r="R235" s="85"/>
      <c r="S235" s="86">
        <f t="shared" si="49"/>
        <v>175</v>
      </c>
      <c r="T235" s="86" cm="1">
        <f t="array" ref="T235">SUMPRODUCT(F235:M235,$F$154:$M$154)+N235*SUMPRODUCT(O235:R235,$O$154:$R$154)</f>
        <v>1830</v>
      </c>
    </row>
    <row r="236" spans="4:20">
      <c r="D236" s="81" t="str">
        <f t="shared" si="48"/>
        <v>珍惜Ⅳ</v>
      </c>
      <c r="E236" s="84">
        <f t="shared" si="57"/>
        <v>3</v>
      </c>
      <c r="F236" s="84">
        <f>CEILING(F235*1.25,5)</f>
        <v>315</v>
      </c>
      <c r="G236" s="84" t="str">
        <f>IF(G230="","",G230+10)</f>
        <v/>
      </c>
      <c r="H236" s="84">
        <f t="shared" si="50"/>
        <v>0</v>
      </c>
      <c r="I236" s="84">
        <f t="shared" si="51"/>
        <v>1250</v>
      </c>
      <c r="J236" s="84">
        <f t="shared" si="52"/>
        <v>0</v>
      </c>
      <c r="K236" s="87">
        <v>5</v>
      </c>
      <c r="L236" s="84">
        <f t="shared" si="54"/>
        <v>0</v>
      </c>
      <c r="M236" s="84">
        <f t="shared" si="55"/>
        <v>0</v>
      </c>
      <c r="N236" s="84">
        <f t="shared" si="56"/>
        <v>0</v>
      </c>
      <c r="O236" s="85"/>
      <c r="P236" s="85"/>
      <c r="Q236" s="85"/>
      <c r="R236" s="85"/>
      <c r="S236" s="86">
        <f t="shared" si="49"/>
        <v>175</v>
      </c>
      <c r="T236" s="86" cm="1">
        <f t="array" ref="T236">SUMPRODUCT(F236:M236,$F$154:$M$154)+N236*SUMPRODUCT(O236:R236,$O$154:$R$154)</f>
        <v>3565</v>
      </c>
    </row>
    <row r="237" spans="4:20">
      <c r="D237" s="81" t="str">
        <f t="shared" si="48"/>
        <v>珍惜Ⅳ</v>
      </c>
      <c r="E237" s="84">
        <f t="shared" si="57"/>
        <v>4</v>
      </c>
      <c r="F237" s="84">
        <f>F231+10</f>
        <v>250</v>
      </c>
      <c r="G237" s="84">
        <f>IF(G231="","",G231+10)</f>
        <v>330</v>
      </c>
      <c r="H237" s="84">
        <f t="shared" si="50"/>
        <v>0</v>
      </c>
      <c r="I237" s="84">
        <f t="shared" si="51"/>
        <v>1250</v>
      </c>
      <c r="J237" s="84">
        <f t="shared" si="52"/>
        <v>0</v>
      </c>
      <c r="K237" s="84">
        <f t="shared" si="53"/>
        <v>0</v>
      </c>
      <c r="L237" s="84">
        <f t="shared" si="54"/>
        <v>0</v>
      </c>
      <c r="M237" s="84">
        <f t="shared" si="55"/>
        <v>0</v>
      </c>
      <c r="N237" s="84">
        <f t="shared" si="56"/>
        <v>0</v>
      </c>
      <c r="O237" s="85"/>
      <c r="P237" s="85"/>
      <c r="Q237" s="85"/>
      <c r="R237" s="85"/>
      <c r="S237" s="86">
        <f t="shared" si="49"/>
        <v>175</v>
      </c>
      <c r="T237" s="86" cm="1">
        <f t="array" ref="T237">SUMPRODUCT(F237:M237,$F$154:$M$154)+N237*SUMPRODUCT(O237:R237,$O$154:$R$154)</f>
        <v>1830</v>
      </c>
    </row>
    <row r="238" spans="4:20">
      <c r="D238" s="81" t="str">
        <f t="shared" si="48"/>
        <v>珍惜Ⅳ</v>
      </c>
      <c r="E238" s="84">
        <f t="shared" si="57"/>
        <v>5</v>
      </c>
      <c r="F238" s="84">
        <f>F232+10</f>
        <v>250</v>
      </c>
      <c r="G238" s="84" t="str">
        <f>IF(G232="","",G232+10)</f>
        <v/>
      </c>
      <c r="H238" s="84">
        <f t="shared" si="50"/>
        <v>0</v>
      </c>
      <c r="I238" s="84">
        <f t="shared" si="51"/>
        <v>1250</v>
      </c>
      <c r="J238" s="84">
        <f t="shared" si="52"/>
        <v>0</v>
      </c>
      <c r="K238" s="84">
        <f t="shared" si="53"/>
        <v>0</v>
      </c>
      <c r="L238" s="84">
        <f t="shared" si="54"/>
        <v>3</v>
      </c>
      <c r="M238" s="84">
        <f t="shared" si="55"/>
        <v>0</v>
      </c>
      <c r="N238" s="84">
        <f t="shared" si="56"/>
        <v>0</v>
      </c>
      <c r="O238" s="85"/>
      <c r="P238" s="85"/>
      <c r="Q238" s="85"/>
      <c r="R238" s="85"/>
      <c r="S238" s="86">
        <f t="shared" si="49"/>
        <v>175</v>
      </c>
      <c r="T238" s="86" cm="1">
        <f t="array" ref="T238">SUMPRODUCT(F238:M238,$F$154:$M$154)+N238*SUMPRODUCT(O238:R238,$O$154:$R$154)</f>
        <v>3900</v>
      </c>
    </row>
    <row r="239" spans="4:20">
      <c r="D239" s="81" t="str">
        <f t="shared" si="48"/>
        <v>珍惜Ⅳ</v>
      </c>
      <c r="E239" s="84">
        <f t="shared" si="57"/>
        <v>6</v>
      </c>
      <c r="F239" s="84">
        <f>CEILING(F238*1.5,5)</f>
        <v>375</v>
      </c>
      <c r="G239" s="84">
        <f>IF(G233="","",CEILING(G237*1.5,5))</f>
        <v>495</v>
      </c>
      <c r="H239" s="84">
        <f t="shared" si="50"/>
        <v>1</v>
      </c>
      <c r="I239" s="84" t="str">
        <f t="shared" si="51"/>
        <v/>
      </c>
      <c r="J239" s="84">
        <f t="shared" si="52"/>
        <v>0</v>
      </c>
      <c r="K239" s="84">
        <f t="shared" si="53"/>
        <v>0</v>
      </c>
      <c r="L239" s="84">
        <f t="shared" si="54"/>
        <v>0</v>
      </c>
      <c r="M239" s="84">
        <f t="shared" si="55"/>
        <v>0</v>
      </c>
      <c r="N239" s="84">
        <f t="shared" si="56"/>
        <v>8</v>
      </c>
      <c r="O239" s="85"/>
      <c r="P239" s="85">
        <v>0.7</v>
      </c>
      <c r="Q239" s="85">
        <v>0.3</v>
      </c>
      <c r="R239" s="85"/>
      <c r="S239" s="86">
        <f t="shared" si="49"/>
        <v>175</v>
      </c>
      <c r="T239" s="86" cm="1">
        <f t="array" ref="T239">SUMPRODUCT(F239:M239,$F$154:$M$154)+N239*SUMPRODUCT(O239:R239,$O$154:$R$154)</f>
        <v>5180</v>
      </c>
    </row>
    <row r="240" spans="4:20">
      <c r="D240" s="81" t="str">
        <f t="shared" si="48"/>
        <v>珍惜Ⅴ</v>
      </c>
      <c r="E240" s="84">
        <f t="shared" si="57"/>
        <v>1</v>
      </c>
      <c r="F240" s="84">
        <f>F234+10</f>
        <v>260</v>
      </c>
      <c r="G240" s="84" t="str">
        <f>IF(G234="","",G234+10)</f>
        <v/>
      </c>
      <c r="H240" s="84">
        <f t="shared" si="50"/>
        <v>0</v>
      </c>
      <c r="I240" s="84">
        <f t="shared" si="51"/>
        <v>1300</v>
      </c>
      <c r="J240" s="84">
        <v>9</v>
      </c>
      <c r="K240" s="84">
        <f t="shared" si="53"/>
        <v>0</v>
      </c>
      <c r="L240" s="84">
        <f t="shared" si="54"/>
        <v>0</v>
      </c>
      <c r="M240" s="84">
        <f t="shared" si="55"/>
        <v>0</v>
      </c>
      <c r="N240" s="84">
        <f t="shared" si="56"/>
        <v>0</v>
      </c>
      <c r="O240" s="85"/>
      <c r="P240" s="85"/>
      <c r="Q240" s="85"/>
      <c r="R240" s="85"/>
      <c r="S240" s="86">
        <f t="shared" si="49"/>
        <v>185</v>
      </c>
      <c r="T240" s="86" cm="1">
        <f t="array" ref="T240">SUMPRODUCT(F240:M240,$F$154:$M$154)+N240*SUMPRODUCT(O240:R240,$O$154:$R$154)</f>
        <v>3360</v>
      </c>
    </row>
    <row r="241" spans="4:20">
      <c r="D241" s="81" t="str">
        <f t="shared" si="48"/>
        <v>珍惜Ⅴ</v>
      </c>
      <c r="E241" s="84">
        <f t="shared" si="57"/>
        <v>2</v>
      </c>
      <c r="F241" s="84">
        <f>F235+10</f>
        <v>260</v>
      </c>
      <c r="G241" s="84">
        <f>IF(G235="","",G235+10)</f>
        <v>340</v>
      </c>
      <c r="H241" s="84">
        <f t="shared" si="50"/>
        <v>0</v>
      </c>
      <c r="I241" s="84">
        <f t="shared" si="51"/>
        <v>1300</v>
      </c>
      <c r="J241" s="84">
        <f t="shared" si="52"/>
        <v>0</v>
      </c>
      <c r="K241" s="84">
        <f t="shared" si="53"/>
        <v>0</v>
      </c>
      <c r="L241" s="84">
        <f t="shared" si="54"/>
        <v>0</v>
      </c>
      <c r="M241" s="84">
        <f t="shared" si="55"/>
        <v>0</v>
      </c>
      <c r="N241" s="84">
        <f t="shared" si="56"/>
        <v>0</v>
      </c>
      <c r="O241" s="85"/>
      <c r="P241" s="85"/>
      <c r="Q241" s="85"/>
      <c r="R241" s="85"/>
      <c r="S241" s="86">
        <f t="shared" si="49"/>
        <v>185</v>
      </c>
      <c r="T241" s="86" cm="1">
        <f t="array" ref="T241">SUMPRODUCT(F241:M241,$F$154:$M$154)+N241*SUMPRODUCT(O241:R241,$O$154:$R$154)</f>
        <v>1900</v>
      </c>
    </row>
    <row r="242" spans="4:20">
      <c r="D242" s="81" t="str">
        <f t="shared" si="48"/>
        <v>珍惜Ⅴ</v>
      </c>
      <c r="E242" s="84">
        <f t="shared" si="57"/>
        <v>3</v>
      </c>
      <c r="F242" s="84">
        <f>CEILING(F241*1.25,5)</f>
        <v>325</v>
      </c>
      <c r="G242" s="84" t="str">
        <f>IF(G236="","",G236+10)</f>
        <v/>
      </c>
      <c r="H242" s="84">
        <f t="shared" si="50"/>
        <v>0</v>
      </c>
      <c r="I242" s="84">
        <f t="shared" si="51"/>
        <v>1300</v>
      </c>
      <c r="J242" s="84">
        <f t="shared" si="52"/>
        <v>0</v>
      </c>
      <c r="K242" s="84">
        <f t="shared" si="53"/>
        <v>5</v>
      </c>
      <c r="L242" s="84">
        <f t="shared" si="54"/>
        <v>0</v>
      </c>
      <c r="M242" s="84">
        <f t="shared" si="55"/>
        <v>0</v>
      </c>
      <c r="N242" s="84">
        <f t="shared" si="56"/>
        <v>0</v>
      </c>
      <c r="O242" s="85"/>
      <c r="P242" s="85"/>
      <c r="Q242" s="85"/>
      <c r="R242" s="85"/>
      <c r="S242" s="86">
        <f t="shared" si="49"/>
        <v>185</v>
      </c>
      <c r="T242" s="86" cm="1">
        <f t="array" ref="T242">SUMPRODUCT(F242:M242,$F$154:$M$154)+N242*SUMPRODUCT(O242:R242,$O$154:$R$154)</f>
        <v>3625</v>
      </c>
    </row>
    <row r="243" spans="4:20">
      <c r="D243" s="81" t="str">
        <f t="shared" si="48"/>
        <v>珍惜Ⅴ</v>
      </c>
      <c r="E243" s="84">
        <f t="shared" si="57"/>
        <v>4</v>
      </c>
      <c r="F243" s="84">
        <f>F237+10</f>
        <v>260</v>
      </c>
      <c r="G243" s="84">
        <f>IF(G237="","",G237+10)</f>
        <v>340</v>
      </c>
      <c r="H243" s="84">
        <f t="shared" si="50"/>
        <v>0</v>
      </c>
      <c r="I243" s="84">
        <f t="shared" si="51"/>
        <v>1300</v>
      </c>
      <c r="J243" s="84">
        <f t="shared" si="52"/>
        <v>0</v>
      </c>
      <c r="K243" s="84">
        <f t="shared" si="53"/>
        <v>0</v>
      </c>
      <c r="L243" s="84">
        <f t="shared" si="54"/>
        <v>0</v>
      </c>
      <c r="M243" s="84">
        <f t="shared" si="55"/>
        <v>0</v>
      </c>
      <c r="N243" s="84">
        <f t="shared" si="56"/>
        <v>0</v>
      </c>
      <c r="O243" s="85"/>
      <c r="P243" s="85"/>
      <c r="Q243" s="85"/>
      <c r="R243" s="85"/>
      <c r="S243" s="86">
        <f t="shared" si="49"/>
        <v>185</v>
      </c>
      <c r="T243" s="86" cm="1">
        <f t="array" ref="T243">SUMPRODUCT(F243:M243,$F$154:$M$154)+N243*SUMPRODUCT(O243:R243,$O$154:$R$154)</f>
        <v>1900</v>
      </c>
    </row>
    <row r="244" spans="4:20">
      <c r="D244" s="81" t="str">
        <f t="shared" si="48"/>
        <v>珍惜Ⅴ</v>
      </c>
      <c r="E244" s="84">
        <f t="shared" si="57"/>
        <v>5</v>
      </c>
      <c r="F244" s="84">
        <f>F238+10</f>
        <v>260</v>
      </c>
      <c r="G244" s="84" t="str">
        <f>IF(G238="","",G238+10)</f>
        <v/>
      </c>
      <c r="H244" s="84">
        <f t="shared" si="50"/>
        <v>0</v>
      </c>
      <c r="I244" s="84">
        <f t="shared" si="51"/>
        <v>1300</v>
      </c>
      <c r="J244" s="84">
        <f t="shared" si="52"/>
        <v>0</v>
      </c>
      <c r="K244" s="84">
        <f t="shared" si="53"/>
        <v>0</v>
      </c>
      <c r="L244" s="87">
        <v>4</v>
      </c>
      <c r="M244" s="84">
        <f t="shared" si="55"/>
        <v>0</v>
      </c>
      <c r="N244" s="84">
        <f t="shared" si="56"/>
        <v>0</v>
      </c>
      <c r="O244" s="85"/>
      <c r="P244" s="85"/>
      <c r="Q244" s="85"/>
      <c r="R244" s="85"/>
      <c r="S244" s="86">
        <f t="shared" si="49"/>
        <v>185</v>
      </c>
      <c r="T244" s="86" cm="1">
        <f t="array" ref="T244">SUMPRODUCT(F244:M244,$F$154:$M$154)+N244*SUMPRODUCT(O244:R244,$O$154:$R$154)</f>
        <v>4760</v>
      </c>
    </row>
    <row r="245" spans="4:20">
      <c r="D245" s="81" t="str">
        <f t="shared" si="48"/>
        <v>珍惜Ⅴ</v>
      </c>
      <c r="E245" s="84">
        <f t="shared" si="57"/>
        <v>6</v>
      </c>
      <c r="F245" s="84">
        <f>CEILING(F244*1.5,5)</f>
        <v>390</v>
      </c>
      <c r="G245" s="84">
        <f>IF(G239="","",CEILING(G243*1.5,5))</f>
        <v>510</v>
      </c>
      <c r="H245" s="84">
        <f t="shared" si="50"/>
        <v>1</v>
      </c>
      <c r="I245" s="84" t="str">
        <f t="shared" si="51"/>
        <v/>
      </c>
      <c r="J245" s="84">
        <f t="shared" si="52"/>
        <v>0</v>
      </c>
      <c r="K245" s="84">
        <f t="shared" si="53"/>
        <v>0</v>
      </c>
      <c r="L245" s="84">
        <f t="shared" si="54"/>
        <v>0</v>
      </c>
      <c r="M245" s="84">
        <f t="shared" si="55"/>
        <v>0</v>
      </c>
      <c r="N245" s="84">
        <f t="shared" si="56"/>
        <v>8</v>
      </c>
      <c r="O245" s="85"/>
      <c r="P245" s="85">
        <v>0.67</v>
      </c>
      <c r="Q245" s="85">
        <v>0.33</v>
      </c>
      <c r="R245" s="85"/>
      <c r="S245" s="86">
        <f t="shared" si="49"/>
        <v>185</v>
      </c>
      <c r="T245" s="86" cm="1">
        <f t="array" ref="T245">SUMPRODUCT(F245:M245,$F$154:$M$154)+N245*SUMPRODUCT(O245:R245,$O$154:$R$154)</f>
        <v>5306</v>
      </c>
    </row>
    <row r="246" spans="4:20">
      <c r="D246" s="77" t="str">
        <f>SUBSTITUTE(D216,"珍惜","卓越")</f>
        <v>卓越Ⅰ</v>
      </c>
      <c r="E246" s="80">
        <f t="shared" si="57"/>
        <v>1</v>
      </c>
      <c r="F246" s="80">
        <f>F240+10</f>
        <v>270</v>
      </c>
      <c r="G246" s="80" t="str">
        <f>IF(G240="","",G240+10)</f>
        <v/>
      </c>
      <c r="H246" s="80">
        <f t="shared" si="50"/>
        <v>0</v>
      </c>
      <c r="I246" s="80">
        <f t="shared" si="51"/>
        <v>1350</v>
      </c>
      <c r="J246" s="80">
        <v>9</v>
      </c>
      <c r="K246" s="80">
        <f t="shared" si="53"/>
        <v>0</v>
      </c>
      <c r="L246" s="80">
        <f t="shared" si="54"/>
        <v>0</v>
      </c>
      <c r="M246" s="80">
        <f t="shared" si="55"/>
        <v>0</v>
      </c>
      <c r="N246" s="80">
        <f t="shared" si="56"/>
        <v>0</v>
      </c>
      <c r="O246" s="89"/>
      <c r="P246" s="89"/>
      <c r="Q246" s="89"/>
      <c r="R246" s="89"/>
      <c r="S246" s="90">
        <f t="shared" si="49"/>
        <v>195</v>
      </c>
      <c r="T246" s="90" cm="1">
        <f t="array" ref="T246">SUMPRODUCT(F246:M246,$F$154:$M$154)+N246*SUMPRODUCT(O246:R246,$O$154:$R$154)</f>
        <v>3420</v>
      </c>
    </row>
    <row r="247" spans="4:20">
      <c r="D247" s="77" t="str">
        <f t="shared" ref="D247:D261" si="58">SUBSTITUTE(D217,"珍惜","卓越")</f>
        <v>卓越Ⅰ</v>
      </c>
      <c r="E247" s="80">
        <f t="shared" si="57"/>
        <v>2</v>
      </c>
      <c r="F247" s="80">
        <f>F241+10</f>
        <v>270</v>
      </c>
      <c r="G247" s="80">
        <f>IF(G241="","",G241+10)</f>
        <v>350</v>
      </c>
      <c r="H247" s="80">
        <f t="shared" si="50"/>
        <v>0</v>
      </c>
      <c r="I247" s="80">
        <f t="shared" si="51"/>
        <v>1350</v>
      </c>
      <c r="J247" s="80">
        <f t="shared" si="52"/>
        <v>0</v>
      </c>
      <c r="K247" s="80">
        <f t="shared" si="53"/>
        <v>0</v>
      </c>
      <c r="L247" s="80">
        <f t="shared" si="54"/>
        <v>0</v>
      </c>
      <c r="M247" s="80">
        <f t="shared" si="55"/>
        <v>0</v>
      </c>
      <c r="N247" s="80">
        <f t="shared" si="56"/>
        <v>0</v>
      </c>
      <c r="O247" s="89"/>
      <c r="P247" s="89"/>
      <c r="Q247" s="89"/>
      <c r="R247" s="89"/>
      <c r="S247" s="90">
        <f t="shared" si="49"/>
        <v>195</v>
      </c>
      <c r="T247" s="90" cm="1">
        <f t="array" ref="T247">SUMPRODUCT(F247:M247,$F$154:$M$154)+N247*SUMPRODUCT(O247:R247,$O$154:$R$154)</f>
        <v>1970</v>
      </c>
    </row>
    <row r="248" spans="4:20">
      <c r="D248" s="77" t="str">
        <f t="shared" si="58"/>
        <v>卓越Ⅰ</v>
      </c>
      <c r="E248" s="80">
        <f t="shared" si="57"/>
        <v>3</v>
      </c>
      <c r="F248" s="80">
        <f>CEILING(F247*1.25,5)</f>
        <v>340</v>
      </c>
      <c r="G248" s="80" t="str">
        <f>IF(G242="","",G242+10)</f>
        <v/>
      </c>
      <c r="H248" s="80">
        <f t="shared" si="50"/>
        <v>0</v>
      </c>
      <c r="I248" s="80">
        <f t="shared" si="51"/>
        <v>1350</v>
      </c>
      <c r="J248" s="80">
        <f t="shared" si="52"/>
        <v>0</v>
      </c>
      <c r="K248" s="91">
        <v>6</v>
      </c>
      <c r="L248" s="80">
        <f t="shared" si="54"/>
        <v>0</v>
      </c>
      <c r="M248" s="80">
        <f t="shared" si="55"/>
        <v>0</v>
      </c>
      <c r="N248" s="80">
        <f t="shared" si="56"/>
        <v>0</v>
      </c>
      <c r="O248" s="89"/>
      <c r="P248" s="89"/>
      <c r="Q248" s="89"/>
      <c r="R248" s="89"/>
      <c r="S248" s="90">
        <f t="shared" si="49"/>
        <v>195</v>
      </c>
      <c r="T248" s="90" cm="1">
        <f t="array" ref="T248">SUMPRODUCT(F248:M248,$F$154:$M$154)+N248*SUMPRODUCT(O248:R248,$O$154:$R$154)</f>
        <v>4090</v>
      </c>
    </row>
    <row r="249" spans="4:20">
      <c r="D249" s="77" t="str">
        <f t="shared" si="58"/>
        <v>卓越Ⅰ</v>
      </c>
      <c r="E249" s="80">
        <f t="shared" si="57"/>
        <v>4</v>
      </c>
      <c r="F249" s="80">
        <f>F243+10</f>
        <v>270</v>
      </c>
      <c r="G249" s="80">
        <f>IF(G243="","",G243+10)</f>
        <v>350</v>
      </c>
      <c r="H249" s="80">
        <f t="shared" si="50"/>
        <v>0</v>
      </c>
      <c r="I249" s="80">
        <f t="shared" si="51"/>
        <v>1350</v>
      </c>
      <c r="J249" s="80">
        <f t="shared" si="52"/>
        <v>0</v>
      </c>
      <c r="K249" s="80">
        <f t="shared" si="53"/>
        <v>0</v>
      </c>
      <c r="L249" s="80">
        <f t="shared" si="54"/>
        <v>0</v>
      </c>
      <c r="M249" s="80">
        <f t="shared" si="55"/>
        <v>0</v>
      </c>
      <c r="N249" s="80">
        <f t="shared" si="56"/>
        <v>0</v>
      </c>
      <c r="O249" s="89"/>
      <c r="P249" s="89"/>
      <c r="Q249" s="89"/>
      <c r="R249" s="89"/>
      <c r="S249" s="90">
        <f t="shared" si="49"/>
        <v>195</v>
      </c>
      <c r="T249" s="90" cm="1">
        <f t="array" ref="T249">SUMPRODUCT(F249:M249,$F$154:$M$154)+N249*SUMPRODUCT(O249:R249,$O$154:$R$154)</f>
        <v>1970</v>
      </c>
    </row>
    <row r="250" spans="4:20">
      <c r="D250" s="77" t="str">
        <f t="shared" si="58"/>
        <v>卓越Ⅰ</v>
      </c>
      <c r="E250" s="80">
        <f t="shared" si="57"/>
        <v>5</v>
      </c>
      <c r="F250" s="80">
        <f>F244+10</f>
        <v>270</v>
      </c>
      <c r="G250" s="80" t="str">
        <f>IF(G244="","",G244+10)</f>
        <v/>
      </c>
      <c r="H250" s="80">
        <f t="shared" si="50"/>
        <v>0</v>
      </c>
      <c r="I250" s="80">
        <f t="shared" si="51"/>
        <v>1350</v>
      </c>
      <c r="J250" s="80">
        <f t="shared" si="52"/>
        <v>0</v>
      </c>
      <c r="K250" s="80">
        <f t="shared" si="53"/>
        <v>0</v>
      </c>
      <c r="L250" s="80">
        <v>4</v>
      </c>
      <c r="M250" s="80">
        <f t="shared" si="55"/>
        <v>0</v>
      </c>
      <c r="N250" s="80">
        <f t="shared" si="56"/>
        <v>0</v>
      </c>
      <c r="O250" s="89"/>
      <c r="P250" s="89"/>
      <c r="Q250" s="89"/>
      <c r="R250" s="89"/>
      <c r="S250" s="90">
        <f t="shared" si="49"/>
        <v>195</v>
      </c>
      <c r="T250" s="90" cm="1">
        <f t="array" ref="T250">SUMPRODUCT(F250:M250,$F$154:$M$154)+N250*SUMPRODUCT(O250:R250,$O$154:$R$154)</f>
        <v>4820</v>
      </c>
    </row>
    <row r="251" spans="4:20">
      <c r="D251" s="77" t="str">
        <f t="shared" si="58"/>
        <v>卓越Ⅰ</v>
      </c>
      <c r="E251" s="80">
        <f t="shared" si="57"/>
        <v>6</v>
      </c>
      <c r="F251" s="80">
        <f>CEILING(F250*1.5,5)</f>
        <v>405</v>
      </c>
      <c r="G251" s="80">
        <f>IF(G245="","",CEILING(G249*1.5,5))</f>
        <v>525</v>
      </c>
      <c r="H251" s="80">
        <f t="shared" si="50"/>
        <v>1</v>
      </c>
      <c r="I251" s="80" t="str">
        <f t="shared" si="51"/>
        <v/>
      </c>
      <c r="J251" s="80">
        <f t="shared" si="52"/>
        <v>0</v>
      </c>
      <c r="K251" s="80">
        <f t="shared" si="53"/>
        <v>0</v>
      </c>
      <c r="L251" s="80">
        <f t="shared" si="54"/>
        <v>0</v>
      </c>
      <c r="M251" s="80">
        <f t="shared" si="55"/>
        <v>0</v>
      </c>
      <c r="N251" s="80">
        <f t="shared" si="56"/>
        <v>8</v>
      </c>
      <c r="O251" s="89"/>
      <c r="P251" s="89">
        <v>0.64</v>
      </c>
      <c r="Q251" s="92">
        <v>0.33</v>
      </c>
      <c r="R251" s="92">
        <v>0.03</v>
      </c>
      <c r="S251" s="90">
        <f t="shared" si="49"/>
        <v>195</v>
      </c>
      <c r="T251" s="90" cm="1">
        <f t="array" ref="T251">SUMPRODUCT(F251:M251,$F$154:$M$154)+N251*SUMPRODUCT(O251:R251,$O$154:$R$154)</f>
        <v>5624</v>
      </c>
    </row>
    <row r="252" spans="4:20">
      <c r="D252" s="77" t="str">
        <f t="shared" si="58"/>
        <v>卓越Ⅱ</v>
      </c>
      <c r="E252" s="80">
        <f t="shared" si="57"/>
        <v>1</v>
      </c>
      <c r="F252" s="80">
        <f>F246+10</f>
        <v>280</v>
      </c>
      <c r="G252" s="80" t="str">
        <f>IF(G246="","",G246+10)</f>
        <v/>
      </c>
      <c r="H252" s="80">
        <f t="shared" si="50"/>
        <v>0</v>
      </c>
      <c r="I252" s="80">
        <f t="shared" si="51"/>
        <v>1400</v>
      </c>
      <c r="J252" s="80">
        <v>9</v>
      </c>
      <c r="K252" s="80">
        <f t="shared" si="53"/>
        <v>0</v>
      </c>
      <c r="L252" s="80">
        <f t="shared" si="54"/>
        <v>0</v>
      </c>
      <c r="M252" s="80">
        <f t="shared" si="55"/>
        <v>0</v>
      </c>
      <c r="N252" s="80">
        <f t="shared" si="56"/>
        <v>0</v>
      </c>
      <c r="O252" s="89"/>
      <c r="P252" s="89"/>
      <c r="Q252" s="92"/>
      <c r="R252" s="89"/>
      <c r="S252" s="90">
        <f t="shared" si="49"/>
        <v>205</v>
      </c>
      <c r="T252" s="90" cm="1">
        <f t="array" ref="T252">SUMPRODUCT(F252:M252,$F$154:$M$154)+N252*SUMPRODUCT(O252:R252,$O$154:$R$154)</f>
        <v>3480</v>
      </c>
    </row>
    <row r="253" spans="4:20">
      <c r="D253" s="77" t="str">
        <f t="shared" si="58"/>
        <v>卓越Ⅱ</v>
      </c>
      <c r="E253" s="80">
        <f t="shared" si="57"/>
        <v>2</v>
      </c>
      <c r="F253" s="80">
        <f>F247+10</f>
        <v>280</v>
      </c>
      <c r="G253" s="80">
        <f>IF(G247="","",G247+10)</f>
        <v>360</v>
      </c>
      <c r="H253" s="80">
        <f t="shared" si="50"/>
        <v>0</v>
      </c>
      <c r="I253" s="80">
        <f t="shared" si="51"/>
        <v>1400</v>
      </c>
      <c r="J253" s="80">
        <f t="shared" si="52"/>
        <v>0</v>
      </c>
      <c r="K253" s="80">
        <f t="shared" si="53"/>
        <v>0</v>
      </c>
      <c r="L253" s="80">
        <f t="shared" si="54"/>
        <v>0</v>
      </c>
      <c r="M253" s="80">
        <f t="shared" si="55"/>
        <v>0</v>
      </c>
      <c r="N253" s="80">
        <f t="shared" si="56"/>
        <v>0</v>
      </c>
      <c r="O253" s="89"/>
      <c r="P253" s="89"/>
      <c r="Q253" s="89"/>
      <c r="R253" s="89"/>
      <c r="S253" s="90">
        <f t="shared" si="49"/>
        <v>205</v>
      </c>
      <c r="T253" s="90" cm="1">
        <f t="array" ref="T253">SUMPRODUCT(F253:M253,$F$154:$M$154)+N253*SUMPRODUCT(O253:R253,$O$154:$R$154)</f>
        <v>2040</v>
      </c>
    </row>
    <row r="254" spans="4:20">
      <c r="D254" s="77" t="str">
        <f t="shared" si="58"/>
        <v>卓越Ⅱ</v>
      </c>
      <c r="E254" s="80">
        <f t="shared" si="57"/>
        <v>3</v>
      </c>
      <c r="F254" s="80">
        <f>CEILING(F253*1.25,5)</f>
        <v>350</v>
      </c>
      <c r="G254" s="80" t="str">
        <f>IF(G248="","",G248+10)</f>
        <v/>
      </c>
      <c r="H254" s="80">
        <f t="shared" si="50"/>
        <v>0</v>
      </c>
      <c r="I254" s="80">
        <f t="shared" si="51"/>
        <v>1400</v>
      </c>
      <c r="J254" s="80">
        <f t="shared" si="52"/>
        <v>0</v>
      </c>
      <c r="K254" s="80">
        <f t="shared" si="53"/>
        <v>6</v>
      </c>
      <c r="L254" s="80">
        <f t="shared" si="54"/>
        <v>0</v>
      </c>
      <c r="M254" s="80">
        <f t="shared" si="55"/>
        <v>0</v>
      </c>
      <c r="N254" s="80">
        <f t="shared" si="56"/>
        <v>0</v>
      </c>
      <c r="O254" s="89"/>
      <c r="P254" s="89"/>
      <c r="Q254" s="89"/>
      <c r="R254" s="89"/>
      <c r="S254" s="90">
        <f t="shared" si="49"/>
        <v>205</v>
      </c>
      <c r="T254" s="90" cm="1">
        <f t="array" ref="T254">SUMPRODUCT(F254:M254,$F$154:$M$154)+N254*SUMPRODUCT(O254:R254,$O$154:$R$154)</f>
        <v>4150</v>
      </c>
    </row>
    <row r="255" spans="4:20">
      <c r="D255" s="77" t="str">
        <f t="shared" si="58"/>
        <v>卓越Ⅱ</v>
      </c>
      <c r="E255" s="80">
        <f t="shared" si="57"/>
        <v>4</v>
      </c>
      <c r="F255" s="80">
        <f>F249+10</f>
        <v>280</v>
      </c>
      <c r="G255" s="80">
        <f>IF(G249="","",G249+10)</f>
        <v>360</v>
      </c>
      <c r="H255" s="80">
        <f t="shared" si="50"/>
        <v>0</v>
      </c>
      <c r="I255" s="80">
        <f t="shared" si="51"/>
        <v>1400</v>
      </c>
      <c r="J255" s="80">
        <f t="shared" si="52"/>
        <v>0</v>
      </c>
      <c r="K255" s="80">
        <f t="shared" si="53"/>
        <v>0</v>
      </c>
      <c r="L255" s="80">
        <f t="shared" si="54"/>
        <v>0</v>
      </c>
      <c r="M255" s="80">
        <f t="shared" si="55"/>
        <v>0</v>
      </c>
      <c r="N255" s="80">
        <f t="shared" si="56"/>
        <v>0</v>
      </c>
      <c r="O255" s="89"/>
      <c r="P255" s="89"/>
      <c r="Q255" s="89"/>
      <c r="R255" s="89"/>
      <c r="S255" s="90">
        <f t="shared" si="49"/>
        <v>205</v>
      </c>
      <c r="T255" s="90" cm="1">
        <f t="array" ref="T255">SUMPRODUCT(F255:M255,$F$154:$M$154)+N255*SUMPRODUCT(O255:R255,$O$154:$R$154)</f>
        <v>2040</v>
      </c>
    </row>
    <row r="256" spans="4:20">
      <c r="D256" s="77" t="str">
        <f t="shared" si="58"/>
        <v>卓越Ⅱ</v>
      </c>
      <c r="E256" s="80">
        <f t="shared" si="57"/>
        <v>5</v>
      </c>
      <c r="F256" s="80">
        <f>F250+10</f>
        <v>280</v>
      </c>
      <c r="G256" s="80" t="str">
        <f>IF(G250="","",G250+10)</f>
        <v/>
      </c>
      <c r="H256" s="80">
        <f t="shared" si="50"/>
        <v>0</v>
      </c>
      <c r="I256" s="80">
        <f t="shared" si="51"/>
        <v>1400</v>
      </c>
      <c r="J256" s="80">
        <f t="shared" si="52"/>
        <v>0</v>
      </c>
      <c r="K256" s="80">
        <f t="shared" si="53"/>
        <v>0</v>
      </c>
      <c r="L256" s="91">
        <v>5</v>
      </c>
      <c r="M256" s="80">
        <f t="shared" si="55"/>
        <v>0</v>
      </c>
      <c r="N256" s="80">
        <f t="shared" si="56"/>
        <v>0</v>
      </c>
      <c r="O256" s="89"/>
      <c r="P256" s="89"/>
      <c r="Q256" s="89"/>
      <c r="R256" s="89"/>
      <c r="S256" s="90">
        <f t="shared" si="49"/>
        <v>205</v>
      </c>
      <c r="T256" s="90" cm="1">
        <f t="array" ref="T256">SUMPRODUCT(F256:M256,$F$154:$M$154)+N256*SUMPRODUCT(O256:R256,$O$154:$R$154)</f>
        <v>5680</v>
      </c>
    </row>
    <row r="257" spans="4:20">
      <c r="D257" s="77" t="str">
        <f t="shared" si="58"/>
        <v>卓越Ⅱ</v>
      </c>
      <c r="E257" s="80">
        <f t="shared" si="57"/>
        <v>6</v>
      </c>
      <c r="F257" s="80">
        <f>CEILING(F256*1.5,5)</f>
        <v>420</v>
      </c>
      <c r="G257" s="80">
        <f>IF(G251="","",CEILING(G255*1.5,5))</f>
        <v>540</v>
      </c>
      <c r="H257" s="80">
        <f t="shared" si="50"/>
        <v>1</v>
      </c>
      <c r="I257" s="80" t="str">
        <f t="shared" si="51"/>
        <v/>
      </c>
      <c r="J257" s="80">
        <f t="shared" si="52"/>
        <v>0</v>
      </c>
      <c r="K257" s="80">
        <f t="shared" si="53"/>
        <v>0</v>
      </c>
      <c r="L257" s="80">
        <f t="shared" si="54"/>
        <v>0</v>
      </c>
      <c r="M257" s="80">
        <f t="shared" si="55"/>
        <v>0</v>
      </c>
      <c r="N257" s="80">
        <f t="shared" si="56"/>
        <v>8</v>
      </c>
      <c r="O257" s="89"/>
      <c r="P257" s="92">
        <f>1-R257-Q257</f>
        <v>0.58</v>
      </c>
      <c r="Q257" s="92">
        <f>Q251+3%</f>
        <v>0.36</v>
      </c>
      <c r="R257" s="92">
        <f>R251+3%</f>
        <v>0.06</v>
      </c>
      <c r="S257" s="90">
        <f t="shared" si="49"/>
        <v>205</v>
      </c>
      <c r="T257" s="90" cm="1">
        <f t="array" ref="T257">SUMPRODUCT(F257:M257,$F$154:$M$154)+N257*SUMPRODUCT(O257:R257,$O$154:$R$154)</f>
        <v>6038</v>
      </c>
    </row>
    <row r="258" spans="4:20">
      <c r="D258" s="77" t="str">
        <f t="shared" si="58"/>
        <v>卓越Ⅲ</v>
      </c>
      <c r="E258" s="80">
        <f t="shared" si="57"/>
        <v>1</v>
      </c>
      <c r="F258" s="80">
        <f>F252+10</f>
        <v>290</v>
      </c>
      <c r="G258" s="80" t="str">
        <f>IF(G252="","",G252+10)</f>
        <v/>
      </c>
      <c r="H258" s="80">
        <f t="shared" si="50"/>
        <v>0</v>
      </c>
      <c r="I258" s="80">
        <f t="shared" si="51"/>
        <v>1450</v>
      </c>
      <c r="J258" s="80">
        <f t="shared" si="52"/>
        <v>9</v>
      </c>
      <c r="K258" s="80">
        <f t="shared" si="53"/>
        <v>0</v>
      </c>
      <c r="L258" s="80">
        <f t="shared" si="54"/>
        <v>0</v>
      </c>
      <c r="M258" s="80">
        <f t="shared" si="55"/>
        <v>0</v>
      </c>
      <c r="N258" s="80">
        <f t="shared" si="56"/>
        <v>0</v>
      </c>
      <c r="O258" s="89"/>
      <c r="P258" s="89"/>
      <c r="Q258" s="89"/>
      <c r="R258" s="89"/>
      <c r="S258" s="90">
        <f t="shared" si="49"/>
        <v>215</v>
      </c>
      <c r="T258" s="90" cm="1">
        <f t="array" ref="T258">SUMPRODUCT(F258:M258,$F$154:$M$154)+N258*SUMPRODUCT(O258:R258,$O$154:$R$154)</f>
        <v>3540</v>
      </c>
    </row>
    <row r="259" spans="4:20">
      <c r="D259" s="77" t="str">
        <f t="shared" si="58"/>
        <v>卓越Ⅲ</v>
      </c>
      <c r="E259" s="80">
        <f t="shared" si="57"/>
        <v>2</v>
      </c>
      <c r="F259" s="80">
        <f>F253+10</f>
        <v>290</v>
      </c>
      <c r="G259" s="80">
        <f>IF(G253="","",G253+10)</f>
        <v>370</v>
      </c>
      <c r="H259" s="80">
        <f t="shared" si="50"/>
        <v>0</v>
      </c>
      <c r="I259" s="80">
        <f t="shared" si="51"/>
        <v>1450</v>
      </c>
      <c r="J259" s="80">
        <f t="shared" si="52"/>
        <v>0</v>
      </c>
      <c r="K259" s="80">
        <f t="shared" si="53"/>
        <v>0</v>
      </c>
      <c r="L259" s="80">
        <f t="shared" si="54"/>
        <v>0</v>
      </c>
      <c r="M259" s="80">
        <f t="shared" si="55"/>
        <v>0</v>
      </c>
      <c r="N259" s="80">
        <f t="shared" si="56"/>
        <v>0</v>
      </c>
      <c r="O259" s="89"/>
      <c r="P259" s="89"/>
      <c r="Q259" s="89"/>
      <c r="R259" s="89"/>
      <c r="S259" s="90">
        <f t="shared" si="49"/>
        <v>215</v>
      </c>
      <c r="T259" s="90" cm="1">
        <f t="array" ref="T259">SUMPRODUCT(F259:M259,$F$154:$M$154)+N259*SUMPRODUCT(O259:R259,$O$154:$R$154)</f>
        <v>2110</v>
      </c>
    </row>
    <row r="260" spans="4:20">
      <c r="D260" s="77" t="str">
        <f t="shared" si="58"/>
        <v>卓越Ⅲ</v>
      </c>
      <c r="E260" s="80">
        <f t="shared" si="57"/>
        <v>3</v>
      </c>
      <c r="F260" s="80">
        <f>CEILING(F259*1.25,5)</f>
        <v>365</v>
      </c>
      <c r="G260" s="80" t="str">
        <f>IF(G254="","",G254+10)</f>
        <v/>
      </c>
      <c r="H260" s="80">
        <f t="shared" si="50"/>
        <v>0</v>
      </c>
      <c r="I260" s="80">
        <f t="shared" si="51"/>
        <v>1450</v>
      </c>
      <c r="J260" s="80">
        <f t="shared" si="52"/>
        <v>0</v>
      </c>
      <c r="K260" s="80">
        <f t="shared" si="53"/>
        <v>6</v>
      </c>
      <c r="L260" s="80">
        <f t="shared" si="54"/>
        <v>0</v>
      </c>
      <c r="M260" s="80">
        <f t="shared" si="55"/>
        <v>0</v>
      </c>
      <c r="N260" s="80">
        <f t="shared" si="56"/>
        <v>0</v>
      </c>
      <c r="O260" s="89"/>
      <c r="P260" s="89"/>
      <c r="Q260" s="89"/>
      <c r="R260" s="89"/>
      <c r="S260" s="90">
        <f t="shared" si="49"/>
        <v>215</v>
      </c>
      <c r="T260" s="90" cm="1">
        <f t="array" ref="T260">SUMPRODUCT(F260:M260,$F$154:$M$154)+N260*SUMPRODUCT(O260:R260,$O$154:$R$154)</f>
        <v>4215</v>
      </c>
    </row>
    <row r="261" spans="4:20">
      <c r="D261" s="77" t="str">
        <f t="shared" si="58"/>
        <v>卓越Ⅲ</v>
      </c>
      <c r="E261" s="80">
        <f t="shared" si="57"/>
        <v>4</v>
      </c>
      <c r="F261" s="80">
        <f>F255+10</f>
        <v>290</v>
      </c>
      <c r="G261" s="80">
        <f>IF(G255="","",G255+10)</f>
        <v>370</v>
      </c>
      <c r="H261" s="80">
        <f t="shared" si="50"/>
        <v>0</v>
      </c>
      <c r="I261" s="80">
        <f t="shared" si="51"/>
        <v>1450</v>
      </c>
      <c r="J261" s="80">
        <f t="shared" si="52"/>
        <v>0</v>
      </c>
      <c r="K261" s="80">
        <f t="shared" si="53"/>
        <v>0</v>
      </c>
      <c r="L261" s="80">
        <f t="shared" si="54"/>
        <v>0</v>
      </c>
      <c r="M261" s="80">
        <f t="shared" si="55"/>
        <v>0</v>
      </c>
      <c r="N261" s="80">
        <f t="shared" si="56"/>
        <v>0</v>
      </c>
      <c r="O261" s="89"/>
      <c r="P261" s="89"/>
      <c r="Q261" s="89"/>
      <c r="R261" s="89"/>
      <c r="S261" s="90">
        <f t="shared" si="49"/>
        <v>215</v>
      </c>
      <c r="T261" s="90" cm="1">
        <f t="array" ref="T261">SUMPRODUCT(F261:M261,$F$154:$M$154)+N261*SUMPRODUCT(O261:R261,$O$154:$R$154)</f>
        <v>2110</v>
      </c>
    </row>
    <row r="262" spans="4:20">
      <c r="D262" s="77" t="str">
        <f t="shared" ref="D262:D270" si="59">SUBSTITUTE(D232,"珍惜","卓越")</f>
        <v>卓越Ⅲ</v>
      </c>
      <c r="E262" s="80">
        <f t="shared" si="57"/>
        <v>5</v>
      </c>
      <c r="F262" s="80">
        <f>F256+10</f>
        <v>290</v>
      </c>
      <c r="G262" s="80" t="str">
        <f>IF(G256="","",G256+10)</f>
        <v/>
      </c>
      <c r="H262" s="80">
        <f t="shared" si="50"/>
        <v>0</v>
      </c>
      <c r="I262" s="80">
        <f t="shared" si="51"/>
        <v>1450</v>
      </c>
      <c r="J262" s="80">
        <f t="shared" si="52"/>
        <v>0</v>
      </c>
      <c r="K262" s="80">
        <f t="shared" si="53"/>
        <v>0</v>
      </c>
      <c r="L262" s="80">
        <f t="shared" si="54"/>
        <v>5</v>
      </c>
      <c r="M262" s="80">
        <f t="shared" si="55"/>
        <v>0</v>
      </c>
      <c r="N262" s="80">
        <f t="shared" si="56"/>
        <v>0</v>
      </c>
      <c r="O262" s="89"/>
      <c r="P262" s="89"/>
      <c r="Q262" s="89"/>
      <c r="R262" s="89"/>
      <c r="S262" s="90">
        <f t="shared" si="49"/>
        <v>215</v>
      </c>
      <c r="T262" s="90" cm="1">
        <f t="array" ref="T262">SUMPRODUCT(F262:M262,$F$154:$M$154)+N262*SUMPRODUCT(O262:R262,$O$154:$R$154)</f>
        <v>5740</v>
      </c>
    </row>
    <row r="263" spans="4:20">
      <c r="D263" s="77" t="str">
        <f t="shared" si="59"/>
        <v>卓越Ⅲ</v>
      </c>
      <c r="E263" s="80">
        <f t="shared" si="57"/>
        <v>6</v>
      </c>
      <c r="F263" s="80">
        <f>CEILING(F262*1.5,5)</f>
        <v>435</v>
      </c>
      <c r="G263" s="80">
        <f>IF(G257="","",CEILING(G261*1.5,5))</f>
        <v>555</v>
      </c>
      <c r="H263" s="80">
        <f t="shared" si="50"/>
        <v>1</v>
      </c>
      <c r="I263" s="80" t="str">
        <f t="shared" si="51"/>
        <v/>
      </c>
      <c r="J263" s="80">
        <f t="shared" si="52"/>
        <v>0</v>
      </c>
      <c r="K263" s="80">
        <f t="shared" si="53"/>
        <v>0</v>
      </c>
      <c r="L263" s="80">
        <f t="shared" si="54"/>
        <v>0</v>
      </c>
      <c r="M263" s="80">
        <f t="shared" si="55"/>
        <v>0</v>
      </c>
      <c r="N263" s="80">
        <f t="shared" si="56"/>
        <v>8</v>
      </c>
      <c r="O263" s="89"/>
      <c r="P263" s="92">
        <f>1-R263-Q263</f>
        <v>0.52</v>
      </c>
      <c r="Q263" s="92">
        <f>Q257+3%</f>
        <v>0.39</v>
      </c>
      <c r="R263" s="92">
        <f>R257+3%</f>
        <v>0.09</v>
      </c>
      <c r="S263" s="90">
        <f t="shared" si="49"/>
        <v>215</v>
      </c>
      <c r="T263" s="90" cm="1">
        <f t="array" ref="T263">SUMPRODUCT(F263:M263,$F$154:$M$154)+N263*SUMPRODUCT(O263:R263,$O$154:$R$154)</f>
        <v>6452</v>
      </c>
    </row>
    <row r="264" spans="4:20">
      <c r="D264" s="77" t="str">
        <f t="shared" si="59"/>
        <v>卓越Ⅳ</v>
      </c>
      <c r="E264" s="80">
        <f t="shared" si="57"/>
        <v>1</v>
      </c>
      <c r="F264" s="80">
        <f>F258+10</f>
        <v>300</v>
      </c>
      <c r="G264" s="80" t="str">
        <f>IF(G258="","",G258+10)</f>
        <v/>
      </c>
      <c r="H264" s="80">
        <f t="shared" si="50"/>
        <v>0</v>
      </c>
      <c r="I264" s="80">
        <f t="shared" si="51"/>
        <v>1500</v>
      </c>
      <c r="J264" s="80">
        <v>9</v>
      </c>
      <c r="K264" s="80">
        <f t="shared" si="53"/>
        <v>0</v>
      </c>
      <c r="L264" s="80">
        <f t="shared" si="54"/>
        <v>0</v>
      </c>
      <c r="M264" s="80">
        <f t="shared" si="55"/>
        <v>0</v>
      </c>
      <c r="N264" s="80">
        <f t="shared" si="56"/>
        <v>0</v>
      </c>
      <c r="O264" s="89"/>
      <c r="P264" s="89"/>
      <c r="Q264" s="89"/>
      <c r="R264" s="89"/>
      <c r="S264" s="90">
        <f t="shared" si="49"/>
        <v>225</v>
      </c>
      <c r="T264" s="90" cm="1">
        <f t="array" ref="T264">SUMPRODUCT(F264:M264,$F$154:$M$154)+N264*SUMPRODUCT(O264:R264,$O$154:$R$154)</f>
        <v>3600</v>
      </c>
    </row>
    <row r="265" spans="4:20">
      <c r="D265" s="77" t="str">
        <f t="shared" si="59"/>
        <v>卓越Ⅳ</v>
      </c>
      <c r="E265" s="80">
        <f t="shared" si="57"/>
        <v>2</v>
      </c>
      <c r="F265" s="80">
        <f>F259+10</f>
        <v>300</v>
      </c>
      <c r="G265" s="80">
        <f>IF(G259="","",G259+10)</f>
        <v>380</v>
      </c>
      <c r="H265" s="80">
        <f t="shared" si="50"/>
        <v>0</v>
      </c>
      <c r="I265" s="80">
        <f t="shared" si="51"/>
        <v>1500</v>
      </c>
      <c r="J265" s="80">
        <f t="shared" si="52"/>
        <v>0</v>
      </c>
      <c r="K265" s="80">
        <f t="shared" si="53"/>
        <v>0</v>
      </c>
      <c r="L265" s="80">
        <f t="shared" si="54"/>
        <v>0</v>
      </c>
      <c r="M265" s="80">
        <f t="shared" si="55"/>
        <v>0</v>
      </c>
      <c r="N265" s="80">
        <f t="shared" si="56"/>
        <v>0</v>
      </c>
      <c r="O265" s="89"/>
      <c r="P265" s="89"/>
      <c r="Q265" s="89"/>
      <c r="R265" s="89"/>
      <c r="S265" s="90">
        <f t="shared" si="49"/>
        <v>225</v>
      </c>
      <c r="T265" s="90" cm="1">
        <f t="array" ref="T265">SUMPRODUCT(F265:M265,$F$154:$M$154)+N265*SUMPRODUCT(O265:R265,$O$154:$R$154)</f>
        <v>2180</v>
      </c>
    </row>
    <row r="266" spans="4:20">
      <c r="D266" s="77" t="str">
        <f t="shared" si="59"/>
        <v>卓越Ⅳ</v>
      </c>
      <c r="E266" s="80">
        <f t="shared" si="57"/>
        <v>3</v>
      </c>
      <c r="F266" s="80">
        <f>CEILING(F265*1.25,5)</f>
        <v>375</v>
      </c>
      <c r="G266" s="80" t="str">
        <f>IF(G260="","",G260+10)</f>
        <v/>
      </c>
      <c r="H266" s="80">
        <f t="shared" si="50"/>
        <v>0</v>
      </c>
      <c r="I266" s="80">
        <f t="shared" si="51"/>
        <v>1500</v>
      </c>
      <c r="J266" s="80">
        <f t="shared" si="52"/>
        <v>0</v>
      </c>
      <c r="K266" s="80">
        <f t="shared" si="53"/>
        <v>6</v>
      </c>
      <c r="L266" s="80">
        <f t="shared" si="54"/>
        <v>0</v>
      </c>
      <c r="M266" s="80">
        <f t="shared" si="55"/>
        <v>0</v>
      </c>
      <c r="N266" s="80">
        <f t="shared" si="56"/>
        <v>0</v>
      </c>
      <c r="O266" s="89"/>
      <c r="P266" s="89"/>
      <c r="Q266" s="89"/>
      <c r="R266" s="89"/>
      <c r="S266" s="90">
        <f t="shared" si="49"/>
        <v>225</v>
      </c>
      <c r="T266" s="90" cm="1">
        <f t="array" ref="T266">SUMPRODUCT(F266:M266,$F$154:$M$154)+N266*SUMPRODUCT(O266:R266,$O$154:$R$154)</f>
        <v>4275</v>
      </c>
    </row>
    <row r="267" spans="4:20">
      <c r="D267" s="77" t="str">
        <f t="shared" si="59"/>
        <v>卓越Ⅳ</v>
      </c>
      <c r="E267" s="80">
        <f t="shared" si="57"/>
        <v>4</v>
      </c>
      <c r="F267" s="80">
        <f>F261+10</f>
        <v>300</v>
      </c>
      <c r="G267" s="80">
        <f>IF(G261="","",G261+10)</f>
        <v>380</v>
      </c>
      <c r="H267" s="80">
        <f t="shared" si="50"/>
        <v>0</v>
      </c>
      <c r="I267" s="80">
        <f t="shared" si="51"/>
        <v>1500</v>
      </c>
      <c r="J267" s="80">
        <f t="shared" si="52"/>
        <v>0</v>
      </c>
      <c r="K267" s="80">
        <f t="shared" si="53"/>
        <v>0</v>
      </c>
      <c r="L267" s="80">
        <f t="shared" si="54"/>
        <v>0</v>
      </c>
      <c r="M267" s="80">
        <f t="shared" si="55"/>
        <v>0</v>
      </c>
      <c r="N267" s="80">
        <f t="shared" si="56"/>
        <v>0</v>
      </c>
      <c r="O267" s="89"/>
      <c r="P267" s="89"/>
      <c r="Q267" s="89"/>
      <c r="R267" s="89"/>
      <c r="S267" s="90">
        <f t="shared" si="49"/>
        <v>225</v>
      </c>
      <c r="T267" s="90" cm="1">
        <f t="array" ref="T267">SUMPRODUCT(F267:M267,$F$154:$M$154)+N267*SUMPRODUCT(O267:R267,$O$154:$R$154)</f>
        <v>2180</v>
      </c>
    </row>
    <row r="268" spans="4:20">
      <c r="D268" s="77" t="str">
        <f t="shared" si="59"/>
        <v>卓越Ⅳ</v>
      </c>
      <c r="E268" s="80">
        <f t="shared" si="57"/>
        <v>5</v>
      </c>
      <c r="F268" s="80">
        <f>F262+10</f>
        <v>300</v>
      </c>
      <c r="G268" s="80" t="str">
        <f>IF(G262="","",G262+10)</f>
        <v/>
      </c>
      <c r="H268" s="80">
        <f t="shared" si="50"/>
        <v>0</v>
      </c>
      <c r="I268" s="80">
        <f t="shared" si="51"/>
        <v>1500</v>
      </c>
      <c r="J268" s="80">
        <f t="shared" si="52"/>
        <v>0</v>
      </c>
      <c r="K268" s="80">
        <f t="shared" si="53"/>
        <v>0</v>
      </c>
      <c r="L268" s="80">
        <f t="shared" si="54"/>
        <v>5</v>
      </c>
      <c r="M268" s="80">
        <f t="shared" si="55"/>
        <v>0</v>
      </c>
      <c r="N268" s="80">
        <f t="shared" si="56"/>
        <v>0</v>
      </c>
      <c r="O268" s="89"/>
      <c r="P268" s="89"/>
      <c r="Q268" s="89"/>
      <c r="R268" s="89"/>
      <c r="S268" s="90">
        <f t="shared" si="49"/>
        <v>225</v>
      </c>
      <c r="T268" s="90" cm="1">
        <f t="array" ref="T268">SUMPRODUCT(F268:M268,$F$154:$M$154)+N268*SUMPRODUCT(O268:R268,$O$154:$R$154)</f>
        <v>5800</v>
      </c>
    </row>
    <row r="269" spans="4:20">
      <c r="D269" s="77" t="str">
        <f t="shared" si="59"/>
        <v>卓越Ⅳ</v>
      </c>
      <c r="E269" s="80">
        <f t="shared" si="57"/>
        <v>6</v>
      </c>
      <c r="F269" s="80">
        <f>CEILING(F268*1.5,5)</f>
        <v>450</v>
      </c>
      <c r="G269" s="80">
        <f>IF(G263="","",CEILING(G267*1.5,5))</f>
        <v>570</v>
      </c>
      <c r="H269" s="80">
        <f t="shared" si="50"/>
        <v>1</v>
      </c>
      <c r="I269" s="80" t="str">
        <f t="shared" si="51"/>
        <v/>
      </c>
      <c r="J269" s="80">
        <f t="shared" si="52"/>
        <v>0</v>
      </c>
      <c r="K269" s="80">
        <f t="shared" si="53"/>
        <v>0</v>
      </c>
      <c r="L269" s="80">
        <f t="shared" si="54"/>
        <v>0</v>
      </c>
      <c r="M269" s="80">
        <f t="shared" si="55"/>
        <v>0</v>
      </c>
      <c r="N269" s="80">
        <f t="shared" si="56"/>
        <v>8</v>
      </c>
      <c r="O269" s="89"/>
      <c r="P269" s="92">
        <f>1-R269-Q269</f>
        <v>0.46</v>
      </c>
      <c r="Q269" s="92">
        <f>Q263+3%</f>
        <v>0.42</v>
      </c>
      <c r="R269" s="92">
        <f>R263+3%</f>
        <v>0.12</v>
      </c>
      <c r="S269" s="90">
        <f t="shared" si="49"/>
        <v>225</v>
      </c>
      <c r="T269" s="90" cm="1">
        <f t="array" ref="T269">SUMPRODUCT(F269:M269,$F$154:$M$154)+N269*SUMPRODUCT(O269:R269,$O$154:$R$154)</f>
        <v>6866</v>
      </c>
    </row>
    <row r="270" spans="4:20">
      <c r="D270" s="77" t="str">
        <f t="shared" ref="D270:D277" si="60">SUBSTITUTE(D240,"珍惜","卓越")</f>
        <v>卓越Ⅴ</v>
      </c>
      <c r="E270" s="80">
        <f t="shared" si="57"/>
        <v>1</v>
      </c>
      <c r="F270" s="80">
        <f>F264+10</f>
        <v>310</v>
      </c>
      <c r="G270" s="80" t="str">
        <f>IF(G264="","",G264+10)</f>
        <v/>
      </c>
      <c r="H270" s="80">
        <f t="shared" si="50"/>
        <v>0</v>
      </c>
      <c r="I270" s="80">
        <f t="shared" si="51"/>
        <v>1550</v>
      </c>
      <c r="J270" s="80">
        <f t="shared" si="52"/>
        <v>9</v>
      </c>
      <c r="K270" s="80">
        <f t="shared" si="53"/>
        <v>0</v>
      </c>
      <c r="L270" s="80">
        <f t="shared" si="54"/>
        <v>0</v>
      </c>
      <c r="M270" s="80">
        <f t="shared" si="55"/>
        <v>0</v>
      </c>
      <c r="N270" s="80">
        <f t="shared" si="56"/>
        <v>0</v>
      </c>
      <c r="O270" s="89"/>
      <c r="P270" s="89"/>
      <c r="Q270" s="89"/>
      <c r="R270" s="89"/>
      <c r="S270" s="90">
        <f t="shared" si="49"/>
        <v>235</v>
      </c>
      <c r="T270" s="90" cm="1">
        <f t="array" ref="T270">SUMPRODUCT(F270:M270,$F$154:$M$154)+N270*SUMPRODUCT(O270:R270,$O$154:$R$154)</f>
        <v>3660</v>
      </c>
    </row>
    <row r="271" spans="4:20">
      <c r="D271" s="77" t="str">
        <f t="shared" si="60"/>
        <v>卓越Ⅴ</v>
      </c>
      <c r="E271" s="80">
        <f t="shared" si="57"/>
        <v>2</v>
      </c>
      <c r="F271" s="80">
        <f>F265+10</f>
        <v>310</v>
      </c>
      <c r="G271" s="80">
        <f>IF(G265="","",G265+10)</f>
        <v>390</v>
      </c>
      <c r="H271" s="80">
        <f t="shared" si="50"/>
        <v>0</v>
      </c>
      <c r="I271" s="80">
        <f t="shared" si="51"/>
        <v>1550</v>
      </c>
      <c r="J271" s="80">
        <f t="shared" si="52"/>
        <v>0</v>
      </c>
      <c r="K271" s="80">
        <f t="shared" si="53"/>
        <v>0</v>
      </c>
      <c r="L271" s="80">
        <f t="shared" si="54"/>
        <v>0</v>
      </c>
      <c r="M271" s="80">
        <f t="shared" si="55"/>
        <v>0</v>
      </c>
      <c r="N271" s="80">
        <f t="shared" si="56"/>
        <v>0</v>
      </c>
      <c r="O271" s="89"/>
      <c r="P271" s="89"/>
      <c r="Q271" s="89"/>
      <c r="R271" s="89"/>
      <c r="S271" s="90">
        <f t="shared" si="49"/>
        <v>235</v>
      </c>
      <c r="T271" s="90" cm="1">
        <f t="array" ref="T271">SUMPRODUCT(F271:M271,$F$154:$M$154)+N271*SUMPRODUCT(O271:R271,$O$154:$R$154)</f>
        <v>2250</v>
      </c>
    </row>
    <row r="272" spans="4:20">
      <c r="D272" s="77" t="str">
        <f t="shared" si="60"/>
        <v>卓越Ⅴ</v>
      </c>
      <c r="E272" s="80">
        <f t="shared" si="57"/>
        <v>3</v>
      </c>
      <c r="F272" s="80">
        <f>CEILING(F271*1.25,5)</f>
        <v>390</v>
      </c>
      <c r="G272" s="80" t="str">
        <f>IF(G266="","",G266+10)</f>
        <v/>
      </c>
      <c r="H272" s="80">
        <f t="shared" si="50"/>
        <v>0</v>
      </c>
      <c r="I272" s="80">
        <f t="shared" si="51"/>
        <v>1550</v>
      </c>
      <c r="J272" s="80">
        <f t="shared" si="52"/>
        <v>0</v>
      </c>
      <c r="K272" s="80">
        <f t="shared" si="53"/>
        <v>6</v>
      </c>
      <c r="L272" s="80">
        <f t="shared" si="54"/>
        <v>0</v>
      </c>
      <c r="M272" s="80">
        <f t="shared" si="55"/>
        <v>0</v>
      </c>
      <c r="N272" s="80">
        <f t="shared" si="56"/>
        <v>0</v>
      </c>
      <c r="O272" s="89"/>
      <c r="P272" s="89"/>
      <c r="Q272" s="89"/>
      <c r="R272" s="89"/>
      <c r="S272" s="90">
        <f t="shared" si="49"/>
        <v>235</v>
      </c>
      <c r="T272" s="90" cm="1">
        <f t="array" ref="T272">SUMPRODUCT(F272:M272,$F$154:$M$154)+N272*SUMPRODUCT(O272:R272,$O$154:$R$154)</f>
        <v>4340</v>
      </c>
    </row>
    <row r="273" spans="4:20">
      <c r="D273" s="77" t="str">
        <f t="shared" si="60"/>
        <v>卓越Ⅴ</v>
      </c>
      <c r="E273" s="80">
        <f t="shared" si="57"/>
        <v>4</v>
      </c>
      <c r="F273" s="80">
        <f>F267+10</f>
        <v>310</v>
      </c>
      <c r="G273" s="80">
        <f>IF(G267="","",G267+10)</f>
        <v>390</v>
      </c>
      <c r="H273" s="80">
        <f t="shared" si="50"/>
        <v>0</v>
      </c>
      <c r="I273" s="80">
        <f t="shared" si="51"/>
        <v>1550</v>
      </c>
      <c r="J273" s="80">
        <f t="shared" si="52"/>
        <v>0</v>
      </c>
      <c r="K273" s="80">
        <f t="shared" si="53"/>
        <v>0</v>
      </c>
      <c r="L273" s="80">
        <f t="shared" si="54"/>
        <v>0</v>
      </c>
      <c r="M273" s="80">
        <f t="shared" si="55"/>
        <v>0</v>
      </c>
      <c r="N273" s="80">
        <f t="shared" si="56"/>
        <v>0</v>
      </c>
      <c r="O273" s="89"/>
      <c r="P273" s="89"/>
      <c r="Q273" s="89"/>
      <c r="R273" s="89"/>
      <c r="S273" s="90">
        <f t="shared" si="49"/>
        <v>235</v>
      </c>
      <c r="T273" s="90" cm="1">
        <f t="array" ref="T273">SUMPRODUCT(F273:M273,$F$154:$M$154)+N273*SUMPRODUCT(O273:R273,$O$154:$R$154)</f>
        <v>2250</v>
      </c>
    </row>
    <row r="274" spans="4:20">
      <c r="D274" s="77" t="str">
        <f t="shared" si="60"/>
        <v>卓越Ⅴ</v>
      </c>
      <c r="E274" s="80">
        <f t="shared" si="57"/>
        <v>5</v>
      </c>
      <c r="F274" s="80">
        <f>F268+10</f>
        <v>310</v>
      </c>
      <c r="G274" s="80" t="str">
        <f>IF(G268="","",G268+10)</f>
        <v/>
      </c>
      <c r="H274" s="80">
        <f t="shared" si="50"/>
        <v>0</v>
      </c>
      <c r="I274" s="80">
        <f t="shared" si="51"/>
        <v>1550</v>
      </c>
      <c r="J274" s="80">
        <f t="shared" si="52"/>
        <v>0</v>
      </c>
      <c r="K274" s="80">
        <f t="shared" si="53"/>
        <v>0</v>
      </c>
      <c r="L274" s="80">
        <f t="shared" si="54"/>
        <v>5</v>
      </c>
      <c r="M274" s="80">
        <f t="shared" si="55"/>
        <v>0</v>
      </c>
      <c r="N274" s="80">
        <f t="shared" si="56"/>
        <v>0</v>
      </c>
      <c r="O274" s="89"/>
      <c r="P274" s="89"/>
      <c r="Q274" s="89"/>
      <c r="R274" s="89"/>
      <c r="S274" s="90">
        <f t="shared" si="49"/>
        <v>235</v>
      </c>
      <c r="T274" s="90" cm="1">
        <f t="array" ref="T274">SUMPRODUCT(F274:M274,$F$154:$M$154)+N274*SUMPRODUCT(O274:R274,$O$154:$R$154)</f>
        <v>5860</v>
      </c>
    </row>
    <row r="275" spans="4:20">
      <c r="D275" s="77" t="str">
        <f t="shared" si="60"/>
        <v>卓越Ⅴ</v>
      </c>
      <c r="E275" s="80">
        <f t="shared" si="57"/>
        <v>6</v>
      </c>
      <c r="F275" s="80">
        <f>CEILING(F274*1.5,5)</f>
        <v>465</v>
      </c>
      <c r="G275" s="80">
        <f>IF(G269="","",CEILING(G273*1.5,5))</f>
        <v>585</v>
      </c>
      <c r="H275" s="80">
        <f t="shared" si="50"/>
        <v>1</v>
      </c>
      <c r="I275" s="80" t="str">
        <f t="shared" si="51"/>
        <v/>
      </c>
      <c r="J275" s="80">
        <f t="shared" si="52"/>
        <v>0</v>
      </c>
      <c r="K275" s="80">
        <f t="shared" si="53"/>
        <v>0</v>
      </c>
      <c r="L275" s="80">
        <f t="shared" si="54"/>
        <v>0</v>
      </c>
      <c r="M275" s="80">
        <f t="shared" si="55"/>
        <v>0</v>
      </c>
      <c r="N275" s="80">
        <f t="shared" si="56"/>
        <v>8</v>
      </c>
      <c r="O275" s="89"/>
      <c r="P275" s="92">
        <f>1-R275-Q275</f>
        <v>0.4</v>
      </c>
      <c r="Q275" s="92">
        <f>Q269+3%</f>
        <v>0.45</v>
      </c>
      <c r="R275" s="92">
        <f>R269+3%</f>
        <v>0.15</v>
      </c>
      <c r="S275" s="90">
        <f t="shared" si="49"/>
        <v>235</v>
      </c>
      <c r="T275" s="90" cm="1">
        <f t="array" ref="T275">SUMPRODUCT(F275:M275,$F$154:$M$154)+N275*SUMPRODUCT(O275:R275,$O$154:$R$154)</f>
        <v>7280</v>
      </c>
    </row>
    <row r="276" spans="4:20">
      <c r="D276" s="81" t="str">
        <f>SUBSTITUTE(D246,"卓越","传世")</f>
        <v>传世Ⅰ</v>
      </c>
      <c r="E276" s="84">
        <f t="shared" si="57"/>
        <v>1</v>
      </c>
      <c r="F276" s="84">
        <f>F270+10</f>
        <v>320</v>
      </c>
      <c r="G276" s="84" t="str">
        <f>IF(G270="","",G270+10)</f>
        <v/>
      </c>
      <c r="H276" s="84">
        <f t="shared" si="50"/>
        <v>0</v>
      </c>
      <c r="I276" s="84">
        <f t="shared" si="51"/>
        <v>1600</v>
      </c>
      <c r="J276" s="84">
        <v>9</v>
      </c>
      <c r="K276" s="84">
        <f t="shared" si="53"/>
        <v>0</v>
      </c>
      <c r="L276" s="84">
        <f t="shared" si="54"/>
        <v>0</v>
      </c>
      <c r="M276" s="84">
        <f t="shared" si="55"/>
        <v>0</v>
      </c>
      <c r="N276" s="84">
        <f t="shared" si="56"/>
        <v>0</v>
      </c>
      <c r="O276" s="85"/>
      <c r="P276" s="85"/>
      <c r="Q276" s="85"/>
      <c r="R276" s="85"/>
      <c r="S276" s="86">
        <f t="shared" si="49"/>
        <v>245</v>
      </c>
      <c r="T276" s="86" cm="1">
        <f t="array" ref="T276">SUMPRODUCT(F276:M276,$F$154:$M$154)+N276*SUMPRODUCT(O276:R276,$O$154:$R$154)</f>
        <v>3720</v>
      </c>
    </row>
    <row r="277" spans="4:20">
      <c r="D277" s="81" t="str">
        <f t="shared" ref="D277:D305" si="61">SUBSTITUTE(D247,"卓越","传世")</f>
        <v>传世Ⅰ</v>
      </c>
      <c r="E277" s="84">
        <f t="shared" si="57"/>
        <v>2</v>
      </c>
      <c r="F277" s="84">
        <f>F271+10</f>
        <v>320</v>
      </c>
      <c r="G277" s="84">
        <f>IF(G271="","",G271+10)</f>
        <v>400</v>
      </c>
      <c r="H277" s="84">
        <f t="shared" si="50"/>
        <v>0</v>
      </c>
      <c r="I277" s="84">
        <f t="shared" si="51"/>
        <v>1600</v>
      </c>
      <c r="J277" s="84">
        <f t="shared" si="52"/>
        <v>0</v>
      </c>
      <c r="K277" s="84">
        <f t="shared" si="53"/>
        <v>0</v>
      </c>
      <c r="L277" s="84">
        <f t="shared" si="54"/>
        <v>0</v>
      </c>
      <c r="M277" s="84">
        <f t="shared" si="55"/>
        <v>0</v>
      </c>
      <c r="N277" s="84">
        <f t="shared" si="56"/>
        <v>0</v>
      </c>
      <c r="O277" s="85"/>
      <c r="P277" s="85"/>
      <c r="Q277" s="85"/>
      <c r="R277" s="85"/>
      <c r="S277" s="86">
        <f t="shared" si="49"/>
        <v>245</v>
      </c>
      <c r="T277" s="86" cm="1">
        <f t="array" ref="T277">SUMPRODUCT(F277:M277,$F$154:$M$154)+N277*SUMPRODUCT(O277:R277,$O$154:$R$154)</f>
        <v>2320</v>
      </c>
    </row>
    <row r="278" spans="4:20">
      <c r="D278" s="81" t="str">
        <f t="shared" si="61"/>
        <v>传世Ⅰ</v>
      </c>
      <c r="E278" s="84">
        <f t="shared" si="57"/>
        <v>3</v>
      </c>
      <c r="F278" s="84">
        <f>CEILING(F277*1.25,5)</f>
        <v>400</v>
      </c>
      <c r="G278" s="84" t="str">
        <f>IF(G272="","",G272+10)</f>
        <v/>
      </c>
      <c r="H278" s="84">
        <f t="shared" si="50"/>
        <v>0</v>
      </c>
      <c r="I278" s="84">
        <f t="shared" si="51"/>
        <v>1600</v>
      </c>
      <c r="J278" s="84">
        <f t="shared" si="52"/>
        <v>0</v>
      </c>
      <c r="K278" s="84">
        <f t="shared" si="53"/>
        <v>6</v>
      </c>
      <c r="L278" s="84">
        <f t="shared" si="54"/>
        <v>0</v>
      </c>
      <c r="M278" s="84">
        <f t="shared" si="55"/>
        <v>0</v>
      </c>
      <c r="N278" s="84">
        <f t="shared" si="56"/>
        <v>0</v>
      </c>
      <c r="O278" s="85"/>
      <c r="P278" s="85"/>
      <c r="Q278" s="85"/>
      <c r="R278" s="85"/>
      <c r="S278" s="86">
        <f t="shared" si="49"/>
        <v>245</v>
      </c>
      <c r="T278" s="86" cm="1">
        <f t="array" ref="T278">SUMPRODUCT(F278:M278,$F$154:$M$154)+N278*SUMPRODUCT(O278:R278,$O$154:$R$154)</f>
        <v>4400</v>
      </c>
    </row>
    <row r="279" spans="4:20">
      <c r="D279" s="81" t="str">
        <f t="shared" si="61"/>
        <v>传世Ⅰ</v>
      </c>
      <c r="E279" s="84">
        <f t="shared" si="57"/>
        <v>4</v>
      </c>
      <c r="F279" s="84">
        <f>F273+10</f>
        <v>320</v>
      </c>
      <c r="G279" s="84">
        <f>IF(G273="","",G273+10)</f>
        <v>400</v>
      </c>
      <c r="H279" s="84">
        <f t="shared" si="50"/>
        <v>0</v>
      </c>
      <c r="I279" s="84">
        <f t="shared" si="51"/>
        <v>1600</v>
      </c>
      <c r="J279" s="84">
        <f t="shared" si="52"/>
        <v>0</v>
      </c>
      <c r="K279" s="84">
        <f t="shared" si="53"/>
        <v>0</v>
      </c>
      <c r="L279" s="84">
        <f t="shared" si="54"/>
        <v>0</v>
      </c>
      <c r="M279" s="84">
        <f t="shared" si="55"/>
        <v>0</v>
      </c>
      <c r="N279" s="84">
        <f t="shared" si="56"/>
        <v>0</v>
      </c>
      <c r="O279" s="85"/>
      <c r="P279" s="85"/>
      <c r="Q279" s="85"/>
      <c r="R279" s="85"/>
      <c r="S279" s="86">
        <f t="shared" si="49"/>
        <v>245</v>
      </c>
      <c r="T279" s="86" cm="1">
        <f t="array" ref="T279">SUMPRODUCT(F279:M279,$F$154:$M$154)+N279*SUMPRODUCT(O279:R279,$O$154:$R$154)</f>
        <v>2320</v>
      </c>
    </row>
    <row r="280" spans="4:20">
      <c r="D280" s="81" t="str">
        <f t="shared" si="61"/>
        <v>传世Ⅰ</v>
      </c>
      <c r="E280" s="84">
        <f t="shared" si="57"/>
        <v>5</v>
      </c>
      <c r="F280" s="84">
        <f>F274+10</f>
        <v>320</v>
      </c>
      <c r="G280" s="84" t="str">
        <f>IF(G274="","",G274+10)</f>
        <v/>
      </c>
      <c r="H280" s="84">
        <f t="shared" si="50"/>
        <v>0</v>
      </c>
      <c r="I280" s="84">
        <f t="shared" si="51"/>
        <v>1600</v>
      </c>
      <c r="J280" s="84">
        <f t="shared" si="52"/>
        <v>0</v>
      </c>
      <c r="K280" s="84">
        <f t="shared" si="53"/>
        <v>0</v>
      </c>
      <c r="L280" s="84">
        <f t="shared" si="54"/>
        <v>5</v>
      </c>
      <c r="M280" s="84">
        <f t="shared" si="55"/>
        <v>0</v>
      </c>
      <c r="N280" s="84">
        <f t="shared" si="56"/>
        <v>0</v>
      </c>
      <c r="O280" s="85"/>
      <c r="P280" s="85"/>
      <c r="Q280" s="85"/>
      <c r="R280" s="85"/>
      <c r="S280" s="86">
        <f t="shared" si="49"/>
        <v>245</v>
      </c>
      <c r="T280" s="86" cm="1">
        <f t="array" ref="T280">SUMPRODUCT(F280:M280,$F$154:$M$154)+N280*SUMPRODUCT(O280:R280,$O$154:$R$154)</f>
        <v>5920</v>
      </c>
    </row>
    <row r="281" spans="4:20">
      <c r="D281" s="81" t="str">
        <f t="shared" si="61"/>
        <v>传世Ⅰ</v>
      </c>
      <c r="E281" s="84">
        <f t="shared" si="57"/>
        <v>6</v>
      </c>
      <c r="F281" s="84">
        <f>CEILING(F280*1.5,5)</f>
        <v>480</v>
      </c>
      <c r="G281" s="84">
        <f>IF(G275="","",CEILING(G279*1.5,5))</f>
        <v>600</v>
      </c>
      <c r="H281" s="84">
        <f t="shared" si="50"/>
        <v>1</v>
      </c>
      <c r="I281" s="84" t="str">
        <f t="shared" si="51"/>
        <v/>
      </c>
      <c r="J281" s="84">
        <f t="shared" si="52"/>
        <v>0</v>
      </c>
      <c r="K281" s="84">
        <f t="shared" si="53"/>
        <v>0</v>
      </c>
      <c r="L281" s="84">
        <f t="shared" si="54"/>
        <v>0</v>
      </c>
      <c r="M281" s="84">
        <f t="shared" si="55"/>
        <v>0</v>
      </c>
      <c r="N281" s="84">
        <f t="shared" si="56"/>
        <v>8</v>
      </c>
      <c r="O281" s="85"/>
      <c r="P281" s="85">
        <f>1-R281-Q281</f>
        <v>0.34</v>
      </c>
      <c r="Q281" s="85">
        <f>Q275+3%</f>
        <v>0.48</v>
      </c>
      <c r="R281" s="85">
        <f>R275+3%</f>
        <v>0.18</v>
      </c>
      <c r="S281" s="86">
        <f t="shared" si="49"/>
        <v>245</v>
      </c>
      <c r="T281" s="86" cm="1">
        <f t="array" ref="T281">SUMPRODUCT(F281:M281,$F$154:$M$154)+N281*SUMPRODUCT(O281:R281,$O$154:$R$154)</f>
        <v>7694</v>
      </c>
    </row>
    <row r="282" spans="4:20">
      <c r="D282" s="81" t="str">
        <f t="shared" si="61"/>
        <v>传世Ⅱ</v>
      </c>
      <c r="E282" s="84">
        <f t="shared" si="57"/>
        <v>1</v>
      </c>
      <c r="F282" s="84">
        <f>F276+10</f>
        <v>330</v>
      </c>
      <c r="G282" s="84" t="str">
        <f>IF(G276="","",G276+10)</f>
        <v/>
      </c>
      <c r="H282" s="84">
        <f t="shared" si="50"/>
        <v>0</v>
      </c>
      <c r="I282" s="84">
        <f t="shared" si="51"/>
        <v>1650</v>
      </c>
      <c r="J282" s="84">
        <f t="shared" si="52"/>
        <v>9</v>
      </c>
      <c r="K282" s="84">
        <f t="shared" si="53"/>
        <v>0</v>
      </c>
      <c r="L282" s="84">
        <f t="shared" si="54"/>
        <v>0</v>
      </c>
      <c r="M282" s="84">
        <f t="shared" si="55"/>
        <v>0</v>
      </c>
      <c r="N282" s="84">
        <f t="shared" si="56"/>
        <v>0</v>
      </c>
      <c r="O282" s="85"/>
      <c r="P282" s="85"/>
      <c r="Q282" s="85"/>
      <c r="R282" s="85"/>
      <c r="S282" s="86">
        <f t="shared" si="49"/>
        <v>255</v>
      </c>
      <c r="T282" s="86" cm="1">
        <f t="array" ref="T282">SUMPRODUCT(F282:M282,$F$154:$M$154)+N282*SUMPRODUCT(O282:R282,$O$154:$R$154)</f>
        <v>3780</v>
      </c>
    </row>
    <row r="283" spans="4:20">
      <c r="D283" s="81" t="str">
        <f t="shared" si="61"/>
        <v>传世Ⅱ</v>
      </c>
      <c r="E283" s="84">
        <f t="shared" si="57"/>
        <v>2</v>
      </c>
      <c r="F283" s="84">
        <f>F277+10</f>
        <v>330</v>
      </c>
      <c r="G283" s="84">
        <f>IF(G277="","",G277+10)</f>
        <v>410</v>
      </c>
      <c r="H283" s="84">
        <f t="shared" si="50"/>
        <v>0</v>
      </c>
      <c r="I283" s="84">
        <f t="shared" si="51"/>
        <v>1650</v>
      </c>
      <c r="J283" s="84">
        <f t="shared" si="52"/>
        <v>0</v>
      </c>
      <c r="K283" s="84">
        <f t="shared" si="53"/>
        <v>0</v>
      </c>
      <c r="L283" s="84">
        <f t="shared" si="54"/>
        <v>0</v>
      </c>
      <c r="M283" s="84">
        <f t="shared" si="55"/>
        <v>0</v>
      </c>
      <c r="N283" s="84">
        <f t="shared" si="56"/>
        <v>0</v>
      </c>
      <c r="O283" s="85"/>
      <c r="P283" s="85"/>
      <c r="Q283" s="85"/>
      <c r="R283" s="85"/>
      <c r="S283" s="86">
        <f t="shared" si="49"/>
        <v>255</v>
      </c>
      <c r="T283" s="86" cm="1">
        <f t="array" ref="T283">SUMPRODUCT(F283:M283,$F$154:$M$154)+N283*SUMPRODUCT(O283:R283,$O$154:$R$154)</f>
        <v>2390</v>
      </c>
    </row>
    <row r="284" spans="4:20">
      <c r="D284" s="81" t="str">
        <f t="shared" si="61"/>
        <v>传世Ⅱ</v>
      </c>
      <c r="E284" s="84">
        <f t="shared" si="57"/>
        <v>3</v>
      </c>
      <c r="F284" s="84">
        <f>CEILING(F283*1.25,5)</f>
        <v>415</v>
      </c>
      <c r="G284" s="84" t="str">
        <f>IF(G278="","",G278+10)</f>
        <v/>
      </c>
      <c r="H284" s="84">
        <f t="shared" si="50"/>
        <v>0</v>
      </c>
      <c r="I284" s="84">
        <f t="shared" si="51"/>
        <v>1650</v>
      </c>
      <c r="J284" s="84">
        <f t="shared" si="52"/>
        <v>0</v>
      </c>
      <c r="K284" s="84">
        <f t="shared" si="53"/>
        <v>6</v>
      </c>
      <c r="L284" s="84">
        <f t="shared" si="54"/>
        <v>0</v>
      </c>
      <c r="M284" s="84">
        <f t="shared" si="55"/>
        <v>0</v>
      </c>
      <c r="N284" s="84">
        <f t="shared" si="56"/>
        <v>0</v>
      </c>
      <c r="O284" s="85"/>
      <c r="P284" s="85"/>
      <c r="Q284" s="85"/>
      <c r="R284" s="85"/>
      <c r="S284" s="86">
        <f t="shared" si="49"/>
        <v>255</v>
      </c>
      <c r="T284" s="86" cm="1">
        <f t="array" ref="T284">SUMPRODUCT(F284:M284,$F$154:$M$154)+N284*SUMPRODUCT(O284:R284,$O$154:$R$154)</f>
        <v>4465</v>
      </c>
    </row>
    <row r="285" spans="4:20">
      <c r="D285" s="81" t="str">
        <f t="shared" si="61"/>
        <v>传世Ⅱ</v>
      </c>
      <c r="E285" s="84">
        <f t="shared" si="57"/>
        <v>4</v>
      </c>
      <c r="F285" s="84">
        <f>F279+10</f>
        <v>330</v>
      </c>
      <c r="G285" s="84">
        <f>IF(G279="","",G279+10)</f>
        <v>410</v>
      </c>
      <c r="H285" s="84">
        <f t="shared" si="50"/>
        <v>0</v>
      </c>
      <c r="I285" s="84">
        <f t="shared" si="51"/>
        <v>1650</v>
      </c>
      <c r="J285" s="84">
        <f t="shared" si="52"/>
        <v>0</v>
      </c>
      <c r="K285" s="84">
        <f t="shared" si="53"/>
        <v>0</v>
      </c>
      <c r="L285" s="84">
        <f t="shared" si="54"/>
        <v>0</v>
      </c>
      <c r="M285" s="84">
        <f t="shared" si="55"/>
        <v>0</v>
      </c>
      <c r="N285" s="84">
        <f t="shared" si="56"/>
        <v>0</v>
      </c>
      <c r="O285" s="85"/>
      <c r="P285" s="85"/>
      <c r="Q285" s="85"/>
      <c r="R285" s="85"/>
      <c r="S285" s="86">
        <f t="shared" ref="S285:S348" si="62">_xlfn.XLOOKUP(D285,$D$111:$D$151,$E$111:$E$151)</f>
        <v>255</v>
      </c>
      <c r="T285" s="86" cm="1">
        <f t="array" ref="T285">SUMPRODUCT(F285:M285,$F$154:$M$154)+N285*SUMPRODUCT(O285:R285,$O$154:$R$154)</f>
        <v>2390</v>
      </c>
    </row>
    <row r="286" spans="4:20">
      <c r="D286" s="81" t="str">
        <f t="shared" si="61"/>
        <v>传世Ⅱ</v>
      </c>
      <c r="E286" s="84">
        <f t="shared" si="57"/>
        <v>5</v>
      </c>
      <c r="F286" s="84">
        <f>F280+10</f>
        <v>330</v>
      </c>
      <c r="G286" s="84" t="str">
        <f>IF(G280="","",G280+10)</f>
        <v/>
      </c>
      <c r="H286" s="84">
        <f t="shared" si="50"/>
        <v>0</v>
      </c>
      <c r="I286" s="84">
        <f t="shared" si="51"/>
        <v>1650</v>
      </c>
      <c r="J286" s="84">
        <f t="shared" si="52"/>
        <v>0</v>
      </c>
      <c r="K286" s="84">
        <f t="shared" si="53"/>
        <v>0</v>
      </c>
      <c r="L286" s="84">
        <f t="shared" si="54"/>
        <v>5</v>
      </c>
      <c r="M286" s="84">
        <f t="shared" si="55"/>
        <v>0</v>
      </c>
      <c r="N286" s="84">
        <f t="shared" si="56"/>
        <v>0</v>
      </c>
      <c r="O286" s="85"/>
      <c r="P286" s="85"/>
      <c r="Q286" s="85"/>
      <c r="R286" s="85"/>
      <c r="S286" s="86">
        <f t="shared" si="62"/>
        <v>255</v>
      </c>
      <c r="T286" s="86" cm="1">
        <f t="array" ref="T286">SUMPRODUCT(F286:M286,$F$154:$M$154)+N286*SUMPRODUCT(O286:R286,$O$154:$R$154)</f>
        <v>5980</v>
      </c>
    </row>
    <row r="287" spans="4:20">
      <c r="D287" s="81" t="str">
        <f t="shared" si="61"/>
        <v>传世Ⅱ</v>
      </c>
      <c r="E287" s="84">
        <f t="shared" si="57"/>
        <v>6</v>
      </c>
      <c r="F287" s="84">
        <f>CEILING(F286*1.5,5)</f>
        <v>495</v>
      </c>
      <c r="G287" s="84">
        <f>IF(G281="","",CEILING(G285*1.5,5))</f>
        <v>615</v>
      </c>
      <c r="H287" s="84">
        <f t="shared" si="50"/>
        <v>1</v>
      </c>
      <c r="I287" s="84" t="str">
        <f t="shared" si="51"/>
        <v/>
      </c>
      <c r="J287" s="84">
        <f t="shared" si="52"/>
        <v>0</v>
      </c>
      <c r="K287" s="84">
        <f t="shared" si="53"/>
        <v>0</v>
      </c>
      <c r="L287" s="84">
        <f t="shared" si="54"/>
        <v>0</v>
      </c>
      <c r="M287" s="84">
        <f t="shared" si="55"/>
        <v>0</v>
      </c>
      <c r="N287" s="84">
        <f t="shared" si="56"/>
        <v>8</v>
      </c>
      <c r="O287" s="85"/>
      <c r="P287" s="85">
        <f>1-R287-Q287</f>
        <v>0.29</v>
      </c>
      <c r="Q287" s="88">
        <v>0.5</v>
      </c>
      <c r="R287" s="85">
        <f>R281+3%</f>
        <v>0.21</v>
      </c>
      <c r="S287" s="86">
        <f t="shared" si="62"/>
        <v>255</v>
      </c>
      <c r="T287" s="86" cm="1">
        <f t="array" ref="T287">SUMPRODUCT(F287:M287,$F$154:$M$154)+N287*SUMPRODUCT(O287:R287,$O$154:$R$154)</f>
        <v>8076</v>
      </c>
    </row>
    <row r="288" spans="4:20">
      <c r="D288" s="81" t="str">
        <f t="shared" si="61"/>
        <v>传世Ⅲ</v>
      </c>
      <c r="E288" s="84">
        <f t="shared" si="57"/>
        <v>1</v>
      </c>
      <c r="F288" s="84">
        <f>F282+10</f>
        <v>340</v>
      </c>
      <c r="G288" s="84" t="str">
        <f>IF(G282="","",G282+10)</f>
        <v/>
      </c>
      <c r="H288" s="84">
        <f t="shared" si="50"/>
        <v>0</v>
      </c>
      <c r="I288" s="84">
        <f t="shared" si="51"/>
        <v>1700</v>
      </c>
      <c r="J288" s="84">
        <f t="shared" si="52"/>
        <v>9</v>
      </c>
      <c r="K288" s="84">
        <f t="shared" si="53"/>
        <v>0</v>
      </c>
      <c r="L288" s="84">
        <f t="shared" si="54"/>
        <v>0</v>
      </c>
      <c r="M288" s="84">
        <f t="shared" si="55"/>
        <v>0</v>
      </c>
      <c r="N288" s="84">
        <f t="shared" si="56"/>
        <v>0</v>
      </c>
      <c r="O288" s="85"/>
      <c r="P288" s="85"/>
      <c r="Q288" s="85"/>
      <c r="R288" s="85"/>
      <c r="S288" s="86">
        <f t="shared" si="62"/>
        <v>265</v>
      </c>
      <c r="T288" s="86" cm="1">
        <f t="array" ref="T288">SUMPRODUCT(F288:M288,$F$154:$M$154)+N288*SUMPRODUCT(O288:R288,$O$154:$R$154)</f>
        <v>3840</v>
      </c>
    </row>
    <row r="289" spans="4:20">
      <c r="D289" s="81" t="str">
        <f t="shared" si="61"/>
        <v>传世Ⅲ</v>
      </c>
      <c r="E289" s="84">
        <f t="shared" si="57"/>
        <v>2</v>
      </c>
      <c r="F289" s="84">
        <f>F283+10</f>
        <v>340</v>
      </c>
      <c r="G289" s="84">
        <f>IF(G283="","",G283+10)</f>
        <v>420</v>
      </c>
      <c r="H289" s="84">
        <f t="shared" si="50"/>
        <v>0</v>
      </c>
      <c r="I289" s="84">
        <f t="shared" si="51"/>
        <v>1700</v>
      </c>
      <c r="J289" s="84">
        <f t="shared" si="52"/>
        <v>0</v>
      </c>
      <c r="K289" s="84">
        <f t="shared" si="53"/>
        <v>0</v>
      </c>
      <c r="L289" s="84">
        <f t="shared" si="54"/>
        <v>0</v>
      </c>
      <c r="M289" s="84">
        <f t="shared" si="55"/>
        <v>0</v>
      </c>
      <c r="N289" s="84">
        <f t="shared" si="56"/>
        <v>0</v>
      </c>
      <c r="O289" s="85"/>
      <c r="P289" s="85"/>
      <c r="Q289" s="85"/>
      <c r="R289" s="85"/>
      <c r="S289" s="86">
        <f t="shared" si="62"/>
        <v>265</v>
      </c>
      <c r="T289" s="86" cm="1">
        <f t="array" ref="T289">SUMPRODUCT(F289:M289,$F$154:$M$154)+N289*SUMPRODUCT(O289:R289,$O$154:$R$154)</f>
        <v>2460</v>
      </c>
    </row>
    <row r="290" spans="4:20">
      <c r="D290" s="81" t="str">
        <f t="shared" si="61"/>
        <v>传世Ⅲ</v>
      </c>
      <c r="E290" s="84">
        <f t="shared" si="57"/>
        <v>3</v>
      </c>
      <c r="F290" s="84">
        <f>CEILING(F289*1.25,5)</f>
        <v>425</v>
      </c>
      <c r="G290" s="84" t="str">
        <f>IF(G284="","",G284+10)</f>
        <v/>
      </c>
      <c r="H290" s="84">
        <f t="shared" si="50"/>
        <v>0</v>
      </c>
      <c r="I290" s="84">
        <f t="shared" si="51"/>
        <v>1700</v>
      </c>
      <c r="J290" s="84">
        <f t="shared" si="52"/>
        <v>0</v>
      </c>
      <c r="K290" s="84">
        <f t="shared" si="53"/>
        <v>6</v>
      </c>
      <c r="L290" s="84">
        <f t="shared" si="54"/>
        <v>0</v>
      </c>
      <c r="M290" s="84">
        <f t="shared" si="55"/>
        <v>0</v>
      </c>
      <c r="N290" s="84">
        <f t="shared" si="56"/>
        <v>0</v>
      </c>
      <c r="O290" s="85"/>
      <c r="P290" s="85"/>
      <c r="Q290" s="85"/>
      <c r="R290" s="85"/>
      <c r="S290" s="86">
        <f t="shared" si="62"/>
        <v>265</v>
      </c>
      <c r="T290" s="86" cm="1">
        <f t="array" ref="T290">SUMPRODUCT(F290:M290,$F$154:$M$154)+N290*SUMPRODUCT(O290:R290,$O$154:$R$154)</f>
        <v>4525</v>
      </c>
    </row>
    <row r="291" spans="4:20">
      <c r="D291" s="81" t="str">
        <f t="shared" si="61"/>
        <v>传世Ⅲ</v>
      </c>
      <c r="E291" s="84">
        <f t="shared" si="57"/>
        <v>4</v>
      </c>
      <c r="F291" s="84">
        <f>F285+10</f>
        <v>340</v>
      </c>
      <c r="G291" s="84">
        <f>IF(G285="","",G285+10)</f>
        <v>420</v>
      </c>
      <c r="H291" s="84">
        <f t="shared" ref="H291:H354" si="63">H285</f>
        <v>0</v>
      </c>
      <c r="I291" s="84">
        <f t="shared" ref="I291:I354" si="64">IF(I285="","",I285+50)</f>
        <v>1700</v>
      </c>
      <c r="J291" s="84">
        <f t="shared" ref="J291:J354" si="65">J285</f>
        <v>0</v>
      </c>
      <c r="K291" s="84">
        <f t="shared" ref="K291:K354" si="66">K285</f>
        <v>0</v>
      </c>
      <c r="L291" s="84">
        <f t="shared" ref="L291:L354" si="67">L285</f>
        <v>0</v>
      </c>
      <c r="M291" s="84">
        <f t="shared" ref="M291:M354" si="68">M285</f>
        <v>0</v>
      </c>
      <c r="N291" s="84">
        <f t="shared" ref="N291:N354" si="69">N285</f>
        <v>0</v>
      </c>
      <c r="O291" s="85"/>
      <c r="P291" s="85"/>
      <c r="Q291" s="85"/>
      <c r="R291" s="85"/>
      <c r="S291" s="86">
        <f t="shared" si="62"/>
        <v>265</v>
      </c>
      <c r="T291" s="86" cm="1">
        <f t="array" ref="T291">SUMPRODUCT(F291:M291,$F$154:$M$154)+N291*SUMPRODUCT(O291:R291,$O$154:$R$154)</f>
        <v>2460</v>
      </c>
    </row>
    <row r="292" spans="4:20">
      <c r="D292" s="81" t="str">
        <f t="shared" si="61"/>
        <v>传世Ⅲ</v>
      </c>
      <c r="E292" s="84">
        <f t="shared" si="57"/>
        <v>5</v>
      </c>
      <c r="F292" s="84">
        <f>F286+10</f>
        <v>340</v>
      </c>
      <c r="G292" s="84" t="str">
        <f>IF(G286="","",G286+10)</f>
        <v/>
      </c>
      <c r="H292" s="84">
        <f t="shared" si="63"/>
        <v>0</v>
      </c>
      <c r="I292" s="84">
        <f t="shared" si="64"/>
        <v>1700</v>
      </c>
      <c r="J292" s="84">
        <f t="shared" si="65"/>
        <v>0</v>
      </c>
      <c r="K292" s="84">
        <f t="shared" si="66"/>
        <v>0</v>
      </c>
      <c r="L292" s="84">
        <f t="shared" si="67"/>
        <v>5</v>
      </c>
      <c r="M292" s="84">
        <f t="shared" si="68"/>
        <v>0</v>
      </c>
      <c r="N292" s="84">
        <f t="shared" si="69"/>
        <v>0</v>
      </c>
      <c r="O292" s="85"/>
      <c r="P292" s="85"/>
      <c r="Q292" s="85"/>
      <c r="R292" s="85"/>
      <c r="S292" s="86">
        <f t="shared" si="62"/>
        <v>265</v>
      </c>
      <c r="T292" s="86" cm="1">
        <f t="array" ref="T292">SUMPRODUCT(F292:M292,$F$154:$M$154)+N292*SUMPRODUCT(O292:R292,$O$154:$R$154)</f>
        <v>6040</v>
      </c>
    </row>
    <row r="293" spans="4:20">
      <c r="D293" s="81" t="str">
        <f t="shared" si="61"/>
        <v>传世Ⅲ</v>
      </c>
      <c r="E293" s="84">
        <f t="shared" si="57"/>
        <v>6</v>
      </c>
      <c r="F293" s="84">
        <f>CEILING(F292*1.5,5)</f>
        <v>510</v>
      </c>
      <c r="G293" s="84">
        <f>IF(G287="","",CEILING(G291*1.5,5))</f>
        <v>630</v>
      </c>
      <c r="H293" s="84">
        <f t="shared" si="63"/>
        <v>1</v>
      </c>
      <c r="I293" s="84" t="str">
        <f t="shared" si="64"/>
        <v/>
      </c>
      <c r="J293" s="84">
        <f t="shared" si="65"/>
        <v>0</v>
      </c>
      <c r="K293" s="84">
        <f t="shared" si="66"/>
        <v>0</v>
      </c>
      <c r="L293" s="84">
        <f t="shared" si="67"/>
        <v>0</v>
      </c>
      <c r="M293" s="84">
        <f t="shared" si="68"/>
        <v>0</v>
      </c>
      <c r="N293" s="84">
        <f t="shared" si="69"/>
        <v>8</v>
      </c>
      <c r="O293" s="85"/>
      <c r="P293" s="85">
        <f>1-R293-Q293</f>
        <v>0.26</v>
      </c>
      <c r="Q293" s="88">
        <v>0.5</v>
      </c>
      <c r="R293" s="85">
        <f>R287+3%</f>
        <v>0.24</v>
      </c>
      <c r="S293" s="86">
        <f t="shared" si="62"/>
        <v>265</v>
      </c>
      <c r="T293" s="86" cm="1">
        <f t="array" ref="T293">SUMPRODUCT(F293:M293,$F$154:$M$154)+N293*SUMPRODUCT(O293:R293,$O$154:$R$154)</f>
        <v>8394</v>
      </c>
    </row>
    <row r="294" spans="4:20">
      <c r="D294" s="81" t="str">
        <f t="shared" si="61"/>
        <v>传世Ⅳ</v>
      </c>
      <c r="E294" s="84">
        <f t="shared" si="57"/>
        <v>1</v>
      </c>
      <c r="F294" s="84">
        <f>F288+10</f>
        <v>350</v>
      </c>
      <c r="G294" s="84" t="str">
        <f>IF(G288="","",G288+10)</f>
        <v/>
      </c>
      <c r="H294" s="84">
        <f t="shared" si="63"/>
        <v>0</v>
      </c>
      <c r="I294" s="84">
        <f t="shared" si="64"/>
        <v>1750</v>
      </c>
      <c r="J294" s="84">
        <f t="shared" si="65"/>
        <v>9</v>
      </c>
      <c r="K294" s="84">
        <f t="shared" si="66"/>
        <v>0</v>
      </c>
      <c r="L294" s="84">
        <f t="shared" si="67"/>
        <v>0</v>
      </c>
      <c r="M294" s="84">
        <f t="shared" si="68"/>
        <v>0</v>
      </c>
      <c r="N294" s="84">
        <f t="shared" si="69"/>
        <v>0</v>
      </c>
      <c r="O294" s="85"/>
      <c r="P294" s="85"/>
      <c r="Q294" s="85"/>
      <c r="R294" s="85"/>
      <c r="S294" s="86">
        <f t="shared" si="62"/>
        <v>275</v>
      </c>
      <c r="T294" s="86" cm="1">
        <f t="array" ref="T294">SUMPRODUCT(F294:M294,$F$154:$M$154)+N294*SUMPRODUCT(O294:R294,$O$154:$R$154)</f>
        <v>3900</v>
      </c>
    </row>
    <row r="295" spans="4:20">
      <c r="D295" s="81" t="str">
        <f t="shared" si="61"/>
        <v>传世Ⅳ</v>
      </c>
      <c r="E295" s="84">
        <f t="shared" si="57"/>
        <v>2</v>
      </c>
      <c r="F295" s="84">
        <f>F289+10</f>
        <v>350</v>
      </c>
      <c r="G295" s="84">
        <f>IF(G289="","",G289+10)</f>
        <v>430</v>
      </c>
      <c r="H295" s="84">
        <f t="shared" si="63"/>
        <v>0</v>
      </c>
      <c r="I295" s="84">
        <f t="shared" si="64"/>
        <v>1750</v>
      </c>
      <c r="J295" s="84">
        <f t="shared" si="65"/>
        <v>0</v>
      </c>
      <c r="K295" s="84">
        <f t="shared" si="66"/>
        <v>0</v>
      </c>
      <c r="L295" s="84">
        <f t="shared" si="67"/>
        <v>0</v>
      </c>
      <c r="M295" s="84">
        <f t="shared" si="68"/>
        <v>0</v>
      </c>
      <c r="N295" s="84">
        <f t="shared" si="69"/>
        <v>0</v>
      </c>
      <c r="O295" s="85"/>
      <c r="P295" s="85"/>
      <c r="Q295" s="85"/>
      <c r="R295" s="85"/>
      <c r="S295" s="86">
        <f t="shared" si="62"/>
        <v>275</v>
      </c>
      <c r="T295" s="86" cm="1">
        <f t="array" ref="T295">SUMPRODUCT(F295:M295,$F$154:$M$154)+N295*SUMPRODUCT(O295:R295,$O$154:$R$154)</f>
        <v>2530</v>
      </c>
    </row>
    <row r="296" spans="4:20">
      <c r="D296" s="81" t="str">
        <f t="shared" si="61"/>
        <v>传世Ⅳ</v>
      </c>
      <c r="E296" s="84">
        <f t="shared" si="57"/>
        <v>3</v>
      </c>
      <c r="F296" s="84">
        <f>CEILING(F295*1.25,5)</f>
        <v>440</v>
      </c>
      <c r="G296" s="84" t="str">
        <f>IF(G290="","",G290+10)</f>
        <v/>
      </c>
      <c r="H296" s="84">
        <f t="shared" si="63"/>
        <v>0</v>
      </c>
      <c r="I296" s="84">
        <f t="shared" si="64"/>
        <v>1750</v>
      </c>
      <c r="J296" s="84">
        <f t="shared" si="65"/>
        <v>0</v>
      </c>
      <c r="K296" s="84">
        <f t="shared" si="66"/>
        <v>6</v>
      </c>
      <c r="L296" s="84">
        <f t="shared" si="67"/>
        <v>0</v>
      </c>
      <c r="M296" s="84">
        <f t="shared" si="68"/>
        <v>0</v>
      </c>
      <c r="N296" s="84">
        <f t="shared" si="69"/>
        <v>0</v>
      </c>
      <c r="O296" s="85"/>
      <c r="P296" s="85"/>
      <c r="Q296" s="85"/>
      <c r="R296" s="85"/>
      <c r="S296" s="86">
        <f t="shared" si="62"/>
        <v>275</v>
      </c>
      <c r="T296" s="86" cm="1">
        <f t="array" ref="T296">SUMPRODUCT(F296:M296,$F$154:$M$154)+N296*SUMPRODUCT(O296:R296,$O$154:$R$154)</f>
        <v>4590</v>
      </c>
    </row>
    <row r="297" spans="4:20">
      <c r="D297" s="81" t="str">
        <f t="shared" si="61"/>
        <v>传世Ⅳ</v>
      </c>
      <c r="E297" s="84">
        <f t="shared" ref="E297:E360" si="70">E291</f>
        <v>4</v>
      </c>
      <c r="F297" s="84">
        <f>F291+10</f>
        <v>350</v>
      </c>
      <c r="G297" s="84">
        <f>IF(G291="","",G291+10)</f>
        <v>430</v>
      </c>
      <c r="H297" s="84">
        <f t="shared" si="63"/>
        <v>0</v>
      </c>
      <c r="I297" s="84">
        <f t="shared" si="64"/>
        <v>1750</v>
      </c>
      <c r="J297" s="84">
        <f t="shared" si="65"/>
        <v>0</v>
      </c>
      <c r="K297" s="84">
        <f t="shared" si="66"/>
        <v>0</v>
      </c>
      <c r="L297" s="84">
        <f t="shared" si="67"/>
        <v>0</v>
      </c>
      <c r="M297" s="84">
        <f t="shared" si="68"/>
        <v>0</v>
      </c>
      <c r="N297" s="84">
        <f t="shared" si="69"/>
        <v>0</v>
      </c>
      <c r="O297" s="85"/>
      <c r="P297" s="85"/>
      <c r="Q297" s="85"/>
      <c r="R297" s="85"/>
      <c r="S297" s="86">
        <f t="shared" si="62"/>
        <v>275</v>
      </c>
      <c r="T297" s="86" cm="1">
        <f t="array" ref="T297">SUMPRODUCT(F297:M297,$F$154:$M$154)+N297*SUMPRODUCT(O297:R297,$O$154:$R$154)</f>
        <v>2530</v>
      </c>
    </row>
    <row r="298" spans="4:20">
      <c r="D298" s="81" t="str">
        <f t="shared" si="61"/>
        <v>传世Ⅳ</v>
      </c>
      <c r="E298" s="84">
        <f t="shared" si="70"/>
        <v>5</v>
      </c>
      <c r="F298" s="84">
        <f>F292+10</f>
        <v>350</v>
      </c>
      <c r="G298" s="84" t="str">
        <f>IF(G292="","",G292+10)</f>
        <v/>
      </c>
      <c r="H298" s="84">
        <f t="shared" si="63"/>
        <v>0</v>
      </c>
      <c r="I298" s="84">
        <f t="shared" si="64"/>
        <v>1750</v>
      </c>
      <c r="J298" s="84">
        <f t="shared" si="65"/>
        <v>0</v>
      </c>
      <c r="K298" s="84">
        <f t="shared" si="66"/>
        <v>0</v>
      </c>
      <c r="L298" s="84">
        <f t="shared" si="67"/>
        <v>5</v>
      </c>
      <c r="M298" s="84">
        <f t="shared" si="68"/>
        <v>0</v>
      </c>
      <c r="N298" s="84">
        <f t="shared" si="69"/>
        <v>0</v>
      </c>
      <c r="O298" s="85"/>
      <c r="P298" s="85"/>
      <c r="Q298" s="85"/>
      <c r="R298" s="85"/>
      <c r="S298" s="86">
        <f t="shared" si="62"/>
        <v>275</v>
      </c>
      <c r="T298" s="86" cm="1">
        <f t="array" ref="T298">SUMPRODUCT(F298:M298,$F$154:$M$154)+N298*SUMPRODUCT(O298:R298,$O$154:$R$154)</f>
        <v>6100</v>
      </c>
    </row>
    <row r="299" spans="4:20">
      <c r="D299" s="81" t="str">
        <f t="shared" si="61"/>
        <v>传世Ⅳ</v>
      </c>
      <c r="E299" s="84">
        <f t="shared" si="70"/>
        <v>6</v>
      </c>
      <c r="F299" s="84">
        <f>CEILING(F298*1.5,5)</f>
        <v>525</v>
      </c>
      <c r="G299" s="84">
        <f>IF(G293="","",CEILING(G297*1.5,5))</f>
        <v>645</v>
      </c>
      <c r="H299" s="84">
        <f t="shared" si="63"/>
        <v>1</v>
      </c>
      <c r="I299" s="84" t="str">
        <f t="shared" si="64"/>
        <v/>
      </c>
      <c r="J299" s="84">
        <f t="shared" si="65"/>
        <v>0</v>
      </c>
      <c r="K299" s="84">
        <f t="shared" si="66"/>
        <v>0</v>
      </c>
      <c r="L299" s="84">
        <f t="shared" si="67"/>
        <v>0</v>
      </c>
      <c r="M299" s="84">
        <f t="shared" si="68"/>
        <v>0</v>
      </c>
      <c r="N299" s="84">
        <f t="shared" si="69"/>
        <v>8</v>
      </c>
      <c r="O299" s="85"/>
      <c r="P299" s="85">
        <f>1-R299-Q299</f>
        <v>0.23</v>
      </c>
      <c r="Q299" s="88">
        <v>0.5</v>
      </c>
      <c r="R299" s="85">
        <f>R293+3%</f>
        <v>0.27</v>
      </c>
      <c r="S299" s="86">
        <f t="shared" si="62"/>
        <v>275</v>
      </c>
      <c r="T299" s="86" cm="1">
        <f t="array" ref="T299">SUMPRODUCT(F299:M299,$F$154:$M$154)+N299*SUMPRODUCT(O299:R299,$O$154:$R$154)</f>
        <v>8712</v>
      </c>
    </row>
    <row r="300" spans="4:20">
      <c r="D300" s="81" t="str">
        <f t="shared" si="61"/>
        <v>传世Ⅴ</v>
      </c>
      <c r="E300" s="84">
        <f t="shared" si="70"/>
        <v>1</v>
      </c>
      <c r="F300" s="84">
        <f>F294+10</f>
        <v>360</v>
      </c>
      <c r="G300" s="84" t="str">
        <f>IF(G294="","",G294+10)</f>
        <v/>
      </c>
      <c r="H300" s="84">
        <f t="shared" si="63"/>
        <v>0</v>
      </c>
      <c r="I300" s="84">
        <f t="shared" si="64"/>
        <v>1800</v>
      </c>
      <c r="J300" s="84">
        <f t="shared" si="65"/>
        <v>9</v>
      </c>
      <c r="K300" s="84">
        <f t="shared" si="66"/>
        <v>0</v>
      </c>
      <c r="L300" s="84">
        <f t="shared" si="67"/>
        <v>0</v>
      </c>
      <c r="M300" s="84">
        <f t="shared" si="68"/>
        <v>0</v>
      </c>
      <c r="N300" s="84">
        <f t="shared" si="69"/>
        <v>0</v>
      </c>
      <c r="O300" s="85"/>
      <c r="P300" s="85"/>
      <c r="Q300" s="85"/>
      <c r="R300" s="85"/>
      <c r="S300" s="86">
        <f t="shared" si="62"/>
        <v>285</v>
      </c>
      <c r="T300" s="86" cm="1">
        <f t="array" ref="T300">SUMPRODUCT(F300:M300,$F$154:$M$154)+N300*SUMPRODUCT(O300:R300,$O$154:$R$154)</f>
        <v>3960</v>
      </c>
    </row>
    <row r="301" spans="4:20">
      <c r="D301" s="81" t="str">
        <f t="shared" si="61"/>
        <v>传世Ⅴ</v>
      </c>
      <c r="E301" s="84">
        <f t="shared" si="70"/>
        <v>2</v>
      </c>
      <c r="F301" s="84">
        <f>F295+10</f>
        <v>360</v>
      </c>
      <c r="G301" s="84">
        <f>IF(G295="","",G295+10)</f>
        <v>440</v>
      </c>
      <c r="H301" s="84">
        <f t="shared" si="63"/>
        <v>0</v>
      </c>
      <c r="I301" s="84">
        <f t="shared" si="64"/>
        <v>1800</v>
      </c>
      <c r="J301" s="84">
        <f t="shared" si="65"/>
        <v>0</v>
      </c>
      <c r="K301" s="84">
        <f t="shared" si="66"/>
        <v>0</v>
      </c>
      <c r="L301" s="84">
        <f t="shared" si="67"/>
        <v>0</v>
      </c>
      <c r="M301" s="84">
        <f t="shared" si="68"/>
        <v>0</v>
      </c>
      <c r="N301" s="84">
        <f t="shared" si="69"/>
        <v>0</v>
      </c>
      <c r="O301" s="85"/>
      <c r="P301" s="85"/>
      <c r="Q301" s="85"/>
      <c r="R301" s="85"/>
      <c r="S301" s="86">
        <f t="shared" si="62"/>
        <v>285</v>
      </c>
      <c r="T301" s="86" cm="1">
        <f t="array" ref="T301">SUMPRODUCT(F301:M301,$F$154:$M$154)+N301*SUMPRODUCT(O301:R301,$O$154:$R$154)</f>
        <v>2600</v>
      </c>
    </row>
    <row r="302" spans="4:20">
      <c r="D302" s="81" t="str">
        <f t="shared" si="61"/>
        <v>传世Ⅴ</v>
      </c>
      <c r="E302" s="84">
        <f t="shared" si="70"/>
        <v>3</v>
      </c>
      <c r="F302" s="84">
        <f>CEILING(F301*1.25,5)</f>
        <v>450</v>
      </c>
      <c r="G302" s="84" t="str">
        <f>IF(G296="","",G296+10)</f>
        <v/>
      </c>
      <c r="H302" s="84">
        <f t="shared" si="63"/>
        <v>0</v>
      </c>
      <c r="I302" s="84">
        <f t="shared" si="64"/>
        <v>1800</v>
      </c>
      <c r="J302" s="84">
        <f t="shared" si="65"/>
        <v>0</v>
      </c>
      <c r="K302" s="84">
        <f t="shared" si="66"/>
        <v>6</v>
      </c>
      <c r="L302" s="84">
        <f t="shared" si="67"/>
        <v>0</v>
      </c>
      <c r="M302" s="84">
        <f t="shared" si="68"/>
        <v>0</v>
      </c>
      <c r="N302" s="84">
        <f t="shared" si="69"/>
        <v>0</v>
      </c>
      <c r="O302" s="85"/>
      <c r="P302" s="85"/>
      <c r="Q302" s="85"/>
      <c r="R302" s="85"/>
      <c r="S302" s="86">
        <f t="shared" si="62"/>
        <v>285</v>
      </c>
      <c r="T302" s="86" cm="1">
        <f t="array" ref="T302">SUMPRODUCT(F302:M302,$F$154:$M$154)+N302*SUMPRODUCT(O302:R302,$O$154:$R$154)</f>
        <v>4650</v>
      </c>
    </row>
    <row r="303" spans="4:20">
      <c r="D303" s="81" t="str">
        <f t="shared" si="61"/>
        <v>传世Ⅴ</v>
      </c>
      <c r="E303" s="84">
        <f t="shared" si="70"/>
        <v>4</v>
      </c>
      <c r="F303" s="84">
        <f>F297+10</f>
        <v>360</v>
      </c>
      <c r="G303" s="84">
        <f>IF(G297="","",G297+10)</f>
        <v>440</v>
      </c>
      <c r="H303" s="84">
        <f t="shared" si="63"/>
        <v>0</v>
      </c>
      <c r="I303" s="84">
        <f t="shared" si="64"/>
        <v>1800</v>
      </c>
      <c r="J303" s="84">
        <f t="shared" si="65"/>
        <v>0</v>
      </c>
      <c r="K303" s="84">
        <f t="shared" si="66"/>
        <v>0</v>
      </c>
      <c r="L303" s="84">
        <f t="shared" si="67"/>
        <v>0</v>
      </c>
      <c r="M303" s="84">
        <f t="shared" si="68"/>
        <v>0</v>
      </c>
      <c r="N303" s="84">
        <f t="shared" si="69"/>
        <v>0</v>
      </c>
      <c r="O303" s="85"/>
      <c r="P303" s="85"/>
      <c r="Q303" s="85"/>
      <c r="R303" s="85"/>
      <c r="S303" s="86">
        <f t="shared" si="62"/>
        <v>285</v>
      </c>
      <c r="T303" s="86" cm="1">
        <f t="array" ref="T303">SUMPRODUCT(F303:M303,$F$154:$M$154)+N303*SUMPRODUCT(O303:R303,$O$154:$R$154)</f>
        <v>2600</v>
      </c>
    </row>
    <row r="304" spans="4:20">
      <c r="D304" s="81" t="str">
        <f t="shared" si="61"/>
        <v>传世Ⅴ</v>
      </c>
      <c r="E304" s="84">
        <f t="shared" si="70"/>
        <v>5</v>
      </c>
      <c r="F304" s="84">
        <f>F298+10</f>
        <v>360</v>
      </c>
      <c r="G304" s="84" t="str">
        <f>IF(G298="","",G298+10)</f>
        <v/>
      </c>
      <c r="H304" s="84">
        <f t="shared" si="63"/>
        <v>0</v>
      </c>
      <c r="I304" s="84">
        <f t="shared" si="64"/>
        <v>1800</v>
      </c>
      <c r="J304" s="84">
        <f t="shared" si="65"/>
        <v>0</v>
      </c>
      <c r="K304" s="84">
        <f t="shared" si="66"/>
        <v>0</v>
      </c>
      <c r="L304" s="84">
        <f t="shared" si="67"/>
        <v>5</v>
      </c>
      <c r="M304" s="84">
        <f t="shared" si="68"/>
        <v>0</v>
      </c>
      <c r="N304" s="84">
        <f t="shared" si="69"/>
        <v>0</v>
      </c>
      <c r="O304" s="85"/>
      <c r="P304" s="85"/>
      <c r="Q304" s="85"/>
      <c r="R304" s="85"/>
      <c r="S304" s="86">
        <f t="shared" si="62"/>
        <v>285</v>
      </c>
      <c r="T304" s="86" cm="1">
        <f t="array" ref="T304">SUMPRODUCT(F304:M304,$F$154:$M$154)+N304*SUMPRODUCT(O304:R304,$O$154:$R$154)</f>
        <v>6160</v>
      </c>
    </row>
    <row r="305" spans="4:20">
      <c r="D305" s="81" t="str">
        <f t="shared" si="61"/>
        <v>传世Ⅴ</v>
      </c>
      <c r="E305" s="84">
        <f t="shared" si="70"/>
        <v>6</v>
      </c>
      <c r="F305" s="84">
        <f>CEILING(F304*1.5,5)</f>
        <v>540</v>
      </c>
      <c r="G305" s="84">
        <f>IF(G299="","",CEILING(G303*1.5,5))</f>
        <v>660</v>
      </c>
      <c r="H305" s="84">
        <f t="shared" si="63"/>
        <v>1</v>
      </c>
      <c r="I305" s="84" t="str">
        <f t="shared" si="64"/>
        <v/>
      </c>
      <c r="J305" s="84">
        <f t="shared" si="65"/>
        <v>0</v>
      </c>
      <c r="K305" s="84">
        <f t="shared" si="66"/>
        <v>0</v>
      </c>
      <c r="L305" s="84">
        <f t="shared" si="67"/>
        <v>0</v>
      </c>
      <c r="M305" s="84">
        <f t="shared" si="68"/>
        <v>0</v>
      </c>
      <c r="N305" s="84">
        <f t="shared" si="69"/>
        <v>8</v>
      </c>
      <c r="O305" s="85"/>
      <c r="P305" s="85">
        <f>1-R305-Q305</f>
        <v>0.2</v>
      </c>
      <c r="Q305" s="88">
        <v>0.5</v>
      </c>
      <c r="R305" s="85">
        <f>R299+3%</f>
        <v>0.3</v>
      </c>
      <c r="S305" s="86">
        <f t="shared" si="62"/>
        <v>285</v>
      </c>
      <c r="T305" s="86" cm="1">
        <f t="array" ref="T305">SUMPRODUCT(F305:M305,$F$154:$M$154)+N305*SUMPRODUCT(O305:R305,$O$154:$R$154)</f>
        <v>9030</v>
      </c>
    </row>
    <row r="306" spans="4:20">
      <c r="D306" s="77" t="str">
        <f>SUBSTITUTE(D276,"传世","瑰宝")</f>
        <v>瑰宝Ⅰ</v>
      </c>
      <c r="E306" s="80">
        <f t="shared" si="70"/>
        <v>1</v>
      </c>
      <c r="F306" s="80">
        <f>F300+10</f>
        <v>370</v>
      </c>
      <c r="G306" s="80" t="str">
        <f>IF(G300="","",G300+10)</f>
        <v/>
      </c>
      <c r="H306" s="80">
        <f t="shared" si="63"/>
        <v>0</v>
      </c>
      <c r="I306" s="80">
        <f t="shared" si="64"/>
        <v>1850</v>
      </c>
      <c r="J306" s="80">
        <f t="shared" si="65"/>
        <v>9</v>
      </c>
      <c r="K306" s="80">
        <f t="shared" si="66"/>
        <v>0</v>
      </c>
      <c r="L306" s="80">
        <f t="shared" si="67"/>
        <v>0</v>
      </c>
      <c r="M306" s="80">
        <f t="shared" si="68"/>
        <v>0</v>
      </c>
      <c r="N306" s="80">
        <f t="shared" si="69"/>
        <v>0</v>
      </c>
      <c r="O306" s="89"/>
      <c r="P306" s="89"/>
      <c r="Q306" s="89"/>
      <c r="R306" s="89"/>
      <c r="S306" s="90">
        <f t="shared" si="62"/>
        <v>295</v>
      </c>
      <c r="T306" s="90" cm="1">
        <f t="array" ref="T306">SUMPRODUCT(F306:M306,$F$154:$M$154)+N306*SUMPRODUCT(O306:R306,$O$154:$R$154)</f>
        <v>4020</v>
      </c>
    </row>
    <row r="307" spans="4:20">
      <c r="D307" s="77" t="str">
        <f t="shared" ref="D307:D347" si="71">SUBSTITUTE(D277,"传世","瑰宝")</f>
        <v>瑰宝Ⅰ</v>
      </c>
      <c r="E307" s="80">
        <f t="shared" si="70"/>
        <v>2</v>
      </c>
      <c r="F307" s="80">
        <f>F301+10</f>
        <v>370</v>
      </c>
      <c r="G307" s="80">
        <f>IF(G301="","",G301+10)</f>
        <v>450</v>
      </c>
      <c r="H307" s="80">
        <f t="shared" si="63"/>
        <v>0</v>
      </c>
      <c r="I307" s="80">
        <f t="shared" si="64"/>
        <v>1850</v>
      </c>
      <c r="J307" s="80">
        <f t="shared" si="65"/>
        <v>0</v>
      </c>
      <c r="K307" s="80">
        <f t="shared" si="66"/>
        <v>0</v>
      </c>
      <c r="L307" s="80">
        <f t="shared" si="67"/>
        <v>0</v>
      </c>
      <c r="M307" s="80">
        <f t="shared" si="68"/>
        <v>0</v>
      </c>
      <c r="N307" s="80">
        <f t="shared" si="69"/>
        <v>0</v>
      </c>
      <c r="O307" s="89"/>
      <c r="P307" s="89"/>
      <c r="Q307" s="89"/>
      <c r="R307" s="89"/>
      <c r="S307" s="90">
        <f t="shared" si="62"/>
        <v>295</v>
      </c>
      <c r="T307" s="90" cm="1">
        <f t="array" ref="T307">SUMPRODUCT(F307:M307,$F$154:$M$154)+N307*SUMPRODUCT(O307:R307,$O$154:$R$154)</f>
        <v>2670</v>
      </c>
    </row>
    <row r="308" spans="4:20">
      <c r="D308" s="77" t="str">
        <f t="shared" si="71"/>
        <v>瑰宝Ⅰ</v>
      </c>
      <c r="E308" s="80">
        <f t="shared" si="70"/>
        <v>3</v>
      </c>
      <c r="F308" s="80">
        <f>CEILING(F307*1.25,5)</f>
        <v>465</v>
      </c>
      <c r="G308" s="80" t="str">
        <f>IF(G302="","",G302+10)</f>
        <v/>
      </c>
      <c r="H308" s="80">
        <f t="shared" si="63"/>
        <v>0</v>
      </c>
      <c r="I308" s="80">
        <f t="shared" si="64"/>
        <v>1850</v>
      </c>
      <c r="J308" s="80">
        <f t="shared" si="65"/>
        <v>0</v>
      </c>
      <c r="K308" s="80">
        <f t="shared" si="66"/>
        <v>6</v>
      </c>
      <c r="L308" s="80">
        <f t="shared" si="67"/>
        <v>0</v>
      </c>
      <c r="M308" s="80">
        <f t="shared" si="68"/>
        <v>0</v>
      </c>
      <c r="N308" s="80">
        <f t="shared" si="69"/>
        <v>0</v>
      </c>
      <c r="O308" s="89"/>
      <c r="P308" s="89"/>
      <c r="Q308" s="89"/>
      <c r="R308" s="89"/>
      <c r="S308" s="90">
        <f t="shared" si="62"/>
        <v>295</v>
      </c>
      <c r="T308" s="90" cm="1">
        <f t="array" ref="T308">SUMPRODUCT(F308:M308,$F$154:$M$154)+N308*SUMPRODUCT(O308:R308,$O$154:$R$154)</f>
        <v>4715</v>
      </c>
    </row>
    <row r="309" spans="4:20">
      <c r="D309" s="77" t="str">
        <f t="shared" si="71"/>
        <v>瑰宝Ⅰ</v>
      </c>
      <c r="E309" s="80">
        <f t="shared" si="70"/>
        <v>4</v>
      </c>
      <c r="F309" s="80">
        <f>F303+10</f>
        <v>370</v>
      </c>
      <c r="G309" s="80">
        <f>IF(G303="","",G303+10)</f>
        <v>450</v>
      </c>
      <c r="H309" s="80">
        <f t="shared" si="63"/>
        <v>0</v>
      </c>
      <c r="I309" s="80">
        <f t="shared" si="64"/>
        <v>1850</v>
      </c>
      <c r="J309" s="80">
        <f t="shared" si="65"/>
        <v>0</v>
      </c>
      <c r="K309" s="80">
        <f t="shared" si="66"/>
        <v>0</v>
      </c>
      <c r="L309" s="80">
        <f t="shared" si="67"/>
        <v>0</v>
      </c>
      <c r="M309" s="80">
        <f t="shared" si="68"/>
        <v>0</v>
      </c>
      <c r="N309" s="80">
        <f t="shared" si="69"/>
        <v>0</v>
      </c>
      <c r="O309" s="89"/>
      <c r="P309" s="89"/>
      <c r="Q309" s="89"/>
      <c r="R309" s="89"/>
      <c r="S309" s="90">
        <f t="shared" si="62"/>
        <v>295</v>
      </c>
      <c r="T309" s="90" cm="1">
        <f t="array" ref="T309">SUMPRODUCT(F309:M309,$F$154:$M$154)+N309*SUMPRODUCT(O309:R309,$O$154:$R$154)</f>
        <v>2670</v>
      </c>
    </row>
    <row r="310" spans="4:20">
      <c r="D310" s="77" t="str">
        <f t="shared" si="71"/>
        <v>瑰宝Ⅰ</v>
      </c>
      <c r="E310" s="80">
        <f t="shared" si="70"/>
        <v>5</v>
      </c>
      <c r="F310" s="80">
        <f>F304+10</f>
        <v>370</v>
      </c>
      <c r="G310" s="80" t="str">
        <f>IF(G304="","",G304+10)</f>
        <v/>
      </c>
      <c r="H310" s="80">
        <f t="shared" si="63"/>
        <v>0</v>
      </c>
      <c r="I310" s="80">
        <f t="shared" si="64"/>
        <v>1850</v>
      </c>
      <c r="J310" s="80">
        <f t="shared" si="65"/>
        <v>0</v>
      </c>
      <c r="K310" s="80">
        <f t="shared" si="66"/>
        <v>0</v>
      </c>
      <c r="L310" s="80">
        <f t="shared" si="67"/>
        <v>5</v>
      </c>
      <c r="M310" s="80">
        <f t="shared" si="68"/>
        <v>0</v>
      </c>
      <c r="N310" s="80">
        <f t="shared" si="69"/>
        <v>0</v>
      </c>
      <c r="O310" s="89"/>
      <c r="P310" s="89"/>
      <c r="Q310" s="89"/>
      <c r="R310" s="89"/>
      <c r="S310" s="90">
        <f t="shared" si="62"/>
        <v>295</v>
      </c>
      <c r="T310" s="90" cm="1">
        <f t="array" ref="T310">SUMPRODUCT(F310:M310,$F$154:$M$154)+N310*SUMPRODUCT(O310:R310,$O$154:$R$154)</f>
        <v>6220</v>
      </c>
    </row>
    <row r="311" spans="4:20">
      <c r="D311" s="77" t="str">
        <f t="shared" si="71"/>
        <v>瑰宝Ⅰ</v>
      </c>
      <c r="E311" s="80">
        <f t="shared" si="70"/>
        <v>6</v>
      </c>
      <c r="F311" s="80">
        <f>CEILING(F310*1.5,5)</f>
        <v>555</v>
      </c>
      <c r="G311" s="80">
        <f>IF(G305="","",CEILING(G309*1.5,5))</f>
        <v>675</v>
      </c>
      <c r="H311" s="80">
        <f t="shared" si="63"/>
        <v>1</v>
      </c>
      <c r="I311" s="80" t="str">
        <f t="shared" si="64"/>
        <v/>
      </c>
      <c r="J311" s="80">
        <f t="shared" si="65"/>
        <v>0</v>
      </c>
      <c r="K311" s="80">
        <f t="shared" si="66"/>
        <v>0</v>
      </c>
      <c r="L311" s="80">
        <f t="shared" si="67"/>
        <v>0</v>
      </c>
      <c r="M311" s="80">
        <f t="shared" si="68"/>
        <v>0</v>
      </c>
      <c r="N311" s="80">
        <f t="shared" si="69"/>
        <v>8</v>
      </c>
      <c r="O311" s="89"/>
      <c r="P311" s="92">
        <v>0.17</v>
      </c>
      <c r="Q311" s="89">
        <v>0.5</v>
      </c>
      <c r="R311" s="92">
        <v>0.33</v>
      </c>
      <c r="S311" s="90">
        <f t="shared" si="62"/>
        <v>295</v>
      </c>
      <c r="T311" s="90" cm="1">
        <f t="array" ref="T311">SUMPRODUCT(F311:M311,$F$154:$M$154)+N311*SUMPRODUCT(O311:R311,$O$154:$R$154)</f>
        <v>9348</v>
      </c>
    </row>
    <row r="312" spans="4:20">
      <c r="D312" s="77" t="str">
        <f t="shared" si="71"/>
        <v>瑰宝Ⅱ</v>
      </c>
      <c r="E312" s="80">
        <f t="shared" si="70"/>
        <v>1</v>
      </c>
      <c r="F312" s="80">
        <f>F306+10</f>
        <v>380</v>
      </c>
      <c r="G312" s="80" t="str">
        <f>IF(G306="","",G306+10)</f>
        <v/>
      </c>
      <c r="H312" s="80">
        <f t="shared" si="63"/>
        <v>0</v>
      </c>
      <c r="I312" s="80">
        <f t="shared" si="64"/>
        <v>1900</v>
      </c>
      <c r="J312" s="80">
        <f t="shared" si="65"/>
        <v>9</v>
      </c>
      <c r="K312" s="80">
        <f t="shared" si="66"/>
        <v>0</v>
      </c>
      <c r="L312" s="80">
        <f t="shared" si="67"/>
        <v>0</v>
      </c>
      <c r="M312" s="80">
        <f t="shared" si="68"/>
        <v>0</v>
      </c>
      <c r="N312" s="80">
        <f t="shared" si="69"/>
        <v>0</v>
      </c>
      <c r="O312" s="89"/>
      <c r="P312" s="89"/>
      <c r="Q312" s="89"/>
      <c r="R312" s="89"/>
      <c r="S312" s="90">
        <f t="shared" si="62"/>
        <v>305</v>
      </c>
      <c r="T312" s="90" cm="1">
        <f t="array" ref="T312">SUMPRODUCT(F312:M312,$F$154:$M$154)+N312*SUMPRODUCT(O312:R312,$O$154:$R$154)</f>
        <v>4080</v>
      </c>
    </row>
    <row r="313" spans="4:20">
      <c r="D313" s="77" t="str">
        <f t="shared" si="71"/>
        <v>瑰宝Ⅱ</v>
      </c>
      <c r="E313" s="80">
        <f t="shared" si="70"/>
        <v>2</v>
      </c>
      <c r="F313" s="80">
        <f>F307+10</f>
        <v>380</v>
      </c>
      <c r="G313" s="80">
        <f>IF(G307="","",G307+10)</f>
        <v>460</v>
      </c>
      <c r="H313" s="80">
        <f t="shared" si="63"/>
        <v>0</v>
      </c>
      <c r="I313" s="80">
        <f t="shared" si="64"/>
        <v>1900</v>
      </c>
      <c r="J313" s="80">
        <f t="shared" si="65"/>
        <v>0</v>
      </c>
      <c r="K313" s="80">
        <f t="shared" si="66"/>
        <v>0</v>
      </c>
      <c r="L313" s="80">
        <f t="shared" si="67"/>
        <v>0</v>
      </c>
      <c r="M313" s="80">
        <f t="shared" si="68"/>
        <v>0</v>
      </c>
      <c r="N313" s="80">
        <f t="shared" si="69"/>
        <v>0</v>
      </c>
      <c r="O313" s="89"/>
      <c r="P313" s="89"/>
      <c r="Q313" s="89"/>
      <c r="R313" s="89"/>
      <c r="S313" s="90">
        <f t="shared" si="62"/>
        <v>305</v>
      </c>
      <c r="T313" s="90" cm="1">
        <f t="array" ref="T313">SUMPRODUCT(F313:M313,$F$154:$M$154)+N313*SUMPRODUCT(O313:R313,$O$154:$R$154)</f>
        <v>2740</v>
      </c>
    </row>
    <row r="314" spans="4:20">
      <c r="D314" s="77" t="str">
        <f t="shared" si="71"/>
        <v>瑰宝Ⅱ</v>
      </c>
      <c r="E314" s="80">
        <f t="shared" si="70"/>
        <v>3</v>
      </c>
      <c r="F314" s="80">
        <f>CEILING(F313*1.25,5)</f>
        <v>475</v>
      </c>
      <c r="G314" s="80" t="str">
        <f>IF(G308="","",G308+10)</f>
        <v/>
      </c>
      <c r="H314" s="80">
        <f t="shared" si="63"/>
        <v>0</v>
      </c>
      <c r="I314" s="80">
        <f t="shared" si="64"/>
        <v>1900</v>
      </c>
      <c r="J314" s="80">
        <f t="shared" si="65"/>
        <v>0</v>
      </c>
      <c r="K314" s="80">
        <f t="shared" si="66"/>
        <v>6</v>
      </c>
      <c r="L314" s="80">
        <f t="shared" si="67"/>
        <v>0</v>
      </c>
      <c r="M314" s="80">
        <f t="shared" si="68"/>
        <v>0</v>
      </c>
      <c r="N314" s="80">
        <f t="shared" si="69"/>
        <v>0</v>
      </c>
      <c r="O314" s="89"/>
      <c r="P314" s="89"/>
      <c r="Q314" s="89"/>
      <c r="R314" s="89"/>
      <c r="S314" s="90">
        <f t="shared" si="62"/>
        <v>305</v>
      </c>
      <c r="T314" s="90" cm="1">
        <f t="array" ref="T314">SUMPRODUCT(F314:M314,$F$154:$M$154)+N314*SUMPRODUCT(O314:R314,$O$154:$R$154)</f>
        <v>4775</v>
      </c>
    </row>
    <row r="315" spans="4:20">
      <c r="D315" s="77" t="str">
        <f t="shared" si="71"/>
        <v>瑰宝Ⅱ</v>
      </c>
      <c r="E315" s="80">
        <f t="shared" si="70"/>
        <v>4</v>
      </c>
      <c r="F315" s="80">
        <f>F309+10</f>
        <v>380</v>
      </c>
      <c r="G315" s="80">
        <f>IF(G309="","",G309+10)</f>
        <v>460</v>
      </c>
      <c r="H315" s="80">
        <f t="shared" si="63"/>
        <v>0</v>
      </c>
      <c r="I315" s="80">
        <f t="shared" si="64"/>
        <v>1900</v>
      </c>
      <c r="J315" s="80">
        <f t="shared" si="65"/>
        <v>0</v>
      </c>
      <c r="K315" s="80">
        <f t="shared" si="66"/>
        <v>0</v>
      </c>
      <c r="L315" s="80">
        <f t="shared" si="67"/>
        <v>0</v>
      </c>
      <c r="M315" s="80">
        <f t="shared" si="68"/>
        <v>0</v>
      </c>
      <c r="N315" s="80">
        <f t="shared" si="69"/>
        <v>0</v>
      </c>
      <c r="O315" s="89"/>
      <c r="P315" s="89"/>
      <c r="Q315" s="89"/>
      <c r="R315" s="89"/>
      <c r="S315" s="90">
        <f t="shared" si="62"/>
        <v>305</v>
      </c>
      <c r="T315" s="90" cm="1">
        <f t="array" ref="T315">SUMPRODUCT(F315:M315,$F$154:$M$154)+N315*SUMPRODUCT(O315:R315,$O$154:$R$154)</f>
        <v>2740</v>
      </c>
    </row>
    <row r="316" spans="4:20">
      <c r="D316" s="77" t="str">
        <f t="shared" si="71"/>
        <v>瑰宝Ⅱ</v>
      </c>
      <c r="E316" s="80">
        <f t="shared" si="70"/>
        <v>5</v>
      </c>
      <c r="F316" s="80">
        <f>F310+10</f>
        <v>380</v>
      </c>
      <c r="G316" s="80" t="str">
        <f>IF(G310="","",G310+10)</f>
        <v/>
      </c>
      <c r="H316" s="80">
        <f t="shared" si="63"/>
        <v>0</v>
      </c>
      <c r="I316" s="80">
        <f t="shared" si="64"/>
        <v>1900</v>
      </c>
      <c r="J316" s="80">
        <f t="shared" si="65"/>
        <v>0</v>
      </c>
      <c r="K316" s="80">
        <f t="shared" si="66"/>
        <v>0</v>
      </c>
      <c r="L316" s="80">
        <f t="shared" si="67"/>
        <v>5</v>
      </c>
      <c r="M316" s="80">
        <f t="shared" si="68"/>
        <v>0</v>
      </c>
      <c r="N316" s="80">
        <f t="shared" si="69"/>
        <v>0</v>
      </c>
      <c r="O316" s="89"/>
      <c r="P316" s="89"/>
      <c r="Q316" s="89"/>
      <c r="R316" s="89"/>
      <c r="S316" s="90">
        <f t="shared" si="62"/>
        <v>305</v>
      </c>
      <c r="T316" s="90" cm="1">
        <f t="array" ref="T316">SUMPRODUCT(F316:M316,$F$154:$M$154)+N316*SUMPRODUCT(O316:R316,$O$154:$R$154)</f>
        <v>6280</v>
      </c>
    </row>
    <row r="317" spans="4:20">
      <c r="D317" s="77" t="str">
        <f t="shared" si="71"/>
        <v>瑰宝Ⅱ</v>
      </c>
      <c r="E317" s="80">
        <f t="shared" si="70"/>
        <v>6</v>
      </c>
      <c r="F317" s="80">
        <f>CEILING(F316*1.5,5)</f>
        <v>570</v>
      </c>
      <c r="G317" s="80">
        <f>IF(G311="","",CEILING(G315*1.5,5))</f>
        <v>690</v>
      </c>
      <c r="H317" s="80">
        <f t="shared" si="63"/>
        <v>1</v>
      </c>
      <c r="I317" s="80" t="str">
        <f t="shared" si="64"/>
        <v/>
      </c>
      <c r="J317" s="80">
        <f t="shared" si="65"/>
        <v>0</v>
      </c>
      <c r="K317" s="80">
        <f t="shared" si="66"/>
        <v>0</v>
      </c>
      <c r="L317" s="80">
        <f t="shared" si="67"/>
        <v>0</v>
      </c>
      <c r="M317" s="80">
        <f t="shared" si="68"/>
        <v>0</v>
      </c>
      <c r="N317" s="80">
        <f t="shared" si="69"/>
        <v>8</v>
      </c>
      <c r="O317" s="89"/>
      <c r="P317" s="89">
        <v>0.14</v>
      </c>
      <c r="Q317" s="89">
        <v>0.5</v>
      </c>
      <c r="R317" s="89">
        <v>0.36</v>
      </c>
      <c r="S317" s="90">
        <f t="shared" si="62"/>
        <v>305</v>
      </c>
      <c r="T317" s="90" cm="1">
        <f t="array" ref="T317">SUMPRODUCT(F317:M317,$F$154:$M$154)+N317*SUMPRODUCT(O317:R317,$O$154:$R$154)</f>
        <v>9666</v>
      </c>
    </row>
    <row r="318" spans="4:20">
      <c r="D318" s="77" t="str">
        <f t="shared" si="71"/>
        <v>瑰宝Ⅲ</v>
      </c>
      <c r="E318" s="80">
        <f t="shared" si="70"/>
        <v>1</v>
      </c>
      <c r="F318" s="80">
        <f>F312+10</f>
        <v>390</v>
      </c>
      <c r="G318" s="80" t="str">
        <f>IF(G312="","",G312+10)</f>
        <v/>
      </c>
      <c r="H318" s="80">
        <f t="shared" si="63"/>
        <v>0</v>
      </c>
      <c r="I318" s="80">
        <f t="shared" si="64"/>
        <v>1950</v>
      </c>
      <c r="J318" s="80">
        <f t="shared" si="65"/>
        <v>9</v>
      </c>
      <c r="K318" s="80">
        <f t="shared" si="66"/>
        <v>0</v>
      </c>
      <c r="L318" s="80">
        <f t="shared" si="67"/>
        <v>0</v>
      </c>
      <c r="M318" s="80">
        <f t="shared" si="68"/>
        <v>0</v>
      </c>
      <c r="N318" s="80">
        <f t="shared" si="69"/>
        <v>0</v>
      </c>
      <c r="O318" s="89"/>
      <c r="P318" s="89"/>
      <c r="Q318" s="89"/>
      <c r="R318" s="89"/>
      <c r="S318" s="90">
        <f t="shared" si="62"/>
        <v>315</v>
      </c>
      <c r="T318" s="90" cm="1">
        <f t="array" ref="T318">SUMPRODUCT(F318:M318,$F$154:$M$154)+N318*SUMPRODUCT(O318:R318,$O$154:$R$154)</f>
        <v>4140</v>
      </c>
    </row>
    <row r="319" spans="4:20">
      <c r="D319" s="77" t="str">
        <f t="shared" si="71"/>
        <v>瑰宝Ⅲ</v>
      </c>
      <c r="E319" s="80">
        <f t="shared" si="70"/>
        <v>2</v>
      </c>
      <c r="F319" s="80">
        <f>F313+10</f>
        <v>390</v>
      </c>
      <c r="G319" s="80">
        <f>IF(G313="","",G313+10)</f>
        <v>470</v>
      </c>
      <c r="H319" s="80">
        <f t="shared" si="63"/>
        <v>0</v>
      </c>
      <c r="I319" s="80">
        <f t="shared" si="64"/>
        <v>1950</v>
      </c>
      <c r="J319" s="80">
        <f t="shared" si="65"/>
        <v>0</v>
      </c>
      <c r="K319" s="80">
        <f t="shared" si="66"/>
        <v>0</v>
      </c>
      <c r="L319" s="80">
        <f t="shared" si="67"/>
        <v>0</v>
      </c>
      <c r="M319" s="80">
        <f t="shared" si="68"/>
        <v>0</v>
      </c>
      <c r="N319" s="80">
        <f t="shared" si="69"/>
        <v>0</v>
      </c>
      <c r="O319" s="89"/>
      <c r="P319" s="89"/>
      <c r="Q319" s="89"/>
      <c r="R319" s="89"/>
      <c r="S319" s="90">
        <f t="shared" si="62"/>
        <v>315</v>
      </c>
      <c r="T319" s="90" cm="1">
        <f t="array" ref="T319">SUMPRODUCT(F319:M319,$F$154:$M$154)+N319*SUMPRODUCT(O319:R319,$O$154:$R$154)</f>
        <v>2810</v>
      </c>
    </row>
    <row r="320" spans="4:20">
      <c r="D320" s="77" t="str">
        <f t="shared" si="71"/>
        <v>瑰宝Ⅲ</v>
      </c>
      <c r="E320" s="80">
        <f t="shared" si="70"/>
        <v>3</v>
      </c>
      <c r="F320" s="80">
        <f>CEILING(F319*1.25,5)</f>
        <v>490</v>
      </c>
      <c r="G320" s="80" t="str">
        <f>IF(G314="","",G314+10)</f>
        <v/>
      </c>
      <c r="H320" s="80">
        <f t="shared" si="63"/>
        <v>0</v>
      </c>
      <c r="I320" s="80">
        <f t="shared" si="64"/>
        <v>1950</v>
      </c>
      <c r="J320" s="80">
        <f t="shared" si="65"/>
        <v>0</v>
      </c>
      <c r="K320" s="80">
        <f t="shared" si="66"/>
        <v>6</v>
      </c>
      <c r="L320" s="80">
        <f t="shared" si="67"/>
        <v>0</v>
      </c>
      <c r="M320" s="80">
        <f t="shared" si="68"/>
        <v>0</v>
      </c>
      <c r="N320" s="80">
        <f t="shared" si="69"/>
        <v>0</v>
      </c>
      <c r="O320" s="89"/>
      <c r="P320" s="89"/>
      <c r="Q320" s="89"/>
      <c r="R320" s="89"/>
      <c r="S320" s="90">
        <f t="shared" si="62"/>
        <v>315</v>
      </c>
      <c r="T320" s="90" cm="1">
        <f t="array" ref="T320">SUMPRODUCT(F320:M320,$F$154:$M$154)+N320*SUMPRODUCT(O320:R320,$O$154:$R$154)</f>
        <v>4840</v>
      </c>
    </row>
    <row r="321" spans="4:20">
      <c r="D321" s="77" t="str">
        <f t="shared" si="71"/>
        <v>瑰宝Ⅲ</v>
      </c>
      <c r="E321" s="80">
        <f t="shared" si="70"/>
        <v>4</v>
      </c>
      <c r="F321" s="80">
        <f>F315+10</f>
        <v>390</v>
      </c>
      <c r="G321" s="80">
        <f>IF(G315="","",G315+10)</f>
        <v>470</v>
      </c>
      <c r="H321" s="80">
        <f t="shared" si="63"/>
        <v>0</v>
      </c>
      <c r="I321" s="80">
        <f t="shared" si="64"/>
        <v>1950</v>
      </c>
      <c r="J321" s="80">
        <f t="shared" si="65"/>
        <v>0</v>
      </c>
      <c r="K321" s="80">
        <f t="shared" si="66"/>
        <v>0</v>
      </c>
      <c r="L321" s="80">
        <f t="shared" si="67"/>
        <v>0</v>
      </c>
      <c r="M321" s="80">
        <f t="shared" si="68"/>
        <v>0</v>
      </c>
      <c r="N321" s="80">
        <f t="shared" si="69"/>
        <v>0</v>
      </c>
      <c r="O321" s="89"/>
      <c r="P321" s="89"/>
      <c r="Q321" s="89"/>
      <c r="R321" s="89"/>
      <c r="S321" s="90">
        <f t="shared" si="62"/>
        <v>315</v>
      </c>
      <c r="T321" s="90" cm="1">
        <f t="array" ref="T321">SUMPRODUCT(F321:M321,$F$154:$M$154)+N321*SUMPRODUCT(O321:R321,$O$154:$R$154)</f>
        <v>2810</v>
      </c>
    </row>
    <row r="322" spans="4:20">
      <c r="D322" s="77" t="str">
        <f t="shared" si="71"/>
        <v>瑰宝Ⅲ</v>
      </c>
      <c r="E322" s="80">
        <f t="shared" si="70"/>
        <v>5</v>
      </c>
      <c r="F322" s="80">
        <f>F316+10</f>
        <v>390</v>
      </c>
      <c r="G322" s="80" t="str">
        <f>IF(G316="","",G316+10)</f>
        <v/>
      </c>
      <c r="H322" s="80">
        <f t="shared" si="63"/>
        <v>0</v>
      </c>
      <c r="I322" s="80">
        <f t="shared" si="64"/>
        <v>1950</v>
      </c>
      <c r="J322" s="80">
        <f t="shared" si="65"/>
        <v>0</v>
      </c>
      <c r="K322" s="80">
        <f t="shared" si="66"/>
        <v>0</v>
      </c>
      <c r="L322" s="80">
        <f t="shared" si="67"/>
        <v>5</v>
      </c>
      <c r="M322" s="80">
        <f t="shared" si="68"/>
        <v>0</v>
      </c>
      <c r="N322" s="80">
        <f t="shared" si="69"/>
        <v>0</v>
      </c>
      <c r="O322" s="89"/>
      <c r="P322" s="89"/>
      <c r="Q322" s="89"/>
      <c r="R322" s="89"/>
      <c r="S322" s="90">
        <f t="shared" si="62"/>
        <v>315</v>
      </c>
      <c r="T322" s="90" cm="1">
        <f t="array" ref="T322">SUMPRODUCT(F322:M322,$F$154:$M$154)+N322*SUMPRODUCT(O322:R322,$O$154:$R$154)</f>
        <v>6340</v>
      </c>
    </row>
    <row r="323" spans="4:20">
      <c r="D323" s="77" t="str">
        <f t="shared" si="71"/>
        <v>瑰宝Ⅲ</v>
      </c>
      <c r="E323" s="80">
        <f t="shared" si="70"/>
        <v>6</v>
      </c>
      <c r="F323" s="80">
        <f>CEILING(F322*1.5,5)</f>
        <v>585</v>
      </c>
      <c r="G323" s="80">
        <f>IF(G317="","",CEILING(G321*1.5,5))</f>
        <v>705</v>
      </c>
      <c r="H323" s="80">
        <f t="shared" si="63"/>
        <v>1</v>
      </c>
      <c r="I323" s="80" t="str">
        <f t="shared" si="64"/>
        <v/>
      </c>
      <c r="J323" s="80">
        <f t="shared" si="65"/>
        <v>0</v>
      </c>
      <c r="K323" s="80">
        <f t="shared" si="66"/>
        <v>0</v>
      </c>
      <c r="L323" s="80">
        <f t="shared" si="67"/>
        <v>0</v>
      </c>
      <c r="M323" s="80">
        <f t="shared" si="68"/>
        <v>0</v>
      </c>
      <c r="N323" s="80">
        <f t="shared" si="69"/>
        <v>8</v>
      </c>
      <c r="O323" s="89"/>
      <c r="P323" s="89">
        <v>0.11</v>
      </c>
      <c r="Q323" s="89">
        <v>0.5</v>
      </c>
      <c r="R323" s="89">
        <v>0.39</v>
      </c>
      <c r="S323" s="90">
        <f t="shared" si="62"/>
        <v>315</v>
      </c>
      <c r="T323" s="90" cm="1">
        <f t="array" ref="T323">SUMPRODUCT(F323:M323,$F$154:$M$154)+N323*SUMPRODUCT(O323:R323,$O$154:$R$154)</f>
        <v>9984</v>
      </c>
    </row>
    <row r="324" spans="4:20">
      <c r="D324" s="77" t="str">
        <f t="shared" si="71"/>
        <v>瑰宝Ⅳ</v>
      </c>
      <c r="E324" s="80">
        <f t="shared" si="70"/>
        <v>1</v>
      </c>
      <c r="F324" s="80">
        <f>F318+10</f>
        <v>400</v>
      </c>
      <c r="G324" s="80" t="str">
        <f>IF(G318="","",G318+10)</f>
        <v/>
      </c>
      <c r="H324" s="80">
        <f t="shared" si="63"/>
        <v>0</v>
      </c>
      <c r="I324" s="80">
        <f t="shared" si="64"/>
        <v>2000</v>
      </c>
      <c r="J324" s="80">
        <f t="shared" si="65"/>
        <v>9</v>
      </c>
      <c r="K324" s="80">
        <f t="shared" si="66"/>
        <v>0</v>
      </c>
      <c r="L324" s="80">
        <f t="shared" si="67"/>
        <v>0</v>
      </c>
      <c r="M324" s="80">
        <f t="shared" si="68"/>
        <v>0</v>
      </c>
      <c r="N324" s="80">
        <f t="shared" si="69"/>
        <v>0</v>
      </c>
      <c r="O324" s="89"/>
      <c r="P324" s="89"/>
      <c r="Q324" s="89"/>
      <c r="R324" s="89"/>
      <c r="S324" s="90">
        <f t="shared" si="62"/>
        <v>325</v>
      </c>
      <c r="T324" s="90" cm="1">
        <f t="array" ref="T324">SUMPRODUCT(F324:M324,$F$154:$M$154)+N324*SUMPRODUCT(O324:R324,$O$154:$R$154)</f>
        <v>4200</v>
      </c>
    </row>
    <row r="325" spans="4:20">
      <c r="D325" s="77" t="str">
        <f t="shared" si="71"/>
        <v>瑰宝Ⅳ</v>
      </c>
      <c r="E325" s="80">
        <f t="shared" si="70"/>
        <v>2</v>
      </c>
      <c r="F325" s="80">
        <f>F319+10</f>
        <v>400</v>
      </c>
      <c r="G325" s="80">
        <f>IF(G319="","",G319+10)</f>
        <v>480</v>
      </c>
      <c r="H325" s="80">
        <f t="shared" si="63"/>
        <v>0</v>
      </c>
      <c r="I325" s="80">
        <f t="shared" si="64"/>
        <v>2000</v>
      </c>
      <c r="J325" s="80">
        <f t="shared" si="65"/>
        <v>0</v>
      </c>
      <c r="K325" s="80">
        <f t="shared" si="66"/>
        <v>0</v>
      </c>
      <c r="L325" s="80">
        <f t="shared" si="67"/>
        <v>0</v>
      </c>
      <c r="M325" s="80">
        <f t="shared" si="68"/>
        <v>0</v>
      </c>
      <c r="N325" s="80">
        <f t="shared" si="69"/>
        <v>0</v>
      </c>
      <c r="O325" s="89"/>
      <c r="P325" s="89"/>
      <c r="Q325" s="89"/>
      <c r="R325" s="89"/>
      <c r="S325" s="90">
        <f t="shared" si="62"/>
        <v>325</v>
      </c>
      <c r="T325" s="90" cm="1">
        <f t="array" ref="T325">SUMPRODUCT(F325:M325,$F$154:$M$154)+N325*SUMPRODUCT(O325:R325,$O$154:$R$154)</f>
        <v>2880</v>
      </c>
    </row>
    <row r="326" spans="4:20">
      <c r="D326" s="77" t="str">
        <f t="shared" si="71"/>
        <v>瑰宝Ⅳ</v>
      </c>
      <c r="E326" s="80">
        <f t="shared" si="70"/>
        <v>3</v>
      </c>
      <c r="F326" s="80">
        <f>CEILING(F325*1.25,5)</f>
        <v>500</v>
      </c>
      <c r="G326" s="80" t="str">
        <f>IF(G320="","",G320+10)</f>
        <v/>
      </c>
      <c r="H326" s="80">
        <f t="shared" si="63"/>
        <v>0</v>
      </c>
      <c r="I326" s="80">
        <f t="shared" si="64"/>
        <v>2000</v>
      </c>
      <c r="J326" s="80">
        <f t="shared" si="65"/>
        <v>0</v>
      </c>
      <c r="K326" s="80">
        <f t="shared" si="66"/>
        <v>6</v>
      </c>
      <c r="L326" s="80">
        <f t="shared" si="67"/>
        <v>0</v>
      </c>
      <c r="M326" s="80">
        <f t="shared" si="68"/>
        <v>0</v>
      </c>
      <c r="N326" s="80">
        <f t="shared" si="69"/>
        <v>0</v>
      </c>
      <c r="O326" s="89"/>
      <c r="P326" s="89"/>
      <c r="Q326" s="89"/>
      <c r="R326" s="89"/>
      <c r="S326" s="90">
        <f t="shared" si="62"/>
        <v>325</v>
      </c>
      <c r="T326" s="90" cm="1">
        <f t="array" ref="T326">SUMPRODUCT(F326:M326,$F$154:$M$154)+N326*SUMPRODUCT(O326:R326,$O$154:$R$154)</f>
        <v>4900</v>
      </c>
    </row>
    <row r="327" spans="4:20">
      <c r="D327" s="77" t="str">
        <f t="shared" si="71"/>
        <v>瑰宝Ⅳ</v>
      </c>
      <c r="E327" s="80">
        <f t="shared" si="70"/>
        <v>4</v>
      </c>
      <c r="F327" s="80">
        <f>F321+10</f>
        <v>400</v>
      </c>
      <c r="G327" s="80">
        <f>IF(G321="","",G321+10)</f>
        <v>480</v>
      </c>
      <c r="H327" s="80">
        <f t="shared" si="63"/>
        <v>0</v>
      </c>
      <c r="I327" s="80">
        <f t="shared" si="64"/>
        <v>2000</v>
      </c>
      <c r="J327" s="80">
        <f t="shared" si="65"/>
        <v>0</v>
      </c>
      <c r="K327" s="80">
        <f t="shared" si="66"/>
        <v>0</v>
      </c>
      <c r="L327" s="80">
        <f t="shared" si="67"/>
        <v>0</v>
      </c>
      <c r="M327" s="80">
        <f t="shared" si="68"/>
        <v>0</v>
      </c>
      <c r="N327" s="80">
        <f t="shared" si="69"/>
        <v>0</v>
      </c>
      <c r="O327" s="89"/>
      <c r="P327" s="89"/>
      <c r="Q327" s="89"/>
      <c r="R327" s="89"/>
      <c r="S327" s="90">
        <f t="shared" si="62"/>
        <v>325</v>
      </c>
      <c r="T327" s="90" cm="1">
        <f t="array" ref="T327">SUMPRODUCT(F327:M327,$F$154:$M$154)+N327*SUMPRODUCT(O327:R327,$O$154:$R$154)</f>
        <v>2880</v>
      </c>
    </row>
    <row r="328" spans="4:20">
      <c r="D328" s="77" t="str">
        <f t="shared" si="71"/>
        <v>瑰宝Ⅳ</v>
      </c>
      <c r="E328" s="80">
        <f t="shared" si="70"/>
        <v>5</v>
      </c>
      <c r="F328" s="80">
        <f>F322+10</f>
        <v>400</v>
      </c>
      <c r="G328" s="80" t="str">
        <f>IF(G322="","",G322+10)</f>
        <v/>
      </c>
      <c r="H328" s="80">
        <f t="shared" si="63"/>
        <v>0</v>
      </c>
      <c r="I328" s="80">
        <f t="shared" si="64"/>
        <v>2000</v>
      </c>
      <c r="J328" s="80">
        <f t="shared" si="65"/>
        <v>0</v>
      </c>
      <c r="K328" s="80">
        <f t="shared" si="66"/>
        <v>0</v>
      </c>
      <c r="L328" s="80">
        <f t="shared" si="67"/>
        <v>5</v>
      </c>
      <c r="M328" s="80">
        <f t="shared" si="68"/>
        <v>0</v>
      </c>
      <c r="N328" s="80">
        <f t="shared" si="69"/>
        <v>0</v>
      </c>
      <c r="O328" s="89"/>
      <c r="P328" s="89"/>
      <c r="Q328" s="89"/>
      <c r="R328" s="89"/>
      <c r="S328" s="90">
        <f t="shared" si="62"/>
        <v>325</v>
      </c>
      <c r="T328" s="90" cm="1">
        <f t="array" ref="T328">SUMPRODUCT(F328:M328,$F$154:$M$154)+N328*SUMPRODUCT(O328:R328,$O$154:$R$154)</f>
        <v>6400</v>
      </c>
    </row>
    <row r="329" spans="4:20">
      <c r="D329" s="77" t="str">
        <f t="shared" si="71"/>
        <v>瑰宝Ⅳ</v>
      </c>
      <c r="E329" s="80">
        <f t="shared" si="70"/>
        <v>6</v>
      </c>
      <c r="F329" s="80">
        <f>CEILING(F328*1.5,5)</f>
        <v>600</v>
      </c>
      <c r="G329" s="80">
        <f>IF(G323="","",CEILING(G327*1.5,5))</f>
        <v>720</v>
      </c>
      <c r="H329" s="80">
        <f t="shared" si="63"/>
        <v>1</v>
      </c>
      <c r="I329" s="80" t="str">
        <f t="shared" si="64"/>
        <v/>
      </c>
      <c r="J329" s="80">
        <f t="shared" si="65"/>
        <v>0</v>
      </c>
      <c r="K329" s="80">
        <f t="shared" si="66"/>
        <v>0</v>
      </c>
      <c r="L329" s="80">
        <f t="shared" si="67"/>
        <v>0</v>
      </c>
      <c r="M329" s="80">
        <f t="shared" si="68"/>
        <v>0</v>
      </c>
      <c r="N329" s="80">
        <f t="shared" si="69"/>
        <v>8</v>
      </c>
      <c r="O329" s="89"/>
      <c r="P329" s="89">
        <v>0.08</v>
      </c>
      <c r="Q329" s="89">
        <v>0.5</v>
      </c>
      <c r="R329" s="89">
        <v>0.42</v>
      </c>
      <c r="S329" s="90">
        <f t="shared" si="62"/>
        <v>325</v>
      </c>
      <c r="T329" s="90" cm="1">
        <f t="array" ref="T329">SUMPRODUCT(F329:M329,$F$154:$M$154)+N329*SUMPRODUCT(O329:R329,$O$154:$R$154)</f>
        <v>10302</v>
      </c>
    </row>
    <row r="330" spans="4:20">
      <c r="D330" s="77" t="str">
        <f t="shared" si="71"/>
        <v>瑰宝Ⅴ</v>
      </c>
      <c r="E330" s="80">
        <f t="shared" si="70"/>
        <v>1</v>
      </c>
      <c r="F330" s="80">
        <f>F324+10</f>
        <v>410</v>
      </c>
      <c r="G330" s="80" t="str">
        <f>IF(G324="","",G324+10)</f>
        <v/>
      </c>
      <c r="H330" s="80">
        <f t="shared" si="63"/>
        <v>0</v>
      </c>
      <c r="I330" s="80">
        <f t="shared" si="64"/>
        <v>2050</v>
      </c>
      <c r="J330" s="80">
        <f t="shared" si="65"/>
        <v>9</v>
      </c>
      <c r="K330" s="80">
        <f t="shared" si="66"/>
        <v>0</v>
      </c>
      <c r="L330" s="80">
        <f t="shared" si="67"/>
        <v>0</v>
      </c>
      <c r="M330" s="80">
        <f t="shared" si="68"/>
        <v>0</v>
      </c>
      <c r="N330" s="80">
        <f t="shared" si="69"/>
        <v>0</v>
      </c>
      <c r="O330" s="89"/>
      <c r="P330" s="89"/>
      <c r="Q330" s="89"/>
      <c r="R330" s="89"/>
      <c r="S330" s="90">
        <f t="shared" si="62"/>
        <v>335</v>
      </c>
      <c r="T330" s="90" cm="1">
        <f t="array" ref="T330">SUMPRODUCT(F330:M330,$F$154:$M$154)+N330*SUMPRODUCT(O330:R330,$O$154:$R$154)</f>
        <v>4260</v>
      </c>
    </row>
    <row r="331" spans="4:20">
      <c r="D331" s="77" t="str">
        <f t="shared" si="71"/>
        <v>瑰宝Ⅴ</v>
      </c>
      <c r="E331" s="80">
        <f t="shared" si="70"/>
        <v>2</v>
      </c>
      <c r="F331" s="80">
        <f>F325+10</f>
        <v>410</v>
      </c>
      <c r="G331" s="80">
        <f>IF(G325="","",G325+10)</f>
        <v>490</v>
      </c>
      <c r="H331" s="80">
        <f t="shared" si="63"/>
        <v>0</v>
      </c>
      <c r="I331" s="80">
        <f t="shared" si="64"/>
        <v>2050</v>
      </c>
      <c r="J331" s="80">
        <f t="shared" si="65"/>
        <v>0</v>
      </c>
      <c r="K331" s="80">
        <f t="shared" si="66"/>
        <v>0</v>
      </c>
      <c r="L331" s="80">
        <f t="shared" si="67"/>
        <v>0</v>
      </c>
      <c r="M331" s="80">
        <f t="shared" si="68"/>
        <v>0</v>
      </c>
      <c r="N331" s="80">
        <f t="shared" si="69"/>
        <v>0</v>
      </c>
      <c r="O331" s="89"/>
      <c r="P331" s="89"/>
      <c r="Q331" s="89"/>
      <c r="R331" s="89"/>
      <c r="S331" s="90">
        <f t="shared" si="62"/>
        <v>335</v>
      </c>
      <c r="T331" s="90" cm="1">
        <f t="array" ref="T331">SUMPRODUCT(F331:M331,$F$154:$M$154)+N331*SUMPRODUCT(O331:R331,$O$154:$R$154)</f>
        <v>2950</v>
      </c>
    </row>
    <row r="332" spans="4:20">
      <c r="D332" s="77" t="str">
        <f t="shared" si="71"/>
        <v>瑰宝Ⅴ</v>
      </c>
      <c r="E332" s="80">
        <f t="shared" si="70"/>
        <v>3</v>
      </c>
      <c r="F332" s="80">
        <f>CEILING(F331*1.25,5)</f>
        <v>515</v>
      </c>
      <c r="G332" s="80" t="str">
        <f>IF(G326="","",G326+10)</f>
        <v/>
      </c>
      <c r="H332" s="80">
        <f t="shared" si="63"/>
        <v>0</v>
      </c>
      <c r="I332" s="80">
        <f t="shared" si="64"/>
        <v>2050</v>
      </c>
      <c r="J332" s="80">
        <f t="shared" si="65"/>
        <v>0</v>
      </c>
      <c r="K332" s="80">
        <f t="shared" si="66"/>
        <v>6</v>
      </c>
      <c r="L332" s="80">
        <f t="shared" si="67"/>
        <v>0</v>
      </c>
      <c r="M332" s="80">
        <f t="shared" si="68"/>
        <v>0</v>
      </c>
      <c r="N332" s="80">
        <f t="shared" si="69"/>
        <v>0</v>
      </c>
      <c r="O332" s="89"/>
      <c r="P332" s="89"/>
      <c r="Q332" s="89"/>
      <c r="R332" s="89"/>
      <c r="S332" s="90">
        <f t="shared" si="62"/>
        <v>335</v>
      </c>
      <c r="T332" s="90" cm="1">
        <f t="array" ref="T332">SUMPRODUCT(F332:M332,$F$154:$M$154)+N332*SUMPRODUCT(O332:R332,$O$154:$R$154)</f>
        <v>4965</v>
      </c>
    </row>
    <row r="333" spans="4:20">
      <c r="D333" s="77" t="str">
        <f t="shared" si="71"/>
        <v>瑰宝Ⅴ</v>
      </c>
      <c r="E333" s="80">
        <f t="shared" si="70"/>
        <v>4</v>
      </c>
      <c r="F333" s="80">
        <f>F327+10</f>
        <v>410</v>
      </c>
      <c r="G333" s="80">
        <f>IF(G327="","",G327+10)</f>
        <v>490</v>
      </c>
      <c r="H333" s="80">
        <f t="shared" si="63"/>
        <v>0</v>
      </c>
      <c r="I333" s="80">
        <f t="shared" si="64"/>
        <v>2050</v>
      </c>
      <c r="J333" s="80">
        <f t="shared" si="65"/>
        <v>0</v>
      </c>
      <c r="K333" s="80">
        <f t="shared" si="66"/>
        <v>0</v>
      </c>
      <c r="L333" s="80">
        <f t="shared" si="67"/>
        <v>0</v>
      </c>
      <c r="M333" s="80">
        <f t="shared" si="68"/>
        <v>0</v>
      </c>
      <c r="N333" s="80">
        <f t="shared" si="69"/>
        <v>0</v>
      </c>
      <c r="O333" s="89"/>
      <c r="P333" s="89"/>
      <c r="Q333" s="89"/>
      <c r="R333" s="89"/>
      <c r="S333" s="90">
        <f t="shared" si="62"/>
        <v>335</v>
      </c>
      <c r="T333" s="90" cm="1">
        <f t="array" ref="T333">SUMPRODUCT(F333:M333,$F$154:$M$154)+N333*SUMPRODUCT(O333:R333,$O$154:$R$154)</f>
        <v>2950</v>
      </c>
    </row>
    <row r="334" spans="4:20">
      <c r="D334" s="77" t="str">
        <f t="shared" si="71"/>
        <v>瑰宝Ⅴ</v>
      </c>
      <c r="E334" s="80">
        <f t="shared" si="70"/>
        <v>5</v>
      </c>
      <c r="F334" s="80">
        <f>F328+10</f>
        <v>410</v>
      </c>
      <c r="G334" s="80" t="str">
        <f>IF(G328="","",G328+10)</f>
        <v/>
      </c>
      <c r="H334" s="80">
        <f t="shared" si="63"/>
        <v>0</v>
      </c>
      <c r="I334" s="80">
        <f t="shared" si="64"/>
        <v>2050</v>
      </c>
      <c r="J334" s="80">
        <f t="shared" si="65"/>
        <v>0</v>
      </c>
      <c r="K334" s="80">
        <f t="shared" si="66"/>
        <v>0</v>
      </c>
      <c r="L334" s="80">
        <f t="shared" si="67"/>
        <v>5</v>
      </c>
      <c r="M334" s="80">
        <f t="shared" si="68"/>
        <v>0</v>
      </c>
      <c r="N334" s="80">
        <f t="shared" si="69"/>
        <v>0</v>
      </c>
      <c r="O334" s="89"/>
      <c r="P334" s="89"/>
      <c r="Q334" s="89"/>
      <c r="R334" s="89"/>
      <c r="S334" s="90">
        <f t="shared" si="62"/>
        <v>335</v>
      </c>
      <c r="T334" s="90" cm="1">
        <f t="array" ref="T334">SUMPRODUCT(F334:M334,$F$154:$M$154)+N334*SUMPRODUCT(O334:R334,$O$154:$R$154)</f>
        <v>6460</v>
      </c>
    </row>
    <row r="335" spans="4:20">
      <c r="D335" s="77" t="str">
        <f t="shared" si="71"/>
        <v>瑰宝Ⅴ</v>
      </c>
      <c r="E335" s="80">
        <f t="shared" si="70"/>
        <v>6</v>
      </c>
      <c r="F335" s="80">
        <f>CEILING(F334*1.5,5)</f>
        <v>615</v>
      </c>
      <c r="G335" s="80">
        <f>IF(G329="","",CEILING(G333*1.5,5))</f>
        <v>735</v>
      </c>
      <c r="H335" s="80">
        <f t="shared" si="63"/>
        <v>1</v>
      </c>
      <c r="I335" s="80" t="str">
        <f t="shared" si="64"/>
        <v/>
      </c>
      <c r="J335" s="80">
        <f t="shared" si="65"/>
        <v>0</v>
      </c>
      <c r="K335" s="80">
        <f t="shared" si="66"/>
        <v>0</v>
      </c>
      <c r="L335" s="80">
        <f t="shared" si="67"/>
        <v>0</v>
      </c>
      <c r="M335" s="80">
        <f t="shared" si="68"/>
        <v>0</v>
      </c>
      <c r="N335" s="80">
        <f t="shared" si="69"/>
        <v>8</v>
      </c>
      <c r="O335" s="89"/>
      <c r="P335" s="89">
        <v>0.05</v>
      </c>
      <c r="Q335" s="89">
        <v>0.5</v>
      </c>
      <c r="R335" s="89">
        <v>0.45</v>
      </c>
      <c r="S335" s="90">
        <f t="shared" si="62"/>
        <v>335</v>
      </c>
      <c r="T335" s="90" cm="1">
        <f t="array" ref="T335">SUMPRODUCT(F335:M335,$F$154:$M$154)+N335*SUMPRODUCT(O335:R335,$O$154:$R$154)</f>
        <v>10620</v>
      </c>
    </row>
    <row r="336" spans="4:20">
      <c r="D336" s="81" t="str">
        <f>SUBSTITUTE(D306,"瑰宝","非凡")</f>
        <v>非凡Ⅰ</v>
      </c>
      <c r="E336" s="84">
        <f t="shared" si="70"/>
        <v>1</v>
      </c>
      <c r="F336" s="84">
        <f>F330+10</f>
        <v>420</v>
      </c>
      <c r="G336" s="84" t="str">
        <f>IF(G330="","",G330+10)</f>
        <v/>
      </c>
      <c r="H336" s="84">
        <f t="shared" si="63"/>
        <v>0</v>
      </c>
      <c r="I336" s="84">
        <f t="shared" si="64"/>
        <v>2100</v>
      </c>
      <c r="J336" s="84">
        <f t="shared" si="65"/>
        <v>9</v>
      </c>
      <c r="K336" s="84">
        <f t="shared" si="66"/>
        <v>0</v>
      </c>
      <c r="L336" s="84">
        <f t="shared" si="67"/>
        <v>0</v>
      </c>
      <c r="M336" s="84">
        <f t="shared" si="68"/>
        <v>0</v>
      </c>
      <c r="N336" s="84">
        <f t="shared" si="69"/>
        <v>0</v>
      </c>
      <c r="O336" s="85"/>
      <c r="P336" s="85"/>
      <c r="Q336" s="85"/>
      <c r="R336" s="85"/>
      <c r="S336" s="86">
        <f t="shared" si="62"/>
        <v>345</v>
      </c>
      <c r="T336" s="86" cm="1">
        <f t="array" ref="T336">SUMPRODUCT(F336:M336,$F$154:$M$154)+N336*SUMPRODUCT(O336:R336,$O$154:$R$154)</f>
        <v>4320</v>
      </c>
    </row>
    <row r="337" spans="4:20">
      <c r="D337" s="81" t="str">
        <f t="shared" ref="D337:D353" si="72">SUBSTITUTE(D307,"瑰宝","非凡")</f>
        <v>非凡Ⅰ</v>
      </c>
      <c r="E337" s="84">
        <f t="shared" si="70"/>
        <v>2</v>
      </c>
      <c r="F337" s="84">
        <f>F331+10</f>
        <v>420</v>
      </c>
      <c r="G337" s="84">
        <f>IF(G331="","",G331+10)</f>
        <v>500</v>
      </c>
      <c r="H337" s="84">
        <f t="shared" si="63"/>
        <v>0</v>
      </c>
      <c r="I337" s="84">
        <f t="shared" si="64"/>
        <v>2100</v>
      </c>
      <c r="J337" s="84">
        <f t="shared" si="65"/>
        <v>0</v>
      </c>
      <c r="K337" s="84">
        <f t="shared" si="66"/>
        <v>0</v>
      </c>
      <c r="L337" s="84">
        <f t="shared" si="67"/>
        <v>0</v>
      </c>
      <c r="M337" s="84">
        <f t="shared" si="68"/>
        <v>0</v>
      </c>
      <c r="N337" s="84">
        <f t="shared" si="69"/>
        <v>0</v>
      </c>
      <c r="O337" s="85"/>
      <c r="P337" s="85"/>
      <c r="Q337" s="85"/>
      <c r="R337" s="85"/>
      <c r="S337" s="86">
        <f t="shared" si="62"/>
        <v>345</v>
      </c>
      <c r="T337" s="86" cm="1">
        <f t="array" ref="T337">SUMPRODUCT(F337:M337,$F$154:$M$154)+N337*SUMPRODUCT(O337:R337,$O$154:$R$154)</f>
        <v>3020</v>
      </c>
    </row>
    <row r="338" spans="4:20">
      <c r="D338" s="81" t="str">
        <f t="shared" si="72"/>
        <v>非凡Ⅰ</v>
      </c>
      <c r="E338" s="84">
        <f t="shared" si="70"/>
        <v>3</v>
      </c>
      <c r="F338" s="84">
        <f>CEILING(F337*1.25,5)</f>
        <v>525</v>
      </c>
      <c r="G338" s="84" t="str">
        <f>IF(G332="","",G332+10)</f>
        <v/>
      </c>
      <c r="H338" s="84">
        <f t="shared" si="63"/>
        <v>0</v>
      </c>
      <c r="I338" s="84">
        <f t="shared" si="64"/>
        <v>2100</v>
      </c>
      <c r="J338" s="84">
        <f t="shared" si="65"/>
        <v>0</v>
      </c>
      <c r="K338" s="84">
        <f t="shared" si="66"/>
        <v>6</v>
      </c>
      <c r="L338" s="84">
        <f t="shared" si="67"/>
        <v>0</v>
      </c>
      <c r="M338" s="84">
        <f t="shared" si="68"/>
        <v>0</v>
      </c>
      <c r="N338" s="84">
        <f t="shared" si="69"/>
        <v>0</v>
      </c>
      <c r="O338" s="85"/>
      <c r="P338" s="85"/>
      <c r="Q338" s="85"/>
      <c r="R338" s="85"/>
      <c r="S338" s="86">
        <f t="shared" si="62"/>
        <v>345</v>
      </c>
      <c r="T338" s="86" cm="1">
        <f t="array" ref="T338">SUMPRODUCT(F338:M338,$F$154:$M$154)+N338*SUMPRODUCT(O338:R338,$O$154:$R$154)</f>
        <v>5025</v>
      </c>
    </row>
    <row r="339" spans="4:20">
      <c r="D339" s="81" t="str">
        <f t="shared" si="72"/>
        <v>非凡Ⅰ</v>
      </c>
      <c r="E339" s="84">
        <f t="shared" si="70"/>
        <v>4</v>
      </c>
      <c r="F339" s="84">
        <f>F333+10</f>
        <v>420</v>
      </c>
      <c r="G339" s="84">
        <f>IF(G333="","",G333+10)</f>
        <v>500</v>
      </c>
      <c r="H339" s="84">
        <f t="shared" si="63"/>
        <v>0</v>
      </c>
      <c r="I339" s="84">
        <f t="shared" si="64"/>
        <v>2100</v>
      </c>
      <c r="J339" s="84">
        <f t="shared" si="65"/>
        <v>0</v>
      </c>
      <c r="K339" s="84">
        <f t="shared" si="66"/>
        <v>0</v>
      </c>
      <c r="L339" s="84">
        <f t="shared" si="67"/>
        <v>0</v>
      </c>
      <c r="M339" s="84">
        <f t="shared" si="68"/>
        <v>0</v>
      </c>
      <c r="N339" s="84">
        <f t="shared" si="69"/>
        <v>0</v>
      </c>
      <c r="O339" s="85"/>
      <c r="P339" s="85"/>
      <c r="Q339" s="85"/>
      <c r="R339" s="85"/>
      <c r="S339" s="86">
        <f t="shared" si="62"/>
        <v>345</v>
      </c>
      <c r="T339" s="86" cm="1">
        <f t="array" ref="T339">SUMPRODUCT(F339:M339,$F$154:$M$154)+N339*SUMPRODUCT(O339:R339,$O$154:$R$154)</f>
        <v>3020</v>
      </c>
    </row>
    <row r="340" spans="4:20">
      <c r="D340" s="81" t="str">
        <f t="shared" si="72"/>
        <v>非凡Ⅰ</v>
      </c>
      <c r="E340" s="84">
        <f t="shared" si="70"/>
        <v>5</v>
      </c>
      <c r="F340" s="84">
        <f>F334+10</f>
        <v>420</v>
      </c>
      <c r="G340" s="84" t="str">
        <f>IF(G334="","",G334+10)</f>
        <v/>
      </c>
      <c r="H340" s="84">
        <f t="shared" si="63"/>
        <v>0</v>
      </c>
      <c r="I340" s="84">
        <f t="shared" si="64"/>
        <v>2100</v>
      </c>
      <c r="J340" s="84">
        <f t="shared" si="65"/>
        <v>0</v>
      </c>
      <c r="K340" s="84">
        <f t="shared" si="66"/>
        <v>0</v>
      </c>
      <c r="L340" s="84">
        <f t="shared" si="67"/>
        <v>5</v>
      </c>
      <c r="M340" s="84">
        <f t="shared" si="68"/>
        <v>0</v>
      </c>
      <c r="N340" s="84">
        <f t="shared" si="69"/>
        <v>0</v>
      </c>
      <c r="O340" s="85"/>
      <c r="P340" s="85"/>
      <c r="Q340" s="85"/>
      <c r="R340" s="85"/>
      <c r="S340" s="86">
        <f t="shared" si="62"/>
        <v>345</v>
      </c>
      <c r="T340" s="86" cm="1">
        <f t="array" ref="T340">SUMPRODUCT(F340:M340,$F$154:$M$154)+N340*SUMPRODUCT(O340:R340,$O$154:$R$154)</f>
        <v>6520</v>
      </c>
    </row>
    <row r="341" spans="4:20">
      <c r="D341" s="81" t="str">
        <f t="shared" si="72"/>
        <v>非凡Ⅰ</v>
      </c>
      <c r="E341" s="84">
        <f t="shared" si="70"/>
        <v>6</v>
      </c>
      <c r="F341" s="84">
        <f>CEILING(F340*1.5,5)</f>
        <v>630</v>
      </c>
      <c r="G341" s="84">
        <f>IF(G335="","",CEILING(G339*1.5,5))</f>
        <v>750</v>
      </c>
      <c r="H341" s="84">
        <f t="shared" si="63"/>
        <v>1</v>
      </c>
      <c r="I341" s="84" t="str">
        <f t="shared" si="64"/>
        <v/>
      </c>
      <c r="J341" s="84">
        <f t="shared" si="65"/>
        <v>0</v>
      </c>
      <c r="K341" s="84">
        <f t="shared" si="66"/>
        <v>0</v>
      </c>
      <c r="L341" s="84">
        <f t="shared" si="67"/>
        <v>0</v>
      </c>
      <c r="M341" s="84">
        <f t="shared" si="68"/>
        <v>0</v>
      </c>
      <c r="N341" s="84">
        <f t="shared" si="69"/>
        <v>8</v>
      </c>
      <c r="O341" s="85"/>
      <c r="P341" s="85"/>
      <c r="Q341" s="85">
        <v>0.52</v>
      </c>
      <c r="R341" s="85">
        <v>0.48</v>
      </c>
      <c r="S341" s="86">
        <f t="shared" si="62"/>
        <v>345</v>
      </c>
      <c r="T341" s="86" cm="1">
        <f t="array" ref="T341">SUMPRODUCT(F341:M341,$F$154:$M$154)+N341*SUMPRODUCT(O341:R341,$O$154:$R$154)</f>
        <v>11002</v>
      </c>
    </row>
    <row r="342" spans="4:20">
      <c r="D342" s="81" t="str">
        <f t="shared" si="72"/>
        <v>非凡Ⅱ</v>
      </c>
      <c r="E342" s="84">
        <f t="shared" si="70"/>
        <v>1</v>
      </c>
      <c r="F342" s="84">
        <f>F336+10</f>
        <v>430</v>
      </c>
      <c r="G342" s="84" t="str">
        <f>IF(G336="","",G336+10)</f>
        <v/>
      </c>
      <c r="H342" s="84">
        <f t="shared" si="63"/>
        <v>0</v>
      </c>
      <c r="I342" s="84">
        <f t="shared" si="64"/>
        <v>2150</v>
      </c>
      <c r="J342" s="84">
        <f t="shared" si="65"/>
        <v>9</v>
      </c>
      <c r="K342" s="84">
        <f t="shared" si="66"/>
        <v>0</v>
      </c>
      <c r="L342" s="84">
        <f t="shared" si="67"/>
        <v>0</v>
      </c>
      <c r="M342" s="84">
        <f t="shared" si="68"/>
        <v>0</v>
      </c>
      <c r="N342" s="84">
        <f t="shared" si="69"/>
        <v>0</v>
      </c>
      <c r="O342" s="85"/>
      <c r="P342" s="85"/>
      <c r="Q342" s="85"/>
      <c r="R342" s="85"/>
      <c r="S342" s="86">
        <f t="shared" si="62"/>
        <v>355</v>
      </c>
      <c r="T342" s="86" cm="1">
        <f t="array" ref="T342">SUMPRODUCT(F342:M342,$F$154:$M$154)+N342*SUMPRODUCT(O342:R342,$O$154:$R$154)</f>
        <v>4380</v>
      </c>
    </row>
    <row r="343" spans="4:20">
      <c r="D343" s="81" t="str">
        <f t="shared" si="72"/>
        <v>非凡Ⅱ</v>
      </c>
      <c r="E343" s="84">
        <f t="shared" si="70"/>
        <v>2</v>
      </c>
      <c r="F343" s="84">
        <f>F337+10</f>
        <v>430</v>
      </c>
      <c r="G343" s="84">
        <f>IF(G337="","",G337+10)</f>
        <v>510</v>
      </c>
      <c r="H343" s="84">
        <f t="shared" si="63"/>
        <v>0</v>
      </c>
      <c r="I343" s="84">
        <f t="shared" si="64"/>
        <v>2150</v>
      </c>
      <c r="J343" s="84">
        <f t="shared" si="65"/>
        <v>0</v>
      </c>
      <c r="K343" s="84">
        <f t="shared" si="66"/>
        <v>0</v>
      </c>
      <c r="L343" s="84">
        <f t="shared" si="67"/>
        <v>0</v>
      </c>
      <c r="M343" s="84">
        <f t="shared" si="68"/>
        <v>0</v>
      </c>
      <c r="N343" s="84">
        <f t="shared" si="69"/>
        <v>0</v>
      </c>
      <c r="O343" s="85"/>
      <c r="P343" s="85"/>
      <c r="Q343" s="85"/>
      <c r="R343" s="85"/>
      <c r="S343" s="86">
        <f t="shared" si="62"/>
        <v>355</v>
      </c>
      <c r="T343" s="86" cm="1">
        <f t="array" ref="T343">SUMPRODUCT(F343:M343,$F$154:$M$154)+N343*SUMPRODUCT(O343:R343,$O$154:$R$154)</f>
        <v>3090</v>
      </c>
    </row>
    <row r="344" spans="4:20">
      <c r="D344" s="81" t="str">
        <f t="shared" si="72"/>
        <v>非凡Ⅱ</v>
      </c>
      <c r="E344" s="84">
        <f t="shared" si="70"/>
        <v>3</v>
      </c>
      <c r="F344" s="84">
        <f>CEILING(F343*1.25,5)</f>
        <v>540</v>
      </c>
      <c r="G344" s="84" t="str">
        <f>IF(G338="","",G338+10)</f>
        <v/>
      </c>
      <c r="H344" s="84">
        <f t="shared" si="63"/>
        <v>0</v>
      </c>
      <c r="I344" s="84">
        <f t="shared" si="64"/>
        <v>2150</v>
      </c>
      <c r="J344" s="84">
        <f t="shared" si="65"/>
        <v>0</v>
      </c>
      <c r="K344" s="84">
        <f t="shared" si="66"/>
        <v>6</v>
      </c>
      <c r="L344" s="84">
        <f t="shared" si="67"/>
        <v>0</v>
      </c>
      <c r="M344" s="84">
        <f t="shared" si="68"/>
        <v>0</v>
      </c>
      <c r="N344" s="84">
        <f t="shared" si="69"/>
        <v>0</v>
      </c>
      <c r="O344" s="85"/>
      <c r="P344" s="85"/>
      <c r="Q344" s="85"/>
      <c r="R344" s="85"/>
      <c r="S344" s="86">
        <f t="shared" si="62"/>
        <v>355</v>
      </c>
      <c r="T344" s="86" cm="1">
        <f t="array" ref="T344">SUMPRODUCT(F344:M344,$F$154:$M$154)+N344*SUMPRODUCT(O344:R344,$O$154:$R$154)</f>
        <v>5090</v>
      </c>
    </row>
    <row r="345" spans="4:20">
      <c r="D345" s="81" t="str">
        <f t="shared" si="72"/>
        <v>非凡Ⅱ</v>
      </c>
      <c r="E345" s="84">
        <f t="shared" si="70"/>
        <v>4</v>
      </c>
      <c r="F345" s="84">
        <f>F339+10</f>
        <v>430</v>
      </c>
      <c r="G345" s="84">
        <f>IF(G339="","",G339+10)</f>
        <v>510</v>
      </c>
      <c r="H345" s="84">
        <f t="shared" si="63"/>
        <v>0</v>
      </c>
      <c r="I345" s="84">
        <f t="shared" si="64"/>
        <v>2150</v>
      </c>
      <c r="J345" s="84">
        <f t="shared" si="65"/>
        <v>0</v>
      </c>
      <c r="K345" s="84">
        <f t="shared" si="66"/>
        <v>0</v>
      </c>
      <c r="L345" s="84">
        <f t="shared" si="67"/>
        <v>0</v>
      </c>
      <c r="M345" s="84">
        <f t="shared" si="68"/>
        <v>0</v>
      </c>
      <c r="N345" s="84">
        <f t="shared" si="69"/>
        <v>0</v>
      </c>
      <c r="O345" s="85"/>
      <c r="P345" s="85"/>
      <c r="Q345" s="85"/>
      <c r="R345" s="85"/>
      <c r="S345" s="86">
        <f t="shared" si="62"/>
        <v>355</v>
      </c>
      <c r="T345" s="86" cm="1">
        <f t="array" ref="T345">SUMPRODUCT(F345:M345,$F$154:$M$154)+N345*SUMPRODUCT(O345:R345,$O$154:$R$154)</f>
        <v>3090</v>
      </c>
    </row>
    <row r="346" spans="4:20">
      <c r="D346" s="81" t="str">
        <f t="shared" si="72"/>
        <v>非凡Ⅱ</v>
      </c>
      <c r="E346" s="84">
        <f t="shared" si="70"/>
        <v>5</v>
      </c>
      <c r="F346" s="84">
        <f>F340+10</f>
        <v>430</v>
      </c>
      <c r="G346" s="84" t="str">
        <f>IF(G340="","",G340+10)</f>
        <v/>
      </c>
      <c r="H346" s="84">
        <f t="shared" si="63"/>
        <v>0</v>
      </c>
      <c r="I346" s="84">
        <f t="shared" si="64"/>
        <v>2150</v>
      </c>
      <c r="J346" s="84">
        <f t="shared" si="65"/>
        <v>0</v>
      </c>
      <c r="K346" s="84">
        <f t="shared" si="66"/>
        <v>0</v>
      </c>
      <c r="L346" s="84">
        <f t="shared" si="67"/>
        <v>5</v>
      </c>
      <c r="M346" s="84">
        <f t="shared" si="68"/>
        <v>0</v>
      </c>
      <c r="N346" s="84">
        <f t="shared" si="69"/>
        <v>0</v>
      </c>
      <c r="O346" s="85"/>
      <c r="P346" s="85"/>
      <c r="Q346" s="85"/>
      <c r="R346" s="85"/>
      <c r="S346" s="86">
        <f t="shared" si="62"/>
        <v>355</v>
      </c>
      <c r="T346" s="86" cm="1">
        <f t="array" ref="T346">SUMPRODUCT(F346:M346,$F$154:$M$154)+N346*SUMPRODUCT(O346:R346,$O$154:$R$154)</f>
        <v>6580</v>
      </c>
    </row>
    <row r="347" spans="4:20">
      <c r="D347" s="81" t="str">
        <f t="shared" si="72"/>
        <v>非凡Ⅱ</v>
      </c>
      <c r="E347" s="84">
        <f t="shared" si="70"/>
        <v>6</v>
      </c>
      <c r="F347" s="84">
        <f>CEILING(F346*1.5,5)</f>
        <v>645</v>
      </c>
      <c r="G347" s="84">
        <f>IF(G341="","",CEILING(G345*1.5,5))</f>
        <v>765</v>
      </c>
      <c r="H347" s="84">
        <f t="shared" si="63"/>
        <v>1</v>
      </c>
      <c r="I347" s="84" t="str">
        <f t="shared" si="64"/>
        <v/>
      </c>
      <c r="J347" s="84">
        <f t="shared" si="65"/>
        <v>0</v>
      </c>
      <c r="K347" s="84">
        <f t="shared" si="66"/>
        <v>0</v>
      </c>
      <c r="L347" s="84">
        <f t="shared" si="67"/>
        <v>0</v>
      </c>
      <c r="M347" s="84">
        <f t="shared" si="68"/>
        <v>0</v>
      </c>
      <c r="N347" s="84">
        <f t="shared" si="69"/>
        <v>8</v>
      </c>
      <c r="O347" s="85"/>
      <c r="P347" s="85"/>
      <c r="Q347" s="85">
        <v>0.49</v>
      </c>
      <c r="R347" s="85">
        <v>0.51</v>
      </c>
      <c r="S347" s="86">
        <f t="shared" si="62"/>
        <v>355</v>
      </c>
      <c r="T347" s="86" cm="1">
        <f t="array" ref="T347">SUMPRODUCT(F347:M347,$F$154:$M$154)+N347*SUMPRODUCT(O347:R347,$O$154:$R$154)</f>
        <v>11224</v>
      </c>
    </row>
    <row r="348" spans="4:20">
      <c r="D348" s="81" t="str">
        <f t="shared" si="72"/>
        <v>非凡Ⅲ</v>
      </c>
      <c r="E348" s="84">
        <f t="shared" si="70"/>
        <v>1</v>
      </c>
      <c r="F348" s="84">
        <f>F342+10</f>
        <v>440</v>
      </c>
      <c r="G348" s="84" t="str">
        <f>IF(G342="","",G342+10)</f>
        <v/>
      </c>
      <c r="H348" s="84">
        <f t="shared" si="63"/>
        <v>0</v>
      </c>
      <c r="I348" s="84">
        <f t="shared" si="64"/>
        <v>2200</v>
      </c>
      <c r="J348" s="84">
        <f t="shared" si="65"/>
        <v>9</v>
      </c>
      <c r="K348" s="84">
        <f t="shared" si="66"/>
        <v>0</v>
      </c>
      <c r="L348" s="84">
        <f t="shared" si="67"/>
        <v>0</v>
      </c>
      <c r="M348" s="84">
        <f t="shared" si="68"/>
        <v>0</v>
      </c>
      <c r="N348" s="84">
        <f t="shared" si="69"/>
        <v>0</v>
      </c>
      <c r="O348" s="85"/>
      <c r="P348" s="85"/>
      <c r="Q348" s="85"/>
      <c r="R348" s="85"/>
      <c r="S348" s="86">
        <f t="shared" si="62"/>
        <v>365</v>
      </c>
      <c r="T348" s="86" cm="1">
        <f t="array" ref="T348">SUMPRODUCT(F348:M348,$F$154:$M$154)+N348*SUMPRODUCT(O348:R348,$O$154:$R$154)</f>
        <v>4440</v>
      </c>
    </row>
    <row r="349" spans="4:20">
      <c r="D349" s="81" t="str">
        <f t="shared" si="72"/>
        <v>非凡Ⅲ</v>
      </c>
      <c r="E349" s="84">
        <f t="shared" si="70"/>
        <v>2</v>
      </c>
      <c r="F349" s="84">
        <f>F343+10</f>
        <v>440</v>
      </c>
      <c r="G349" s="84">
        <f>IF(G343="","",G343+10)</f>
        <v>520</v>
      </c>
      <c r="H349" s="84">
        <f t="shared" si="63"/>
        <v>0</v>
      </c>
      <c r="I349" s="84">
        <f t="shared" si="64"/>
        <v>2200</v>
      </c>
      <c r="J349" s="84">
        <f t="shared" si="65"/>
        <v>0</v>
      </c>
      <c r="K349" s="84">
        <f t="shared" si="66"/>
        <v>0</v>
      </c>
      <c r="L349" s="84">
        <f t="shared" si="67"/>
        <v>0</v>
      </c>
      <c r="M349" s="84">
        <f t="shared" si="68"/>
        <v>0</v>
      </c>
      <c r="N349" s="84">
        <f t="shared" si="69"/>
        <v>0</v>
      </c>
      <c r="O349" s="85"/>
      <c r="P349" s="85"/>
      <c r="Q349" s="85"/>
      <c r="R349" s="85"/>
      <c r="S349" s="86">
        <f t="shared" ref="S349:S395" si="73">_xlfn.XLOOKUP(D349,$D$111:$D$151,$E$111:$E$151)</f>
        <v>365</v>
      </c>
      <c r="T349" s="86" cm="1">
        <f t="array" ref="T349">SUMPRODUCT(F349:M349,$F$154:$M$154)+N349*SUMPRODUCT(O349:R349,$O$154:$R$154)</f>
        <v>3160</v>
      </c>
    </row>
    <row r="350" spans="4:20">
      <c r="D350" s="81" t="str">
        <f t="shared" si="72"/>
        <v>非凡Ⅲ</v>
      </c>
      <c r="E350" s="84">
        <f t="shared" si="70"/>
        <v>3</v>
      </c>
      <c r="F350" s="84">
        <f>CEILING(F349*1.25,5)</f>
        <v>550</v>
      </c>
      <c r="G350" s="84" t="str">
        <f>IF(G344="","",G344+10)</f>
        <v/>
      </c>
      <c r="H350" s="84">
        <f t="shared" si="63"/>
        <v>0</v>
      </c>
      <c r="I350" s="84">
        <f t="shared" si="64"/>
        <v>2200</v>
      </c>
      <c r="J350" s="84">
        <f t="shared" si="65"/>
        <v>0</v>
      </c>
      <c r="K350" s="84">
        <f t="shared" si="66"/>
        <v>6</v>
      </c>
      <c r="L350" s="84">
        <f t="shared" si="67"/>
        <v>0</v>
      </c>
      <c r="M350" s="84">
        <f t="shared" si="68"/>
        <v>0</v>
      </c>
      <c r="N350" s="84">
        <f t="shared" si="69"/>
        <v>0</v>
      </c>
      <c r="O350" s="85"/>
      <c r="P350" s="85"/>
      <c r="Q350" s="85"/>
      <c r="R350" s="85"/>
      <c r="S350" s="86">
        <f t="shared" si="73"/>
        <v>365</v>
      </c>
      <c r="T350" s="86" cm="1">
        <f t="array" ref="T350">SUMPRODUCT(F350:M350,$F$154:$M$154)+N350*SUMPRODUCT(O350:R350,$O$154:$R$154)</f>
        <v>5150</v>
      </c>
    </row>
    <row r="351" spans="4:20">
      <c r="D351" s="81" t="str">
        <f t="shared" si="72"/>
        <v>非凡Ⅲ</v>
      </c>
      <c r="E351" s="84">
        <f t="shared" si="70"/>
        <v>4</v>
      </c>
      <c r="F351" s="84">
        <f>F345+10</f>
        <v>440</v>
      </c>
      <c r="G351" s="84">
        <f>IF(G345="","",G345+10)</f>
        <v>520</v>
      </c>
      <c r="H351" s="84">
        <f t="shared" si="63"/>
        <v>0</v>
      </c>
      <c r="I351" s="84">
        <f t="shared" si="64"/>
        <v>2200</v>
      </c>
      <c r="J351" s="84">
        <f t="shared" si="65"/>
        <v>0</v>
      </c>
      <c r="K351" s="84">
        <f t="shared" si="66"/>
        <v>0</v>
      </c>
      <c r="L351" s="84">
        <f t="shared" si="67"/>
        <v>0</v>
      </c>
      <c r="M351" s="84">
        <f t="shared" si="68"/>
        <v>0</v>
      </c>
      <c r="N351" s="84">
        <f t="shared" si="69"/>
        <v>0</v>
      </c>
      <c r="O351" s="85"/>
      <c r="P351" s="85"/>
      <c r="Q351" s="85"/>
      <c r="R351" s="85"/>
      <c r="S351" s="86">
        <f t="shared" si="73"/>
        <v>365</v>
      </c>
      <c r="T351" s="86" cm="1">
        <f t="array" ref="T351">SUMPRODUCT(F351:M351,$F$154:$M$154)+N351*SUMPRODUCT(O351:R351,$O$154:$R$154)</f>
        <v>3160</v>
      </c>
    </row>
    <row r="352" spans="4:20">
      <c r="D352" s="81" t="str">
        <f t="shared" si="72"/>
        <v>非凡Ⅲ</v>
      </c>
      <c r="E352" s="84">
        <f t="shared" si="70"/>
        <v>5</v>
      </c>
      <c r="F352" s="84">
        <f>F346+10</f>
        <v>440</v>
      </c>
      <c r="G352" s="84" t="str">
        <f>IF(G346="","",G346+10)</f>
        <v/>
      </c>
      <c r="H352" s="84">
        <f t="shared" si="63"/>
        <v>0</v>
      </c>
      <c r="I352" s="84">
        <f t="shared" si="64"/>
        <v>2200</v>
      </c>
      <c r="J352" s="84">
        <f t="shared" si="65"/>
        <v>0</v>
      </c>
      <c r="K352" s="84">
        <f t="shared" si="66"/>
        <v>0</v>
      </c>
      <c r="L352" s="84">
        <f t="shared" si="67"/>
        <v>5</v>
      </c>
      <c r="M352" s="84">
        <f t="shared" si="68"/>
        <v>0</v>
      </c>
      <c r="N352" s="84">
        <f t="shared" si="69"/>
        <v>0</v>
      </c>
      <c r="O352" s="85"/>
      <c r="P352" s="85"/>
      <c r="Q352" s="85"/>
      <c r="R352" s="85"/>
      <c r="S352" s="86">
        <f t="shared" si="73"/>
        <v>365</v>
      </c>
      <c r="T352" s="86" cm="1">
        <f t="array" ref="T352">SUMPRODUCT(F352:M352,$F$154:$M$154)+N352*SUMPRODUCT(O352:R352,$O$154:$R$154)</f>
        <v>6640</v>
      </c>
    </row>
    <row r="353" spans="4:20">
      <c r="D353" s="81" t="str">
        <f t="shared" ref="D353:D365" si="74">SUBSTITUTE(D323,"瑰宝","非凡")</f>
        <v>非凡Ⅲ</v>
      </c>
      <c r="E353" s="84">
        <f t="shared" si="70"/>
        <v>6</v>
      </c>
      <c r="F353" s="84">
        <f>CEILING(F352*1.5,5)</f>
        <v>660</v>
      </c>
      <c r="G353" s="84">
        <f>IF(G347="","",CEILING(G351*1.5,5))</f>
        <v>780</v>
      </c>
      <c r="H353" s="84">
        <f t="shared" si="63"/>
        <v>1</v>
      </c>
      <c r="I353" s="84" t="str">
        <f t="shared" si="64"/>
        <v/>
      </c>
      <c r="J353" s="84">
        <f t="shared" si="65"/>
        <v>0</v>
      </c>
      <c r="K353" s="84">
        <f t="shared" si="66"/>
        <v>0</v>
      </c>
      <c r="L353" s="84">
        <f t="shared" si="67"/>
        <v>0</v>
      </c>
      <c r="M353" s="84">
        <f t="shared" si="68"/>
        <v>0</v>
      </c>
      <c r="N353" s="84">
        <f t="shared" si="69"/>
        <v>8</v>
      </c>
      <c r="O353" s="85"/>
      <c r="P353" s="85"/>
      <c r="Q353" s="85">
        <v>0.46</v>
      </c>
      <c r="R353" s="85">
        <v>0.54</v>
      </c>
      <c r="S353" s="86">
        <f t="shared" si="73"/>
        <v>365</v>
      </c>
      <c r="T353" s="86" cm="1">
        <f t="array" ref="T353">SUMPRODUCT(F353:M353,$F$154:$M$154)+N353*SUMPRODUCT(O353:R353,$O$154:$R$154)</f>
        <v>11446</v>
      </c>
    </row>
    <row r="354" spans="4:20">
      <c r="D354" s="81" t="str">
        <f t="shared" si="74"/>
        <v>非凡Ⅳ</v>
      </c>
      <c r="E354" s="84">
        <f t="shared" si="70"/>
        <v>1</v>
      </c>
      <c r="F354" s="84">
        <f>F348+10</f>
        <v>450</v>
      </c>
      <c r="G354" s="84" t="str">
        <f>IF(G348="","",G348+10)</f>
        <v/>
      </c>
      <c r="H354" s="84">
        <f t="shared" si="63"/>
        <v>0</v>
      </c>
      <c r="I354" s="84">
        <f t="shared" si="64"/>
        <v>2250</v>
      </c>
      <c r="J354" s="84">
        <f t="shared" si="65"/>
        <v>9</v>
      </c>
      <c r="K354" s="84">
        <f t="shared" si="66"/>
        <v>0</v>
      </c>
      <c r="L354" s="84">
        <f t="shared" si="67"/>
        <v>0</v>
      </c>
      <c r="M354" s="84">
        <f t="shared" si="68"/>
        <v>0</v>
      </c>
      <c r="N354" s="84">
        <f t="shared" si="69"/>
        <v>0</v>
      </c>
      <c r="O354" s="85"/>
      <c r="P354" s="85"/>
      <c r="Q354" s="85"/>
      <c r="R354" s="85"/>
      <c r="S354" s="86">
        <f t="shared" si="73"/>
        <v>375</v>
      </c>
      <c r="T354" s="86" cm="1">
        <f t="array" ref="T354">SUMPRODUCT(F354:M354,$F$154:$M$154)+N354*SUMPRODUCT(O354:R354,$O$154:$R$154)</f>
        <v>4500</v>
      </c>
    </row>
    <row r="355" spans="4:20">
      <c r="D355" s="81" t="str">
        <f t="shared" si="74"/>
        <v>非凡Ⅳ</v>
      </c>
      <c r="E355" s="84">
        <f t="shared" si="70"/>
        <v>2</v>
      </c>
      <c r="F355" s="84">
        <f>F349+10</f>
        <v>450</v>
      </c>
      <c r="G355" s="84">
        <f>IF(G349="","",G349+10)</f>
        <v>530</v>
      </c>
      <c r="H355" s="84">
        <f t="shared" ref="H355:H395" si="75">H349</f>
        <v>0</v>
      </c>
      <c r="I355" s="84">
        <f t="shared" ref="I355:I395" si="76">IF(I349="","",I349+50)</f>
        <v>2250</v>
      </c>
      <c r="J355" s="84">
        <f t="shared" ref="J355:J395" si="77">J349</f>
        <v>0</v>
      </c>
      <c r="K355" s="84">
        <f t="shared" ref="K355:K395" si="78">K349</f>
        <v>0</v>
      </c>
      <c r="L355" s="84">
        <f t="shared" ref="L355:L395" si="79">L349</f>
        <v>0</v>
      </c>
      <c r="M355" s="84">
        <f t="shared" ref="M355:M395" si="80">M349</f>
        <v>0</v>
      </c>
      <c r="N355" s="84">
        <f t="shared" ref="N355:N395" si="81">N349</f>
        <v>0</v>
      </c>
      <c r="O355" s="85"/>
      <c r="P355" s="85"/>
      <c r="Q355" s="85"/>
      <c r="R355" s="85"/>
      <c r="S355" s="86">
        <f t="shared" si="73"/>
        <v>375</v>
      </c>
      <c r="T355" s="86" cm="1">
        <f t="array" ref="T355">SUMPRODUCT(F355:M355,$F$154:$M$154)+N355*SUMPRODUCT(O355:R355,$O$154:$R$154)</f>
        <v>3230</v>
      </c>
    </row>
    <row r="356" spans="4:20">
      <c r="D356" s="81" t="str">
        <f t="shared" si="74"/>
        <v>非凡Ⅳ</v>
      </c>
      <c r="E356" s="84">
        <f t="shared" si="70"/>
        <v>3</v>
      </c>
      <c r="F356" s="84">
        <f>CEILING(F355*1.25,5)</f>
        <v>565</v>
      </c>
      <c r="G356" s="84" t="str">
        <f>IF(G350="","",G350+10)</f>
        <v/>
      </c>
      <c r="H356" s="84">
        <f t="shared" si="75"/>
        <v>0</v>
      </c>
      <c r="I356" s="84">
        <f t="shared" si="76"/>
        <v>2250</v>
      </c>
      <c r="J356" s="84">
        <f t="shared" si="77"/>
        <v>0</v>
      </c>
      <c r="K356" s="84">
        <f t="shared" si="78"/>
        <v>6</v>
      </c>
      <c r="L356" s="84">
        <f t="shared" si="79"/>
        <v>0</v>
      </c>
      <c r="M356" s="84">
        <f t="shared" si="80"/>
        <v>0</v>
      </c>
      <c r="N356" s="84">
        <f t="shared" si="81"/>
        <v>0</v>
      </c>
      <c r="O356" s="85"/>
      <c r="P356" s="85"/>
      <c r="Q356" s="85"/>
      <c r="R356" s="85"/>
      <c r="S356" s="86">
        <f t="shared" si="73"/>
        <v>375</v>
      </c>
      <c r="T356" s="86" cm="1">
        <f t="array" ref="T356">SUMPRODUCT(F356:M356,$F$154:$M$154)+N356*SUMPRODUCT(O356:R356,$O$154:$R$154)</f>
        <v>5215</v>
      </c>
    </row>
    <row r="357" spans="4:20">
      <c r="D357" s="81" t="str">
        <f t="shared" si="74"/>
        <v>非凡Ⅳ</v>
      </c>
      <c r="E357" s="84">
        <f t="shared" si="70"/>
        <v>4</v>
      </c>
      <c r="F357" s="84">
        <f>F351+10</f>
        <v>450</v>
      </c>
      <c r="G357" s="84">
        <f>IF(G351="","",G351+10)</f>
        <v>530</v>
      </c>
      <c r="H357" s="84">
        <f t="shared" si="75"/>
        <v>0</v>
      </c>
      <c r="I357" s="84">
        <f t="shared" si="76"/>
        <v>2250</v>
      </c>
      <c r="J357" s="84">
        <f t="shared" si="77"/>
        <v>0</v>
      </c>
      <c r="K357" s="84">
        <f t="shared" si="78"/>
        <v>0</v>
      </c>
      <c r="L357" s="84">
        <f t="shared" si="79"/>
        <v>0</v>
      </c>
      <c r="M357" s="84">
        <f t="shared" si="80"/>
        <v>0</v>
      </c>
      <c r="N357" s="84">
        <f t="shared" si="81"/>
        <v>0</v>
      </c>
      <c r="O357" s="85"/>
      <c r="P357" s="85"/>
      <c r="Q357" s="85"/>
      <c r="R357" s="85"/>
      <c r="S357" s="86">
        <f t="shared" si="73"/>
        <v>375</v>
      </c>
      <c r="T357" s="86" cm="1">
        <f t="array" ref="T357">SUMPRODUCT(F357:M357,$F$154:$M$154)+N357*SUMPRODUCT(O357:R357,$O$154:$R$154)</f>
        <v>3230</v>
      </c>
    </row>
    <row r="358" spans="4:20">
      <c r="D358" s="81" t="str">
        <f t="shared" si="74"/>
        <v>非凡Ⅳ</v>
      </c>
      <c r="E358" s="84">
        <f t="shared" si="70"/>
        <v>5</v>
      </c>
      <c r="F358" s="84">
        <f>F352+10</f>
        <v>450</v>
      </c>
      <c r="G358" s="84" t="str">
        <f>IF(G352="","",G352+10)</f>
        <v/>
      </c>
      <c r="H358" s="84">
        <f t="shared" si="75"/>
        <v>0</v>
      </c>
      <c r="I358" s="84">
        <f t="shared" si="76"/>
        <v>2250</v>
      </c>
      <c r="J358" s="84">
        <f t="shared" si="77"/>
        <v>0</v>
      </c>
      <c r="K358" s="84">
        <f t="shared" si="78"/>
        <v>0</v>
      </c>
      <c r="L358" s="84">
        <f t="shared" si="79"/>
        <v>5</v>
      </c>
      <c r="M358" s="84">
        <f t="shared" si="80"/>
        <v>0</v>
      </c>
      <c r="N358" s="84">
        <f t="shared" si="81"/>
        <v>0</v>
      </c>
      <c r="O358" s="85"/>
      <c r="P358" s="85"/>
      <c r="Q358" s="85"/>
      <c r="R358" s="85"/>
      <c r="S358" s="86">
        <f t="shared" si="73"/>
        <v>375</v>
      </c>
      <c r="T358" s="86" cm="1">
        <f t="array" ref="T358">SUMPRODUCT(F358:M358,$F$154:$M$154)+N358*SUMPRODUCT(O358:R358,$O$154:$R$154)</f>
        <v>6700</v>
      </c>
    </row>
    <row r="359" spans="4:20">
      <c r="D359" s="81" t="str">
        <f t="shared" si="74"/>
        <v>非凡Ⅳ</v>
      </c>
      <c r="E359" s="84">
        <f t="shared" si="70"/>
        <v>6</v>
      </c>
      <c r="F359" s="84">
        <f>CEILING(F358*1.5,5)</f>
        <v>675</v>
      </c>
      <c r="G359" s="84">
        <f>IF(G353="","",CEILING(G357*1.5,5))</f>
        <v>795</v>
      </c>
      <c r="H359" s="84">
        <f t="shared" si="75"/>
        <v>1</v>
      </c>
      <c r="I359" s="84" t="str">
        <f t="shared" si="76"/>
        <v/>
      </c>
      <c r="J359" s="84">
        <f t="shared" si="77"/>
        <v>0</v>
      </c>
      <c r="K359" s="84">
        <f t="shared" si="78"/>
        <v>0</v>
      </c>
      <c r="L359" s="84">
        <f t="shared" si="79"/>
        <v>0</v>
      </c>
      <c r="M359" s="84">
        <f t="shared" si="80"/>
        <v>0</v>
      </c>
      <c r="N359" s="84">
        <f t="shared" si="81"/>
        <v>8</v>
      </c>
      <c r="O359" s="85"/>
      <c r="P359" s="85"/>
      <c r="Q359" s="85">
        <v>0.43</v>
      </c>
      <c r="R359" s="85">
        <v>0.57</v>
      </c>
      <c r="S359" s="86">
        <f t="shared" si="73"/>
        <v>375</v>
      </c>
      <c r="T359" s="86" cm="1">
        <f t="array" ref="T359">SUMPRODUCT(F359:M359,$F$154:$M$154)+N359*SUMPRODUCT(O359:R359,$O$154:$R$154)</f>
        <v>11668</v>
      </c>
    </row>
    <row r="360" spans="4:20">
      <c r="D360" s="81" t="str">
        <f t="shared" si="74"/>
        <v>非凡Ⅴ</v>
      </c>
      <c r="E360" s="84">
        <f t="shared" si="70"/>
        <v>1</v>
      </c>
      <c r="F360" s="84">
        <f>F354+10</f>
        <v>460</v>
      </c>
      <c r="G360" s="84" t="str">
        <f>IF(G354="","",G354+10)</f>
        <v/>
      </c>
      <c r="H360" s="84">
        <f t="shared" si="75"/>
        <v>0</v>
      </c>
      <c r="I360" s="84">
        <f t="shared" si="76"/>
        <v>2300</v>
      </c>
      <c r="J360" s="84">
        <f t="shared" si="77"/>
        <v>9</v>
      </c>
      <c r="K360" s="84">
        <f t="shared" si="78"/>
        <v>0</v>
      </c>
      <c r="L360" s="84">
        <f t="shared" si="79"/>
        <v>0</v>
      </c>
      <c r="M360" s="84">
        <f t="shared" si="80"/>
        <v>0</v>
      </c>
      <c r="N360" s="84">
        <f t="shared" si="81"/>
        <v>0</v>
      </c>
      <c r="O360" s="85"/>
      <c r="P360" s="85"/>
      <c r="Q360" s="85"/>
      <c r="R360" s="85"/>
      <c r="S360" s="86">
        <f t="shared" si="73"/>
        <v>385</v>
      </c>
      <c r="T360" s="86" cm="1">
        <f t="array" ref="T360">SUMPRODUCT(F360:M360,$F$154:$M$154)+N360*SUMPRODUCT(O360:R360,$O$154:$R$154)</f>
        <v>4560</v>
      </c>
    </row>
    <row r="361" spans="4:20">
      <c r="D361" s="81" t="str">
        <f t="shared" si="74"/>
        <v>非凡Ⅴ</v>
      </c>
      <c r="E361" s="84">
        <f t="shared" ref="E361:E395" si="82">E355</f>
        <v>2</v>
      </c>
      <c r="F361" s="84">
        <f>F355+10</f>
        <v>460</v>
      </c>
      <c r="G361" s="84">
        <f>IF(G355="","",G355+10)</f>
        <v>540</v>
      </c>
      <c r="H361" s="84">
        <f t="shared" si="75"/>
        <v>0</v>
      </c>
      <c r="I361" s="84">
        <f t="shared" si="76"/>
        <v>2300</v>
      </c>
      <c r="J361" s="84">
        <f t="shared" si="77"/>
        <v>0</v>
      </c>
      <c r="K361" s="84">
        <f t="shared" si="78"/>
        <v>0</v>
      </c>
      <c r="L361" s="84">
        <f t="shared" si="79"/>
        <v>0</v>
      </c>
      <c r="M361" s="84">
        <f t="shared" si="80"/>
        <v>0</v>
      </c>
      <c r="N361" s="84">
        <f t="shared" si="81"/>
        <v>0</v>
      </c>
      <c r="O361" s="85"/>
      <c r="P361" s="85"/>
      <c r="Q361" s="85"/>
      <c r="R361" s="85"/>
      <c r="S361" s="86">
        <f t="shared" si="73"/>
        <v>385</v>
      </c>
      <c r="T361" s="86" cm="1">
        <f t="array" ref="T361">SUMPRODUCT(F361:M361,$F$154:$M$154)+N361*SUMPRODUCT(O361:R361,$O$154:$R$154)</f>
        <v>3300</v>
      </c>
    </row>
    <row r="362" spans="4:20">
      <c r="D362" s="81" t="str">
        <f t="shared" si="74"/>
        <v>非凡Ⅴ</v>
      </c>
      <c r="E362" s="84">
        <f t="shared" si="82"/>
        <v>3</v>
      </c>
      <c r="F362" s="84">
        <f>CEILING(F361*1.25,5)</f>
        <v>575</v>
      </c>
      <c r="G362" s="84" t="str">
        <f>IF(G356="","",G356+10)</f>
        <v/>
      </c>
      <c r="H362" s="84">
        <f t="shared" si="75"/>
        <v>0</v>
      </c>
      <c r="I362" s="84">
        <f t="shared" si="76"/>
        <v>2300</v>
      </c>
      <c r="J362" s="84">
        <f t="shared" si="77"/>
        <v>0</v>
      </c>
      <c r="K362" s="84">
        <f t="shared" si="78"/>
        <v>6</v>
      </c>
      <c r="L362" s="84">
        <f t="shared" si="79"/>
        <v>0</v>
      </c>
      <c r="M362" s="84">
        <f t="shared" si="80"/>
        <v>0</v>
      </c>
      <c r="N362" s="84">
        <f t="shared" si="81"/>
        <v>0</v>
      </c>
      <c r="O362" s="85"/>
      <c r="P362" s="85"/>
      <c r="Q362" s="85"/>
      <c r="R362" s="85"/>
      <c r="S362" s="86">
        <f t="shared" si="73"/>
        <v>385</v>
      </c>
      <c r="T362" s="86" cm="1">
        <f t="array" ref="T362">SUMPRODUCT(F362:M362,$F$154:$M$154)+N362*SUMPRODUCT(O362:R362,$O$154:$R$154)</f>
        <v>5275</v>
      </c>
    </row>
    <row r="363" spans="4:20">
      <c r="D363" s="81" t="str">
        <f t="shared" si="74"/>
        <v>非凡Ⅴ</v>
      </c>
      <c r="E363" s="84">
        <f t="shared" si="82"/>
        <v>4</v>
      </c>
      <c r="F363" s="84">
        <f>F357+10</f>
        <v>460</v>
      </c>
      <c r="G363" s="84">
        <f>IF(G357="","",G357+10)</f>
        <v>540</v>
      </c>
      <c r="H363" s="84">
        <f t="shared" si="75"/>
        <v>0</v>
      </c>
      <c r="I363" s="84">
        <f t="shared" si="76"/>
        <v>2300</v>
      </c>
      <c r="J363" s="84">
        <f t="shared" si="77"/>
        <v>0</v>
      </c>
      <c r="K363" s="84">
        <f t="shared" si="78"/>
        <v>0</v>
      </c>
      <c r="L363" s="84">
        <f t="shared" si="79"/>
        <v>0</v>
      </c>
      <c r="M363" s="84">
        <f t="shared" si="80"/>
        <v>0</v>
      </c>
      <c r="N363" s="84">
        <f t="shared" si="81"/>
        <v>0</v>
      </c>
      <c r="O363" s="85"/>
      <c r="P363" s="85"/>
      <c r="Q363" s="85"/>
      <c r="R363" s="85"/>
      <c r="S363" s="86">
        <f t="shared" si="73"/>
        <v>385</v>
      </c>
      <c r="T363" s="86" cm="1">
        <f t="array" ref="T363">SUMPRODUCT(F363:M363,$F$154:$M$154)+N363*SUMPRODUCT(O363:R363,$O$154:$R$154)</f>
        <v>3300</v>
      </c>
    </row>
    <row r="364" spans="4:20">
      <c r="D364" s="81" t="str">
        <f t="shared" si="74"/>
        <v>非凡Ⅴ</v>
      </c>
      <c r="E364" s="84">
        <f t="shared" si="82"/>
        <v>5</v>
      </c>
      <c r="F364" s="84">
        <f>F358+10</f>
        <v>460</v>
      </c>
      <c r="G364" s="84" t="str">
        <f>IF(G358="","",G358+10)</f>
        <v/>
      </c>
      <c r="H364" s="84">
        <f t="shared" si="75"/>
        <v>0</v>
      </c>
      <c r="I364" s="84">
        <f t="shared" si="76"/>
        <v>2300</v>
      </c>
      <c r="J364" s="84">
        <f t="shared" si="77"/>
        <v>0</v>
      </c>
      <c r="K364" s="84">
        <f t="shared" si="78"/>
        <v>0</v>
      </c>
      <c r="L364" s="84">
        <f t="shared" si="79"/>
        <v>5</v>
      </c>
      <c r="M364" s="84">
        <f t="shared" si="80"/>
        <v>0</v>
      </c>
      <c r="N364" s="84">
        <f t="shared" si="81"/>
        <v>0</v>
      </c>
      <c r="O364" s="85"/>
      <c r="P364" s="85"/>
      <c r="Q364" s="85"/>
      <c r="R364" s="85"/>
      <c r="S364" s="86">
        <f t="shared" si="73"/>
        <v>385</v>
      </c>
      <c r="T364" s="86" cm="1">
        <f t="array" ref="T364">SUMPRODUCT(F364:M364,$F$154:$M$154)+N364*SUMPRODUCT(O364:R364,$O$154:$R$154)</f>
        <v>6760</v>
      </c>
    </row>
    <row r="365" spans="4:20">
      <c r="D365" s="81" t="str">
        <f t="shared" si="74"/>
        <v>非凡Ⅴ</v>
      </c>
      <c r="E365" s="84">
        <f t="shared" si="82"/>
        <v>6</v>
      </c>
      <c r="F365" s="84">
        <f>CEILING(F364*1.5,5)</f>
        <v>690</v>
      </c>
      <c r="G365" s="84">
        <f>IF(G359="","",CEILING(G363*1.5,5))</f>
        <v>810</v>
      </c>
      <c r="H365" s="84">
        <f t="shared" si="75"/>
        <v>1</v>
      </c>
      <c r="I365" s="84" t="str">
        <f t="shared" si="76"/>
        <v/>
      </c>
      <c r="J365" s="84">
        <f t="shared" si="77"/>
        <v>0</v>
      </c>
      <c r="K365" s="84">
        <f t="shared" si="78"/>
        <v>0</v>
      </c>
      <c r="L365" s="84">
        <f t="shared" si="79"/>
        <v>0</v>
      </c>
      <c r="M365" s="84">
        <f t="shared" si="80"/>
        <v>0</v>
      </c>
      <c r="N365" s="84">
        <f t="shared" si="81"/>
        <v>8</v>
      </c>
      <c r="O365" s="85"/>
      <c r="P365" s="85"/>
      <c r="Q365" s="85">
        <v>0.4</v>
      </c>
      <c r="R365" s="85">
        <v>0.6</v>
      </c>
      <c r="S365" s="86">
        <f t="shared" si="73"/>
        <v>385</v>
      </c>
      <c r="T365" s="86" cm="1">
        <f t="array" ref="T365">SUMPRODUCT(F365:M365,$F$154:$M$154)+N365*SUMPRODUCT(O365:R365,$O$154:$R$154)</f>
        <v>11890</v>
      </c>
    </row>
    <row r="366" spans="4:20">
      <c r="D366" s="77" t="str">
        <f>SUBSTITUTE(D336,"非凡","至臻")</f>
        <v>至臻Ⅰ</v>
      </c>
      <c r="E366" s="80">
        <f t="shared" si="82"/>
        <v>1</v>
      </c>
      <c r="F366" s="80">
        <f>F360+10</f>
        <v>470</v>
      </c>
      <c r="G366" s="80" t="str">
        <f>IF(G360="","",G360+10)</f>
        <v/>
      </c>
      <c r="H366" s="80">
        <f t="shared" si="75"/>
        <v>0</v>
      </c>
      <c r="I366" s="80">
        <f t="shared" si="76"/>
        <v>2350</v>
      </c>
      <c r="J366" s="80">
        <f t="shared" si="77"/>
        <v>9</v>
      </c>
      <c r="K366" s="80">
        <f t="shared" si="78"/>
        <v>0</v>
      </c>
      <c r="L366" s="80">
        <f t="shared" si="79"/>
        <v>0</v>
      </c>
      <c r="M366" s="80">
        <f t="shared" si="80"/>
        <v>0</v>
      </c>
      <c r="N366" s="80">
        <f t="shared" si="81"/>
        <v>0</v>
      </c>
      <c r="O366" s="89"/>
      <c r="P366" s="89"/>
      <c r="Q366" s="89"/>
      <c r="R366" s="89"/>
      <c r="S366" s="90">
        <f t="shared" si="73"/>
        <v>395</v>
      </c>
      <c r="T366" s="90" cm="1">
        <f t="array" ref="T366">SUMPRODUCT(F366:M366,$F$154:$M$154)+N366*SUMPRODUCT(O366:R366,$O$154:$R$154)</f>
        <v>4620</v>
      </c>
    </row>
    <row r="367" spans="4:20">
      <c r="D367" s="77" t="str">
        <f t="shared" ref="D367:D397" si="83">SUBSTITUTE(D337,"非凡","至臻")</f>
        <v>至臻Ⅰ</v>
      </c>
      <c r="E367" s="80">
        <f t="shared" si="82"/>
        <v>2</v>
      </c>
      <c r="F367" s="80">
        <f>F361+10</f>
        <v>470</v>
      </c>
      <c r="G367" s="80">
        <f>IF(G361="","",G361+10)</f>
        <v>550</v>
      </c>
      <c r="H367" s="80">
        <f t="shared" si="75"/>
        <v>0</v>
      </c>
      <c r="I367" s="80">
        <f t="shared" si="76"/>
        <v>2350</v>
      </c>
      <c r="J367" s="80">
        <f t="shared" si="77"/>
        <v>0</v>
      </c>
      <c r="K367" s="80">
        <f t="shared" si="78"/>
        <v>0</v>
      </c>
      <c r="L367" s="80">
        <f t="shared" si="79"/>
        <v>0</v>
      </c>
      <c r="M367" s="80">
        <f t="shared" si="80"/>
        <v>0</v>
      </c>
      <c r="N367" s="80">
        <f t="shared" si="81"/>
        <v>0</v>
      </c>
      <c r="O367" s="89"/>
      <c r="P367" s="89"/>
      <c r="Q367" s="89"/>
      <c r="R367" s="89"/>
      <c r="S367" s="90">
        <f t="shared" si="73"/>
        <v>395</v>
      </c>
      <c r="T367" s="90" cm="1">
        <f t="array" ref="T367">SUMPRODUCT(F367:M367,$F$154:$M$154)+N367*SUMPRODUCT(O367:R367,$O$154:$R$154)</f>
        <v>3370</v>
      </c>
    </row>
    <row r="368" spans="4:20">
      <c r="D368" s="77" t="str">
        <f t="shared" si="83"/>
        <v>至臻Ⅰ</v>
      </c>
      <c r="E368" s="80">
        <f t="shared" si="82"/>
        <v>3</v>
      </c>
      <c r="F368" s="80">
        <f>CEILING(F367*1.25,5)</f>
        <v>590</v>
      </c>
      <c r="G368" s="80" t="str">
        <f>IF(G362="","",G362+10)</f>
        <v/>
      </c>
      <c r="H368" s="80">
        <f t="shared" si="75"/>
        <v>0</v>
      </c>
      <c r="I368" s="80">
        <f t="shared" si="76"/>
        <v>2350</v>
      </c>
      <c r="J368" s="80">
        <f t="shared" si="77"/>
        <v>0</v>
      </c>
      <c r="K368" s="80">
        <f t="shared" si="78"/>
        <v>6</v>
      </c>
      <c r="L368" s="80">
        <f t="shared" si="79"/>
        <v>0</v>
      </c>
      <c r="M368" s="80">
        <f t="shared" si="80"/>
        <v>0</v>
      </c>
      <c r="N368" s="80">
        <f t="shared" si="81"/>
        <v>0</v>
      </c>
      <c r="O368" s="89"/>
      <c r="P368" s="89"/>
      <c r="Q368" s="89"/>
      <c r="R368" s="89"/>
      <c r="S368" s="90">
        <f t="shared" si="73"/>
        <v>395</v>
      </c>
      <c r="T368" s="90" cm="1">
        <f t="array" ref="T368">SUMPRODUCT(F368:M368,$F$154:$M$154)+N368*SUMPRODUCT(O368:R368,$O$154:$R$154)</f>
        <v>5340</v>
      </c>
    </row>
    <row r="369" spans="4:20">
      <c r="D369" s="77" t="str">
        <f t="shared" si="83"/>
        <v>至臻Ⅰ</v>
      </c>
      <c r="E369" s="80">
        <f t="shared" si="82"/>
        <v>4</v>
      </c>
      <c r="F369" s="80">
        <f>F363+10</f>
        <v>470</v>
      </c>
      <c r="G369" s="80">
        <f>IF(G363="","",G363+10)</f>
        <v>550</v>
      </c>
      <c r="H369" s="80">
        <f t="shared" si="75"/>
        <v>0</v>
      </c>
      <c r="I369" s="80">
        <f t="shared" si="76"/>
        <v>2350</v>
      </c>
      <c r="J369" s="80">
        <f t="shared" si="77"/>
        <v>0</v>
      </c>
      <c r="K369" s="80">
        <f t="shared" si="78"/>
        <v>0</v>
      </c>
      <c r="L369" s="80">
        <f t="shared" si="79"/>
        <v>0</v>
      </c>
      <c r="M369" s="80">
        <f t="shared" si="80"/>
        <v>0</v>
      </c>
      <c r="N369" s="80">
        <f t="shared" si="81"/>
        <v>0</v>
      </c>
      <c r="O369" s="89"/>
      <c r="P369" s="89"/>
      <c r="Q369" s="89"/>
      <c r="R369" s="89"/>
      <c r="S369" s="90">
        <f t="shared" si="73"/>
        <v>395</v>
      </c>
      <c r="T369" s="90" cm="1">
        <f t="array" ref="T369">SUMPRODUCT(F369:M369,$F$154:$M$154)+N369*SUMPRODUCT(O369:R369,$O$154:$R$154)</f>
        <v>3370</v>
      </c>
    </row>
    <row r="370" spans="4:20">
      <c r="D370" s="77" t="str">
        <f t="shared" si="83"/>
        <v>至臻Ⅰ</v>
      </c>
      <c r="E370" s="80">
        <f t="shared" si="82"/>
        <v>5</v>
      </c>
      <c r="F370" s="80">
        <f>F364+10</f>
        <v>470</v>
      </c>
      <c r="G370" s="80" t="str">
        <f>IF(G364="","",G364+10)</f>
        <v/>
      </c>
      <c r="H370" s="80">
        <f t="shared" si="75"/>
        <v>0</v>
      </c>
      <c r="I370" s="80">
        <f t="shared" si="76"/>
        <v>2350</v>
      </c>
      <c r="J370" s="80">
        <f t="shared" si="77"/>
        <v>0</v>
      </c>
      <c r="K370" s="80">
        <f t="shared" si="78"/>
        <v>0</v>
      </c>
      <c r="L370" s="80">
        <f t="shared" si="79"/>
        <v>5</v>
      </c>
      <c r="M370" s="80">
        <f t="shared" si="80"/>
        <v>0</v>
      </c>
      <c r="N370" s="80">
        <f t="shared" si="81"/>
        <v>0</v>
      </c>
      <c r="O370" s="89"/>
      <c r="P370" s="89"/>
      <c r="Q370" s="89"/>
      <c r="R370" s="89"/>
      <c r="S370" s="90">
        <f t="shared" si="73"/>
        <v>395</v>
      </c>
      <c r="T370" s="90" cm="1">
        <f t="array" ref="T370">SUMPRODUCT(F370:M370,$F$154:$M$154)+N370*SUMPRODUCT(O370:R370,$O$154:$R$154)</f>
        <v>6820</v>
      </c>
    </row>
    <row r="371" spans="4:20">
      <c r="D371" s="77" t="str">
        <f t="shared" si="83"/>
        <v>至臻Ⅰ</v>
      </c>
      <c r="E371" s="80">
        <f t="shared" si="82"/>
        <v>6</v>
      </c>
      <c r="F371" s="80">
        <f>CEILING(F370*1.5,5)</f>
        <v>705</v>
      </c>
      <c r="G371" s="80">
        <f>IF(G365="","",CEILING(G369*1.5,5))</f>
        <v>825</v>
      </c>
      <c r="H371" s="80">
        <f t="shared" si="75"/>
        <v>1</v>
      </c>
      <c r="I371" s="80" t="str">
        <f t="shared" si="76"/>
        <v/>
      </c>
      <c r="J371" s="80">
        <f t="shared" si="77"/>
        <v>0</v>
      </c>
      <c r="K371" s="80">
        <f t="shared" si="78"/>
        <v>0</v>
      </c>
      <c r="L371" s="80">
        <f t="shared" si="79"/>
        <v>0</v>
      </c>
      <c r="M371" s="80">
        <f t="shared" si="80"/>
        <v>0</v>
      </c>
      <c r="N371" s="80">
        <f t="shared" si="81"/>
        <v>8</v>
      </c>
      <c r="O371" s="89"/>
      <c r="P371" s="89"/>
      <c r="Q371" s="89">
        <v>0.37</v>
      </c>
      <c r="R371" s="89">
        <v>0.63</v>
      </c>
      <c r="S371" s="90">
        <f t="shared" si="73"/>
        <v>395</v>
      </c>
      <c r="T371" s="90" cm="1">
        <f t="array" ref="T371">SUMPRODUCT(F371:M371,$F$154:$M$154)+N371*SUMPRODUCT(O371:R371,$O$154:$R$154)</f>
        <v>12112</v>
      </c>
    </row>
    <row r="372" spans="4:20">
      <c r="D372" s="77" t="str">
        <f t="shared" si="83"/>
        <v>至臻Ⅱ</v>
      </c>
      <c r="E372" s="80">
        <f t="shared" si="82"/>
        <v>1</v>
      </c>
      <c r="F372" s="80">
        <f>F366+10</f>
        <v>480</v>
      </c>
      <c r="G372" s="80" t="str">
        <f>IF(G366="","",G366+10)</f>
        <v/>
      </c>
      <c r="H372" s="80">
        <f t="shared" si="75"/>
        <v>0</v>
      </c>
      <c r="I372" s="80">
        <f t="shared" si="76"/>
        <v>2400</v>
      </c>
      <c r="J372" s="80">
        <f t="shared" si="77"/>
        <v>9</v>
      </c>
      <c r="K372" s="80">
        <f t="shared" si="78"/>
        <v>0</v>
      </c>
      <c r="L372" s="80">
        <f t="shared" si="79"/>
        <v>0</v>
      </c>
      <c r="M372" s="80">
        <f t="shared" si="80"/>
        <v>0</v>
      </c>
      <c r="N372" s="80">
        <f t="shared" si="81"/>
        <v>0</v>
      </c>
      <c r="O372" s="89"/>
      <c r="P372" s="89"/>
      <c r="Q372" s="89"/>
      <c r="R372" s="89"/>
      <c r="S372" s="90">
        <f t="shared" si="73"/>
        <v>405</v>
      </c>
      <c r="T372" s="90" cm="1">
        <f t="array" ref="T372">SUMPRODUCT(F372:M372,$F$154:$M$154)+N372*SUMPRODUCT(O372:R372,$O$154:$R$154)</f>
        <v>4680</v>
      </c>
    </row>
    <row r="373" spans="4:20">
      <c r="D373" s="77" t="str">
        <f t="shared" si="83"/>
        <v>至臻Ⅱ</v>
      </c>
      <c r="E373" s="80">
        <f t="shared" si="82"/>
        <v>2</v>
      </c>
      <c r="F373" s="80">
        <f>F367+10</f>
        <v>480</v>
      </c>
      <c r="G373" s="80">
        <f>IF(G367="","",G367+10)</f>
        <v>560</v>
      </c>
      <c r="H373" s="80">
        <f t="shared" si="75"/>
        <v>0</v>
      </c>
      <c r="I373" s="80">
        <f t="shared" si="76"/>
        <v>2400</v>
      </c>
      <c r="J373" s="80">
        <f t="shared" si="77"/>
        <v>0</v>
      </c>
      <c r="K373" s="80">
        <f t="shared" si="78"/>
        <v>0</v>
      </c>
      <c r="L373" s="80">
        <f t="shared" si="79"/>
        <v>0</v>
      </c>
      <c r="M373" s="80">
        <f t="shared" si="80"/>
        <v>0</v>
      </c>
      <c r="N373" s="80">
        <f t="shared" si="81"/>
        <v>0</v>
      </c>
      <c r="O373" s="89"/>
      <c r="P373" s="89"/>
      <c r="Q373" s="89"/>
      <c r="R373" s="89"/>
      <c r="S373" s="90">
        <f t="shared" si="73"/>
        <v>405</v>
      </c>
      <c r="T373" s="90" cm="1">
        <f t="array" ref="T373">SUMPRODUCT(F373:M373,$F$154:$M$154)+N373*SUMPRODUCT(O373:R373,$O$154:$R$154)</f>
        <v>3440</v>
      </c>
    </row>
    <row r="374" spans="4:20">
      <c r="D374" s="77" t="str">
        <f t="shared" si="83"/>
        <v>至臻Ⅱ</v>
      </c>
      <c r="E374" s="80">
        <f t="shared" si="82"/>
        <v>3</v>
      </c>
      <c r="F374" s="80">
        <f>CEILING(F373*1.25,5)</f>
        <v>600</v>
      </c>
      <c r="G374" s="80" t="str">
        <f>IF(G368="","",G368+10)</f>
        <v/>
      </c>
      <c r="H374" s="80">
        <f t="shared" si="75"/>
        <v>0</v>
      </c>
      <c r="I374" s="80">
        <f t="shared" si="76"/>
        <v>2400</v>
      </c>
      <c r="J374" s="80">
        <f t="shared" si="77"/>
        <v>0</v>
      </c>
      <c r="K374" s="80">
        <f t="shared" si="78"/>
        <v>6</v>
      </c>
      <c r="L374" s="80">
        <f t="shared" si="79"/>
        <v>0</v>
      </c>
      <c r="M374" s="80">
        <f t="shared" si="80"/>
        <v>0</v>
      </c>
      <c r="N374" s="80">
        <f t="shared" si="81"/>
        <v>0</v>
      </c>
      <c r="O374" s="89"/>
      <c r="P374" s="89"/>
      <c r="Q374" s="89"/>
      <c r="R374" s="89"/>
      <c r="S374" s="90">
        <f t="shared" si="73"/>
        <v>405</v>
      </c>
      <c r="T374" s="90" cm="1">
        <f t="array" ref="T374">SUMPRODUCT(F374:M374,$F$154:$M$154)+N374*SUMPRODUCT(O374:R374,$O$154:$R$154)</f>
        <v>5400</v>
      </c>
    </row>
    <row r="375" spans="4:20">
      <c r="D375" s="77" t="str">
        <f t="shared" si="83"/>
        <v>至臻Ⅱ</v>
      </c>
      <c r="E375" s="80">
        <f t="shared" si="82"/>
        <v>4</v>
      </c>
      <c r="F375" s="80">
        <f>F369+10</f>
        <v>480</v>
      </c>
      <c r="G375" s="80">
        <f>IF(G369="","",G369+10)</f>
        <v>560</v>
      </c>
      <c r="H375" s="80">
        <f t="shared" si="75"/>
        <v>0</v>
      </c>
      <c r="I375" s="80">
        <f t="shared" si="76"/>
        <v>2400</v>
      </c>
      <c r="J375" s="80">
        <f t="shared" si="77"/>
        <v>0</v>
      </c>
      <c r="K375" s="80">
        <f t="shared" si="78"/>
        <v>0</v>
      </c>
      <c r="L375" s="80">
        <f t="shared" si="79"/>
        <v>0</v>
      </c>
      <c r="M375" s="80">
        <f t="shared" si="80"/>
        <v>0</v>
      </c>
      <c r="N375" s="80">
        <f t="shared" si="81"/>
        <v>0</v>
      </c>
      <c r="O375" s="89"/>
      <c r="P375" s="89"/>
      <c r="Q375" s="89"/>
      <c r="R375" s="89"/>
      <c r="S375" s="90">
        <f t="shared" si="73"/>
        <v>405</v>
      </c>
      <c r="T375" s="90" cm="1">
        <f t="array" ref="T375">SUMPRODUCT(F375:M375,$F$154:$M$154)+N375*SUMPRODUCT(O375:R375,$O$154:$R$154)</f>
        <v>3440</v>
      </c>
    </row>
    <row r="376" spans="4:20">
      <c r="D376" s="77" t="str">
        <f t="shared" si="83"/>
        <v>至臻Ⅱ</v>
      </c>
      <c r="E376" s="80">
        <f t="shared" si="82"/>
        <v>5</v>
      </c>
      <c r="F376" s="80">
        <f>F370+10</f>
        <v>480</v>
      </c>
      <c r="G376" s="80" t="str">
        <f>IF(G370="","",G370+10)</f>
        <v/>
      </c>
      <c r="H376" s="80">
        <f t="shared" si="75"/>
        <v>0</v>
      </c>
      <c r="I376" s="80">
        <f t="shared" si="76"/>
        <v>2400</v>
      </c>
      <c r="J376" s="80">
        <f t="shared" si="77"/>
        <v>0</v>
      </c>
      <c r="K376" s="80">
        <f t="shared" si="78"/>
        <v>0</v>
      </c>
      <c r="L376" s="80">
        <f t="shared" si="79"/>
        <v>5</v>
      </c>
      <c r="M376" s="80">
        <f t="shared" si="80"/>
        <v>0</v>
      </c>
      <c r="N376" s="80">
        <f t="shared" si="81"/>
        <v>0</v>
      </c>
      <c r="O376" s="89"/>
      <c r="P376" s="89"/>
      <c r="Q376" s="89"/>
      <c r="R376" s="89"/>
      <c r="S376" s="90">
        <f t="shared" si="73"/>
        <v>405</v>
      </c>
      <c r="T376" s="90" cm="1">
        <f t="array" ref="T376">SUMPRODUCT(F376:M376,$F$154:$M$154)+N376*SUMPRODUCT(O376:R376,$O$154:$R$154)</f>
        <v>6880</v>
      </c>
    </row>
    <row r="377" spans="4:20">
      <c r="D377" s="77" t="str">
        <f t="shared" si="83"/>
        <v>至臻Ⅱ</v>
      </c>
      <c r="E377" s="80">
        <f t="shared" si="82"/>
        <v>6</v>
      </c>
      <c r="F377" s="80">
        <f>CEILING(F376*1.5,5)</f>
        <v>720</v>
      </c>
      <c r="G377" s="80">
        <f>IF(G371="","",CEILING(G375*1.5,5))</f>
        <v>840</v>
      </c>
      <c r="H377" s="80">
        <f t="shared" si="75"/>
        <v>1</v>
      </c>
      <c r="I377" s="80" t="str">
        <f t="shared" si="76"/>
        <v/>
      </c>
      <c r="J377" s="80">
        <f t="shared" si="77"/>
        <v>0</v>
      </c>
      <c r="K377" s="80">
        <f t="shared" si="78"/>
        <v>0</v>
      </c>
      <c r="L377" s="80">
        <f t="shared" si="79"/>
        <v>0</v>
      </c>
      <c r="M377" s="80">
        <f t="shared" si="80"/>
        <v>0</v>
      </c>
      <c r="N377" s="80">
        <f t="shared" si="81"/>
        <v>8</v>
      </c>
      <c r="O377" s="89"/>
      <c r="P377" s="89"/>
      <c r="Q377" s="89">
        <v>0.34</v>
      </c>
      <c r="R377" s="89">
        <v>0.66</v>
      </c>
      <c r="S377" s="90">
        <f t="shared" si="73"/>
        <v>405</v>
      </c>
      <c r="T377" s="90" cm="1">
        <f t="array" ref="T377">SUMPRODUCT(F377:M377,$F$154:$M$154)+N377*SUMPRODUCT(O377:R377,$O$154:$R$154)</f>
        <v>12334</v>
      </c>
    </row>
    <row r="378" spans="4:20">
      <c r="D378" s="77" t="str">
        <f t="shared" si="83"/>
        <v>至臻Ⅲ</v>
      </c>
      <c r="E378" s="80">
        <f t="shared" si="82"/>
        <v>1</v>
      </c>
      <c r="F378" s="80">
        <f>F372+10</f>
        <v>490</v>
      </c>
      <c r="G378" s="80" t="str">
        <f>IF(G372="","",G372+10)</f>
        <v/>
      </c>
      <c r="H378" s="80">
        <f t="shared" si="75"/>
        <v>0</v>
      </c>
      <c r="I378" s="80">
        <f t="shared" si="76"/>
        <v>2450</v>
      </c>
      <c r="J378" s="80">
        <f t="shared" si="77"/>
        <v>9</v>
      </c>
      <c r="K378" s="80">
        <f t="shared" si="78"/>
        <v>0</v>
      </c>
      <c r="L378" s="80">
        <f t="shared" si="79"/>
        <v>0</v>
      </c>
      <c r="M378" s="80">
        <f t="shared" si="80"/>
        <v>0</v>
      </c>
      <c r="N378" s="80">
        <f t="shared" si="81"/>
        <v>0</v>
      </c>
      <c r="O378" s="89"/>
      <c r="P378" s="89"/>
      <c r="Q378" s="89"/>
      <c r="R378" s="89"/>
      <c r="S378" s="90">
        <f t="shared" si="73"/>
        <v>415</v>
      </c>
      <c r="T378" s="90" cm="1">
        <f t="array" ref="T378">SUMPRODUCT(F378:M378,$F$154:$M$154)+N378*SUMPRODUCT(O378:R378,$O$154:$R$154)</f>
        <v>4740</v>
      </c>
    </row>
    <row r="379" spans="4:20">
      <c r="D379" s="77" t="str">
        <f t="shared" si="83"/>
        <v>至臻Ⅲ</v>
      </c>
      <c r="E379" s="80">
        <f t="shared" si="82"/>
        <v>2</v>
      </c>
      <c r="F379" s="80">
        <f>F373+10</f>
        <v>490</v>
      </c>
      <c r="G379" s="80">
        <f>IF(G373="","",G373+10)</f>
        <v>570</v>
      </c>
      <c r="H379" s="80">
        <f t="shared" si="75"/>
        <v>0</v>
      </c>
      <c r="I379" s="80">
        <f t="shared" si="76"/>
        <v>2450</v>
      </c>
      <c r="J379" s="80">
        <f t="shared" si="77"/>
        <v>0</v>
      </c>
      <c r="K379" s="80">
        <f t="shared" si="78"/>
        <v>0</v>
      </c>
      <c r="L379" s="80">
        <f t="shared" si="79"/>
        <v>0</v>
      </c>
      <c r="M379" s="80">
        <f t="shared" si="80"/>
        <v>0</v>
      </c>
      <c r="N379" s="80">
        <f t="shared" si="81"/>
        <v>0</v>
      </c>
      <c r="O379" s="89"/>
      <c r="P379" s="89"/>
      <c r="Q379" s="89"/>
      <c r="R379" s="89"/>
      <c r="S379" s="90">
        <f t="shared" si="73"/>
        <v>415</v>
      </c>
      <c r="T379" s="90" cm="1">
        <f t="array" ref="T379">SUMPRODUCT(F379:M379,$F$154:$M$154)+N379*SUMPRODUCT(O379:R379,$O$154:$R$154)</f>
        <v>3510</v>
      </c>
    </row>
    <row r="380" spans="4:20">
      <c r="D380" s="77" t="str">
        <f t="shared" si="83"/>
        <v>至臻Ⅲ</v>
      </c>
      <c r="E380" s="80">
        <f t="shared" si="82"/>
        <v>3</v>
      </c>
      <c r="F380" s="80">
        <f>CEILING(F379*1.25,5)</f>
        <v>615</v>
      </c>
      <c r="G380" s="80" t="str">
        <f>IF(G374="","",G374+10)</f>
        <v/>
      </c>
      <c r="H380" s="80">
        <f t="shared" si="75"/>
        <v>0</v>
      </c>
      <c r="I380" s="80">
        <f t="shared" si="76"/>
        <v>2450</v>
      </c>
      <c r="J380" s="80">
        <f t="shared" si="77"/>
        <v>0</v>
      </c>
      <c r="K380" s="80">
        <f t="shared" si="78"/>
        <v>6</v>
      </c>
      <c r="L380" s="80">
        <f t="shared" si="79"/>
        <v>0</v>
      </c>
      <c r="M380" s="80">
        <f t="shared" si="80"/>
        <v>0</v>
      </c>
      <c r="N380" s="80">
        <f t="shared" si="81"/>
        <v>0</v>
      </c>
      <c r="O380" s="89"/>
      <c r="P380" s="89"/>
      <c r="Q380" s="89"/>
      <c r="R380" s="89"/>
      <c r="S380" s="90">
        <f t="shared" si="73"/>
        <v>415</v>
      </c>
      <c r="T380" s="90" cm="1">
        <f t="array" ref="T380">SUMPRODUCT(F380:M380,$F$154:$M$154)+N380*SUMPRODUCT(O380:R380,$O$154:$R$154)</f>
        <v>5465</v>
      </c>
    </row>
    <row r="381" spans="4:20">
      <c r="D381" s="77" t="str">
        <f t="shared" si="83"/>
        <v>至臻Ⅲ</v>
      </c>
      <c r="E381" s="80">
        <f t="shared" si="82"/>
        <v>4</v>
      </c>
      <c r="F381" s="80">
        <f>F375+10</f>
        <v>490</v>
      </c>
      <c r="G381" s="80">
        <f>IF(G375="","",G375+10)</f>
        <v>570</v>
      </c>
      <c r="H381" s="80">
        <f t="shared" si="75"/>
        <v>0</v>
      </c>
      <c r="I381" s="80">
        <f t="shared" si="76"/>
        <v>2450</v>
      </c>
      <c r="J381" s="80">
        <f t="shared" si="77"/>
        <v>0</v>
      </c>
      <c r="K381" s="80">
        <f t="shared" si="78"/>
        <v>0</v>
      </c>
      <c r="L381" s="80">
        <f t="shared" si="79"/>
        <v>0</v>
      </c>
      <c r="M381" s="80">
        <f t="shared" si="80"/>
        <v>0</v>
      </c>
      <c r="N381" s="80">
        <f t="shared" si="81"/>
        <v>0</v>
      </c>
      <c r="O381" s="89"/>
      <c r="P381" s="89"/>
      <c r="Q381" s="89"/>
      <c r="R381" s="89"/>
      <c r="S381" s="90">
        <f t="shared" si="73"/>
        <v>415</v>
      </c>
      <c r="T381" s="90" cm="1">
        <f t="array" ref="T381">SUMPRODUCT(F381:M381,$F$154:$M$154)+N381*SUMPRODUCT(O381:R381,$O$154:$R$154)</f>
        <v>3510</v>
      </c>
    </row>
    <row r="382" spans="4:20">
      <c r="D382" s="77" t="str">
        <f t="shared" si="83"/>
        <v>至臻Ⅲ</v>
      </c>
      <c r="E382" s="80">
        <f t="shared" si="82"/>
        <v>5</v>
      </c>
      <c r="F382" s="80">
        <f>F376+10</f>
        <v>490</v>
      </c>
      <c r="G382" s="80" t="str">
        <f>IF(G376="","",G376+10)</f>
        <v/>
      </c>
      <c r="H382" s="80">
        <f t="shared" si="75"/>
        <v>0</v>
      </c>
      <c r="I382" s="80">
        <f t="shared" si="76"/>
        <v>2450</v>
      </c>
      <c r="J382" s="80">
        <f t="shared" si="77"/>
        <v>0</v>
      </c>
      <c r="K382" s="80">
        <f t="shared" si="78"/>
        <v>0</v>
      </c>
      <c r="L382" s="80">
        <f t="shared" si="79"/>
        <v>5</v>
      </c>
      <c r="M382" s="80">
        <f t="shared" si="80"/>
        <v>0</v>
      </c>
      <c r="N382" s="80">
        <f t="shared" si="81"/>
        <v>0</v>
      </c>
      <c r="O382" s="89"/>
      <c r="P382" s="89"/>
      <c r="Q382" s="89"/>
      <c r="R382" s="89"/>
      <c r="S382" s="90">
        <f t="shared" si="73"/>
        <v>415</v>
      </c>
      <c r="T382" s="90" cm="1">
        <f t="array" ref="T382">SUMPRODUCT(F382:M382,$F$154:$M$154)+N382*SUMPRODUCT(O382:R382,$O$154:$R$154)</f>
        <v>6940</v>
      </c>
    </row>
    <row r="383" spans="4:20">
      <c r="D383" s="77" t="str">
        <f t="shared" si="83"/>
        <v>至臻Ⅲ</v>
      </c>
      <c r="E383" s="80">
        <f t="shared" si="82"/>
        <v>6</v>
      </c>
      <c r="F383" s="80">
        <f>CEILING(F382*1.5,5)</f>
        <v>735</v>
      </c>
      <c r="G383" s="80">
        <f>IF(G377="","",CEILING(G381*1.5,5))</f>
        <v>855</v>
      </c>
      <c r="H383" s="80">
        <f t="shared" si="75"/>
        <v>1</v>
      </c>
      <c r="I383" s="80" t="str">
        <f t="shared" si="76"/>
        <v/>
      </c>
      <c r="J383" s="80">
        <f t="shared" si="77"/>
        <v>0</v>
      </c>
      <c r="K383" s="80">
        <f t="shared" si="78"/>
        <v>0</v>
      </c>
      <c r="L383" s="80">
        <f t="shared" si="79"/>
        <v>0</v>
      </c>
      <c r="M383" s="80">
        <f t="shared" si="80"/>
        <v>0</v>
      </c>
      <c r="N383" s="80">
        <f t="shared" si="81"/>
        <v>8</v>
      </c>
      <c r="O383" s="89"/>
      <c r="P383" s="89"/>
      <c r="Q383" s="89">
        <v>0.31</v>
      </c>
      <c r="R383" s="89">
        <v>0.69</v>
      </c>
      <c r="S383" s="90">
        <f t="shared" si="73"/>
        <v>415</v>
      </c>
      <c r="T383" s="90" cm="1">
        <f t="array" ref="T383">SUMPRODUCT(F383:M383,$F$154:$M$154)+N383*SUMPRODUCT(O383:R383,$O$154:$R$154)</f>
        <v>12556</v>
      </c>
    </row>
    <row r="384" spans="4:20">
      <c r="D384" s="77" t="str">
        <f t="shared" si="83"/>
        <v>至臻Ⅳ</v>
      </c>
      <c r="E384" s="80">
        <f t="shared" si="82"/>
        <v>1</v>
      </c>
      <c r="F384" s="80">
        <f>F378+10</f>
        <v>500</v>
      </c>
      <c r="G384" s="80" t="str">
        <f>IF(G378="","",G378+10)</f>
        <v/>
      </c>
      <c r="H384" s="80">
        <f t="shared" si="75"/>
        <v>0</v>
      </c>
      <c r="I384" s="80">
        <f t="shared" si="76"/>
        <v>2500</v>
      </c>
      <c r="J384" s="80">
        <f t="shared" si="77"/>
        <v>9</v>
      </c>
      <c r="K384" s="80">
        <f t="shared" si="78"/>
        <v>0</v>
      </c>
      <c r="L384" s="80">
        <f t="shared" si="79"/>
        <v>0</v>
      </c>
      <c r="M384" s="80">
        <f t="shared" si="80"/>
        <v>0</v>
      </c>
      <c r="N384" s="80">
        <f t="shared" si="81"/>
        <v>0</v>
      </c>
      <c r="O384" s="89"/>
      <c r="P384" s="89"/>
      <c r="Q384" s="89"/>
      <c r="R384" s="89"/>
      <c r="S384" s="90">
        <f t="shared" si="73"/>
        <v>425</v>
      </c>
      <c r="T384" s="90" cm="1">
        <f t="array" ref="T384">SUMPRODUCT(F384:M384,$F$154:$M$154)+N384*SUMPRODUCT(O384:R384,$O$154:$R$154)</f>
        <v>4800</v>
      </c>
    </row>
    <row r="385" spans="4:40">
      <c r="D385" s="77" t="str">
        <f t="shared" si="83"/>
        <v>至臻Ⅳ</v>
      </c>
      <c r="E385" s="80">
        <f t="shared" si="82"/>
        <v>2</v>
      </c>
      <c r="F385" s="80">
        <f>F379+10</f>
        <v>500</v>
      </c>
      <c r="G385" s="80">
        <f>IF(G379="","",G379+10)</f>
        <v>580</v>
      </c>
      <c r="H385" s="80">
        <f t="shared" si="75"/>
        <v>0</v>
      </c>
      <c r="I385" s="80">
        <f t="shared" si="76"/>
        <v>2500</v>
      </c>
      <c r="J385" s="80">
        <f t="shared" si="77"/>
        <v>0</v>
      </c>
      <c r="K385" s="80">
        <f t="shared" si="78"/>
        <v>0</v>
      </c>
      <c r="L385" s="80">
        <f t="shared" si="79"/>
        <v>0</v>
      </c>
      <c r="M385" s="80">
        <f t="shared" si="80"/>
        <v>0</v>
      </c>
      <c r="N385" s="80">
        <f t="shared" si="81"/>
        <v>0</v>
      </c>
      <c r="O385" s="89"/>
      <c r="P385" s="89"/>
      <c r="Q385" s="89"/>
      <c r="R385" s="89"/>
      <c r="S385" s="90">
        <f t="shared" si="73"/>
        <v>425</v>
      </c>
      <c r="T385" s="90" cm="1">
        <f t="array" ref="T385">SUMPRODUCT(F385:M385,$F$154:$M$154)+N385*SUMPRODUCT(O385:R385,$O$154:$R$154)</f>
        <v>3580</v>
      </c>
    </row>
    <row r="386" spans="4:40">
      <c r="D386" s="77" t="str">
        <f t="shared" si="83"/>
        <v>至臻Ⅳ</v>
      </c>
      <c r="E386" s="80">
        <f t="shared" si="82"/>
        <v>3</v>
      </c>
      <c r="F386" s="80">
        <f>CEILING(F385*1.25,5)</f>
        <v>625</v>
      </c>
      <c r="G386" s="80" t="str">
        <f>IF(G380="","",G380+10)</f>
        <v/>
      </c>
      <c r="H386" s="80">
        <f t="shared" si="75"/>
        <v>0</v>
      </c>
      <c r="I386" s="80">
        <f t="shared" si="76"/>
        <v>2500</v>
      </c>
      <c r="J386" s="80">
        <f t="shared" si="77"/>
        <v>0</v>
      </c>
      <c r="K386" s="80">
        <f t="shared" si="78"/>
        <v>6</v>
      </c>
      <c r="L386" s="80">
        <f t="shared" si="79"/>
        <v>0</v>
      </c>
      <c r="M386" s="80">
        <f t="shared" si="80"/>
        <v>0</v>
      </c>
      <c r="N386" s="80">
        <f t="shared" si="81"/>
        <v>0</v>
      </c>
      <c r="O386" s="89"/>
      <c r="P386" s="89"/>
      <c r="Q386" s="89"/>
      <c r="R386" s="89"/>
      <c r="S386" s="90">
        <f t="shared" si="73"/>
        <v>425</v>
      </c>
      <c r="T386" s="90" cm="1">
        <f t="array" ref="T386">SUMPRODUCT(F386:M386,$F$154:$M$154)+N386*SUMPRODUCT(O386:R386,$O$154:$R$154)</f>
        <v>5525</v>
      </c>
    </row>
    <row r="387" spans="4:40">
      <c r="D387" s="77" t="str">
        <f t="shared" si="83"/>
        <v>至臻Ⅳ</v>
      </c>
      <c r="E387" s="80">
        <f t="shared" si="82"/>
        <v>4</v>
      </c>
      <c r="F387" s="80">
        <f>F381+10</f>
        <v>500</v>
      </c>
      <c r="G387" s="80">
        <f>IF(G381="","",G381+10)</f>
        <v>580</v>
      </c>
      <c r="H387" s="80">
        <f t="shared" si="75"/>
        <v>0</v>
      </c>
      <c r="I387" s="80">
        <f t="shared" si="76"/>
        <v>2500</v>
      </c>
      <c r="J387" s="80">
        <f t="shared" si="77"/>
        <v>0</v>
      </c>
      <c r="K387" s="80">
        <f t="shared" si="78"/>
        <v>0</v>
      </c>
      <c r="L387" s="80">
        <f t="shared" si="79"/>
        <v>0</v>
      </c>
      <c r="M387" s="80">
        <f t="shared" si="80"/>
        <v>0</v>
      </c>
      <c r="N387" s="80">
        <f t="shared" si="81"/>
        <v>0</v>
      </c>
      <c r="O387" s="89"/>
      <c r="P387" s="89"/>
      <c r="Q387" s="89"/>
      <c r="R387" s="89"/>
      <c r="S387" s="90">
        <f t="shared" si="73"/>
        <v>425</v>
      </c>
      <c r="T387" s="90" cm="1">
        <f t="array" ref="T387">SUMPRODUCT(F387:M387,$F$154:$M$154)+N387*SUMPRODUCT(O387:R387,$O$154:$R$154)</f>
        <v>3580</v>
      </c>
    </row>
    <row r="388" spans="4:40">
      <c r="D388" s="77" t="str">
        <f t="shared" si="83"/>
        <v>至臻Ⅳ</v>
      </c>
      <c r="E388" s="80">
        <f t="shared" si="82"/>
        <v>5</v>
      </c>
      <c r="F388" s="80">
        <f>F382+10</f>
        <v>500</v>
      </c>
      <c r="G388" s="80" t="str">
        <f>IF(G382="","",G382+10)</f>
        <v/>
      </c>
      <c r="H388" s="80">
        <f t="shared" si="75"/>
        <v>0</v>
      </c>
      <c r="I388" s="80">
        <f t="shared" si="76"/>
        <v>2500</v>
      </c>
      <c r="J388" s="80">
        <f t="shared" si="77"/>
        <v>0</v>
      </c>
      <c r="K388" s="80">
        <f t="shared" si="78"/>
        <v>0</v>
      </c>
      <c r="L388" s="80">
        <f t="shared" si="79"/>
        <v>5</v>
      </c>
      <c r="M388" s="80">
        <f t="shared" si="80"/>
        <v>0</v>
      </c>
      <c r="N388" s="80">
        <f t="shared" si="81"/>
        <v>0</v>
      </c>
      <c r="O388" s="89"/>
      <c r="P388" s="89"/>
      <c r="Q388" s="89"/>
      <c r="R388" s="89"/>
      <c r="S388" s="90">
        <f t="shared" si="73"/>
        <v>425</v>
      </c>
      <c r="T388" s="90" cm="1">
        <f t="array" ref="T388">SUMPRODUCT(F388:M388,$F$154:$M$154)+N388*SUMPRODUCT(O388:R388,$O$154:$R$154)</f>
        <v>7000</v>
      </c>
    </row>
    <row r="389" spans="4:40">
      <c r="D389" s="77" t="str">
        <f t="shared" si="83"/>
        <v>至臻Ⅳ</v>
      </c>
      <c r="E389" s="80">
        <f t="shared" si="82"/>
        <v>6</v>
      </c>
      <c r="F389" s="80">
        <f>CEILING(F388*1.5,5)</f>
        <v>750</v>
      </c>
      <c r="G389" s="80">
        <f>IF(G383="","",CEILING(G387*1.5,5))</f>
        <v>870</v>
      </c>
      <c r="H389" s="80">
        <f t="shared" si="75"/>
        <v>1</v>
      </c>
      <c r="I389" s="80" t="str">
        <f t="shared" si="76"/>
        <v/>
      </c>
      <c r="J389" s="80">
        <f t="shared" si="77"/>
        <v>0</v>
      </c>
      <c r="K389" s="80">
        <f t="shared" si="78"/>
        <v>0</v>
      </c>
      <c r="L389" s="80">
        <f t="shared" si="79"/>
        <v>0</v>
      </c>
      <c r="M389" s="80">
        <f t="shared" si="80"/>
        <v>0</v>
      </c>
      <c r="N389" s="80">
        <f t="shared" si="81"/>
        <v>8</v>
      </c>
      <c r="O389" s="89"/>
      <c r="P389" s="89"/>
      <c r="Q389" s="89">
        <v>0.28</v>
      </c>
      <c r="R389" s="89">
        <v>0.72</v>
      </c>
      <c r="S389" s="90">
        <f t="shared" si="73"/>
        <v>425</v>
      </c>
      <c r="T389" s="90" cm="1">
        <f t="array" ref="T389">SUMPRODUCT(F389:M389,$F$154:$M$154)+N389*SUMPRODUCT(O389:R389,$O$154:$R$154)</f>
        <v>12778</v>
      </c>
    </row>
    <row r="390" spans="4:40">
      <c r="D390" s="77" t="str">
        <f t="shared" si="83"/>
        <v>至臻Ⅴ</v>
      </c>
      <c r="E390" s="80">
        <f t="shared" si="82"/>
        <v>1</v>
      </c>
      <c r="F390" s="80">
        <f>F384+10</f>
        <v>510</v>
      </c>
      <c r="G390" s="80" t="str">
        <f>IF(G384="","",G384+10)</f>
        <v/>
      </c>
      <c r="H390" s="80">
        <f t="shared" si="75"/>
        <v>0</v>
      </c>
      <c r="I390" s="80">
        <f t="shared" si="76"/>
        <v>2550</v>
      </c>
      <c r="J390" s="80">
        <f t="shared" si="77"/>
        <v>9</v>
      </c>
      <c r="K390" s="80">
        <f t="shared" si="78"/>
        <v>0</v>
      </c>
      <c r="L390" s="80">
        <f t="shared" si="79"/>
        <v>0</v>
      </c>
      <c r="M390" s="80">
        <f t="shared" si="80"/>
        <v>0</v>
      </c>
      <c r="N390" s="80">
        <f t="shared" si="81"/>
        <v>0</v>
      </c>
      <c r="O390" s="89"/>
      <c r="P390" s="89"/>
      <c r="Q390" s="89"/>
      <c r="R390" s="89"/>
      <c r="S390" s="90">
        <f t="shared" si="73"/>
        <v>435</v>
      </c>
      <c r="T390" s="90" cm="1">
        <f t="array" ref="T390">SUMPRODUCT(F390:M390,$F$154:$M$154)+N390*SUMPRODUCT(O390:R390,$O$154:$R$154)</f>
        <v>4860</v>
      </c>
    </row>
    <row r="391" spans="4:40">
      <c r="D391" s="77" t="str">
        <f t="shared" si="83"/>
        <v>至臻Ⅴ</v>
      </c>
      <c r="E391" s="80">
        <f t="shared" si="82"/>
        <v>2</v>
      </c>
      <c r="F391" s="80">
        <f>F385+10</f>
        <v>510</v>
      </c>
      <c r="G391" s="80">
        <f>IF(G385="","",G385+10)</f>
        <v>590</v>
      </c>
      <c r="H391" s="80">
        <f t="shared" si="75"/>
        <v>0</v>
      </c>
      <c r="I391" s="80">
        <f t="shared" si="76"/>
        <v>2550</v>
      </c>
      <c r="J391" s="80">
        <f t="shared" si="77"/>
        <v>0</v>
      </c>
      <c r="K391" s="80">
        <f t="shared" si="78"/>
        <v>0</v>
      </c>
      <c r="L391" s="80">
        <f t="shared" si="79"/>
        <v>0</v>
      </c>
      <c r="M391" s="80">
        <f t="shared" si="80"/>
        <v>0</v>
      </c>
      <c r="N391" s="80">
        <f t="shared" si="81"/>
        <v>0</v>
      </c>
      <c r="O391" s="89"/>
      <c r="P391" s="89"/>
      <c r="Q391" s="89"/>
      <c r="R391" s="89"/>
      <c r="S391" s="90">
        <f t="shared" si="73"/>
        <v>435</v>
      </c>
      <c r="T391" s="90" cm="1">
        <f t="array" ref="T391">SUMPRODUCT(F391:M391,$F$154:$M$154)+N391*SUMPRODUCT(O391:R391,$O$154:$R$154)</f>
        <v>3650</v>
      </c>
    </row>
    <row r="392" spans="4:40">
      <c r="D392" s="77" t="str">
        <f t="shared" si="83"/>
        <v>至臻Ⅴ</v>
      </c>
      <c r="E392" s="80">
        <f t="shared" si="82"/>
        <v>3</v>
      </c>
      <c r="F392" s="80">
        <f>CEILING(F391*1.25,5)</f>
        <v>640</v>
      </c>
      <c r="G392" s="80" t="str">
        <f>IF(G386="","",G386+10)</f>
        <v/>
      </c>
      <c r="H392" s="80">
        <f t="shared" si="75"/>
        <v>0</v>
      </c>
      <c r="I392" s="80">
        <f t="shared" si="76"/>
        <v>2550</v>
      </c>
      <c r="J392" s="80">
        <f t="shared" si="77"/>
        <v>0</v>
      </c>
      <c r="K392" s="80">
        <f t="shared" si="78"/>
        <v>6</v>
      </c>
      <c r="L392" s="80">
        <f t="shared" si="79"/>
        <v>0</v>
      </c>
      <c r="M392" s="80">
        <f t="shared" si="80"/>
        <v>0</v>
      </c>
      <c r="N392" s="80">
        <f t="shared" si="81"/>
        <v>0</v>
      </c>
      <c r="O392" s="89"/>
      <c r="P392" s="89"/>
      <c r="Q392" s="89"/>
      <c r="R392" s="89"/>
      <c r="S392" s="90">
        <f t="shared" si="73"/>
        <v>435</v>
      </c>
      <c r="T392" s="90" cm="1">
        <f t="array" ref="T392">SUMPRODUCT(F392:M392,$F$154:$M$154)+N392*SUMPRODUCT(O392:R392,$O$154:$R$154)</f>
        <v>5590</v>
      </c>
    </row>
    <row r="393" spans="4:40">
      <c r="D393" s="77" t="str">
        <f t="shared" si="83"/>
        <v>至臻Ⅴ</v>
      </c>
      <c r="E393" s="80">
        <f t="shared" si="82"/>
        <v>4</v>
      </c>
      <c r="F393" s="80">
        <f>F387+10</f>
        <v>510</v>
      </c>
      <c r="G393" s="80">
        <f>IF(G387="","",G387+10)</f>
        <v>590</v>
      </c>
      <c r="H393" s="80">
        <f t="shared" si="75"/>
        <v>0</v>
      </c>
      <c r="I393" s="80">
        <f t="shared" si="76"/>
        <v>2550</v>
      </c>
      <c r="J393" s="80">
        <f t="shared" si="77"/>
        <v>0</v>
      </c>
      <c r="K393" s="80">
        <f t="shared" si="78"/>
        <v>0</v>
      </c>
      <c r="L393" s="80">
        <f t="shared" si="79"/>
        <v>0</v>
      </c>
      <c r="M393" s="80">
        <f t="shared" si="80"/>
        <v>0</v>
      </c>
      <c r="N393" s="80">
        <f t="shared" si="81"/>
        <v>0</v>
      </c>
      <c r="O393" s="89"/>
      <c r="P393" s="89"/>
      <c r="Q393" s="89"/>
      <c r="R393" s="89"/>
      <c r="S393" s="90">
        <f t="shared" si="73"/>
        <v>435</v>
      </c>
      <c r="T393" s="90" cm="1">
        <f t="array" ref="T393">SUMPRODUCT(F393:M393,$F$154:$M$154)+N393*SUMPRODUCT(O393:R393,$O$154:$R$154)</f>
        <v>3650</v>
      </c>
    </row>
    <row r="394" spans="4:40">
      <c r="D394" s="77" t="str">
        <f t="shared" si="83"/>
        <v>至臻Ⅴ</v>
      </c>
      <c r="E394" s="80">
        <f t="shared" si="82"/>
        <v>5</v>
      </c>
      <c r="F394" s="80">
        <f>F388+10</f>
        <v>510</v>
      </c>
      <c r="G394" s="80" t="str">
        <f>IF(G388="","",G388+10)</f>
        <v/>
      </c>
      <c r="H394" s="80">
        <f t="shared" si="75"/>
        <v>0</v>
      </c>
      <c r="I394" s="80">
        <f t="shared" si="76"/>
        <v>2550</v>
      </c>
      <c r="J394" s="80">
        <f t="shared" si="77"/>
        <v>0</v>
      </c>
      <c r="K394" s="80">
        <f t="shared" si="78"/>
        <v>0</v>
      </c>
      <c r="L394" s="80">
        <f t="shared" si="79"/>
        <v>5</v>
      </c>
      <c r="M394" s="80">
        <f t="shared" si="80"/>
        <v>0</v>
      </c>
      <c r="N394" s="80">
        <f t="shared" si="81"/>
        <v>0</v>
      </c>
      <c r="O394" s="89"/>
      <c r="P394" s="89"/>
      <c r="Q394" s="89"/>
      <c r="R394" s="89"/>
      <c r="S394" s="90">
        <f t="shared" si="73"/>
        <v>435</v>
      </c>
      <c r="T394" s="90" cm="1">
        <f t="array" ref="T394">SUMPRODUCT(F394:M394,$F$154:$M$154)+N394*SUMPRODUCT(O394:R394,$O$154:$R$154)</f>
        <v>7060</v>
      </c>
    </row>
    <row r="395" spans="4:40">
      <c r="D395" s="77" t="str">
        <f t="shared" si="83"/>
        <v>至臻Ⅴ</v>
      </c>
      <c r="E395" s="80">
        <f t="shared" si="82"/>
        <v>6</v>
      </c>
      <c r="F395" s="80">
        <f>CEILING(F394*1.5,5)</f>
        <v>765</v>
      </c>
      <c r="G395" s="80">
        <f>IF(G389="","",CEILING(G393*1.5,5))</f>
        <v>885</v>
      </c>
      <c r="H395" s="80">
        <f t="shared" si="75"/>
        <v>1</v>
      </c>
      <c r="I395" s="80" t="str">
        <f t="shared" si="76"/>
        <v/>
      </c>
      <c r="J395" s="80">
        <f t="shared" si="77"/>
        <v>0</v>
      </c>
      <c r="K395" s="80">
        <f t="shared" si="78"/>
        <v>0</v>
      </c>
      <c r="L395" s="80">
        <f t="shared" si="79"/>
        <v>0</v>
      </c>
      <c r="M395" s="80">
        <f t="shared" si="80"/>
        <v>0</v>
      </c>
      <c r="N395" s="80">
        <f t="shared" si="81"/>
        <v>8</v>
      </c>
      <c r="O395" s="89"/>
      <c r="P395" s="89"/>
      <c r="Q395" s="92">
        <v>0.25</v>
      </c>
      <c r="R395" s="92">
        <v>0.75</v>
      </c>
      <c r="S395" s="90">
        <f t="shared" si="73"/>
        <v>435</v>
      </c>
      <c r="T395" s="90" cm="1">
        <f t="array" ref="T395">SUMPRODUCT(F395:M395,$F$154:$M$154)+N395*SUMPRODUCT(O395:R395,$O$154:$R$154)</f>
        <v>13000</v>
      </c>
    </row>
    <row r="397" spans="4:40">
      <c r="G397" s="36">
        <v>63</v>
      </c>
      <c r="H397" s="36">
        <v>62</v>
      </c>
      <c r="I397" s="36">
        <v>2</v>
      </c>
      <c r="J397" s="36">
        <v>6030001</v>
      </c>
      <c r="K397" s="36">
        <f t="shared" ref="K397:M397" si="84">J397+1</f>
        <v>6030002</v>
      </c>
      <c r="L397" s="36">
        <f t="shared" si="84"/>
        <v>6030003</v>
      </c>
      <c r="M397" s="36">
        <f t="shared" si="84"/>
        <v>6030004</v>
      </c>
    </row>
    <row r="398" spans="4:40">
      <c r="E398" s="36" t="s">
        <v>181</v>
      </c>
      <c r="F398" s="36" t="s">
        <v>193</v>
      </c>
      <c r="G398" s="36">
        <f>_xlfn.XLOOKUP(G399,价值表!$F:$F,价值表!$H:$H)</f>
        <v>1</v>
      </c>
      <c r="H398" s="36">
        <f>_xlfn.XLOOKUP(H399,价值表!$F:$F,价值表!$H:$H)</f>
        <v>150</v>
      </c>
      <c r="I398" s="36">
        <f>_xlfn.XLOOKUP(I399,价值表!$F:$F,价值表!$H:$H)</f>
        <v>0.05</v>
      </c>
      <c r="J398" s="36">
        <f>_xlfn.XLOOKUP(J399,价值表!$F:$F,价值表!$H:$H)</f>
        <v>200</v>
      </c>
      <c r="K398" s="36">
        <f>_xlfn.XLOOKUP(K399,价值表!$F:$F,价值表!$H:$H)</f>
        <v>400</v>
      </c>
      <c r="L398" s="36">
        <f>_xlfn.XLOOKUP(L399,价值表!$F:$F,价值表!$H:$H)</f>
        <v>800</v>
      </c>
      <c r="M398" s="36">
        <f>_xlfn.XLOOKUP(M399,价值表!$F:$F,价值表!$H:$H)</f>
        <v>1600</v>
      </c>
      <c r="Q398">
        <v>200</v>
      </c>
      <c r="R398">
        <v>400</v>
      </c>
      <c r="S398">
        <v>800</v>
      </c>
      <c r="T398">
        <v>1600</v>
      </c>
    </row>
    <row r="399" spans="4:40">
      <c r="D399" s="2" t="s">
        <v>233</v>
      </c>
      <c r="E399" s="2" t="s">
        <v>234</v>
      </c>
      <c r="F399" s="2" t="s">
        <v>235</v>
      </c>
      <c r="G399" s="2" t="s">
        <v>32</v>
      </c>
      <c r="H399" s="2" t="s">
        <v>178</v>
      </c>
      <c r="I399" s="2" t="s">
        <v>33</v>
      </c>
      <c r="J399" s="2" t="s">
        <v>34</v>
      </c>
      <c r="K399" s="2" t="s">
        <v>35</v>
      </c>
      <c r="L399" s="2" t="s">
        <v>36</v>
      </c>
      <c r="M399" s="2" t="s">
        <v>37</v>
      </c>
      <c r="N399" s="2" t="s">
        <v>236</v>
      </c>
      <c r="O399" s="2" t="s">
        <v>237</v>
      </c>
      <c r="Q399" s="64" t="s">
        <v>34</v>
      </c>
      <c r="R399" s="64" t="s">
        <v>35</v>
      </c>
      <c r="S399" s="64" t="s">
        <v>36</v>
      </c>
      <c r="T399" s="64" t="s">
        <v>37</v>
      </c>
    </row>
    <row r="400" spans="4:40">
      <c r="D400" s="81" t="s">
        <v>238</v>
      </c>
      <c r="E400" s="81">
        <v>45</v>
      </c>
      <c r="F400" s="81">
        <f ca="1">MATCH(E400,OFFSET(载具预期!$D$7:$D$306,0,MATCH($E$110,载具预期!$E$6:$H$6,0)),1)</f>
        <v>4</v>
      </c>
      <c r="G400" s="81">
        <f ca="1">SUMIF($D$444:$D$763,$D400,G$444:G$763)</f>
        <v>625</v>
      </c>
      <c r="H400" s="81">
        <f ca="1">SUMIF($D$444:$D$763,$D400,H$444:H$763)</f>
        <v>1</v>
      </c>
      <c r="I400" s="81">
        <f ca="1">SUMIF($D$444:$D$763,$D400,I$444:I$763)</f>
        <v>4000</v>
      </c>
      <c r="J400" s="81">
        <f ca="1">SUMIF($D$444:$D$763,$D400,O$444:O$763)*SUMIF($D$444:$D$763,$D400,$N$444:$N$763)+SUMIF($D$444:$D$763,$D400,J$444:J$763)</f>
        <v>25</v>
      </c>
      <c r="K400" s="81">
        <f ca="1">SUMIF($D$444:$D$763,$D400,P$444:P$763)*SUMIF($D$444:$D$763,$D400,$N$444:$N$763)+SUMIF($D$444:$D$763,$D400,K$444:K$763)</f>
        <v>0</v>
      </c>
      <c r="L400" s="81">
        <f ca="1">SUMIF($D$444:$D$763,$D400,Q$444:Q$763)*SUMIF($D$444:$D$763,$D400,$N$444:$N$763)+SUMIF($D$444:$D$763,$D400,L$444:L$763)</f>
        <v>0</v>
      </c>
      <c r="M400" s="81">
        <f ca="1">SUMIF($D$444:$D$763,$D400,R$444:R$763)*SUMIF($D$444:$D$763,$D400,$N$444:$N$763)+SUMIF($D$444:$D$763,$D400,M$444:M$763)</f>
        <v>0</v>
      </c>
      <c r="N400" s="81" cm="1">
        <f ca="1" t="array" ref="N400">SUMPRODUCT(J400:M400,$J$110:$M$110)</f>
        <v>5000</v>
      </c>
      <c r="O400" s="81" cm="1">
        <f ca="1" t="array" ref="O400">SUMPRODUCT(G400:I400,$G$110:$I$110)</f>
        <v>975</v>
      </c>
      <c r="Q400" cm="1">
        <f ca="1" t="array" ref="Q400">_xlfn.XLOOKUP($D400&amp;8,$D$444:$D$763&amp;$E$444:$E$763,O$444:O$763)</f>
        <v>1</v>
      </c>
      <c r="R400" cm="1">
        <f ca="1" t="array" ref="R400">_xlfn.XLOOKUP($D400&amp;8,$D$444:$D$763&amp;$E$444:$E$763,P$444:P$763)</f>
        <v>0</v>
      </c>
      <c r="S400" t="str" cm="1">
        <f ca="1" t="array" ref="S400">_xlfn.XLOOKUP($D400&amp;8,$D$444:$D$763&amp;$E$444:$E$763,Q$444:Q$763)</f>
        <v/>
      </c>
      <c r="T400" t="str" cm="1">
        <f ca="1" t="array" ref="T400">_xlfn.XLOOKUP($D400&amp;8,$D$444:$D$763&amp;$E$444:$E$763,R$444:R$763)</f>
        <v/>
      </c>
      <c r="U400" t="str">
        <f ca="1">IFERROR(IF(Q400=0,"",Q$399&amp;"概率："&amp;Q400*100&amp;"%"),"")</f>
        <v>史诗零件碎片概率：100%</v>
      </c>
      <c r="V400" t="str">
        <f ca="1">IFERROR(IF(R400=0,"",R$399&amp;"概率："&amp;R400*100&amp;"%"),"")</f>
        <v/>
      </c>
      <c r="W400" t="str">
        <f ca="1">IFERROR(IF(S400=0,"",S$399&amp;"概率："&amp;S400*100&amp;"%"),"")</f>
        <v/>
      </c>
      <c r="X400" t="str">
        <f ca="1">IFERROR(IF(T400=0,"",T$399&amp;"概率："&amp;T400*100&amp;"%"),"")</f>
        <v/>
      </c>
      <c r="Y400" t="str">
        <f ca="1">"开启后可随机获得以下奖励：\n"&amp;_xlfn.TEXTJOIN("\n",1,U400:X400)</f>
        <v>开启后可随机获得以下奖励：\n史诗零件碎片概率：100%</v>
      </c>
      <c r="Z400">
        <v>4</v>
      </c>
      <c r="AA400" cm="1">
        <f ca="1" t="array" ref="AA400">SUMPRODUCT(Q$398:T$398,Q400:T400)</f>
        <v>200</v>
      </c>
      <c r="AB400">
        <f ca="1">SUMIF($D$444:$D$763,$D400,J$444:J$763)</f>
        <v>17</v>
      </c>
      <c r="AC400">
        <f ca="1">SUMIF($D$444:$D$763,$D400,K$444:K$763)</f>
        <v>0</v>
      </c>
      <c r="AD400">
        <f ca="1">SUMIF($D$444:$D$763,$D400,L$444:L$763)</f>
        <v>0</v>
      </c>
      <c r="AE400">
        <f ca="1">SUMIF($D$444:$D$763,$D400,M$444:M$763)</f>
        <v>0</v>
      </c>
      <c r="AF400" t="str">
        <f ca="1">"{"&amp;G$397&amp;","&amp;G400&amp;"}"</f>
        <v>{63,625}</v>
      </c>
      <c r="AG400" t="str">
        <f ca="1">"{"&amp;H$397&amp;","&amp;H400&amp;"}"</f>
        <v>{62,1}</v>
      </c>
      <c r="AH400" t="str">
        <f ca="1">"{"&amp;I$397&amp;","&amp;I400&amp;"}"</f>
        <v>{2,4000}</v>
      </c>
      <c r="AI400" t="str">
        <f ca="1">IF(AB400=0,"","{"&amp;J$397&amp;","&amp;AB400&amp;"}")</f>
        <v>{6030001,17}</v>
      </c>
      <c r="AJ400" t="str">
        <f ca="1">IF(AC400=0,"","{"&amp;K$397&amp;","&amp;AC400&amp;"}")</f>
        <v/>
      </c>
      <c r="AK400" t="str">
        <f ca="1">IF(AD400=0,"","{"&amp;L$397&amp;","&amp;AD400&amp;"}")</f>
        <v/>
      </c>
      <c r="AL400" t="str">
        <f ca="1">IF(AE400=0,"","{"&amp;M$397&amp;","&amp;AE400&amp;"}")</f>
        <v/>
      </c>
      <c r="AM400" t="str">
        <f>"{"&amp;6020000+MATCH(D400,$D$400:$D$439,0)&amp;",8}"</f>
        <v>{6020001,8}</v>
      </c>
      <c r="AN400" t="str">
        <f ca="1">"["&amp;_xlfn.TEXTJOIN(",",1,AF400:AM400)&amp;"]"</f>
        <v>[{63,625},{62,1},{2,4000},{6030001,17},{6020001,8}]</v>
      </c>
    </row>
    <row r="401" spans="4:40">
      <c r="D401" s="81" t="s">
        <v>239</v>
      </c>
      <c r="E401" s="81">
        <v>55</v>
      </c>
      <c r="F401" s="81">
        <f ca="1">MATCH(E401,OFFSET(载具预期!$D$7:$D$306,0,MATCH($E$110,载具预期!$E$6:$H$6,0)),1)</f>
        <v>8</v>
      </c>
      <c r="G401" s="81">
        <f ca="1" t="shared" ref="G401:G439" si="85">SUMIF($D$444:$D$763,$D401,G$444:G$763)</f>
        <v>665</v>
      </c>
      <c r="H401" s="81">
        <f ca="1" t="shared" ref="H401:H439" si="86">SUMIF($D$444:$D$763,$D401,H$444:H$763)</f>
        <v>1</v>
      </c>
      <c r="I401" s="81">
        <f ca="1" t="shared" ref="I401:I439" si="87">SUMIF($D$444:$D$763,$D401,I$444:I$763)</f>
        <v>4200</v>
      </c>
      <c r="J401" s="81">
        <f ca="1" t="shared" ref="J401:J439" si="88">SUMIF($D$444:$D$763,$D401,O$444:O$763)*SUMIF($D$444:$D$763,$D401,$N$444:$N$763)+SUMIF($D$444:$D$763,$D401,J$444:J$763)</f>
        <v>14.6</v>
      </c>
      <c r="K401" s="81">
        <f ca="1" t="shared" ref="K401:K439" si="89">SUMIF($D$444:$D$763,$D401,P$444:P$763)*SUMIF($D$444:$D$763,$D401,$N$444:$N$763)+SUMIF($D$444:$D$763,$D401,K$444:K$763)</f>
        <v>5.4</v>
      </c>
      <c r="L401" s="81">
        <f ca="1" t="shared" ref="L401:L439" si="90">SUMIF($D$444:$D$763,$D401,Q$444:Q$763)*SUMIF($D$444:$D$763,$D401,$N$444:$N$763)+SUMIF($D$444:$D$763,$D401,L$444:L$763)</f>
        <v>0</v>
      </c>
      <c r="M401" s="81">
        <f ca="1" t="shared" ref="M401:M439" si="91">SUMIF($D$444:$D$763,$D401,R$444:R$763)*SUMIF($D$444:$D$763,$D401,$N$444:$N$763)+SUMIF($D$444:$D$763,$D401,M$444:M$763)</f>
        <v>0</v>
      </c>
      <c r="N401" s="81" cm="1">
        <f ca="1" t="array" ref="N401">SUMPRODUCT(J401:M401,$J$110:$M$110)</f>
        <v>5080</v>
      </c>
      <c r="O401" s="81" cm="1">
        <f ca="1" t="array" ref="O401">SUMPRODUCT(G401:I401,$G$110:$I$110)</f>
        <v>1025</v>
      </c>
      <c r="P401">
        <f ca="1">N401-N400</f>
        <v>80</v>
      </c>
      <c r="Q401" cm="1">
        <f ca="1" t="array" ref="Q401">_xlfn.XLOOKUP($D401&amp;8,$D$444:$D$763&amp;$E$444:$E$763,O$444:O$763)</f>
        <v>0.7</v>
      </c>
      <c r="R401" cm="1">
        <f ca="1" t="array" ref="R401">_xlfn.XLOOKUP($D401&amp;8,$D$444:$D$763&amp;$E$444:$E$763,P$444:P$763)</f>
        <v>0.3</v>
      </c>
      <c r="S401" cm="1">
        <f ca="1" t="array" ref="S401">_xlfn.XLOOKUP($D401&amp;8,$D$444:$D$763&amp;$E$444:$E$763,Q$444:Q$763)</f>
        <v>0</v>
      </c>
      <c r="T401" cm="1">
        <f ca="1" t="array" ref="T401">_xlfn.XLOOKUP($D401&amp;8,$D$444:$D$763&amp;$E$444:$E$763,R$444:R$763)</f>
        <v>0</v>
      </c>
      <c r="U401" t="str">
        <f ca="1" t="shared" ref="U401:U439" si="92">IFERROR(IF(Q401=0,"",Q$399&amp;"概率："&amp;Q401*100&amp;"%"),"")</f>
        <v>史诗零件碎片概率：70%</v>
      </c>
      <c r="V401" t="str">
        <f ca="1" t="shared" ref="V401:V439" si="93">IFERROR(IF(R401=0,"",R$399&amp;"概率："&amp;R401*100&amp;"%"),"")</f>
        <v>传说零件碎片概率：30%</v>
      </c>
      <c r="W401" t="str">
        <f ca="1" t="shared" ref="W401:W439" si="94">IFERROR(IF(S401=0,"",S$399&amp;"概率："&amp;S401*100&amp;"%"),"")</f>
        <v/>
      </c>
      <c r="X401" t="str">
        <f ca="1" t="shared" ref="X401:X439" si="95">IFERROR(IF(T401=0,"",T$399&amp;"概率："&amp;T401*100&amp;"%"),"")</f>
        <v/>
      </c>
      <c r="Y401" t="str">
        <f ca="1" t="shared" ref="Y401:Y409" si="96">"开启后可随机获得以下奖励：\n"&amp;_xlfn.TEXTJOIN("\n",1,U401:X401)</f>
        <v>开启后可随机获得以下奖励：\n史诗零件碎片概率：70%\n传说零件碎片概率：30%</v>
      </c>
      <c r="Z401">
        <v>5</v>
      </c>
      <c r="AA401" cm="1">
        <f ca="1" t="array" ref="AA401">SUMPRODUCT(Q$398:T$398,Q401:T401)</f>
        <v>260</v>
      </c>
      <c r="AB401">
        <f ca="1" t="shared" ref="AB401:AB439" si="97">SUMIF($D$444:$D$763,$D401,J$444:J$763)</f>
        <v>9</v>
      </c>
      <c r="AC401">
        <f ca="1" t="shared" ref="AC401:AC439" si="98">SUMIF($D$444:$D$763,$D401,K$444:K$763)</f>
        <v>3</v>
      </c>
      <c r="AD401">
        <f ca="1" t="shared" ref="AD401:AD439" si="99">SUMIF($D$444:$D$763,$D401,L$444:L$763)</f>
        <v>0</v>
      </c>
      <c r="AE401">
        <f ca="1" t="shared" ref="AE401:AE439" si="100">SUMIF($D$444:$D$763,$D401,M$444:M$763)</f>
        <v>0</v>
      </c>
      <c r="AF401" t="str">
        <f ca="1" t="shared" ref="AF401:AF439" si="101">"{"&amp;G$397&amp;","&amp;G401&amp;"}"</f>
        <v>{63,665}</v>
      </c>
      <c r="AG401" t="str">
        <f ca="1" t="shared" ref="AG401:AG439" si="102">"{"&amp;H$397&amp;","&amp;H401&amp;"}"</f>
        <v>{62,1}</v>
      </c>
      <c r="AH401" t="str">
        <f ca="1" t="shared" ref="AH401:AH439" si="103">"{"&amp;I$397&amp;","&amp;I401&amp;"}"</f>
        <v>{2,4200}</v>
      </c>
      <c r="AI401" t="str">
        <f ca="1" t="shared" ref="AI401:AI439" si="104">IF(AB401=0,"","{"&amp;J$397&amp;","&amp;AB401&amp;"}")</f>
        <v>{6030001,9}</v>
      </c>
      <c r="AJ401" t="str">
        <f ca="1" t="shared" ref="AJ401:AJ439" si="105">IF(AC401=0,"","{"&amp;K$397&amp;","&amp;AC401&amp;"}")</f>
        <v>{6030002,3}</v>
      </c>
      <c r="AK401" t="str">
        <f ca="1" t="shared" ref="AK401:AK439" si="106">IF(AD401=0,"","{"&amp;L$397&amp;","&amp;AD401&amp;"}")</f>
        <v/>
      </c>
      <c r="AL401" t="str">
        <f ca="1" t="shared" ref="AL401:AL439" si="107">IF(AE401=0,"","{"&amp;M$397&amp;","&amp;AE401&amp;"}")</f>
        <v/>
      </c>
      <c r="AM401" t="str">
        <f t="shared" ref="AM401:AM439" si="108">"{"&amp;6020000+MATCH(D401,$D$400:$D$439,0)&amp;",8}"</f>
        <v>{6020002,8}</v>
      </c>
      <c r="AN401" t="str">
        <f ca="1" t="shared" ref="AN401:AN439" si="109">"["&amp;_xlfn.TEXTJOIN(",",1,AF401:AM401)&amp;"]"</f>
        <v>[{63,665},{62,1},{2,4200},{6030001,9},{6030002,3},{6020002,8}]</v>
      </c>
    </row>
    <row r="402" spans="4:40">
      <c r="D402" s="81" t="s">
        <v>240</v>
      </c>
      <c r="E402" s="81">
        <v>65</v>
      </c>
      <c r="F402" s="81">
        <f ca="1">MATCH(E402,OFFSET(载具预期!$D$7:$D$306,0,MATCH($E$110,载具预期!$E$6:$H$6,0)),1)</f>
        <v>11</v>
      </c>
      <c r="G402" s="81">
        <f ca="1" t="shared" si="85"/>
        <v>690</v>
      </c>
      <c r="H402" s="81">
        <f ca="1" t="shared" si="86"/>
        <v>1</v>
      </c>
      <c r="I402" s="81">
        <f ca="1" t="shared" si="87"/>
        <v>4400</v>
      </c>
      <c r="J402" s="81">
        <f ca="1" t="shared" si="88"/>
        <v>15</v>
      </c>
      <c r="K402" s="81">
        <f ca="1" t="shared" si="89"/>
        <v>7</v>
      </c>
      <c r="L402" s="81">
        <f ca="1" t="shared" si="90"/>
        <v>0</v>
      </c>
      <c r="M402" s="81">
        <f ca="1" t="shared" si="91"/>
        <v>0</v>
      </c>
      <c r="N402" s="81" cm="1">
        <f ca="1" t="array" ref="N402">SUMPRODUCT(J402:M402,$J$110:$M$110)</f>
        <v>5800</v>
      </c>
      <c r="O402" s="81" cm="1">
        <f ca="1" t="array" ref="O402">SUMPRODUCT(G402:I402,$G$110:$I$110)</f>
        <v>1060</v>
      </c>
      <c r="P402">
        <f ca="1" t="shared" ref="P402:P439" si="110">N402-N401</f>
        <v>720</v>
      </c>
      <c r="Q402" cm="1">
        <f ca="1" t="array" ref="Q402">_xlfn.XLOOKUP($D402&amp;8,$D$444:$D$763&amp;$E$444:$E$763,O$444:O$763)</f>
        <v>0.5</v>
      </c>
      <c r="R402" cm="1">
        <f ca="1" t="array" ref="R402">_xlfn.XLOOKUP($D402&amp;8,$D$444:$D$763&amp;$E$444:$E$763,P$444:P$763)</f>
        <v>0.5</v>
      </c>
      <c r="S402" cm="1">
        <f ca="1" t="array" ref="S402">_xlfn.XLOOKUP($D402&amp;8,$D$444:$D$763&amp;$E$444:$E$763,Q$444:Q$763)</f>
        <v>0</v>
      </c>
      <c r="T402" cm="1">
        <f ca="1" t="array" ref="T402">_xlfn.XLOOKUP($D402&amp;8,$D$444:$D$763&amp;$E$444:$E$763,R$444:R$763)</f>
        <v>0</v>
      </c>
      <c r="U402" t="str">
        <f ca="1" t="shared" si="92"/>
        <v>史诗零件碎片概率：50%</v>
      </c>
      <c r="V402" t="str">
        <f ca="1" t="shared" si="93"/>
        <v>传说零件碎片概率：50%</v>
      </c>
      <c r="W402" t="str">
        <f ca="1" t="shared" si="94"/>
        <v/>
      </c>
      <c r="X402" t="str">
        <f ca="1" t="shared" si="95"/>
        <v/>
      </c>
      <c r="Y402" t="str">
        <f ca="1" t="shared" si="96"/>
        <v>开启后可随机获得以下奖励：\n史诗零件碎片概率：50%\n传说零件碎片概率：50%</v>
      </c>
      <c r="Z402">
        <v>5</v>
      </c>
      <c r="AA402" cm="1">
        <f ca="1" t="array" ref="AA402">SUMPRODUCT(Q$398:T$398,Q402:T402)</f>
        <v>300</v>
      </c>
      <c r="AB402">
        <f ca="1" t="shared" si="97"/>
        <v>11</v>
      </c>
      <c r="AC402">
        <f ca="1" t="shared" si="98"/>
        <v>3</v>
      </c>
      <c r="AD402">
        <f ca="1" t="shared" si="99"/>
        <v>0</v>
      </c>
      <c r="AE402">
        <f ca="1" t="shared" si="100"/>
        <v>0</v>
      </c>
      <c r="AF402" t="str">
        <f ca="1" t="shared" si="101"/>
        <v>{63,690}</v>
      </c>
      <c r="AG402" t="str">
        <f ca="1" t="shared" si="102"/>
        <v>{62,1}</v>
      </c>
      <c r="AH402" t="str">
        <f ca="1" t="shared" si="103"/>
        <v>{2,4400}</v>
      </c>
      <c r="AI402" t="str">
        <f ca="1" t="shared" si="104"/>
        <v>{6030001,11}</v>
      </c>
      <c r="AJ402" t="str">
        <f ca="1" t="shared" si="105"/>
        <v>{6030002,3}</v>
      </c>
      <c r="AK402" t="str">
        <f ca="1" t="shared" si="106"/>
        <v/>
      </c>
      <c r="AL402" t="str">
        <f ca="1" t="shared" si="107"/>
        <v/>
      </c>
      <c r="AM402" t="str">
        <f t="shared" si="108"/>
        <v>{6020003,8}</v>
      </c>
      <c r="AN402" t="str">
        <f ca="1" t="shared" si="109"/>
        <v>[{63,690},{62,1},{2,4400},{6030001,11},{6030002,3},{6020003,8}]</v>
      </c>
    </row>
    <row r="403" spans="4:40">
      <c r="D403" s="81" t="s">
        <v>241</v>
      </c>
      <c r="E403" s="81">
        <v>75</v>
      </c>
      <c r="F403" s="81">
        <f ca="1">MATCH(E403,OFFSET(载具预期!$D$7:$D$306,0,MATCH($E$110,载具预期!$E$6:$H$6,0)),1)</f>
        <v>19</v>
      </c>
      <c r="G403" s="81">
        <f ca="1" t="shared" si="85"/>
        <v>730</v>
      </c>
      <c r="H403" s="81">
        <f ca="1" t="shared" si="86"/>
        <v>1</v>
      </c>
      <c r="I403" s="81">
        <f ca="1" t="shared" si="87"/>
        <v>4600</v>
      </c>
      <c r="J403" s="81">
        <f ca="1" t="shared" si="88"/>
        <v>13.4</v>
      </c>
      <c r="K403" s="81">
        <f ca="1" t="shared" si="89"/>
        <v>9.6</v>
      </c>
      <c r="L403" s="81">
        <f ca="1" t="shared" si="90"/>
        <v>0</v>
      </c>
      <c r="M403" s="81">
        <f ca="1" t="shared" si="91"/>
        <v>0</v>
      </c>
      <c r="N403" s="81" cm="1">
        <f ca="1" t="array" ref="N403">SUMPRODUCT(J403:M403,$J$110:$M$110)</f>
        <v>6520</v>
      </c>
      <c r="O403" s="81" cm="1">
        <f ca="1" t="array" ref="O403">SUMPRODUCT(G403:I403,$G$110:$I$110)</f>
        <v>1110</v>
      </c>
      <c r="P403">
        <f ca="1" t="shared" si="110"/>
        <v>720</v>
      </c>
      <c r="Q403" cm="1">
        <f ca="1" t="array" ref="Q403">_xlfn.XLOOKUP($D403&amp;8,$D$444:$D$763&amp;$E$444:$E$763,O$444:O$763)</f>
        <v>0.3</v>
      </c>
      <c r="R403" cm="1">
        <f ca="1" t="array" ref="R403">_xlfn.XLOOKUP($D403&amp;8,$D$444:$D$763&amp;$E$444:$E$763,P$444:P$763)</f>
        <v>0.7</v>
      </c>
      <c r="S403" cm="1">
        <f ca="1" t="array" ref="S403">_xlfn.XLOOKUP($D403&amp;8,$D$444:$D$763&amp;$E$444:$E$763,Q$444:Q$763)</f>
        <v>0</v>
      </c>
      <c r="T403" cm="1">
        <f ca="1" t="array" ref="T403">_xlfn.XLOOKUP($D403&amp;8,$D$444:$D$763&amp;$E$444:$E$763,R$444:R$763)</f>
        <v>0</v>
      </c>
      <c r="U403" t="str">
        <f ca="1" t="shared" si="92"/>
        <v>史诗零件碎片概率：30%</v>
      </c>
      <c r="V403" t="str">
        <f ca="1" t="shared" si="93"/>
        <v>传说零件碎片概率：70%</v>
      </c>
      <c r="W403" t="str">
        <f ca="1" t="shared" si="94"/>
        <v/>
      </c>
      <c r="X403" t="str">
        <f ca="1" t="shared" si="95"/>
        <v/>
      </c>
      <c r="Y403" t="str">
        <f ca="1" t="shared" si="96"/>
        <v>开启后可随机获得以下奖励：\n史诗零件碎片概率：30%\n传说零件碎片概率：70%</v>
      </c>
      <c r="Z403">
        <v>5</v>
      </c>
      <c r="AA403" cm="1">
        <f ca="1" t="array" ref="AA403">SUMPRODUCT(Q$398:T$398,Q403:T403)</f>
        <v>340</v>
      </c>
      <c r="AB403">
        <f ca="1" t="shared" si="97"/>
        <v>11</v>
      </c>
      <c r="AC403">
        <f ca="1" t="shared" si="98"/>
        <v>4</v>
      </c>
      <c r="AD403">
        <f ca="1" t="shared" si="99"/>
        <v>0</v>
      </c>
      <c r="AE403">
        <f ca="1" t="shared" si="100"/>
        <v>0</v>
      </c>
      <c r="AF403" t="str">
        <f ca="1" t="shared" si="101"/>
        <v>{63,730}</v>
      </c>
      <c r="AG403" t="str">
        <f ca="1" t="shared" si="102"/>
        <v>{62,1}</v>
      </c>
      <c r="AH403" t="str">
        <f ca="1" t="shared" si="103"/>
        <v>{2,4600}</v>
      </c>
      <c r="AI403" t="str">
        <f ca="1" t="shared" si="104"/>
        <v>{6030001,11}</v>
      </c>
      <c r="AJ403" t="str">
        <f ca="1" t="shared" si="105"/>
        <v>{6030002,4}</v>
      </c>
      <c r="AK403" t="str">
        <f ca="1" t="shared" si="106"/>
        <v/>
      </c>
      <c r="AL403" t="str">
        <f ca="1" t="shared" si="107"/>
        <v/>
      </c>
      <c r="AM403" t="str">
        <f t="shared" si="108"/>
        <v>{6020004,8}</v>
      </c>
      <c r="AN403" t="str">
        <f ca="1" t="shared" si="109"/>
        <v>[{63,730},{62,1},{2,4600},{6030001,11},{6030002,4},{6020004,8}]</v>
      </c>
    </row>
    <row r="404" spans="4:40">
      <c r="D404" s="81" t="s">
        <v>242</v>
      </c>
      <c r="E404" s="81">
        <v>85</v>
      </c>
      <c r="F404" s="81">
        <f ca="1">MATCH(E404,OFFSET(载具预期!$D$7:$D$306,0,MATCH($E$110,载具预期!$E$6:$H$6,0)),1)</f>
        <v>29</v>
      </c>
      <c r="G404" s="81">
        <f ca="1" t="shared" si="85"/>
        <v>750</v>
      </c>
      <c r="H404" s="81">
        <f ca="1" t="shared" si="86"/>
        <v>1</v>
      </c>
      <c r="I404" s="81">
        <f ca="1" t="shared" si="87"/>
        <v>4800</v>
      </c>
      <c r="J404" s="81">
        <f ca="1" t="shared" si="88"/>
        <v>13.8</v>
      </c>
      <c r="K404" s="81">
        <f ca="1" t="shared" si="89"/>
        <v>10.96</v>
      </c>
      <c r="L404" s="81">
        <f ca="1" t="shared" si="90"/>
        <v>0.24</v>
      </c>
      <c r="M404" s="81">
        <f ca="1" t="shared" si="91"/>
        <v>0</v>
      </c>
      <c r="N404" s="81" cm="1">
        <f ca="1" t="array" ref="N404">SUMPRODUCT(J404:M404,$J$110:$M$110)</f>
        <v>7336</v>
      </c>
      <c r="O404" s="81" cm="1">
        <f ca="1" t="array" ref="O404">SUMPRODUCT(G404:I404,$G$110:$I$110)</f>
        <v>1140</v>
      </c>
      <c r="P404">
        <f ca="1" t="shared" si="110"/>
        <v>816</v>
      </c>
      <c r="Q404" cm="1">
        <f ca="1" t="array" ref="Q404">_xlfn.XLOOKUP($D404&amp;8,$D$444:$D$763&amp;$E$444:$E$763,O$444:O$763)</f>
        <v>0.1</v>
      </c>
      <c r="R404" cm="1">
        <f ca="1" t="array" ref="R404">_xlfn.XLOOKUP($D404&amp;8,$D$444:$D$763&amp;$E$444:$E$763,P$444:P$763)</f>
        <v>0.87</v>
      </c>
      <c r="S404" cm="1">
        <f ca="1" t="array" ref="S404">_xlfn.XLOOKUP($D404&amp;8,$D$444:$D$763&amp;$E$444:$E$763,Q$444:Q$763)</f>
        <v>0.03</v>
      </c>
      <c r="T404" cm="1">
        <f ca="1" t="array" ref="T404">_xlfn.XLOOKUP($D404&amp;8,$D$444:$D$763&amp;$E$444:$E$763,R$444:R$763)</f>
        <v>0</v>
      </c>
      <c r="U404" t="str">
        <f ca="1" t="shared" si="92"/>
        <v>史诗零件碎片概率：10%</v>
      </c>
      <c r="V404" t="str">
        <f ca="1" t="shared" si="93"/>
        <v>传说零件碎片概率：87%</v>
      </c>
      <c r="W404" t="str">
        <f ca="1" t="shared" si="94"/>
        <v>神话零件碎片概率：3%</v>
      </c>
      <c r="X404" t="str">
        <f ca="1" t="shared" si="95"/>
        <v/>
      </c>
      <c r="Y404" t="str">
        <f ca="1" t="shared" si="96"/>
        <v>开启后可随机获得以下奖励：\n史诗零件碎片概率：10%\n传说零件碎片概率：87%\n神话零件碎片概率：3%</v>
      </c>
      <c r="Z404">
        <v>6</v>
      </c>
      <c r="AA404" cm="1">
        <f ca="1" t="array" ref="AA404">SUMPRODUCT(Q$398:T$398,Q404:T404)</f>
        <v>392</v>
      </c>
      <c r="AB404">
        <f ca="1" t="shared" si="97"/>
        <v>13</v>
      </c>
      <c r="AC404">
        <f ca="1" t="shared" si="98"/>
        <v>4</v>
      </c>
      <c r="AD404">
        <f ca="1" t="shared" si="99"/>
        <v>0</v>
      </c>
      <c r="AE404">
        <f ca="1" t="shared" si="100"/>
        <v>0</v>
      </c>
      <c r="AF404" t="str">
        <f ca="1" t="shared" si="101"/>
        <v>{63,750}</v>
      </c>
      <c r="AG404" t="str">
        <f ca="1" t="shared" si="102"/>
        <v>{62,1}</v>
      </c>
      <c r="AH404" t="str">
        <f ca="1" t="shared" si="103"/>
        <v>{2,4800}</v>
      </c>
      <c r="AI404" t="str">
        <f ca="1" t="shared" si="104"/>
        <v>{6030001,13}</v>
      </c>
      <c r="AJ404" t="str">
        <f ca="1" t="shared" si="105"/>
        <v>{6030002,4}</v>
      </c>
      <c r="AK404" t="str">
        <f ca="1" t="shared" si="106"/>
        <v/>
      </c>
      <c r="AL404" t="str">
        <f ca="1" t="shared" si="107"/>
        <v/>
      </c>
      <c r="AM404" t="str">
        <f t="shared" si="108"/>
        <v>{6020005,8}</v>
      </c>
      <c r="AN404" t="str">
        <f ca="1" t="shared" si="109"/>
        <v>[{63,750},{62,1},{2,4800},{6030001,13},{6030002,4},{6020005,8}]</v>
      </c>
    </row>
    <row r="405" spans="4:40">
      <c r="D405" s="81" t="s">
        <v>243</v>
      </c>
      <c r="E405" s="81">
        <v>95</v>
      </c>
      <c r="F405" s="81">
        <f ca="1">MATCH(E405,OFFSET(载具预期!$D$7:$D$306,0,MATCH($E$110,载具预期!$E$6:$H$6,0)),1)</f>
        <v>39</v>
      </c>
      <c r="G405" s="81">
        <f ca="1" t="shared" si="85"/>
        <v>790</v>
      </c>
      <c r="H405" s="81">
        <f ca="1" t="shared" si="86"/>
        <v>1</v>
      </c>
      <c r="I405" s="81">
        <f ca="1" t="shared" si="87"/>
        <v>5000</v>
      </c>
      <c r="J405" s="81">
        <f ca="1" t="shared" si="88"/>
        <v>13</v>
      </c>
      <c r="K405" s="81">
        <f ca="1" t="shared" si="89"/>
        <v>12.52</v>
      </c>
      <c r="L405" s="81">
        <f ca="1" t="shared" si="90"/>
        <v>0.48</v>
      </c>
      <c r="M405" s="81">
        <f ca="1" t="shared" si="91"/>
        <v>0</v>
      </c>
      <c r="N405" s="81" cm="1">
        <f ca="1" t="array" ref="N405">SUMPRODUCT(J405:M405,$J$110:$M$110)</f>
        <v>7992</v>
      </c>
      <c r="O405" s="81" cm="1">
        <f ca="1" t="array" ref="O405">SUMPRODUCT(G405:I405,$G$110:$I$110)</f>
        <v>1190</v>
      </c>
      <c r="P405">
        <f ca="1" t="shared" si="110"/>
        <v>656</v>
      </c>
      <c r="Q405" cm="1">
        <f ca="1" t="array" ref="Q405">_xlfn.XLOOKUP($D405&amp;8,$D$444:$D$763&amp;$E$444:$E$763,O$444:O$763)</f>
        <v>0</v>
      </c>
      <c r="R405" cm="1">
        <f ca="1" t="array" ref="R405">_xlfn.XLOOKUP($D405&amp;8,$D$444:$D$763&amp;$E$444:$E$763,P$444:P$763)</f>
        <v>0.94</v>
      </c>
      <c r="S405" cm="1">
        <f ca="1" t="array" ref="S405">_xlfn.XLOOKUP($D405&amp;8,$D$444:$D$763&amp;$E$444:$E$763,Q$444:Q$763)</f>
        <v>0.06</v>
      </c>
      <c r="T405" cm="1">
        <f ca="1" t="array" ref="T405">_xlfn.XLOOKUP($D405&amp;8,$D$444:$D$763&amp;$E$444:$E$763,R$444:R$763)</f>
        <v>0</v>
      </c>
      <c r="U405" t="str">
        <f ca="1" t="shared" si="92"/>
        <v/>
      </c>
      <c r="V405" t="str">
        <f ca="1" t="shared" si="93"/>
        <v>传说零件碎片概率：94%</v>
      </c>
      <c r="W405" t="str">
        <f ca="1" t="shared" si="94"/>
        <v>神话零件碎片概率：6%</v>
      </c>
      <c r="X405" t="str">
        <f ca="1" t="shared" si="95"/>
        <v/>
      </c>
      <c r="Y405" t="str">
        <f ca="1" t="shared" si="96"/>
        <v>开启后可随机获得以下奖励：\n传说零件碎片概率：94%\n神话零件碎片概率：6%</v>
      </c>
      <c r="Z405">
        <v>6</v>
      </c>
      <c r="AA405" cm="1">
        <f ca="1" t="array" ref="AA405">SUMPRODUCT(Q$398:T$398,Q405:T405)</f>
        <v>424</v>
      </c>
      <c r="AB405">
        <f ca="1" t="shared" si="97"/>
        <v>13</v>
      </c>
      <c r="AC405">
        <f ca="1" t="shared" si="98"/>
        <v>5</v>
      </c>
      <c r="AD405">
        <f ca="1" t="shared" si="99"/>
        <v>0</v>
      </c>
      <c r="AE405">
        <f ca="1" t="shared" si="100"/>
        <v>0</v>
      </c>
      <c r="AF405" t="str">
        <f ca="1" t="shared" si="101"/>
        <v>{63,790}</v>
      </c>
      <c r="AG405" t="str">
        <f ca="1" t="shared" si="102"/>
        <v>{62,1}</v>
      </c>
      <c r="AH405" t="str">
        <f ca="1" t="shared" si="103"/>
        <v>{2,5000}</v>
      </c>
      <c r="AI405" t="str">
        <f ca="1" t="shared" si="104"/>
        <v>{6030001,13}</v>
      </c>
      <c r="AJ405" t="str">
        <f ca="1" t="shared" si="105"/>
        <v>{6030002,5}</v>
      </c>
      <c r="AK405" t="str">
        <f ca="1" t="shared" si="106"/>
        <v/>
      </c>
      <c r="AL405" t="str">
        <f ca="1" t="shared" si="107"/>
        <v/>
      </c>
      <c r="AM405" t="str">
        <f t="shared" si="108"/>
        <v>{6020006,8}</v>
      </c>
      <c r="AN405" t="str">
        <f ca="1" t="shared" si="109"/>
        <v>[{63,790},{62,1},{2,5000},{6030001,13},{6030002,5},{6020006,8}]</v>
      </c>
    </row>
    <row r="406" spans="4:40">
      <c r="D406" s="81" t="s">
        <v>244</v>
      </c>
      <c r="E406" s="81">
        <v>105</v>
      </c>
      <c r="F406" s="81">
        <f ca="1">MATCH(E406,OFFSET(载具预期!$D$7:$D$306,0,MATCH($E$110,载具预期!$E$6:$H$6,0)),1)</f>
        <v>49</v>
      </c>
      <c r="G406" s="81">
        <f ca="1" t="shared" si="85"/>
        <v>815</v>
      </c>
      <c r="H406" s="81">
        <f ca="1" t="shared" si="86"/>
        <v>1</v>
      </c>
      <c r="I406" s="81">
        <f ca="1" t="shared" si="87"/>
        <v>5200</v>
      </c>
      <c r="J406" s="81">
        <f ca="1" t="shared" si="88"/>
        <v>14</v>
      </c>
      <c r="K406" s="81">
        <f ca="1" t="shared" si="89"/>
        <v>12.28</v>
      </c>
      <c r="L406" s="81">
        <f ca="1" t="shared" si="90"/>
        <v>0.72</v>
      </c>
      <c r="M406" s="81">
        <f ca="1" t="shared" si="91"/>
        <v>0</v>
      </c>
      <c r="N406" s="81" cm="1">
        <f ca="1" t="array" ref="N406">SUMPRODUCT(J406:M406,$J$110:$M$110)</f>
        <v>8288</v>
      </c>
      <c r="O406" s="81" cm="1">
        <f ca="1" t="array" ref="O406">SUMPRODUCT(G406:I406,$G$110:$I$110)</f>
        <v>1225</v>
      </c>
      <c r="P406">
        <f ca="1" t="shared" si="110"/>
        <v>296</v>
      </c>
      <c r="Q406" cm="1">
        <f ca="1" t="array" ref="Q406">_xlfn.XLOOKUP($D406&amp;8,$D$444:$D$763&amp;$E$444:$E$763,O$444:O$763)</f>
        <v>0</v>
      </c>
      <c r="R406" cm="1">
        <f ca="1" t="array" ref="R406">_xlfn.XLOOKUP($D406&amp;8,$D$444:$D$763&amp;$E$444:$E$763,P$444:P$763)</f>
        <v>0.91</v>
      </c>
      <c r="S406" cm="1">
        <f ca="1" t="array" ref="S406">_xlfn.XLOOKUP($D406&amp;8,$D$444:$D$763&amp;$E$444:$E$763,Q$444:Q$763)</f>
        <v>0.09</v>
      </c>
      <c r="T406" cm="1">
        <f ca="1" t="array" ref="T406">_xlfn.XLOOKUP($D406&amp;8,$D$444:$D$763&amp;$E$444:$E$763,R$444:R$763)</f>
        <v>0</v>
      </c>
      <c r="U406" t="str">
        <f ca="1" t="shared" si="92"/>
        <v/>
      </c>
      <c r="V406" t="str">
        <f ca="1" t="shared" si="93"/>
        <v>传说零件碎片概率：91%</v>
      </c>
      <c r="W406" t="str">
        <f ca="1" t="shared" si="94"/>
        <v>神话零件碎片概率：9%</v>
      </c>
      <c r="X406" t="str">
        <f ca="1" t="shared" si="95"/>
        <v/>
      </c>
      <c r="Y406" t="str">
        <f ca="1" t="shared" si="96"/>
        <v>开启后可随机获得以下奖励：\n传说零件碎片概率：91%\n神话零件碎片概率：9%</v>
      </c>
      <c r="Z406">
        <v>6</v>
      </c>
      <c r="AA406" cm="1">
        <f ca="1" t="array" ref="AA406">SUMPRODUCT(Q$398:T$398,Q406:T406)</f>
        <v>436</v>
      </c>
      <c r="AB406">
        <f ca="1" t="shared" si="97"/>
        <v>14</v>
      </c>
      <c r="AC406">
        <f ca="1" t="shared" si="98"/>
        <v>5</v>
      </c>
      <c r="AD406">
        <f ca="1" t="shared" si="99"/>
        <v>0</v>
      </c>
      <c r="AE406">
        <f ca="1" t="shared" si="100"/>
        <v>0</v>
      </c>
      <c r="AF406" t="str">
        <f ca="1" t="shared" si="101"/>
        <v>{63,815}</v>
      </c>
      <c r="AG406" t="str">
        <f ca="1" t="shared" si="102"/>
        <v>{62,1}</v>
      </c>
      <c r="AH406" t="str">
        <f ca="1" t="shared" si="103"/>
        <v>{2,5200}</v>
      </c>
      <c r="AI406" t="str">
        <f ca="1" t="shared" si="104"/>
        <v>{6030001,14}</v>
      </c>
      <c r="AJ406" t="str">
        <f ca="1" t="shared" si="105"/>
        <v>{6030002,5}</v>
      </c>
      <c r="AK406" t="str">
        <f ca="1" t="shared" si="106"/>
        <v/>
      </c>
      <c r="AL406" t="str">
        <f ca="1" t="shared" si="107"/>
        <v/>
      </c>
      <c r="AM406" t="str">
        <f t="shared" si="108"/>
        <v>{6020007,8}</v>
      </c>
      <c r="AN406" t="str">
        <f ca="1" t="shared" si="109"/>
        <v>[{63,815},{62,1},{2,5200},{6030001,14},{6030002,5},{6020007,8}]</v>
      </c>
    </row>
    <row r="407" spans="4:40">
      <c r="D407" s="82" t="s">
        <v>245</v>
      </c>
      <c r="E407" s="82">
        <v>115</v>
      </c>
      <c r="F407" s="82">
        <f ca="1">MATCH(E407,OFFSET(载具预期!$D$7:$D$306,0,MATCH($E$110,载具预期!$E$6:$H$6,0)),1)</f>
        <v>59</v>
      </c>
      <c r="G407" s="81">
        <f ca="1" t="shared" si="85"/>
        <v>855</v>
      </c>
      <c r="H407" s="81">
        <f ca="1" t="shared" si="86"/>
        <v>1</v>
      </c>
      <c r="I407" s="81">
        <f ca="1" t="shared" si="87"/>
        <v>5400</v>
      </c>
      <c r="J407" s="81">
        <f ca="1" t="shared" si="88"/>
        <v>14</v>
      </c>
      <c r="K407" s="81">
        <f ca="1" t="shared" si="89"/>
        <v>13.04</v>
      </c>
      <c r="L407" s="81">
        <f ca="1" t="shared" si="90"/>
        <v>0.96</v>
      </c>
      <c r="M407" s="81">
        <f ca="1" t="shared" si="91"/>
        <v>0</v>
      </c>
      <c r="N407" s="81" cm="1">
        <f ca="1" t="array" ref="N407">SUMPRODUCT(J407:M407,$J$110:$M$110)</f>
        <v>8784</v>
      </c>
      <c r="O407" s="81" cm="1">
        <f ca="1" t="array" ref="O407">SUMPRODUCT(G407:I407,$G$110:$I$110)</f>
        <v>1275</v>
      </c>
      <c r="P407">
        <f ca="1" t="shared" si="110"/>
        <v>496</v>
      </c>
      <c r="Q407" cm="1">
        <f ca="1" t="array" ref="Q407">_xlfn.XLOOKUP($D407&amp;8,$D$444:$D$763&amp;$E$444:$E$763,O$444:O$763)</f>
        <v>0</v>
      </c>
      <c r="R407" cm="1">
        <f ca="1" t="array" ref="R407">_xlfn.XLOOKUP($D407&amp;8,$D$444:$D$763&amp;$E$444:$E$763,P$444:P$763)</f>
        <v>0.88</v>
      </c>
      <c r="S407" cm="1">
        <f ca="1" t="array" ref="S407">_xlfn.XLOOKUP($D407&amp;8,$D$444:$D$763&amp;$E$444:$E$763,Q$444:Q$763)</f>
        <v>0.12</v>
      </c>
      <c r="T407" cm="1">
        <f ca="1" t="array" ref="T407">_xlfn.XLOOKUP($D407&amp;8,$D$444:$D$763&amp;$E$444:$E$763,R$444:R$763)</f>
        <v>0</v>
      </c>
      <c r="U407" t="str">
        <f ca="1" t="shared" si="92"/>
        <v/>
      </c>
      <c r="V407" t="str">
        <f ca="1" t="shared" si="93"/>
        <v>传说零件碎片概率：88%</v>
      </c>
      <c r="W407" t="str">
        <f ca="1" t="shared" si="94"/>
        <v>神话零件碎片概率：12%</v>
      </c>
      <c r="X407" t="str">
        <f ca="1" t="shared" si="95"/>
        <v/>
      </c>
      <c r="Y407" t="str">
        <f ca="1" t="shared" si="96"/>
        <v>开启后可随机获得以下奖励：\n传说零件碎片概率：88%\n神话零件碎片概率：12%</v>
      </c>
      <c r="Z407">
        <v>6</v>
      </c>
      <c r="AA407" cm="1">
        <f ca="1" t="array" ref="AA407">SUMPRODUCT(Q$398:T$398,Q407:T407)</f>
        <v>448</v>
      </c>
      <c r="AB407">
        <f ca="1" t="shared" si="97"/>
        <v>14</v>
      </c>
      <c r="AC407">
        <f ca="1" t="shared" si="98"/>
        <v>6</v>
      </c>
      <c r="AD407">
        <f ca="1" t="shared" si="99"/>
        <v>0</v>
      </c>
      <c r="AE407">
        <f ca="1" t="shared" si="100"/>
        <v>0</v>
      </c>
      <c r="AF407" t="str">
        <f ca="1" t="shared" si="101"/>
        <v>{63,855}</v>
      </c>
      <c r="AG407" t="str">
        <f ca="1" t="shared" si="102"/>
        <v>{62,1}</v>
      </c>
      <c r="AH407" t="str">
        <f ca="1" t="shared" si="103"/>
        <v>{2,5400}</v>
      </c>
      <c r="AI407" t="str">
        <f ca="1" t="shared" si="104"/>
        <v>{6030001,14}</v>
      </c>
      <c r="AJ407" t="str">
        <f ca="1" t="shared" si="105"/>
        <v>{6030002,6}</v>
      </c>
      <c r="AK407" t="str">
        <f ca="1" t="shared" si="106"/>
        <v/>
      </c>
      <c r="AL407" t="str">
        <f ca="1" t="shared" si="107"/>
        <v/>
      </c>
      <c r="AM407" t="str">
        <f t="shared" si="108"/>
        <v>{6020008,8}</v>
      </c>
      <c r="AN407" t="str">
        <f ca="1" t="shared" si="109"/>
        <v>[{63,855},{62,1},{2,5400},{6030001,14},{6030002,6},{6020008,8}]</v>
      </c>
    </row>
    <row r="408" spans="4:40">
      <c r="D408" s="81" t="s">
        <v>246</v>
      </c>
      <c r="E408" s="81">
        <v>125</v>
      </c>
      <c r="F408" s="81">
        <f ca="1">MATCH(E408,OFFSET(载具预期!$D$7:$D$306,0,MATCH($E$110,载具预期!$E$6:$H$6,0)),1)</f>
        <v>75</v>
      </c>
      <c r="G408" s="81">
        <f ca="1" t="shared" si="85"/>
        <v>875</v>
      </c>
      <c r="H408" s="81">
        <f ca="1" t="shared" si="86"/>
        <v>1</v>
      </c>
      <c r="I408" s="81">
        <f ca="1" t="shared" si="87"/>
        <v>5600</v>
      </c>
      <c r="J408" s="81">
        <f ca="1" t="shared" si="88"/>
        <v>15</v>
      </c>
      <c r="K408" s="81">
        <f ca="1" t="shared" si="89"/>
        <v>12.8</v>
      </c>
      <c r="L408" s="81">
        <f ca="1" t="shared" si="90"/>
        <v>1.2</v>
      </c>
      <c r="M408" s="81">
        <f ca="1" t="shared" si="91"/>
        <v>0</v>
      </c>
      <c r="N408" s="81" cm="1">
        <f ca="1" t="array" ref="N408">SUMPRODUCT(J408:M408,$J$110:$M$110)</f>
        <v>9080</v>
      </c>
      <c r="O408" s="81" cm="1">
        <f ca="1" t="array" ref="O408">SUMPRODUCT(G408:I408,$G$110:$I$110)</f>
        <v>1305</v>
      </c>
      <c r="P408">
        <f ca="1" t="shared" si="110"/>
        <v>296</v>
      </c>
      <c r="Q408" cm="1">
        <f ca="1" t="array" ref="Q408">_xlfn.XLOOKUP($D408&amp;8,$D$444:$D$763&amp;$E$444:$E$763,O$444:O$763)</f>
        <v>0</v>
      </c>
      <c r="R408" cm="1">
        <f ca="1" t="array" ref="R408">_xlfn.XLOOKUP($D408&amp;8,$D$444:$D$763&amp;$E$444:$E$763,P$444:P$763)</f>
        <v>0.85</v>
      </c>
      <c r="S408" cm="1">
        <f ca="1" t="array" ref="S408">_xlfn.XLOOKUP($D408&amp;8,$D$444:$D$763&amp;$E$444:$E$763,Q$444:Q$763)</f>
        <v>0.15</v>
      </c>
      <c r="T408" cm="1">
        <f ca="1" t="array" ref="T408">_xlfn.XLOOKUP($D408&amp;8,$D$444:$D$763&amp;$E$444:$E$763,R$444:R$763)</f>
        <v>0</v>
      </c>
      <c r="U408" t="str">
        <f ca="1" t="shared" si="92"/>
        <v/>
      </c>
      <c r="V408" t="str">
        <f ca="1" t="shared" si="93"/>
        <v>传说零件碎片概率：85%</v>
      </c>
      <c r="W408" t="str">
        <f ca="1" t="shared" si="94"/>
        <v>神话零件碎片概率：15%</v>
      </c>
      <c r="X408" t="str">
        <f ca="1" t="shared" si="95"/>
        <v/>
      </c>
      <c r="Y408" t="str">
        <f ca="1" t="shared" si="96"/>
        <v>开启后可随机获得以下奖励：\n传说零件碎片概率：85%\n神话零件碎片概率：15%</v>
      </c>
      <c r="Z408">
        <v>6</v>
      </c>
      <c r="AA408" cm="1">
        <f ca="1" t="array" ref="AA408">SUMPRODUCT(Q$398:T$398,Q408:T408)</f>
        <v>460</v>
      </c>
      <c r="AB408">
        <f ca="1" t="shared" si="97"/>
        <v>15</v>
      </c>
      <c r="AC408">
        <f ca="1" t="shared" si="98"/>
        <v>6</v>
      </c>
      <c r="AD408">
        <f ca="1" t="shared" si="99"/>
        <v>0</v>
      </c>
      <c r="AE408">
        <f ca="1" t="shared" si="100"/>
        <v>0</v>
      </c>
      <c r="AF408" t="str">
        <f ca="1" t="shared" si="101"/>
        <v>{63,875}</v>
      </c>
      <c r="AG408" t="str">
        <f ca="1" t="shared" si="102"/>
        <v>{62,1}</v>
      </c>
      <c r="AH408" t="str">
        <f ca="1" t="shared" si="103"/>
        <v>{2,5600}</v>
      </c>
      <c r="AI408" t="str">
        <f ca="1" t="shared" si="104"/>
        <v>{6030001,15}</v>
      </c>
      <c r="AJ408" t="str">
        <f ca="1" t="shared" si="105"/>
        <v>{6030002,6}</v>
      </c>
      <c r="AK408" t="str">
        <f ca="1" t="shared" si="106"/>
        <v/>
      </c>
      <c r="AL408" t="str">
        <f ca="1" t="shared" si="107"/>
        <v/>
      </c>
      <c r="AM408" t="str">
        <f t="shared" si="108"/>
        <v>{6020009,8}</v>
      </c>
      <c r="AN408" t="str">
        <f ca="1" t="shared" si="109"/>
        <v>[{63,875},{62,1},{2,5600},{6030001,15},{6030002,6},{6020009,8}]</v>
      </c>
    </row>
    <row r="409" spans="4:40">
      <c r="D409" s="81" t="s">
        <v>247</v>
      </c>
      <c r="E409" s="81">
        <v>135</v>
      </c>
      <c r="F409" s="81">
        <f ca="1">MATCH(E409,OFFSET(载具预期!$D$7:$D$306,0,MATCH($E$110,载具预期!$E$6:$H$6,0)),1)</f>
        <v>95</v>
      </c>
      <c r="G409" s="81">
        <f ca="1" t="shared" si="85"/>
        <v>915</v>
      </c>
      <c r="H409" s="81">
        <f ca="1" t="shared" si="86"/>
        <v>1</v>
      </c>
      <c r="I409" s="81">
        <f ca="1" t="shared" si="87"/>
        <v>5800</v>
      </c>
      <c r="J409" s="81">
        <f ca="1" t="shared" si="88"/>
        <v>9</v>
      </c>
      <c r="K409" s="81">
        <f ca="1" t="shared" si="89"/>
        <v>14.56</v>
      </c>
      <c r="L409" s="81">
        <f ca="1" t="shared" si="90"/>
        <v>1.44</v>
      </c>
      <c r="M409" s="81">
        <f ca="1" t="shared" si="91"/>
        <v>0</v>
      </c>
      <c r="N409" s="81" cm="1">
        <f ca="1" t="array" ref="N409">SUMPRODUCT(J409:M409,$J$110:$M$110)</f>
        <v>8776</v>
      </c>
      <c r="O409" s="81" cm="1">
        <f ca="1" t="array" ref="O409">SUMPRODUCT(G409:I409,$G$110:$I$110)</f>
        <v>1355</v>
      </c>
      <c r="P409">
        <f ca="1" t="shared" si="110"/>
        <v>-304</v>
      </c>
      <c r="Q409" cm="1">
        <f ca="1" t="array" ref="Q409">_xlfn.XLOOKUP($D409&amp;8,$D$444:$D$763&amp;$E$444:$E$763,O$444:O$763)</f>
        <v>0</v>
      </c>
      <c r="R409" cm="1">
        <f ca="1" t="array" ref="R409">_xlfn.XLOOKUP($D409&amp;8,$D$444:$D$763&amp;$E$444:$E$763,P$444:P$763)</f>
        <v>0.82</v>
      </c>
      <c r="S409" cm="1">
        <f ca="1" t="array" ref="S409">_xlfn.XLOOKUP($D409&amp;8,$D$444:$D$763&amp;$E$444:$E$763,Q$444:Q$763)</f>
        <v>0.18</v>
      </c>
      <c r="T409" cm="1">
        <f ca="1" t="array" ref="T409">_xlfn.XLOOKUP($D409&amp;8,$D$444:$D$763&amp;$E$444:$E$763,R$444:R$763)</f>
        <v>0</v>
      </c>
      <c r="U409" t="str">
        <f ca="1" t="shared" si="92"/>
        <v/>
      </c>
      <c r="V409" t="str">
        <f ca="1" t="shared" si="93"/>
        <v>传说零件碎片概率：82%</v>
      </c>
      <c r="W409" t="str">
        <f ca="1" t="shared" si="94"/>
        <v>神话零件碎片概率：18%</v>
      </c>
      <c r="X409" t="str">
        <f ca="1" t="shared" si="95"/>
        <v/>
      </c>
      <c r="Y409" t="str">
        <f ca="1" t="shared" ref="Y409:Y418" si="111">"开启后可随机获得以下奖励：\n"&amp;_xlfn.TEXTJOIN("\n",1,U409:X409)</f>
        <v>开启后可随机获得以下奖励：\n传说零件碎片概率：82%\n神话零件碎片概率：18%</v>
      </c>
      <c r="Z409">
        <v>6</v>
      </c>
      <c r="AA409" cm="1">
        <f ca="1" t="array" ref="AA409">SUMPRODUCT(Q$398:T$398,Q409:T409)</f>
        <v>472</v>
      </c>
      <c r="AB409">
        <f ca="1" t="shared" si="97"/>
        <v>9</v>
      </c>
      <c r="AC409">
        <f ca="1" t="shared" si="98"/>
        <v>8</v>
      </c>
      <c r="AD409">
        <f ca="1" t="shared" si="99"/>
        <v>0</v>
      </c>
      <c r="AE409">
        <f ca="1" t="shared" si="100"/>
        <v>0</v>
      </c>
      <c r="AF409" t="str">
        <f ca="1" t="shared" si="101"/>
        <v>{63,915}</v>
      </c>
      <c r="AG409" t="str">
        <f ca="1" t="shared" si="102"/>
        <v>{62,1}</v>
      </c>
      <c r="AH409" t="str">
        <f ca="1" t="shared" si="103"/>
        <v>{2,5800}</v>
      </c>
      <c r="AI409" t="str">
        <f ca="1" t="shared" si="104"/>
        <v>{6030001,9}</v>
      </c>
      <c r="AJ409" t="str">
        <f ca="1" t="shared" si="105"/>
        <v>{6030002,8}</v>
      </c>
      <c r="AK409" t="str">
        <f ca="1" t="shared" si="106"/>
        <v/>
      </c>
      <c r="AL409" t="str">
        <f ca="1" t="shared" si="107"/>
        <v/>
      </c>
      <c r="AM409" t="str">
        <f t="shared" si="108"/>
        <v>{6020010,8}</v>
      </c>
      <c r="AN409" t="str">
        <f ca="1" t="shared" si="109"/>
        <v>[{63,915},{62,1},{2,5800},{6030001,9},{6030002,8},{6020010,8}]</v>
      </c>
    </row>
    <row r="410" spans="4:40">
      <c r="D410" s="82" t="s">
        <v>248</v>
      </c>
      <c r="E410" s="82">
        <v>145</v>
      </c>
      <c r="F410" s="82">
        <f ca="1">MATCH(E410,OFFSET(载具预期!$D$7:$D$306,0,MATCH($E$110,载具预期!$E$6:$H$6,0)),1)</f>
        <v>115</v>
      </c>
      <c r="G410" s="81">
        <f ca="1" t="shared" si="85"/>
        <v>940</v>
      </c>
      <c r="H410" s="81">
        <f ca="1" t="shared" si="86"/>
        <v>1</v>
      </c>
      <c r="I410" s="81">
        <f ca="1" t="shared" si="87"/>
        <v>6000</v>
      </c>
      <c r="J410" s="81">
        <f ca="1" t="shared" si="88"/>
        <v>9</v>
      </c>
      <c r="K410" s="81">
        <f ca="1" t="shared" si="89"/>
        <v>11.32</v>
      </c>
      <c r="L410" s="81">
        <f ca="1" t="shared" si="90"/>
        <v>1.68</v>
      </c>
      <c r="M410" s="81">
        <f ca="1" t="shared" si="91"/>
        <v>0</v>
      </c>
      <c r="N410" s="81" cm="1">
        <f ca="1" t="array" ref="N410">SUMPRODUCT(J410:M410,$J$110:$M$110)</f>
        <v>7672</v>
      </c>
      <c r="O410" s="81" cm="1">
        <f ca="1" t="array" ref="O410">SUMPRODUCT(G410:I410,$G$110:$I$110)</f>
        <v>1390</v>
      </c>
      <c r="P410">
        <f ca="1" t="shared" si="110"/>
        <v>-1104</v>
      </c>
      <c r="Q410" cm="1">
        <f ca="1" t="array" ref="Q410">_xlfn.XLOOKUP($D410&amp;8,$D$444:$D$763&amp;$E$444:$E$763,O$444:O$763)</f>
        <v>0</v>
      </c>
      <c r="R410" cm="1">
        <f ca="1" t="array" ref="R410">_xlfn.XLOOKUP($D410&amp;8,$D$444:$D$763&amp;$E$444:$E$763,P$444:P$763)</f>
        <v>0.79</v>
      </c>
      <c r="S410" cm="1">
        <f ca="1" t="array" ref="S410">_xlfn.XLOOKUP($D410&amp;8,$D$444:$D$763&amp;$E$444:$E$763,Q$444:Q$763)</f>
        <v>0.21</v>
      </c>
      <c r="T410" cm="1">
        <f ca="1" t="array" ref="T410">_xlfn.XLOOKUP($D410&amp;8,$D$444:$D$763&amp;$E$444:$E$763,R$444:R$763)</f>
        <v>0</v>
      </c>
      <c r="U410" t="str">
        <f ca="1" t="shared" si="92"/>
        <v/>
      </c>
      <c r="V410" t="str">
        <f ca="1" t="shared" si="93"/>
        <v>传说零件碎片概率：79%</v>
      </c>
      <c r="W410" t="str">
        <f ca="1" t="shared" si="94"/>
        <v>神话零件碎片概率：21%</v>
      </c>
      <c r="X410" t="str">
        <f ca="1" t="shared" si="95"/>
        <v/>
      </c>
      <c r="Y410" t="str">
        <f ca="1" t="shared" si="111"/>
        <v>开启后可随机获得以下奖励：\n传说零件碎片概率：79%\n神话零件碎片概率：21%</v>
      </c>
      <c r="Z410">
        <v>6</v>
      </c>
      <c r="AA410" cm="1">
        <f ca="1" t="array" ref="AA410">SUMPRODUCT(Q$398:T$398,Q410:T410)</f>
        <v>484</v>
      </c>
      <c r="AB410">
        <f ca="1" t="shared" si="97"/>
        <v>9</v>
      </c>
      <c r="AC410">
        <f ca="1" t="shared" si="98"/>
        <v>5</v>
      </c>
      <c r="AD410">
        <f ca="1" t="shared" si="99"/>
        <v>0</v>
      </c>
      <c r="AE410">
        <f ca="1" t="shared" si="100"/>
        <v>0</v>
      </c>
      <c r="AF410" t="str">
        <f ca="1" t="shared" si="101"/>
        <v>{63,940}</v>
      </c>
      <c r="AG410" t="str">
        <f ca="1" t="shared" si="102"/>
        <v>{62,1}</v>
      </c>
      <c r="AH410" t="str">
        <f ca="1" t="shared" si="103"/>
        <v>{2,6000}</v>
      </c>
      <c r="AI410" t="str">
        <f ca="1" t="shared" si="104"/>
        <v>{6030001,9}</v>
      </c>
      <c r="AJ410" t="str">
        <f ca="1" t="shared" si="105"/>
        <v>{6030002,5}</v>
      </c>
      <c r="AK410" t="str">
        <f ca="1" t="shared" si="106"/>
        <v/>
      </c>
      <c r="AL410" t="str">
        <f ca="1" t="shared" si="107"/>
        <v/>
      </c>
      <c r="AM410" t="str">
        <f t="shared" si="108"/>
        <v>{6020011,8}</v>
      </c>
      <c r="AN410" t="str">
        <f ca="1" t="shared" si="109"/>
        <v>[{63,940},{62,1},{2,6000},{6030001,9},{6030002,5},{6020011,8}]</v>
      </c>
    </row>
    <row r="411" spans="4:40">
      <c r="D411" s="81" t="s">
        <v>249</v>
      </c>
      <c r="E411" s="81">
        <v>155</v>
      </c>
      <c r="F411" s="81">
        <f ca="1">MATCH(E411,OFFSET(载具预期!$D$7:$D$306,0,MATCH($E$110,载具预期!$E$6:$H$6,0)),1)</f>
        <v>135</v>
      </c>
      <c r="G411" s="81">
        <f ca="1" t="shared" si="85"/>
        <v>980</v>
      </c>
      <c r="H411" s="81">
        <f ca="1" t="shared" si="86"/>
        <v>1</v>
      </c>
      <c r="I411" s="81">
        <f ca="1" t="shared" si="87"/>
        <v>6200</v>
      </c>
      <c r="J411" s="81">
        <f ca="1" t="shared" si="88"/>
        <v>9</v>
      </c>
      <c r="K411" s="81">
        <f ca="1" t="shared" si="89"/>
        <v>10.08</v>
      </c>
      <c r="L411" s="81">
        <f ca="1" t="shared" si="90"/>
        <v>3.92</v>
      </c>
      <c r="M411" s="81">
        <f ca="1" t="shared" si="91"/>
        <v>0</v>
      </c>
      <c r="N411" s="81" cm="1">
        <f ca="1" t="array" ref="N411">SUMPRODUCT(J411:M411,$J$110:$M$110)</f>
        <v>8968</v>
      </c>
      <c r="O411" s="81" cm="1">
        <f ca="1" t="array" ref="O411">SUMPRODUCT(G411:I411,$G$110:$I$110)</f>
        <v>1440</v>
      </c>
      <c r="P411">
        <f ca="1" t="shared" si="110"/>
        <v>1296</v>
      </c>
      <c r="Q411" cm="1">
        <f ca="1" t="array" ref="Q411">_xlfn.XLOOKUP($D411&amp;8,$D$444:$D$763&amp;$E$444:$E$763,O$444:O$763)</f>
        <v>0</v>
      </c>
      <c r="R411" cm="1">
        <f ca="1" t="array" ref="R411">_xlfn.XLOOKUP($D411&amp;8,$D$444:$D$763&amp;$E$444:$E$763,P$444:P$763)</f>
        <v>0.76</v>
      </c>
      <c r="S411" cm="1">
        <f ca="1" t="array" ref="S411">_xlfn.XLOOKUP($D411&amp;8,$D$444:$D$763&amp;$E$444:$E$763,Q$444:Q$763)</f>
        <v>0.24</v>
      </c>
      <c r="T411" cm="1">
        <f ca="1" t="array" ref="T411">_xlfn.XLOOKUP($D411&amp;8,$D$444:$D$763&amp;$E$444:$E$763,R$444:R$763)</f>
        <v>0</v>
      </c>
      <c r="U411" t="str">
        <f ca="1" t="shared" si="92"/>
        <v/>
      </c>
      <c r="V411" t="str">
        <f ca="1" t="shared" si="93"/>
        <v>传说零件碎片概率：76%</v>
      </c>
      <c r="W411" t="str">
        <f ca="1" t="shared" si="94"/>
        <v>神话零件碎片概率：24%</v>
      </c>
      <c r="X411" t="str">
        <f ca="1" t="shared" si="95"/>
        <v/>
      </c>
      <c r="Y411" t="str">
        <f ca="1" t="shared" si="111"/>
        <v>开启后可随机获得以下奖励：\n传说零件碎片概率：76%\n神话零件碎片概率：24%</v>
      </c>
      <c r="Z411">
        <v>6</v>
      </c>
      <c r="AA411" cm="1">
        <f ca="1" t="array" ref="AA411">SUMPRODUCT(Q$398:T$398,Q411:T411)</f>
        <v>496</v>
      </c>
      <c r="AB411">
        <f ca="1" t="shared" si="97"/>
        <v>9</v>
      </c>
      <c r="AC411">
        <f ca="1" t="shared" si="98"/>
        <v>4</v>
      </c>
      <c r="AD411">
        <f ca="1" t="shared" si="99"/>
        <v>2</v>
      </c>
      <c r="AE411">
        <f ca="1" t="shared" si="100"/>
        <v>0</v>
      </c>
      <c r="AF411" t="str">
        <f ca="1" t="shared" si="101"/>
        <v>{63,980}</v>
      </c>
      <c r="AG411" t="str">
        <f ca="1" t="shared" si="102"/>
        <v>{62,1}</v>
      </c>
      <c r="AH411" t="str">
        <f ca="1" t="shared" si="103"/>
        <v>{2,6200}</v>
      </c>
      <c r="AI411" t="str">
        <f ca="1" t="shared" si="104"/>
        <v>{6030001,9}</v>
      </c>
      <c r="AJ411" t="str">
        <f ca="1" t="shared" si="105"/>
        <v>{6030002,4}</v>
      </c>
      <c r="AK411" t="str">
        <f ca="1" t="shared" si="106"/>
        <v>{6030003,2}</v>
      </c>
      <c r="AL411" t="str">
        <f ca="1" t="shared" si="107"/>
        <v/>
      </c>
      <c r="AM411" t="str">
        <f t="shared" si="108"/>
        <v>{6020012,8}</v>
      </c>
      <c r="AN411" t="str">
        <f ca="1" t="shared" si="109"/>
        <v>[{63,980},{62,1},{2,6200},{6030001,9},{6030002,4},{6030003,2},{6020012,8}]</v>
      </c>
    </row>
    <row r="412" spans="4:40">
      <c r="D412" s="81" t="s">
        <v>250</v>
      </c>
      <c r="E412" s="81">
        <v>165</v>
      </c>
      <c r="F412" s="81">
        <f ca="1">MATCH(E412,OFFSET(载具预期!$D$7:$D$306,0,MATCH($E$110,载具预期!$E$6:$H$6,0)),1)</f>
        <v>155</v>
      </c>
      <c r="G412" s="81">
        <f ca="1" t="shared" si="85"/>
        <v>1000</v>
      </c>
      <c r="H412" s="81">
        <f ca="1" t="shared" si="86"/>
        <v>1</v>
      </c>
      <c r="I412" s="81">
        <f ca="1" t="shared" si="87"/>
        <v>6400</v>
      </c>
      <c r="J412" s="81">
        <f ca="1" t="shared" si="88"/>
        <v>9</v>
      </c>
      <c r="K412" s="81">
        <f ca="1" t="shared" si="89"/>
        <v>9.84</v>
      </c>
      <c r="L412" s="81">
        <f ca="1" t="shared" si="90"/>
        <v>5.16</v>
      </c>
      <c r="M412" s="81">
        <f ca="1" t="shared" si="91"/>
        <v>0</v>
      </c>
      <c r="N412" s="81" cm="1">
        <f ca="1" t="array" ref="N412">SUMPRODUCT(J412:M412,$J$110:$M$110)</f>
        <v>9864</v>
      </c>
      <c r="O412" s="81" cm="1">
        <f ca="1" t="array" ref="O412">SUMPRODUCT(G412:I412,$G$110:$I$110)</f>
        <v>1470</v>
      </c>
      <c r="P412">
        <f ca="1" t="shared" si="110"/>
        <v>896</v>
      </c>
      <c r="Q412" cm="1">
        <f ca="1" t="array" ref="Q412">_xlfn.XLOOKUP($D412&amp;8,$D$444:$D$763&amp;$E$444:$E$763,O$444:O$763)</f>
        <v>0</v>
      </c>
      <c r="R412" cm="1">
        <f ca="1" t="array" ref="R412">_xlfn.XLOOKUP($D412&amp;8,$D$444:$D$763&amp;$E$444:$E$763,P$444:P$763)</f>
        <v>0.73</v>
      </c>
      <c r="S412" cm="1">
        <f ca="1" t="array" ref="S412">_xlfn.XLOOKUP($D412&amp;8,$D$444:$D$763&amp;$E$444:$E$763,Q$444:Q$763)</f>
        <v>0.27</v>
      </c>
      <c r="T412" cm="1">
        <f ca="1" t="array" ref="T412">_xlfn.XLOOKUP($D412&amp;8,$D$444:$D$763&amp;$E$444:$E$763,R$444:R$763)</f>
        <v>0</v>
      </c>
      <c r="U412" t="str">
        <f ca="1" t="shared" si="92"/>
        <v/>
      </c>
      <c r="V412" t="str">
        <f ca="1" t="shared" si="93"/>
        <v>传说零件碎片概率：73%</v>
      </c>
      <c r="W412" t="str">
        <f ca="1" t="shared" si="94"/>
        <v>神话零件碎片概率：27%</v>
      </c>
      <c r="X412" t="str">
        <f ca="1" t="shared" si="95"/>
        <v/>
      </c>
      <c r="Y412" t="str">
        <f ca="1" t="shared" si="111"/>
        <v>开启后可随机获得以下奖励：\n传说零件碎片概率：73%\n神话零件碎片概率：27%</v>
      </c>
      <c r="Z412">
        <v>6</v>
      </c>
      <c r="AA412" cm="1">
        <f ca="1" t="array" ref="AA412">SUMPRODUCT(Q$398:T$398,Q412:T412)</f>
        <v>508</v>
      </c>
      <c r="AB412">
        <f ca="1" t="shared" si="97"/>
        <v>9</v>
      </c>
      <c r="AC412">
        <f ca="1" t="shared" si="98"/>
        <v>4</v>
      </c>
      <c r="AD412">
        <f ca="1" t="shared" si="99"/>
        <v>3</v>
      </c>
      <c r="AE412">
        <f ca="1" t="shared" si="100"/>
        <v>0</v>
      </c>
      <c r="AF412" t="str">
        <f ca="1" t="shared" si="101"/>
        <v>{63,1000}</v>
      </c>
      <c r="AG412" t="str">
        <f ca="1" t="shared" si="102"/>
        <v>{62,1}</v>
      </c>
      <c r="AH412" t="str">
        <f ca="1" t="shared" si="103"/>
        <v>{2,6400}</v>
      </c>
      <c r="AI412" t="str">
        <f ca="1" t="shared" si="104"/>
        <v>{6030001,9}</v>
      </c>
      <c r="AJ412" t="str">
        <f ca="1" t="shared" si="105"/>
        <v>{6030002,4}</v>
      </c>
      <c r="AK412" t="str">
        <f ca="1" t="shared" si="106"/>
        <v>{6030003,3}</v>
      </c>
      <c r="AL412" t="str">
        <f ca="1" t="shared" si="107"/>
        <v/>
      </c>
      <c r="AM412" t="str">
        <f t="shared" si="108"/>
        <v>{6020013,8}</v>
      </c>
      <c r="AN412" t="str">
        <f ca="1" t="shared" si="109"/>
        <v>[{63,1000},{62,1},{2,6400},{6030001,9},{6030002,4},{6030003,3},{6020013,8}]</v>
      </c>
    </row>
    <row r="413" spans="4:40">
      <c r="D413" s="81" t="s">
        <v>251</v>
      </c>
      <c r="E413" s="81">
        <v>175</v>
      </c>
      <c r="F413" s="81">
        <f ca="1">MATCH(E413,OFFSET(载具预期!$D$7:$D$306,0,MATCH($E$110,载具预期!$E$6:$H$6,0)),1)</f>
        <v>175</v>
      </c>
      <c r="G413" s="81">
        <f ca="1" t="shared" si="85"/>
        <v>1040</v>
      </c>
      <c r="H413" s="81">
        <f ca="1" t="shared" si="86"/>
        <v>1</v>
      </c>
      <c r="I413" s="81">
        <f ca="1" t="shared" si="87"/>
        <v>6600</v>
      </c>
      <c r="J413" s="81">
        <f ca="1" t="shared" si="88"/>
        <v>9</v>
      </c>
      <c r="K413" s="81">
        <f ca="1" t="shared" si="89"/>
        <v>10.6</v>
      </c>
      <c r="L413" s="81">
        <f ca="1" t="shared" si="90"/>
        <v>5.4</v>
      </c>
      <c r="M413" s="81">
        <f ca="1" t="shared" si="91"/>
        <v>0</v>
      </c>
      <c r="N413" s="81" cm="1">
        <f ca="1" t="array" ref="N413">SUMPRODUCT(J413:M413,$J$110:$M$110)</f>
        <v>10360</v>
      </c>
      <c r="O413" s="81" cm="1">
        <f ca="1" t="array" ref="O413">SUMPRODUCT(G413:I413,$G$110:$I$110)</f>
        <v>1520</v>
      </c>
      <c r="P413">
        <f ca="1" t="shared" si="110"/>
        <v>496</v>
      </c>
      <c r="Q413" cm="1">
        <f ca="1" t="array" ref="Q413">_xlfn.XLOOKUP($D413&amp;8,$D$444:$D$763&amp;$E$444:$E$763,O$444:O$763)</f>
        <v>0</v>
      </c>
      <c r="R413" cm="1">
        <f ca="1" t="array" ref="R413">_xlfn.XLOOKUP($D413&amp;8,$D$444:$D$763&amp;$E$444:$E$763,P$444:P$763)</f>
        <v>0.7</v>
      </c>
      <c r="S413" cm="1">
        <f ca="1" t="array" ref="S413">_xlfn.XLOOKUP($D413&amp;8,$D$444:$D$763&amp;$E$444:$E$763,Q$444:Q$763)</f>
        <v>0.3</v>
      </c>
      <c r="T413" cm="1">
        <f ca="1" t="array" ref="T413">_xlfn.XLOOKUP($D413&amp;8,$D$444:$D$763&amp;$E$444:$E$763,R$444:R$763)</f>
        <v>0</v>
      </c>
      <c r="U413" t="str">
        <f ca="1" t="shared" si="92"/>
        <v/>
      </c>
      <c r="V413" t="str">
        <f ca="1" t="shared" si="93"/>
        <v>传说零件碎片概率：70%</v>
      </c>
      <c r="W413" t="str">
        <f ca="1" t="shared" si="94"/>
        <v>神话零件碎片概率：30%</v>
      </c>
      <c r="X413" t="str">
        <f ca="1" t="shared" si="95"/>
        <v/>
      </c>
      <c r="Y413" t="str">
        <f ca="1" t="shared" si="111"/>
        <v>开启后可随机获得以下奖励：\n传说零件碎片概率：70%\n神话零件碎片概率：30%</v>
      </c>
      <c r="Z413">
        <v>6</v>
      </c>
      <c r="AA413" cm="1">
        <f ca="1" t="array" ref="AA413">SUMPRODUCT(Q$398:T$398,Q413:T413)</f>
        <v>520</v>
      </c>
      <c r="AB413">
        <f ca="1" t="shared" si="97"/>
        <v>9</v>
      </c>
      <c r="AC413">
        <f ca="1" t="shared" si="98"/>
        <v>5</v>
      </c>
      <c r="AD413">
        <f ca="1" t="shared" si="99"/>
        <v>3</v>
      </c>
      <c r="AE413">
        <f ca="1" t="shared" si="100"/>
        <v>0</v>
      </c>
      <c r="AF413" t="str">
        <f ca="1" t="shared" si="101"/>
        <v>{63,1040}</v>
      </c>
      <c r="AG413" t="str">
        <f ca="1" t="shared" si="102"/>
        <v>{62,1}</v>
      </c>
      <c r="AH413" t="str">
        <f ca="1" t="shared" si="103"/>
        <v>{2,6600}</v>
      </c>
      <c r="AI413" t="str">
        <f ca="1" t="shared" si="104"/>
        <v>{6030001,9}</v>
      </c>
      <c r="AJ413" t="str">
        <f ca="1" t="shared" si="105"/>
        <v>{6030002,5}</v>
      </c>
      <c r="AK413" t="str">
        <f ca="1" t="shared" si="106"/>
        <v>{6030003,3}</v>
      </c>
      <c r="AL413" t="str">
        <f ca="1" t="shared" si="107"/>
        <v/>
      </c>
      <c r="AM413" t="str">
        <f t="shared" si="108"/>
        <v>{6020014,8}</v>
      </c>
      <c r="AN413" t="str">
        <f ca="1" t="shared" si="109"/>
        <v>[{63,1040},{62,1},{2,6600},{6030001,9},{6030002,5},{6030003,3},{6020014,8}]</v>
      </c>
    </row>
    <row r="414" spans="4:40">
      <c r="D414" s="81" t="s">
        <v>252</v>
      </c>
      <c r="E414" s="81">
        <v>185</v>
      </c>
      <c r="F414" s="81">
        <f ca="1">MATCH(E414,OFFSET(载具预期!$D$7:$D$306,0,MATCH($E$110,载具预期!$E$6:$H$6,0)),1)</f>
        <v>195</v>
      </c>
      <c r="G414" s="81">
        <f ca="1" t="shared" si="85"/>
        <v>1065</v>
      </c>
      <c r="H414" s="81">
        <f ca="1" t="shared" si="86"/>
        <v>1</v>
      </c>
      <c r="I414" s="81">
        <f ca="1" t="shared" si="87"/>
        <v>6800</v>
      </c>
      <c r="J414" s="81">
        <f ca="1" t="shared" si="88"/>
        <v>9</v>
      </c>
      <c r="K414" s="81">
        <f ca="1" t="shared" si="89"/>
        <v>10.36</v>
      </c>
      <c r="L414" s="81">
        <f ca="1" t="shared" si="90"/>
        <v>6.64</v>
      </c>
      <c r="M414" s="81">
        <f ca="1" t="shared" si="91"/>
        <v>0</v>
      </c>
      <c r="N414" s="81" cm="1">
        <f ca="1" t="array" ref="N414">SUMPRODUCT(J414:M414,$J$110:$M$110)</f>
        <v>11256</v>
      </c>
      <c r="O414" s="81" cm="1">
        <f ca="1" t="array" ref="O414">SUMPRODUCT(G414:I414,$G$110:$I$110)</f>
        <v>1555</v>
      </c>
      <c r="P414">
        <f ca="1" t="shared" si="110"/>
        <v>896</v>
      </c>
      <c r="Q414" cm="1">
        <f ca="1" t="array" ref="Q414">_xlfn.XLOOKUP($D414&amp;8,$D$444:$D$763&amp;$E$444:$E$763,O$444:O$763)</f>
        <v>0</v>
      </c>
      <c r="R414" cm="1">
        <f ca="1" t="array" ref="R414">_xlfn.XLOOKUP($D414&amp;8,$D$444:$D$763&amp;$E$444:$E$763,P$444:P$763)</f>
        <v>0.67</v>
      </c>
      <c r="S414" cm="1">
        <f ca="1" t="array" ref="S414">_xlfn.XLOOKUP($D414&amp;8,$D$444:$D$763&amp;$E$444:$E$763,Q$444:Q$763)</f>
        <v>0.33</v>
      </c>
      <c r="T414" cm="1">
        <f ca="1" t="array" ref="T414">_xlfn.XLOOKUP($D414&amp;8,$D$444:$D$763&amp;$E$444:$E$763,R$444:R$763)</f>
        <v>0</v>
      </c>
      <c r="U414" t="str">
        <f ca="1" t="shared" si="92"/>
        <v/>
      </c>
      <c r="V414" t="str">
        <f ca="1" t="shared" si="93"/>
        <v>传说零件碎片概率：67%</v>
      </c>
      <c r="W414" t="str">
        <f ca="1" t="shared" si="94"/>
        <v>神话零件碎片概率：33%</v>
      </c>
      <c r="X414" t="str">
        <f ca="1" t="shared" si="95"/>
        <v/>
      </c>
      <c r="Y414" t="str">
        <f ca="1" t="shared" si="111"/>
        <v>开启后可随机获得以下奖励：\n传说零件碎片概率：67%\n神话零件碎片概率：33%</v>
      </c>
      <c r="Z414">
        <v>6</v>
      </c>
      <c r="AA414" cm="1">
        <f ca="1" t="array" ref="AA414">SUMPRODUCT(Q$398:T$398,Q414:T414)</f>
        <v>532</v>
      </c>
      <c r="AB414">
        <f ca="1" t="shared" si="97"/>
        <v>9</v>
      </c>
      <c r="AC414">
        <f ca="1" t="shared" si="98"/>
        <v>5</v>
      </c>
      <c r="AD414">
        <f ca="1" t="shared" si="99"/>
        <v>4</v>
      </c>
      <c r="AE414">
        <f ca="1" t="shared" si="100"/>
        <v>0</v>
      </c>
      <c r="AF414" t="str">
        <f ca="1" t="shared" si="101"/>
        <v>{63,1065}</v>
      </c>
      <c r="AG414" t="str">
        <f ca="1" t="shared" si="102"/>
        <v>{62,1}</v>
      </c>
      <c r="AH414" t="str">
        <f ca="1" t="shared" si="103"/>
        <v>{2,6800}</v>
      </c>
      <c r="AI414" t="str">
        <f ca="1" t="shared" si="104"/>
        <v>{6030001,9}</v>
      </c>
      <c r="AJ414" t="str">
        <f ca="1" t="shared" si="105"/>
        <v>{6030002,5}</v>
      </c>
      <c r="AK414" t="str">
        <f ca="1" t="shared" si="106"/>
        <v>{6030003,4}</v>
      </c>
      <c r="AL414" t="str">
        <f ca="1" t="shared" si="107"/>
        <v/>
      </c>
      <c r="AM414" t="str">
        <f t="shared" si="108"/>
        <v>{6020015,8}</v>
      </c>
      <c r="AN414" t="str">
        <f ca="1" t="shared" si="109"/>
        <v>[{63,1065},{62,1},{2,6800},{6030001,9},{6030002,5},{6030003,4},{6020015,8}]</v>
      </c>
    </row>
    <row r="415" spans="4:40">
      <c r="D415" s="81" t="s">
        <v>253</v>
      </c>
      <c r="E415" s="81">
        <v>195</v>
      </c>
      <c r="F415" s="81">
        <f ca="1">MATCH(E415,OFFSET(载具预期!$D$7:$D$306,0,MATCH($E$110,载具预期!$E$6:$H$6,0)),1)</f>
        <v>215</v>
      </c>
      <c r="G415" s="81">
        <f ca="1" t="shared" si="85"/>
        <v>1105</v>
      </c>
      <c r="H415" s="81">
        <f ca="1" t="shared" si="86"/>
        <v>1</v>
      </c>
      <c r="I415" s="81">
        <f ca="1" t="shared" si="87"/>
        <v>7000</v>
      </c>
      <c r="J415" s="81">
        <f ca="1" t="shared" si="88"/>
        <v>9</v>
      </c>
      <c r="K415" s="81">
        <f ca="1" t="shared" si="89"/>
        <v>11.12</v>
      </c>
      <c r="L415" s="81">
        <f ca="1" t="shared" si="90"/>
        <v>6.64</v>
      </c>
      <c r="M415" s="81">
        <f ca="1" t="shared" si="91"/>
        <v>0.24</v>
      </c>
      <c r="N415" s="81" cm="1">
        <f ca="1" t="array" ref="N415">SUMPRODUCT(J415:M415,$J$110:$M$110)</f>
        <v>11944</v>
      </c>
      <c r="O415" s="81" cm="1">
        <f ca="1" t="array" ref="O415">SUMPRODUCT(G415:I415,$G$110:$I$110)</f>
        <v>1605</v>
      </c>
      <c r="P415">
        <f ca="1" t="shared" si="110"/>
        <v>688</v>
      </c>
      <c r="Q415" cm="1">
        <f ca="1" t="array" ref="Q415">_xlfn.XLOOKUP($D415&amp;8,$D$444:$D$763&amp;$E$444:$E$763,O$444:O$763)</f>
        <v>0</v>
      </c>
      <c r="R415" cm="1">
        <f ca="1" t="array" ref="R415">_xlfn.XLOOKUP($D415&amp;8,$D$444:$D$763&amp;$E$444:$E$763,P$444:P$763)</f>
        <v>0.64</v>
      </c>
      <c r="S415" cm="1">
        <f ca="1" t="array" ref="S415">_xlfn.XLOOKUP($D415&amp;8,$D$444:$D$763&amp;$E$444:$E$763,Q$444:Q$763)</f>
        <v>0.33</v>
      </c>
      <c r="T415" cm="1">
        <f ca="1" t="array" ref="T415">_xlfn.XLOOKUP($D415&amp;8,$D$444:$D$763&amp;$E$444:$E$763,R$444:R$763)</f>
        <v>0.03</v>
      </c>
      <c r="U415" t="str">
        <f ca="1" t="shared" si="92"/>
        <v/>
      </c>
      <c r="V415" t="str">
        <f ca="1" t="shared" si="93"/>
        <v>传说零件碎片概率：64%</v>
      </c>
      <c r="W415" t="str">
        <f ca="1" t="shared" si="94"/>
        <v>神话零件碎片概率：33%</v>
      </c>
      <c r="X415" t="str">
        <f ca="1" t="shared" si="95"/>
        <v>创世零件碎片概率：3%</v>
      </c>
      <c r="Y415" t="str">
        <f ca="1" t="shared" si="111"/>
        <v>开启后可随机获得以下奖励：\n传说零件碎片概率：64%\n神话零件碎片概率：33%\n创世零件碎片概率：3%</v>
      </c>
      <c r="Z415">
        <v>7</v>
      </c>
      <c r="AA415" cm="1">
        <f ca="1" t="array" ref="AA415">SUMPRODUCT(Q$398:T$398,Q415:T415)</f>
        <v>568</v>
      </c>
      <c r="AB415">
        <f ca="1" t="shared" si="97"/>
        <v>9</v>
      </c>
      <c r="AC415">
        <f ca="1" t="shared" si="98"/>
        <v>6</v>
      </c>
      <c r="AD415">
        <f ca="1" t="shared" si="99"/>
        <v>4</v>
      </c>
      <c r="AE415">
        <f ca="1" t="shared" si="100"/>
        <v>0</v>
      </c>
      <c r="AF415" t="str">
        <f ca="1" t="shared" si="101"/>
        <v>{63,1105}</v>
      </c>
      <c r="AG415" t="str">
        <f ca="1" t="shared" si="102"/>
        <v>{62,1}</v>
      </c>
      <c r="AH415" t="str">
        <f ca="1" t="shared" si="103"/>
        <v>{2,7000}</v>
      </c>
      <c r="AI415" t="str">
        <f ca="1" t="shared" si="104"/>
        <v>{6030001,9}</v>
      </c>
      <c r="AJ415" t="str">
        <f ca="1" t="shared" si="105"/>
        <v>{6030002,6}</v>
      </c>
      <c r="AK415" t="str">
        <f ca="1" t="shared" si="106"/>
        <v>{6030003,4}</v>
      </c>
      <c r="AL415" t="str">
        <f ca="1" t="shared" si="107"/>
        <v/>
      </c>
      <c r="AM415" t="str">
        <f t="shared" si="108"/>
        <v>{6020016,8}</v>
      </c>
      <c r="AN415" t="str">
        <f ca="1" t="shared" si="109"/>
        <v>[{63,1105},{62,1},{2,7000},{6030001,9},{6030002,6},{6030003,4},{6020016,8}]</v>
      </c>
    </row>
    <row r="416" spans="4:40">
      <c r="D416" s="81" t="s">
        <v>254</v>
      </c>
      <c r="E416" s="81">
        <v>205</v>
      </c>
      <c r="F416" s="81">
        <f ca="1">MATCH(E416,OFFSET(载具预期!$D$7:$D$306,0,MATCH($E$110,载具预期!$E$6:$H$6,0)),1)</f>
        <v>247</v>
      </c>
      <c r="G416" s="81">
        <f ca="1" t="shared" si="85"/>
        <v>1125</v>
      </c>
      <c r="H416" s="81">
        <f ca="1" t="shared" si="86"/>
        <v>1</v>
      </c>
      <c r="I416" s="81">
        <f ca="1" t="shared" si="87"/>
        <v>7200</v>
      </c>
      <c r="J416" s="81">
        <f ca="1" t="shared" si="88"/>
        <v>9</v>
      </c>
      <c r="K416" s="81">
        <f ca="1" t="shared" si="89"/>
        <v>10.64</v>
      </c>
      <c r="L416" s="81">
        <f ca="1" t="shared" si="90"/>
        <v>7.88</v>
      </c>
      <c r="M416" s="81">
        <f ca="1" t="shared" si="91"/>
        <v>0.48</v>
      </c>
      <c r="N416" s="81" cm="1">
        <f ca="1" t="array" ref="N416">SUMPRODUCT(J416:M416,$J$110:$M$110)</f>
        <v>13128</v>
      </c>
      <c r="O416" s="81" cm="1">
        <f ca="1" t="array" ref="O416">SUMPRODUCT(G416:I416,$G$110:$I$110)</f>
        <v>1635</v>
      </c>
      <c r="P416">
        <f ca="1" t="shared" si="110"/>
        <v>1184</v>
      </c>
      <c r="Q416" cm="1">
        <f ca="1" t="array" ref="Q416">_xlfn.XLOOKUP($D416&amp;8,$D$444:$D$763&amp;$E$444:$E$763,O$444:O$763)</f>
        <v>0</v>
      </c>
      <c r="R416" cm="1">
        <f ca="1" t="array" ref="R416">_xlfn.XLOOKUP($D416&amp;8,$D$444:$D$763&amp;$E$444:$E$763,P$444:P$763)</f>
        <v>0.58</v>
      </c>
      <c r="S416" cm="1">
        <f ca="1" t="array" ref="S416">_xlfn.XLOOKUP($D416&amp;8,$D$444:$D$763&amp;$E$444:$E$763,Q$444:Q$763)</f>
        <v>0.36</v>
      </c>
      <c r="T416" cm="1">
        <f ca="1" t="array" ref="T416">_xlfn.XLOOKUP($D416&amp;8,$D$444:$D$763&amp;$E$444:$E$763,R$444:R$763)</f>
        <v>0.06</v>
      </c>
      <c r="U416" t="str">
        <f ca="1" t="shared" si="92"/>
        <v/>
      </c>
      <c r="V416" t="str">
        <f ca="1" t="shared" si="93"/>
        <v>传说零件碎片概率：58%</v>
      </c>
      <c r="W416" t="str">
        <f ca="1" t="shared" si="94"/>
        <v>神话零件碎片概率：36%</v>
      </c>
      <c r="X416" t="str">
        <f ca="1" t="shared" si="95"/>
        <v>创世零件碎片概率：6%</v>
      </c>
      <c r="Y416" t="str">
        <f ca="1" t="shared" si="111"/>
        <v>开启后可随机获得以下奖励：\n传说零件碎片概率：58%\n神话零件碎片概率：36%\n创世零件碎片概率：6%</v>
      </c>
      <c r="Z416">
        <v>7</v>
      </c>
      <c r="AA416" cm="1">
        <f ca="1" t="array" ref="AA416">SUMPRODUCT(Q$398:T$398,Q416:T416)</f>
        <v>616</v>
      </c>
      <c r="AB416">
        <f ca="1" t="shared" si="97"/>
        <v>9</v>
      </c>
      <c r="AC416">
        <f ca="1" t="shared" si="98"/>
        <v>6</v>
      </c>
      <c r="AD416">
        <f ca="1" t="shared" si="99"/>
        <v>5</v>
      </c>
      <c r="AE416">
        <f ca="1" t="shared" si="100"/>
        <v>0</v>
      </c>
      <c r="AF416" t="str">
        <f ca="1" t="shared" si="101"/>
        <v>{63,1125}</v>
      </c>
      <c r="AG416" t="str">
        <f ca="1" t="shared" si="102"/>
        <v>{62,1}</v>
      </c>
      <c r="AH416" t="str">
        <f ca="1" t="shared" si="103"/>
        <v>{2,7200}</v>
      </c>
      <c r="AI416" t="str">
        <f ca="1" t="shared" si="104"/>
        <v>{6030001,9}</v>
      </c>
      <c r="AJ416" t="str">
        <f ca="1" t="shared" si="105"/>
        <v>{6030002,6}</v>
      </c>
      <c r="AK416" t="str">
        <f ca="1" t="shared" si="106"/>
        <v>{6030003,5}</v>
      </c>
      <c r="AL416" t="str">
        <f ca="1" t="shared" si="107"/>
        <v/>
      </c>
      <c r="AM416" t="str">
        <f t="shared" si="108"/>
        <v>{6020017,8}</v>
      </c>
      <c r="AN416" t="str">
        <f ca="1" t="shared" si="109"/>
        <v>[{63,1125},{62,1},{2,7200},{6030001,9},{6030002,6},{6030003,5},{6020017,8}]</v>
      </c>
    </row>
    <row r="417" spans="4:40">
      <c r="D417" s="81" t="s">
        <v>255</v>
      </c>
      <c r="E417" s="81">
        <v>215</v>
      </c>
      <c r="F417" s="81">
        <f ca="1">MATCH(E417,OFFSET(载具预期!$D$7:$D$306,0,MATCH($E$110,载具预期!$E$6:$H$6,0)),1)</f>
        <v>287</v>
      </c>
      <c r="G417" s="81">
        <f ca="1" t="shared" si="85"/>
        <v>1165</v>
      </c>
      <c r="H417" s="81">
        <f ca="1" t="shared" si="86"/>
        <v>1</v>
      </c>
      <c r="I417" s="81">
        <f ca="1" t="shared" si="87"/>
        <v>7400</v>
      </c>
      <c r="J417" s="81">
        <f ca="1" t="shared" si="88"/>
        <v>9</v>
      </c>
      <c r="K417" s="81">
        <f ca="1" t="shared" si="89"/>
        <v>10.16</v>
      </c>
      <c r="L417" s="81">
        <f ca="1" t="shared" si="90"/>
        <v>8.12</v>
      </c>
      <c r="M417" s="81">
        <f ca="1" t="shared" si="91"/>
        <v>0.72</v>
      </c>
      <c r="N417" s="81" cm="1">
        <f ca="1" t="array" ref="N417">SUMPRODUCT(J417:M417,$J$110:$M$110)</f>
        <v>13512</v>
      </c>
      <c r="O417" s="81" cm="1">
        <f ca="1" t="array" ref="O417">SUMPRODUCT(G417:I417,$G$110:$I$110)</f>
        <v>1685</v>
      </c>
      <c r="P417">
        <f ca="1" t="shared" si="110"/>
        <v>384</v>
      </c>
      <c r="Q417" cm="1">
        <f ca="1" t="array" ref="Q417">_xlfn.XLOOKUP($D417&amp;8,$D$444:$D$763&amp;$E$444:$E$763,O$444:O$763)</f>
        <v>0</v>
      </c>
      <c r="R417" cm="1">
        <f ca="1" t="array" ref="R417">_xlfn.XLOOKUP($D417&amp;8,$D$444:$D$763&amp;$E$444:$E$763,P$444:P$763)</f>
        <v>0.52</v>
      </c>
      <c r="S417" cm="1">
        <f ca="1" t="array" ref="S417">_xlfn.XLOOKUP($D417&amp;8,$D$444:$D$763&amp;$E$444:$E$763,Q$444:Q$763)</f>
        <v>0.39</v>
      </c>
      <c r="T417" cm="1">
        <f ca="1" t="array" ref="T417">_xlfn.XLOOKUP($D417&amp;8,$D$444:$D$763&amp;$E$444:$E$763,R$444:R$763)</f>
        <v>0.09</v>
      </c>
      <c r="U417" t="str">
        <f ca="1" t="shared" si="92"/>
        <v/>
      </c>
      <c r="V417" t="str">
        <f ca="1" t="shared" si="93"/>
        <v>传说零件碎片概率：52%</v>
      </c>
      <c r="W417" t="str">
        <f ca="1" t="shared" si="94"/>
        <v>神话零件碎片概率：39%</v>
      </c>
      <c r="X417" t="str">
        <f ca="1" t="shared" si="95"/>
        <v>创世零件碎片概率：9%</v>
      </c>
      <c r="Y417" t="str">
        <f ca="1" t="shared" si="111"/>
        <v>开启后可随机获得以下奖励：\n传说零件碎片概率：52%\n神话零件碎片概率：39%\n创世零件碎片概率：9%</v>
      </c>
      <c r="Z417">
        <v>7</v>
      </c>
      <c r="AA417" cm="1">
        <f ca="1" t="array" ref="AA417">SUMPRODUCT(Q$398:T$398,Q417:T417)</f>
        <v>664</v>
      </c>
      <c r="AB417">
        <f ca="1" t="shared" si="97"/>
        <v>9</v>
      </c>
      <c r="AC417">
        <f ca="1" t="shared" si="98"/>
        <v>6</v>
      </c>
      <c r="AD417">
        <f ca="1" t="shared" si="99"/>
        <v>5</v>
      </c>
      <c r="AE417">
        <f ca="1" t="shared" si="100"/>
        <v>0</v>
      </c>
      <c r="AF417" t="str">
        <f ca="1" t="shared" si="101"/>
        <v>{63,1165}</v>
      </c>
      <c r="AG417" t="str">
        <f ca="1" t="shared" si="102"/>
        <v>{62,1}</v>
      </c>
      <c r="AH417" t="str">
        <f ca="1" t="shared" si="103"/>
        <v>{2,7400}</v>
      </c>
      <c r="AI417" t="str">
        <f ca="1" t="shared" si="104"/>
        <v>{6030001,9}</v>
      </c>
      <c r="AJ417" t="str">
        <f ca="1" t="shared" si="105"/>
        <v>{6030002,6}</v>
      </c>
      <c r="AK417" t="str">
        <f ca="1" t="shared" si="106"/>
        <v>{6030003,5}</v>
      </c>
      <c r="AL417" t="str">
        <f ca="1" t="shared" si="107"/>
        <v/>
      </c>
      <c r="AM417" t="str">
        <f t="shared" si="108"/>
        <v>{6020018,8}</v>
      </c>
      <c r="AN417" t="str">
        <f ca="1" t="shared" si="109"/>
        <v>[{63,1165},{62,1},{2,7400},{6030001,9},{6030002,6},{6030003,5},{6020018,8}]</v>
      </c>
    </row>
    <row r="418" spans="4:40">
      <c r="D418" s="81" t="s">
        <v>256</v>
      </c>
      <c r="E418" s="81">
        <v>225</v>
      </c>
      <c r="F418" s="81">
        <f ca="1">MATCH(E418,OFFSET(载具预期!$D$7:$D$306,0,MATCH($E$110,载具预期!$E$6:$H$6,0)),1)</f>
        <v>300</v>
      </c>
      <c r="G418" s="81">
        <f ca="1" t="shared" si="85"/>
        <v>1190</v>
      </c>
      <c r="H418" s="81">
        <f ca="1" t="shared" si="86"/>
        <v>1</v>
      </c>
      <c r="I418" s="81">
        <f ca="1" t="shared" si="87"/>
        <v>7600</v>
      </c>
      <c r="J418" s="81">
        <f ca="1" t="shared" si="88"/>
        <v>9</v>
      </c>
      <c r="K418" s="81">
        <f ca="1" t="shared" si="89"/>
        <v>9.68</v>
      </c>
      <c r="L418" s="81">
        <f ca="1" t="shared" si="90"/>
        <v>8.36</v>
      </c>
      <c r="M418" s="81">
        <f ca="1" t="shared" si="91"/>
        <v>0.96</v>
      </c>
      <c r="N418" s="81" cm="1">
        <f ca="1" t="array" ref="N418">SUMPRODUCT(J418:M418,$J$110:$M$110)</f>
        <v>13896</v>
      </c>
      <c r="O418" s="81" cm="1">
        <f ca="1" t="array" ref="O418">SUMPRODUCT(G418:I418,$G$110:$I$110)</f>
        <v>1720</v>
      </c>
      <c r="P418">
        <f ca="1" t="shared" si="110"/>
        <v>384</v>
      </c>
      <c r="Q418" cm="1">
        <f ca="1" t="array" ref="Q418">_xlfn.XLOOKUP($D418&amp;8,$D$444:$D$763&amp;$E$444:$E$763,O$444:O$763)</f>
        <v>0</v>
      </c>
      <c r="R418" cm="1">
        <f ca="1" t="array" ref="R418">_xlfn.XLOOKUP($D418&amp;8,$D$444:$D$763&amp;$E$444:$E$763,P$444:P$763)</f>
        <v>0.46</v>
      </c>
      <c r="S418" cm="1">
        <f ca="1" t="array" ref="S418">_xlfn.XLOOKUP($D418&amp;8,$D$444:$D$763&amp;$E$444:$E$763,Q$444:Q$763)</f>
        <v>0.42</v>
      </c>
      <c r="T418" cm="1">
        <f ca="1" t="array" ref="T418">_xlfn.XLOOKUP($D418&amp;8,$D$444:$D$763&amp;$E$444:$E$763,R$444:R$763)</f>
        <v>0.12</v>
      </c>
      <c r="U418" t="str">
        <f ca="1" t="shared" si="92"/>
        <v/>
      </c>
      <c r="V418" t="str">
        <f ca="1" t="shared" si="93"/>
        <v>传说零件碎片概率：46%</v>
      </c>
      <c r="W418" t="str">
        <f ca="1" t="shared" si="94"/>
        <v>神话零件碎片概率：42%</v>
      </c>
      <c r="X418" t="str">
        <f ca="1" t="shared" si="95"/>
        <v>创世零件碎片概率：12%</v>
      </c>
      <c r="Y418" t="str">
        <f ca="1" t="shared" ref="Y418:Y429" si="112">"开启后可随机获得以下奖励：\n"&amp;_xlfn.TEXTJOIN("\n",1,U418:X418)</f>
        <v>开启后可随机获得以下奖励：\n传说零件碎片概率：46%\n神话零件碎片概率：42%\n创世零件碎片概率：12%</v>
      </c>
      <c r="Z418">
        <v>7</v>
      </c>
      <c r="AA418" cm="1">
        <f ca="1" t="array" ref="AA418">SUMPRODUCT(Q$398:T$398,Q418:T418)</f>
        <v>712</v>
      </c>
      <c r="AB418">
        <f ca="1" t="shared" si="97"/>
        <v>9</v>
      </c>
      <c r="AC418">
        <f ca="1" t="shared" si="98"/>
        <v>6</v>
      </c>
      <c r="AD418">
        <f ca="1" t="shared" si="99"/>
        <v>5</v>
      </c>
      <c r="AE418">
        <f ca="1" t="shared" si="100"/>
        <v>0</v>
      </c>
      <c r="AF418" t="str">
        <f ca="1" t="shared" si="101"/>
        <v>{63,1190}</v>
      </c>
      <c r="AG418" t="str">
        <f ca="1" t="shared" si="102"/>
        <v>{62,1}</v>
      </c>
      <c r="AH418" t="str">
        <f ca="1" t="shared" si="103"/>
        <v>{2,7600}</v>
      </c>
      <c r="AI418" t="str">
        <f ca="1" t="shared" si="104"/>
        <v>{6030001,9}</v>
      </c>
      <c r="AJ418" t="str">
        <f ca="1" t="shared" si="105"/>
        <v>{6030002,6}</v>
      </c>
      <c r="AK418" t="str">
        <f ca="1" t="shared" si="106"/>
        <v>{6030003,5}</v>
      </c>
      <c r="AL418" t="str">
        <f ca="1" t="shared" si="107"/>
        <v/>
      </c>
      <c r="AM418" t="str">
        <f t="shared" si="108"/>
        <v>{6020019,8}</v>
      </c>
      <c r="AN418" t="str">
        <f ca="1" t="shared" si="109"/>
        <v>[{63,1190},{62,1},{2,7600},{6030001,9},{6030002,6},{6030003,5},{6020019,8}]</v>
      </c>
    </row>
    <row r="419" spans="4:40">
      <c r="D419" s="81" t="s">
        <v>257</v>
      </c>
      <c r="E419" s="81">
        <v>235</v>
      </c>
      <c r="F419" s="81">
        <f ca="1">MATCH(E419,OFFSET(载具预期!$D$7:$D$306,0,MATCH($E$110,载具预期!$E$6:$H$6,0)),1)</f>
        <v>300</v>
      </c>
      <c r="G419" s="81">
        <f ca="1" t="shared" si="85"/>
        <v>1230</v>
      </c>
      <c r="H419" s="81">
        <f ca="1" t="shared" si="86"/>
        <v>1</v>
      </c>
      <c r="I419" s="81">
        <f ca="1" t="shared" si="87"/>
        <v>7800</v>
      </c>
      <c r="J419" s="81">
        <f ca="1" t="shared" si="88"/>
        <v>9</v>
      </c>
      <c r="K419" s="81">
        <f ca="1" t="shared" si="89"/>
        <v>9.2</v>
      </c>
      <c r="L419" s="81">
        <f ca="1" t="shared" si="90"/>
        <v>8.6</v>
      </c>
      <c r="M419" s="81">
        <f ca="1" t="shared" si="91"/>
        <v>1.2</v>
      </c>
      <c r="N419" s="81" cm="1">
        <f ca="1" t="array" ref="N419">SUMPRODUCT(J419:M419,$J$110:$M$110)</f>
        <v>14280</v>
      </c>
      <c r="O419" s="81" cm="1">
        <f ca="1" t="array" ref="O419">SUMPRODUCT(G419:I419,$G$110:$I$110)</f>
        <v>1770</v>
      </c>
      <c r="P419">
        <f ca="1" t="shared" si="110"/>
        <v>384</v>
      </c>
      <c r="Q419" cm="1">
        <f ca="1" t="array" ref="Q419">_xlfn.XLOOKUP($D419&amp;8,$D$444:$D$763&amp;$E$444:$E$763,O$444:O$763)</f>
        <v>0</v>
      </c>
      <c r="R419" cm="1">
        <f ca="1" t="array" ref="R419">_xlfn.XLOOKUP($D419&amp;8,$D$444:$D$763&amp;$E$444:$E$763,P$444:P$763)</f>
        <v>0.4</v>
      </c>
      <c r="S419" cm="1">
        <f ca="1" t="array" ref="S419">_xlfn.XLOOKUP($D419&amp;8,$D$444:$D$763&amp;$E$444:$E$763,Q$444:Q$763)</f>
        <v>0.45</v>
      </c>
      <c r="T419" cm="1">
        <f ca="1" t="array" ref="T419">_xlfn.XLOOKUP($D419&amp;8,$D$444:$D$763&amp;$E$444:$E$763,R$444:R$763)</f>
        <v>0.15</v>
      </c>
      <c r="U419" t="str">
        <f ca="1" t="shared" si="92"/>
        <v/>
      </c>
      <c r="V419" t="str">
        <f ca="1" t="shared" si="93"/>
        <v>传说零件碎片概率：40%</v>
      </c>
      <c r="W419" t="str">
        <f ca="1" t="shared" si="94"/>
        <v>神话零件碎片概率：45%</v>
      </c>
      <c r="X419" t="str">
        <f ca="1" t="shared" si="95"/>
        <v>创世零件碎片概率：15%</v>
      </c>
      <c r="Y419" t="str">
        <f ca="1" t="shared" si="112"/>
        <v>开启后可随机获得以下奖励：\n传说零件碎片概率：40%\n神话零件碎片概率：45%\n创世零件碎片概率：15%</v>
      </c>
      <c r="Z419">
        <v>7</v>
      </c>
      <c r="AA419" cm="1">
        <f ca="1" t="array" ref="AA419">SUMPRODUCT(Q$398:T$398,Q419:T419)</f>
        <v>760</v>
      </c>
      <c r="AB419">
        <f ca="1" t="shared" si="97"/>
        <v>9</v>
      </c>
      <c r="AC419">
        <f ca="1" t="shared" si="98"/>
        <v>6</v>
      </c>
      <c r="AD419">
        <f ca="1" t="shared" si="99"/>
        <v>5</v>
      </c>
      <c r="AE419">
        <f ca="1" t="shared" si="100"/>
        <v>0</v>
      </c>
      <c r="AF419" t="str">
        <f ca="1" t="shared" si="101"/>
        <v>{63,1230}</v>
      </c>
      <c r="AG419" t="str">
        <f ca="1" t="shared" si="102"/>
        <v>{62,1}</v>
      </c>
      <c r="AH419" t="str">
        <f ca="1" t="shared" si="103"/>
        <v>{2,7800}</v>
      </c>
      <c r="AI419" t="str">
        <f ca="1" t="shared" si="104"/>
        <v>{6030001,9}</v>
      </c>
      <c r="AJ419" t="str">
        <f ca="1" t="shared" si="105"/>
        <v>{6030002,6}</v>
      </c>
      <c r="AK419" t="str">
        <f ca="1" t="shared" si="106"/>
        <v>{6030003,5}</v>
      </c>
      <c r="AL419" t="str">
        <f ca="1" t="shared" si="107"/>
        <v/>
      </c>
      <c r="AM419" t="str">
        <f t="shared" si="108"/>
        <v>{6020020,8}</v>
      </c>
      <c r="AN419" t="str">
        <f ca="1" t="shared" si="109"/>
        <v>[{63,1230},{62,1},{2,7800},{6030001,9},{6030002,6},{6030003,5},{6020020,8}]</v>
      </c>
    </row>
    <row r="420" spans="4:40">
      <c r="D420" s="81" t="s">
        <v>258</v>
      </c>
      <c r="E420" s="81">
        <v>245</v>
      </c>
      <c r="F420" s="81">
        <f ca="1">MATCH(E420,OFFSET(载具预期!$D$7:$D$306,0,MATCH($E$110,载具预期!$E$6:$H$6,0)),1)</f>
        <v>300</v>
      </c>
      <c r="G420" s="81">
        <f ca="1" t="shared" si="85"/>
        <v>1250</v>
      </c>
      <c r="H420" s="81">
        <f ca="1" t="shared" si="86"/>
        <v>1</v>
      </c>
      <c r="I420" s="81">
        <f ca="1" t="shared" si="87"/>
        <v>8000</v>
      </c>
      <c r="J420" s="81">
        <f ca="1" t="shared" si="88"/>
        <v>9</v>
      </c>
      <c r="K420" s="81">
        <f ca="1" t="shared" si="89"/>
        <v>8.72</v>
      </c>
      <c r="L420" s="81">
        <f ca="1" t="shared" si="90"/>
        <v>8.84</v>
      </c>
      <c r="M420" s="81">
        <f ca="1" t="shared" si="91"/>
        <v>1.44</v>
      </c>
      <c r="N420" s="81" cm="1">
        <f ca="1" t="array" ref="N420">SUMPRODUCT(J420:M420,$J$110:$M$110)</f>
        <v>14664</v>
      </c>
      <c r="O420" s="81" cm="1">
        <f ca="1" t="array" ref="O420">SUMPRODUCT(G420:I420,$G$110:$I$110)</f>
        <v>1800</v>
      </c>
      <c r="P420">
        <f ca="1" t="shared" si="110"/>
        <v>384</v>
      </c>
      <c r="Q420" cm="1">
        <f ca="1" t="array" ref="Q420">_xlfn.XLOOKUP($D420&amp;8,$D$444:$D$763&amp;$E$444:$E$763,O$444:O$763)</f>
        <v>0</v>
      </c>
      <c r="R420" cm="1">
        <f ca="1" t="array" ref="R420">_xlfn.XLOOKUP($D420&amp;8,$D$444:$D$763&amp;$E$444:$E$763,P$444:P$763)</f>
        <v>0.34</v>
      </c>
      <c r="S420" cm="1">
        <f ca="1" t="array" ref="S420">_xlfn.XLOOKUP($D420&amp;8,$D$444:$D$763&amp;$E$444:$E$763,Q$444:Q$763)</f>
        <v>0.48</v>
      </c>
      <c r="T420" cm="1">
        <f ca="1" t="array" ref="T420">_xlfn.XLOOKUP($D420&amp;8,$D$444:$D$763&amp;$E$444:$E$763,R$444:R$763)</f>
        <v>0.18</v>
      </c>
      <c r="U420" t="str">
        <f ca="1" t="shared" si="92"/>
        <v/>
      </c>
      <c r="V420" t="str">
        <f ca="1" t="shared" si="93"/>
        <v>传说零件碎片概率：34%</v>
      </c>
      <c r="W420" t="str">
        <f ca="1" t="shared" si="94"/>
        <v>神话零件碎片概率：48%</v>
      </c>
      <c r="X420" t="str">
        <f ca="1" t="shared" si="95"/>
        <v>创世零件碎片概率：18%</v>
      </c>
      <c r="Y420" t="str">
        <f ca="1" t="shared" si="112"/>
        <v>开启后可随机获得以下奖励：\n传说零件碎片概率：34%\n神话零件碎片概率：48%\n创世零件碎片概率：18%</v>
      </c>
      <c r="Z420">
        <v>7</v>
      </c>
      <c r="AA420" cm="1">
        <f ca="1" t="array" ref="AA420">SUMPRODUCT(Q$398:T$398,Q420:T420)</f>
        <v>808</v>
      </c>
      <c r="AB420">
        <f ca="1" t="shared" si="97"/>
        <v>9</v>
      </c>
      <c r="AC420">
        <f ca="1" t="shared" si="98"/>
        <v>6</v>
      </c>
      <c r="AD420">
        <f ca="1" t="shared" si="99"/>
        <v>5</v>
      </c>
      <c r="AE420">
        <f ca="1" t="shared" si="100"/>
        <v>0</v>
      </c>
      <c r="AF420" t="str">
        <f ca="1" t="shared" si="101"/>
        <v>{63,1250}</v>
      </c>
      <c r="AG420" t="str">
        <f ca="1" t="shared" si="102"/>
        <v>{62,1}</v>
      </c>
      <c r="AH420" t="str">
        <f ca="1" t="shared" si="103"/>
        <v>{2,8000}</v>
      </c>
      <c r="AI420" t="str">
        <f ca="1" t="shared" si="104"/>
        <v>{6030001,9}</v>
      </c>
      <c r="AJ420" t="str">
        <f ca="1" t="shared" si="105"/>
        <v>{6030002,6}</v>
      </c>
      <c r="AK420" t="str">
        <f ca="1" t="shared" si="106"/>
        <v>{6030003,5}</v>
      </c>
      <c r="AL420" t="str">
        <f ca="1" t="shared" si="107"/>
        <v/>
      </c>
      <c r="AM420" t="str">
        <f t="shared" si="108"/>
        <v>{6020021,8}</v>
      </c>
      <c r="AN420" t="str">
        <f ca="1" t="shared" si="109"/>
        <v>[{63,1250},{62,1},{2,8000},{6030001,9},{6030002,6},{6030003,5},{6020021,8}]</v>
      </c>
    </row>
    <row r="421" spans="4:40">
      <c r="D421" s="81" t="s">
        <v>259</v>
      </c>
      <c r="E421" s="81">
        <v>255</v>
      </c>
      <c r="F421" s="81">
        <f ca="1">MATCH(E421,OFFSET(载具预期!$D$7:$D$306,0,MATCH($E$110,载具预期!$E$6:$H$6,0)),1)</f>
        <v>300</v>
      </c>
      <c r="G421" s="81">
        <f ca="1" t="shared" si="85"/>
        <v>1290</v>
      </c>
      <c r="H421" s="81">
        <f ca="1" t="shared" si="86"/>
        <v>1</v>
      </c>
      <c r="I421" s="81">
        <f ca="1" t="shared" si="87"/>
        <v>8200</v>
      </c>
      <c r="J421" s="81">
        <f ca="1" t="shared" si="88"/>
        <v>9</v>
      </c>
      <c r="K421" s="81">
        <f ca="1" t="shared" si="89"/>
        <v>8.32</v>
      </c>
      <c r="L421" s="81">
        <f ca="1" t="shared" si="90"/>
        <v>9</v>
      </c>
      <c r="M421" s="81">
        <f ca="1" t="shared" si="91"/>
        <v>1.68</v>
      </c>
      <c r="N421" s="81" cm="1">
        <f ca="1" t="array" ref="N421">SUMPRODUCT(J421:M421,$J$110:$M$110)</f>
        <v>15016</v>
      </c>
      <c r="O421" s="81" cm="1">
        <f ca="1" t="array" ref="O421">SUMPRODUCT(G421:I421,$G$110:$I$110)</f>
        <v>1850</v>
      </c>
      <c r="P421">
        <f ca="1" t="shared" si="110"/>
        <v>352</v>
      </c>
      <c r="Q421" cm="1">
        <f ca="1" t="array" ref="Q421">_xlfn.XLOOKUP($D421&amp;8,$D$444:$D$763&amp;$E$444:$E$763,O$444:O$763)</f>
        <v>0</v>
      </c>
      <c r="R421" cm="1">
        <f ca="1" t="array" ref="R421">_xlfn.XLOOKUP($D421&amp;8,$D$444:$D$763&amp;$E$444:$E$763,P$444:P$763)</f>
        <v>0.29</v>
      </c>
      <c r="S421" cm="1">
        <f ca="1" t="array" ref="S421">_xlfn.XLOOKUP($D421&amp;8,$D$444:$D$763&amp;$E$444:$E$763,Q$444:Q$763)</f>
        <v>0.5</v>
      </c>
      <c r="T421" cm="1">
        <f ca="1" t="array" ref="T421">_xlfn.XLOOKUP($D421&amp;8,$D$444:$D$763&amp;$E$444:$E$763,R$444:R$763)</f>
        <v>0.21</v>
      </c>
      <c r="U421" t="str">
        <f ca="1" t="shared" si="92"/>
        <v/>
      </c>
      <c r="V421" t="str">
        <f ca="1" t="shared" si="93"/>
        <v>传说零件碎片概率：29%</v>
      </c>
      <c r="W421" t="str">
        <f ca="1" t="shared" si="94"/>
        <v>神话零件碎片概率：50%</v>
      </c>
      <c r="X421" t="str">
        <f ca="1" t="shared" si="95"/>
        <v>创世零件碎片概率：21%</v>
      </c>
      <c r="Y421" t="str">
        <f ca="1" t="shared" si="112"/>
        <v>开启后可随机获得以下奖励：\n传说零件碎片概率：29%\n神话零件碎片概率：50%\n创世零件碎片概率：21%</v>
      </c>
      <c r="Z421">
        <v>7</v>
      </c>
      <c r="AA421" cm="1">
        <f ca="1" t="array" ref="AA421">SUMPRODUCT(Q$398:T$398,Q421:T421)</f>
        <v>852</v>
      </c>
      <c r="AB421">
        <f ca="1" t="shared" si="97"/>
        <v>9</v>
      </c>
      <c r="AC421">
        <f ca="1" t="shared" si="98"/>
        <v>6</v>
      </c>
      <c r="AD421">
        <f ca="1" t="shared" si="99"/>
        <v>5</v>
      </c>
      <c r="AE421">
        <f ca="1" t="shared" si="100"/>
        <v>0</v>
      </c>
      <c r="AF421" t="str">
        <f ca="1" t="shared" si="101"/>
        <v>{63,1290}</v>
      </c>
      <c r="AG421" t="str">
        <f ca="1" t="shared" si="102"/>
        <v>{62,1}</v>
      </c>
      <c r="AH421" t="str">
        <f ca="1" t="shared" si="103"/>
        <v>{2,8200}</v>
      </c>
      <c r="AI421" t="str">
        <f ca="1" t="shared" si="104"/>
        <v>{6030001,9}</v>
      </c>
      <c r="AJ421" t="str">
        <f ca="1" t="shared" si="105"/>
        <v>{6030002,6}</v>
      </c>
      <c r="AK421" t="str">
        <f ca="1" t="shared" si="106"/>
        <v>{6030003,5}</v>
      </c>
      <c r="AL421" t="str">
        <f ca="1" t="shared" si="107"/>
        <v/>
      </c>
      <c r="AM421" t="str">
        <f t="shared" si="108"/>
        <v>{6020022,8}</v>
      </c>
      <c r="AN421" t="str">
        <f ca="1" t="shared" si="109"/>
        <v>[{63,1290},{62,1},{2,8200},{6030001,9},{6030002,6},{6030003,5},{6020022,8}]</v>
      </c>
    </row>
    <row r="422" spans="4:40">
      <c r="D422" s="81" t="s">
        <v>260</v>
      </c>
      <c r="E422" s="81">
        <v>265</v>
      </c>
      <c r="F422" s="81">
        <f ca="1">MATCH(E422,OFFSET(载具预期!$D$7:$D$306,0,MATCH($E$110,载具预期!$E$6:$H$6,0)),1)</f>
        <v>300</v>
      </c>
      <c r="G422" s="81">
        <f ca="1" t="shared" si="85"/>
        <v>1315</v>
      </c>
      <c r="H422" s="81">
        <f ca="1" t="shared" si="86"/>
        <v>1</v>
      </c>
      <c r="I422" s="81">
        <f ca="1" t="shared" si="87"/>
        <v>8400</v>
      </c>
      <c r="J422" s="81">
        <f ca="1" t="shared" si="88"/>
        <v>9</v>
      </c>
      <c r="K422" s="81">
        <f ca="1" t="shared" si="89"/>
        <v>8.08</v>
      </c>
      <c r="L422" s="81">
        <f ca="1" t="shared" si="90"/>
        <v>9</v>
      </c>
      <c r="M422" s="81">
        <f ca="1" t="shared" si="91"/>
        <v>1.92</v>
      </c>
      <c r="N422" s="81" cm="1">
        <f ca="1" t="array" ref="N422">SUMPRODUCT(J422:M422,$J$110:$M$110)</f>
        <v>15304</v>
      </c>
      <c r="O422" s="81" cm="1">
        <f ca="1" t="array" ref="O422">SUMPRODUCT(G422:I422,$G$110:$I$110)</f>
        <v>1885</v>
      </c>
      <c r="P422">
        <f ca="1" t="shared" si="110"/>
        <v>288</v>
      </c>
      <c r="Q422" cm="1">
        <f ca="1" t="array" ref="Q422">_xlfn.XLOOKUP($D422&amp;8,$D$444:$D$763&amp;$E$444:$E$763,O$444:O$763)</f>
        <v>0</v>
      </c>
      <c r="R422" cm="1">
        <f ca="1" t="array" ref="R422">_xlfn.XLOOKUP($D422&amp;8,$D$444:$D$763&amp;$E$444:$E$763,P$444:P$763)</f>
        <v>0.26</v>
      </c>
      <c r="S422" cm="1">
        <f ca="1" t="array" ref="S422">_xlfn.XLOOKUP($D422&amp;8,$D$444:$D$763&amp;$E$444:$E$763,Q$444:Q$763)</f>
        <v>0.5</v>
      </c>
      <c r="T422" cm="1">
        <f ca="1" t="array" ref="T422">_xlfn.XLOOKUP($D422&amp;8,$D$444:$D$763&amp;$E$444:$E$763,R$444:R$763)</f>
        <v>0.24</v>
      </c>
      <c r="U422" t="str">
        <f ca="1" t="shared" si="92"/>
        <v/>
      </c>
      <c r="V422" t="str">
        <f ca="1" t="shared" si="93"/>
        <v>传说零件碎片概率：26%</v>
      </c>
      <c r="W422" t="str">
        <f ca="1" t="shared" si="94"/>
        <v>神话零件碎片概率：50%</v>
      </c>
      <c r="X422" t="str">
        <f ca="1" t="shared" si="95"/>
        <v>创世零件碎片概率：24%</v>
      </c>
      <c r="Y422" t="str">
        <f ca="1" t="shared" si="112"/>
        <v>开启后可随机获得以下奖励：\n传说零件碎片概率：26%\n神话零件碎片概率：50%\n创世零件碎片概率：24%</v>
      </c>
      <c r="Z422">
        <v>7</v>
      </c>
      <c r="AA422" cm="1">
        <f ca="1" t="array" ref="AA422">SUMPRODUCT(Q$398:T$398,Q422:T422)</f>
        <v>888</v>
      </c>
      <c r="AB422">
        <f ca="1" t="shared" si="97"/>
        <v>9</v>
      </c>
      <c r="AC422">
        <f ca="1" t="shared" si="98"/>
        <v>6</v>
      </c>
      <c r="AD422">
        <f ca="1" t="shared" si="99"/>
        <v>5</v>
      </c>
      <c r="AE422">
        <f ca="1" t="shared" si="100"/>
        <v>0</v>
      </c>
      <c r="AF422" t="str">
        <f ca="1" t="shared" si="101"/>
        <v>{63,1315}</v>
      </c>
      <c r="AG422" t="str">
        <f ca="1" t="shared" si="102"/>
        <v>{62,1}</v>
      </c>
      <c r="AH422" t="str">
        <f ca="1" t="shared" si="103"/>
        <v>{2,8400}</v>
      </c>
      <c r="AI422" t="str">
        <f ca="1" t="shared" si="104"/>
        <v>{6030001,9}</v>
      </c>
      <c r="AJ422" t="str">
        <f ca="1" t="shared" si="105"/>
        <v>{6030002,6}</v>
      </c>
      <c r="AK422" t="str">
        <f ca="1" t="shared" si="106"/>
        <v>{6030003,5}</v>
      </c>
      <c r="AL422" t="str">
        <f ca="1" t="shared" si="107"/>
        <v/>
      </c>
      <c r="AM422" t="str">
        <f t="shared" si="108"/>
        <v>{6020023,8}</v>
      </c>
      <c r="AN422" t="str">
        <f ca="1" t="shared" si="109"/>
        <v>[{63,1315},{62,1},{2,8400},{6030001,9},{6030002,6},{6030003,5},{6020023,8}]</v>
      </c>
    </row>
    <row r="423" spans="4:40">
      <c r="D423" s="81" t="s">
        <v>261</v>
      </c>
      <c r="E423" s="81">
        <v>275</v>
      </c>
      <c r="F423" s="81">
        <f ca="1">MATCH(E423,OFFSET(载具预期!$D$7:$D$306,0,MATCH($E$110,载具预期!$E$6:$H$6,0)),1)</f>
        <v>300</v>
      </c>
      <c r="G423" s="81">
        <f ca="1" t="shared" si="85"/>
        <v>1355</v>
      </c>
      <c r="H423" s="81">
        <f ca="1" t="shared" si="86"/>
        <v>1</v>
      </c>
      <c r="I423" s="81">
        <f ca="1" t="shared" si="87"/>
        <v>8600</v>
      </c>
      <c r="J423" s="81">
        <f ca="1" t="shared" si="88"/>
        <v>9</v>
      </c>
      <c r="K423" s="81">
        <f ca="1" t="shared" si="89"/>
        <v>7.84</v>
      </c>
      <c r="L423" s="81">
        <f ca="1" t="shared" si="90"/>
        <v>9</v>
      </c>
      <c r="M423" s="81">
        <f ca="1" t="shared" si="91"/>
        <v>2.16</v>
      </c>
      <c r="N423" s="81" cm="1">
        <f ca="1" t="array" ref="N423">SUMPRODUCT(J423:M423,$J$110:$M$110)</f>
        <v>15592</v>
      </c>
      <c r="O423" s="81" cm="1">
        <f ca="1" t="array" ref="O423">SUMPRODUCT(G423:I423,$G$110:$I$110)</f>
        <v>1935</v>
      </c>
      <c r="P423">
        <f ca="1" t="shared" si="110"/>
        <v>288</v>
      </c>
      <c r="Q423" cm="1">
        <f ca="1" t="array" ref="Q423">_xlfn.XLOOKUP($D423&amp;8,$D$444:$D$763&amp;$E$444:$E$763,O$444:O$763)</f>
        <v>0</v>
      </c>
      <c r="R423" cm="1">
        <f ca="1" t="array" ref="R423">_xlfn.XLOOKUP($D423&amp;8,$D$444:$D$763&amp;$E$444:$E$763,P$444:P$763)</f>
        <v>0.23</v>
      </c>
      <c r="S423" cm="1">
        <f ca="1" t="array" ref="S423">_xlfn.XLOOKUP($D423&amp;8,$D$444:$D$763&amp;$E$444:$E$763,Q$444:Q$763)</f>
        <v>0.5</v>
      </c>
      <c r="T423" cm="1">
        <f ca="1" t="array" ref="T423">_xlfn.XLOOKUP($D423&amp;8,$D$444:$D$763&amp;$E$444:$E$763,R$444:R$763)</f>
        <v>0.27</v>
      </c>
      <c r="U423" t="str">
        <f ca="1" t="shared" si="92"/>
        <v/>
      </c>
      <c r="V423" t="str">
        <f ca="1" t="shared" si="93"/>
        <v>传说零件碎片概率：23%</v>
      </c>
      <c r="W423" t="str">
        <f ca="1" t="shared" si="94"/>
        <v>神话零件碎片概率：50%</v>
      </c>
      <c r="X423" t="str">
        <f ca="1" t="shared" si="95"/>
        <v>创世零件碎片概率：27%</v>
      </c>
      <c r="Y423" t="str">
        <f ca="1" t="shared" si="112"/>
        <v>开启后可随机获得以下奖励：\n传说零件碎片概率：23%\n神话零件碎片概率：50%\n创世零件碎片概率：27%</v>
      </c>
      <c r="Z423">
        <v>7</v>
      </c>
      <c r="AA423" cm="1">
        <f ca="1" t="array" ref="AA423">SUMPRODUCT(Q$398:T$398,Q423:T423)</f>
        <v>924</v>
      </c>
      <c r="AB423">
        <f ca="1" t="shared" si="97"/>
        <v>9</v>
      </c>
      <c r="AC423">
        <f ca="1" t="shared" si="98"/>
        <v>6</v>
      </c>
      <c r="AD423">
        <f ca="1" t="shared" si="99"/>
        <v>5</v>
      </c>
      <c r="AE423">
        <f ca="1" t="shared" si="100"/>
        <v>0</v>
      </c>
      <c r="AF423" t="str">
        <f ca="1" t="shared" si="101"/>
        <v>{63,1355}</v>
      </c>
      <c r="AG423" t="str">
        <f ca="1" t="shared" si="102"/>
        <v>{62,1}</v>
      </c>
      <c r="AH423" t="str">
        <f ca="1" t="shared" si="103"/>
        <v>{2,8600}</v>
      </c>
      <c r="AI423" t="str">
        <f ca="1" t="shared" si="104"/>
        <v>{6030001,9}</v>
      </c>
      <c r="AJ423" t="str">
        <f ca="1" t="shared" si="105"/>
        <v>{6030002,6}</v>
      </c>
      <c r="AK423" t="str">
        <f ca="1" t="shared" si="106"/>
        <v>{6030003,5}</v>
      </c>
      <c r="AL423" t="str">
        <f ca="1" t="shared" si="107"/>
        <v/>
      </c>
      <c r="AM423" t="str">
        <f t="shared" si="108"/>
        <v>{6020024,8}</v>
      </c>
      <c r="AN423" t="str">
        <f ca="1" t="shared" si="109"/>
        <v>[{63,1355},{62,1},{2,8600},{6030001,9},{6030002,6},{6030003,5},{6020024,8}]</v>
      </c>
    </row>
    <row r="424" spans="4:40">
      <c r="D424" s="81" t="s">
        <v>262</v>
      </c>
      <c r="E424" s="81">
        <v>285</v>
      </c>
      <c r="F424" s="81">
        <f ca="1">MATCH(E424,OFFSET(载具预期!$D$7:$D$306,0,MATCH($E$110,载具预期!$E$6:$H$6,0)),1)</f>
        <v>300</v>
      </c>
      <c r="G424" s="81">
        <f ca="1" t="shared" si="85"/>
        <v>1375</v>
      </c>
      <c r="H424" s="81">
        <f ca="1" t="shared" si="86"/>
        <v>1</v>
      </c>
      <c r="I424" s="81">
        <f ca="1" t="shared" si="87"/>
        <v>8800</v>
      </c>
      <c r="J424" s="81">
        <f ca="1" t="shared" si="88"/>
        <v>9</v>
      </c>
      <c r="K424" s="81">
        <f ca="1" t="shared" si="89"/>
        <v>7.6</v>
      </c>
      <c r="L424" s="81">
        <f ca="1" t="shared" si="90"/>
        <v>9</v>
      </c>
      <c r="M424" s="81">
        <f ca="1" t="shared" si="91"/>
        <v>2.4</v>
      </c>
      <c r="N424" s="81" cm="1">
        <f ca="1" t="array" ref="N424">SUMPRODUCT(J424:M424,$J$110:$M$110)</f>
        <v>15880</v>
      </c>
      <c r="O424" s="81" cm="1">
        <f ca="1" t="array" ref="O424">SUMPRODUCT(G424:I424,$G$110:$I$110)</f>
        <v>1965</v>
      </c>
      <c r="P424">
        <f ca="1" t="shared" si="110"/>
        <v>288</v>
      </c>
      <c r="Q424" cm="1">
        <f ca="1" t="array" ref="Q424">_xlfn.XLOOKUP($D424&amp;8,$D$444:$D$763&amp;$E$444:$E$763,O$444:O$763)</f>
        <v>0</v>
      </c>
      <c r="R424" cm="1">
        <f ca="1" t="array" ref="R424">_xlfn.XLOOKUP($D424&amp;8,$D$444:$D$763&amp;$E$444:$E$763,P$444:P$763)</f>
        <v>0.2</v>
      </c>
      <c r="S424" cm="1">
        <f ca="1" t="array" ref="S424">_xlfn.XLOOKUP($D424&amp;8,$D$444:$D$763&amp;$E$444:$E$763,Q$444:Q$763)</f>
        <v>0.5</v>
      </c>
      <c r="T424" cm="1">
        <f ca="1" t="array" ref="T424">_xlfn.XLOOKUP($D424&amp;8,$D$444:$D$763&amp;$E$444:$E$763,R$444:R$763)</f>
        <v>0.3</v>
      </c>
      <c r="U424" t="str">
        <f ca="1" t="shared" si="92"/>
        <v/>
      </c>
      <c r="V424" t="str">
        <f ca="1" t="shared" si="93"/>
        <v>传说零件碎片概率：20%</v>
      </c>
      <c r="W424" t="str">
        <f ca="1" t="shared" si="94"/>
        <v>神话零件碎片概率：50%</v>
      </c>
      <c r="X424" t="str">
        <f ca="1" t="shared" si="95"/>
        <v>创世零件碎片概率：30%</v>
      </c>
      <c r="Y424" t="str">
        <f ca="1" t="shared" si="112"/>
        <v>开启后可随机获得以下奖励：\n传说零件碎片概率：20%\n神话零件碎片概率：50%\n创世零件碎片概率：30%</v>
      </c>
      <c r="Z424">
        <v>7</v>
      </c>
      <c r="AA424" cm="1">
        <f ca="1" t="array" ref="AA424">SUMPRODUCT(Q$398:T$398,Q424:T424)</f>
        <v>960</v>
      </c>
      <c r="AB424">
        <f ca="1" t="shared" si="97"/>
        <v>9</v>
      </c>
      <c r="AC424">
        <f ca="1" t="shared" si="98"/>
        <v>6</v>
      </c>
      <c r="AD424">
        <f ca="1" t="shared" si="99"/>
        <v>5</v>
      </c>
      <c r="AE424">
        <f ca="1" t="shared" si="100"/>
        <v>0</v>
      </c>
      <c r="AF424" t="str">
        <f ca="1" t="shared" si="101"/>
        <v>{63,1375}</v>
      </c>
      <c r="AG424" t="str">
        <f ca="1" t="shared" si="102"/>
        <v>{62,1}</v>
      </c>
      <c r="AH424" t="str">
        <f ca="1" t="shared" si="103"/>
        <v>{2,8800}</v>
      </c>
      <c r="AI424" t="str">
        <f ca="1" t="shared" si="104"/>
        <v>{6030001,9}</v>
      </c>
      <c r="AJ424" t="str">
        <f ca="1" t="shared" si="105"/>
        <v>{6030002,6}</v>
      </c>
      <c r="AK424" t="str">
        <f ca="1" t="shared" si="106"/>
        <v>{6030003,5}</v>
      </c>
      <c r="AL424" t="str">
        <f ca="1" t="shared" si="107"/>
        <v/>
      </c>
      <c r="AM424" t="str">
        <f t="shared" si="108"/>
        <v>{6020025,8}</v>
      </c>
      <c r="AN424" t="str">
        <f ca="1" t="shared" si="109"/>
        <v>[{63,1375},{62,1},{2,8800},{6030001,9},{6030002,6},{6030003,5},{6020025,8}]</v>
      </c>
    </row>
    <row r="425" spans="4:40">
      <c r="D425" s="81" t="s">
        <v>263</v>
      </c>
      <c r="E425" s="81">
        <v>295</v>
      </c>
      <c r="F425" s="81">
        <f ca="1">MATCH(E425,OFFSET(载具预期!$D$7:$D$306,0,MATCH($E$110,载具预期!$E$6:$H$6,0)),1)</f>
        <v>300</v>
      </c>
      <c r="G425" s="81">
        <f ca="1" t="shared" si="85"/>
        <v>1415</v>
      </c>
      <c r="H425" s="81">
        <f ca="1" t="shared" si="86"/>
        <v>1</v>
      </c>
      <c r="I425" s="81">
        <f ca="1" t="shared" si="87"/>
        <v>9000</v>
      </c>
      <c r="J425" s="81">
        <f ca="1" t="shared" si="88"/>
        <v>9</v>
      </c>
      <c r="K425" s="81">
        <f ca="1" t="shared" si="89"/>
        <v>7.36</v>
      </c>
      <c r="L425" s="81">
        <f ca="1" t="shared" si="90"/>
        <v>9</v>
      </c>
      <c r="M425" s="81">
        <f ca="1" t="shared" si="91"/>
        <v>2.64</v>
      </c>
      <c r="N425" s="81" cm="1">
        <f ca="1" t="array" ref="N425">SUMPRODUCT(J425:M425,$J$110:$M$110)</f>
        <v>16168</v>
      </c>
      <c r="O425" s="81" cm="1">
        <f ca="1" t="array" ref="O425">SUMPRODUCT(G425:I425,$G$110:$I$110)</f>
        <v>2015</v>
      </c>
      <c r="P425">
        <f ca="1" t="shared" si="110"/>
        <v>288</v>
      </c>
      <c r="Q425" cm="1">
        <f ca="1" t="array" ref="Q425">_xlfn.XLOOKUP($D425&amp;8,$D$444:$D$763&amp;$E$444:$E$763,O$444:O$763)</f>
        <v>0</v>
      </c>
      <c r="R425" cm="1">
        <f ca="1" t="array" ref="R425">_xlfn.XLOOKUP($D425&amp;8,$D$444:$D$763&amp;$E$444:$E$763,P$444:P$763)</f>
        <v>0.17</v>
      </c>
      <c r="S425" cm="1">
        <f ca="1" t="array" ref="S425">_xlfn.XLOOKUP($D425&amp;8,$D$444:$D$763&amp;$E$444:$E$763,Q$444:Q$763)</f>
        <v>0.5</v>
      </c>
      <c r="T425" cm="1">
        <f ca="1" t="array" ref="T425">_xlfn.XLOOKUP($D425&amp;8,$D$444:$D$763&amp;$E$444:$E$763,R$444:R$763)</f>
        <v>0.33</v>
      </c>
      <c r="U425" t="str">
        <f ca="1" t="shared" si="92"/>
        <v/>
      </c>
      <c r="V425" t="str">
        <f ca="1" t="shared" si="93"/>
        <v>传说零件碎片概率：17%</v>
      </c>
      <c r="W425" t="str">
        <f ca="1" t="shared" si="94"/>
        <v>神话零件碎片概率：50%</v>
      </c>
      <c r="X425" t="str">
        <f ca="1" t="shared" si="95"/>
        <v>创世零件碎片概率：33%</v>
      </c>
      <c r="Y425" t="str">
        <f ca="1" t="shared" si="112"/>
        <v>开启后可随机获得以下奖励：\n传说零件碎片概率：17%\n神话零件碎片概率：50%\n创世零件碎片概率：33%</v>
      </c>
      <c r="Z425">
        <v>7</v>
      </c>
      <c r="AA425" cm="1">
        <f ca="1" t="array" ref="AA425">SUMPRODUCT(Q$398:T$398,Q425:T425)</f>
        <v>996</v>
      </c>
      <c r="AB425">
        <f ca="1" t="shared" si="97"/>
        <v>9</v>
      </c>
      <c r="AC425">
        <f ca="1" t="shared" si="98"/>
        <v>6</v>
      </c>
      <c r="AD425">
        <f ca="1" t="shared" si="99"/>
        <v>5</v>
      </c>
      <c r="AE425">
        <f ca="1" t="shared" si="100"/>
        <v>0</v>
      </c>
      <c r="AF425" t="str">
        <f ca="1" t="shared" si="101"/>
        <v>{63,1415}</v>
      </c>
      <c r="AG425" t="str">
        <f ca="1" t="shared" si="102"/>
        <v>{62,1}</v>
      </c>
      <c r="AH425" t="str">
        <f ca="1" t="shared" si="103"/>
        <v>{2,9000}</v>
      </c>
      <c r="AI425" t="str">
        <f ca="1" t="shared" si="104"/>
        <v>{6030001,9}</v>
      </c>
      <c r="AJ425" t="str">
        <f ca="1" t="shared" si="105"/>
        <v>{6030002,6}</v>
      </c>
      <c r="AK425" t="str">
        <f ca="1" t="shared" si="106"/>
        <v>{6030003,5}</v>
      </c>
      <c r="AL425" t="str">
        <f ca="1" t="shared" si="107"/>
        <v/>
      </c>
      <c r="AM425" t="str">
        <f t="shared" si="108"/>
        <v>{6020026,8}</v>
      </c>
      <c r="AN425" t="str">
        <f ca="1" t="shared" si="109"/>
        <v>[{63,1415},{62,1},{2,9000},{6030001,9},{6030002,6},{6030003,5},{6020026,8}]</v>
      </c>
    </row>
    <row r="426" spans="4:40">
      <c r="D426" s="81" t="s">
        <v>264</v>
      </c>
      <c r="E426" s="81">
        <v>305</v>
      </c>
      <c r="F426" s="81">
        <f ca="1">MATCH(E426,OFFSET(载具预期!$D$7:$D$306,0,MATCH($E$110,载具预期!$E$6:$H$6,0)),1)</f>
        <v>300</v>
      </c>
      <c r="G426" s="81">
        <f ca="1" t="shared" si="85"/>
        <v>1440</v>
      </c>
      <c r="H426" s="81">
        <f ca="1" t="shared" si="86"/>
        <v>1</v>
      </c>
      <c r="I426" s="81">
        <f ca="1" t="shared" si="87"/>
        <v>9200</v>
      </c>
      <c r="J426" s="81">
        <f ca="1" t="shared" si="88"/>
        <v>9</v>
      </c>
      <c r="K426" s="81">
        <f ca="1" t="shared" si="89"/>
        <v>7.12</v>
      </c>
      <c r="L426" s="81">
        <f ca="1" t="shared" si="90"/>
        <v>9</v>
      </c>
      <c r="M426" s="81">
        <f ca="1" t="shared" si="91"/>
        <v>2.88</v>
      </c>
      <c r="N426" s="81" cm="1">
        <f ca="1" t="array" ref="N426">SUMPRODUCT(J426:M426,$J$110:$M$110)</f>
        <v>16456</v>
      </c>
      <c r="O426" s="81" cm="1">
        <f ca="1" t="array" ref="O426">SUMPRODUCT(G426:I426,$G$110:$I$110)</f>
        <v>2050</v>
      </c>
      <c r="P426">
        <f ca="1" t="shared" si="110"/>
        <v>288</v>
      </c>
      <c r="Q426" cm="1">
        <f ca="1" t="array" ref="Q426">_xlfn.XLOOKUP($D426&amp;8,$D$444:$D$763&amp;$E$444:$E$763,O$444:O$763)</f>
        <v>0</v>
      </c>
      <c r="R426" cm="1">
        <f ca="1" t="array" ref="R426">_xlfn.XLOOKUP($D426&amp;8,$D$444:$D$763&amp;$E$444:$E$763,P$444:P$763)</f>
        <v>0.14</v>
      </c>
      <c r="S426" cm="1">
        <f ca="1" t="array" ref="S426">_xlfn.XLOOKUP($D426&amp;8,$D$444:$D$763&amp;$E$444:$E$763,Q$444:Q$763)</f>
        <v>0.5</v>
      </c>
      <c r="T426" cm="1">
        <f ca="1" t="array" ref="T426">_xlfn.XLOOKUP($D426&amp;8,$D$444:$D$763&amp;$E$444:$E$763,R$444:R$763)</f>
        <v>0.36</v>
      </c>
      <c r="U426" t="str">
        <f ca="1" t="shared" si="92"/>
        <v/>
      </c>
      <c r="V426" t="str">
        <f ca="1" t="shared" si="93"/>
        <v>传说零件碎片概率：14%</v>
      </c>
      <c r="W426" t="str">
        <f ca="1" t="shared" si="94"/>
        <v>神话零件碎片概率：50%</v>
      </c>
      <c r="X426" t="str">
        <f ca="1" t="shared" si="95"/>
        <v>创世零件碎片概率：36%</v>
      </c>
      <c r="Y426" t="str">
        <f ca="1" t="shared" si="112"/>
        <v>开启后可随机获得以下奖励：\n传说零件碎片概率：14%\n神话零件碎片概率：50%\n创世零件碎片概率：36%</v>
      </c>
      <c r="Z426">
        <v>7</v>
      </c>
      <c r="AA426" cm="1">
        <f ca="1" t="array" ref="AA426">SUMPRODUCT(Q$398:T$398,Q426:T426)</f>
        <v>1032</v>
      </c>
      <c r="AB426">
        <f ca="1" t="shared" si="97"/>
        <v>9</v>
      </c>
      <c r="AC426">
        <f ca="1" t="shared" si="98"/>
        <v>6</v>
      </c>
      <c r="AD426">
        <f ca="1" t="shared" si="99"/>
        <v>5</v>
      </c>
      <c r="AE426">
        <f ca="1" t="shared" si="100"/>
        <v>0</v>
      </c>
      <c r="AF426" t="str">
        <f ca="1" t="shared" si="101"/>
        <v>{63,1440}</v>
      </c>
      <c r="AG426" t="str">
        <f ca="1" t="shared" si="102"/>
        <v>{62,1}</v>
      </c>
      <c r="AH426" t="str">
        <f ca="1" t="shared" si="103"/>
        <v>{2,9200}</v>
      </c>
      <c r="AI426" t="str">
        <f ca="1" t="shared" si="104"/>
        <v>{6030001,9}</v>
      </c>
      <c r="AJ426" t="str">
        <f ca="1" t="shared" si="105"/>
        <v>{6030002,6}</v>
      </c>
      <c r="AK426" t="str">
        <f ca="1" t="shared" si="106"/>
        <v>{6030003,5}</v>
      </c>
      <c r="AL426" t="str">
        <f ca="1" t="shared" si="107"/>
        <v/>
      </c>
      <c r="AM426" t="str">
        <f t="shared" si="108"/>
        <v>{6020027,8}</v>
      </c>
      <c r="AN426" t="str">
        <f ca="1" t="shared" si="109"/>
        <v>[{63,1440},{62,1},{2,9200},{6030001,9},{6030002,6},{6030003,5},{6020027,8}]</v>
      </c>
    </row>
    <row r="427" spans="4:40">
      <c r="D427" s="81" t="s">
        <v>265</v>
      </c>
      <c r="E427" s="81">
        <v>315</v>
      </c>
      <c r="F427" s="81">
        <f ca="1">MATCH(E427,OFFSET(载具预期!$D$7:$D$306,0,MATCH($E$110,载具预期!$E$6:$H$6,0)),1)</f>
        <v>300</v>
      </c>
      <c r="G427" s="81">
        <f ca="1" t="shared" si="85"/>
        <v>1480</v>
      </c>
      <c r="H427" s="81">
        <f ca="1" t="shared" si="86"/>
        <v>1</v>
      </c>
      <c r="I427" s="81">
        <f ca="1" t="shared" si="87"/>
        <v>9400</v>
      </c>
      <c r="J427" s="81">
        <f ca="1" t="shared" si="88"/>
        <v>9</v>
      </c>
      <c r="K427" s="81">
        <f ca="1" t="shared" si="89"/>
        <v>6.88</v>
      </c>
      <c r="L427" s="81">
        <f ca="1" t="shared" si="90"/>
        <v>9</v>
      </c>
      <c r="M427" s="81">
        <f ca="1" t="shared" si="91"/>
        <v>3.12</v>
      </c>
      <c r="N427" s="81" cm="1">
        <f ca="1" t="array" ref="N427">SUMPRODUCT(J427:M427,$J$110:$M$110)</f>
        <v>16744</v>
      </c>
      <c r="O427" s="81" cm="1">
        <f ca="1" t="array" ref="O427">SUMPRODUCT(G427:I427,$G$110:$I$110)</f>
        <v>2100</v>
      </c>
      <c r="P427">
        <f ca="1" t="shared" si="110"/>
        <v>288</v>
      </c>
      <c r="Q427" cm="1">
        <f ca="1" t="array" ref="Q427">_xlfn.XLOOKUP($D427&amp;8,$D$444:$D$763&amp;$E$444:$E$763,O$444:O$763)</f>
        <v>0</v>
      </c>
      <c r="R427" cm="1">
        <f ca="1" t="array" ref="R427">_xlfn.XLOOKUP($D427&amp;8,$D$444:$D$763&amp;$E$444:$E$763,P$444:P$763)</f>
        <v>0.11</v>
      </c>
      <c r="S427" cm="1">
        <f ca="1" t="array" ref="S427">_xlfn.XLOOKUP($D427&amp;8,$D$444:$D$763&amp;$E$444:$E$763,Q$444:Q$763)</f>
        <v>0.5</v>
      </c>
      <c r="T427" cm="1">
        <f ca="1" t="array" ref="T427">_xlfn.XLOOKUP($D427&amp;8,$D$444:$D$763&amp;$E$444:$E$763,R$444:R$763)</f>
        <v>0.39</v>
      </c>
      <c r="U427" t="str">
        <f ca="1" t="shared" si="92"/>
        <v/>
      </c>
      <c r="V427" t="str">
        <f ca="1" t="shared" si="93"/>
        <v>传说零件碎片概率：11%</v>
      </c>
      <c r="W427" t="str">
        <f ca="1" t="shared" si="94"/>
        <v>神话零件碎片概率：50%</v>
      </c>
      <c r="X427" t="str">
        <f ca="1" t="shared" si="95"/>
        <v>创世零件碎片概率：39%</v>
      </c>
      <c r="Y427" t="str">
        <f ca="1" t="shared" si="112"/>
        <v>开启后可随机获得以下奖励：\n传说零件碎片概率：11%\n神话零件碎片概率：50%\n创世零件碎片概率：39%</v>
      </c>
      <c r="Z427">
        <v>7</v>
      </c>
      <c r="AA427" cm="1">
        <f ca="1" t="array" ref="AA427">SUMPRODUCT(Q$398:T$398,Q427:T427)</f>
        <v>1068</v>
      </c>
      <c r="AB427">
        <f ca="1" t="shared" si="97"/>
        <v>9</v>
      </c>
      <c r="AC427">
        <f ca="1" t="shared" si="98"/>
        <v>6</v>
      </c>
      <c r="AD427">
        <f ca="1" t="shared" si="99"/>
        <v>5</v>
      </c>
      <c r="AE427">
        <f ca="1" t="shared" si="100"/>
        <v>0</v>
      </c>
      <c r="AF427" t="str">
        <f ca="1" t="shared" si="101"/>
        <v>{63,1480}</v>
      </c>
      <c r="AG427" t="str">
        <f ca="1" t="shared" si="102"/>
        <v>{62,1}</v>
      </c>
      <c r="AH427" t="str">
        <f ca="1" t="shared" si="103"/>
        <v>{2,9400}</v>
      </c>
      <c r="AI427" t="str">
        <f ca="1" t="shared" si="104"/>
        <v>{6030001,9}</v>
      </c>
      <c r="AJ427" t="str">
        <f ca="1" t="shared" si="105"/>
        <v>{6030002,6}</v>
      </c>
      <c r="AK427" t="str">
        <f ca="1" t="shared" si="106"/>
        <v>{6030003,5}</v>
      </c>
      <c r="AL427" t="str">
        <f ca="1" t="shared" si="107"/>
        <v/>
      </c>
      <c r="AM427" t="str">
        <f t="shared" si="108"/>
        <v>{6020028,8}</v>
      </c>
      <c r="AN427" t="str">
        <f ca="1" t="shared" si="109"/>
        <v>[{63,1480},{62,1},{2,9400},{6030001,9},{6030002,6},{6030003,5},{6020028,8}]</v>
      </c>
    </row>
    <row r="428" spans="4:40">
      <c r="D428" s="81" t="s">
        <v>266</v>
      </c>
      <c r="E428" s="81">
        <v>325</v>
      </c>
      <c r="F428" s="81">
        <f ca="1">MATCH(E428,OFFSET(载具预期!$D$7:$D$306,0,MATCH($E$110,载具预期!$E$6:$H$6,0)),1)</f>
        <v>300</v>
      </c>
      <c r="G428" s="81">
        <f ca="1" t="shared" si="85"/>
        <v>1500</v>
      </c>
      <c r="H428" s="81">
        <f ca="1" t="shared" si="86"/>
        <v>1</v>
      </c>
      <c r="I428" s="81">
        <f ca="1" t="shared" si="87"/>
        <v>9600</v>
      </c>
      <c r="J428" s="81">
        <f ca="1" t="shared" si="88"/>
        <v>9</v>
      </c>
      <c r="K428" s="81">
        <f ca="1" t="shared" si="89"/>
        <v>6.64</v>
      </c>
      <c r="L428" s="81">
        <f ca="1" t="shared" si="90"/>
        <v>9</v>
      </c>
      <c r="M428" s="81">
        <f ca="1" t="shared" si="91"/>
        <v>3.36</v>
      </c>
      <c r="N428" s="81" cm="1">
        <f ca="1" t="array" ref="N428">SUMPRODUCT(J428:M428,$J$110:$M$110)</f>
        <v>17032</v>
      </c>
      <c r="O428" s="81" cm="1">
        <f ca="1" t="array" ref="O428">SUMPRODUCT(G428:I428,$G$110:$I$110)</f>
        <v>2130</v>
      </c>
      <c r="P428">
        <f ca="1" t="shared" si="110"/>
        <v>288</v>
      </c>
      <c r="Q428" cm="1">
        <f ca="1" t="array" ref="Q428">_xlfn.XLOOKUP($D428&amp;8,$D$444:$D$763&amp;$E$444:$E$763,O$444:O$763)</f>
        <v>0</v>
      </c>
      <c r="R428" cm="1">
        <f ca="1" t="array" ref="R428">_xlfn.XLOOKUP($D428&amp;8,$D$444:$D$763&amp;$E$444:$E$763,P$444:P$763)</f>
        <v>0.08</v>
      </c>
      <c r="S428" cm="1">
        <f ca="1" t="array" ref="S428">_xlfn.XLOOKUP($D428&amp;8,$D$444:$D$763&amp;$E$444:$E$763,Q$444:Q$763)</f>
        <v>0.5</v>
      </c>
      <c r="T428" cm="1">
        <f ca="1" t="array" ref="T428">_xlfn.XLOOKUP($D428&amp;8,$D$444:$D$763&amp;$E$444:$E$763,R$444:R$763)</f>
        <v>0.42</v>
      </c>
      <c r="U428" t="str">
        <f ca="1" t="shared" si="92"/>
        <v/>
      </c>
      <c r="V428" t="str">
        <f ca="1" t="shared" si="93"/>
        <v>传说零件碎片概率：8%</v>
      </c>
      <c r="W428" t="str">
        <f ca="1" t="shared" si="94"/>
        <v>神话零件碎片概率：50%</v>
      </c>
      <c r="X428" t="str">
        <f ca="1" t="shared" si="95"/>
        <v>创世零件碎片概率：42%</v>
      </c>
      <c r="Y428" t="str">
        <f ca="1" t="shared" ref="Y428:Y439" si="113">"开启后可随机获得以下奖励：\n"&amp;_xlfn.TEXTJOIN("\n",1,U428:X428)</f>
        <v>开启后可随机获得以下奖励：\n传说零件碎片概率：8%\n神话零件碎片概率：50%\n创世零件碎片概率：42%</v>
      </c>
      <c r="Z428">
        <v>7</v>
      </c>
      <c r="AA428" cm="1">
        <f ca="1" t="array" ref="AA428">SUMPRODUCT(Q$398:T$398,Q428:T428)</f>
        <v>1104</v>
      </c>
      <c r="AB428">
        <f ca="1" t="shared" si="97"/>
        <v>9</v>
      </c>
      <c r="AC428">
        <f ca="1" t="shared" si="98"/>
        <v>6</v>
      </c>
      <c r="AD428">
        <f ca="1" t="shared" si="99"/>
        <v>5</v>
      </c>
      <c r="AE428">
        <f ca="1" t="shared" si="100"/>
        <v>0</v>
      </c>
      <c r="AF428" t="str">
        <f ca="1" t="shared" si="101"/>
        <v>{63,1500}</v>
      </c>
      <c r="AG428" t="str">
        <f ca="1" t="shared" si="102"/>
        <v>{62,1}</v>
      </c>
      <c r="AH428" t="str">
        <f ca="1" t="shared" si="103"/>
        <v>{2,9600}</v>
      </c>
      <c r="AI428" t="str">
        <f ca="1" t="shared" si="104"/>
        <v>{6030001,9}</v>
      </c>
      <c r="AJ428" t="str">
        <f ca="1" t="shared" si="105"/>
        <v>{6030002,6}</v>
      </c>
      <c r="AK428" t="str">
        <f ca="1" t="shared" si="106"/>
        <v>{6030003,5}</v>
      </c>
      <c r="AL428" t="str">
        <f ca="1" t="shared" si="107"/>
        <v/>
      </c>
      <c r="AM428" t="str">
        <f t="shared" si="108"/>
        <v>{6020029,8}</v>
      </c>
      <c r="AN428" t="str">
        <f ca="1" t="shared" si="109"/>
        <v>[{63,1500},{62,1},{2,9600},{6030001,9},{6030002,6},{6030003,5},{6020029,8}]</v>
      </c>
    </row>
    <row r="429" spans="4:40">
      <c r="D429" s="81" t="s">
        <v>267</v>
      </c>
      <c r="E429" s="81">
        <v>335</v>
      </c>
      <c r="F429" s="81">
        <f ca="1">MATCH(E429,OFFSET(载具预期!$D$7:$D$306,0,MATCH($E$110,载具预期!$E$6:$H$6,0)),1)</f>
        <v>300</v>
      </c>
      <c r="G429" s="81">
        <f ca="1" t="shared" si="85"/>
        <v>1540</v>
      </c>
      <c r="H429" s="81">
        <f ca="1" t="shared" si="86"/>
        <v>1</v>
      </c>
      <c r="I429" s="81">
        <f ca="1" t="shared" si="87"/>
        <v>9800</v>
      </c>
      <c r="J429" s="81">
        <f ca="1" t="shared" si="88"/>
        <v>9</v>
      </c>
      <c r="K429" s="81">
        <f ca="1" t="shared" si="89"/>
        <v>6.4</v>
      </c>
      <c r="L429" s="81">
        <f ca="1" t="shared" si="90"/>
        <v>9</v>
      </c>
      <c r="M429" s="81">
        <f ca="1" t="shared" si="91"/>
        <v>3.6</v>
      </c>
      <c r="N429" s="81" cm="1">
        <f ca="1" t="array" ref="N429">SUMPRODUCT(J429:M429,$J$110:$M$110)</f>
        <v>17320</v>
      </c>
      <c r="O429" s="81" cm="1">
        <f ca="1" t="array" ref="O429">SUMPRODUCT(G429:I429,$G$110:$I$110)</f>
        <v>2180</v>
      </c>
      <c r="P429">
        <f ca="1" t="shared" si="110"/>
        <v>288</v>
      </c>
      <c r="Q429" cm="1">
        <f ca="1" t="array" ref="Q429">_xlfn.XLOOKUP($D429&amp;8,$D$444:$D$763&amp;$E$444:$E$763,O$444:O$763)</f>
        <v>0</v>
      </c>
      <c r="R429" cm="1">
        <f ca="1" t="array" ref="R429">_xlfn.XLOOKUP($D429&amp;8,$D$444:$D$763&amp;$E$444:$E$763,P$444:P$763)</f>
        <v>0.05</v>
      </c>
      <c r="S429" cm="1">
        <f ca="1" t="array" ref="S429">_xlfn.XLOOKUP($D429&amp;8,$D$444:$D$763&amp;$E$444:$E$763,Q$444:Q$763)</f>
        <v>0.5</v>
      </c>
      <c r="T429" cm="1">
        <f ca="1" t="array" ref="T429">_xlfn.XLOOKUP($D429&amp;8,$D$444:$D$763&amp;$E$444:$E$763,R$444:R$763)</f>
        <v>0.45</v>
      </c>
      <c r="U429" t="str">
        <f ca="1" t="shared" si="92"/>
        <v/>
      </c>
      <c r="V429" t="str">
        <f ca="1" t="shared" si="93"/>
        <v>传说零件碎片概率：5%</v>
      </c>
      <c r="W429" t="str">
        <f ca="1" t="shared" si="94"/>
        <v>神话零件碎片概率：50%</v>
      </c>
      <c r="X429" t="str">
        <f ca="1" t="shared" si="95"/>
        <v>创世零件碎片概率：45%</v>
      </c>
      <c r="Y429" t="str">
        <f ca="1" t="shared" si="113"/>
        <v>开启后可随机获得以下奖励：\n传说零件碎片概率：5%\n神话零件碎片概率：50%\n创世零件碎片概率：45%</v>
      </c>
      <c r="Z429">
        <v>7</v>
      </c>
      <c r="AA429" cm="1">
        <f ca="1" t="array" ref="AA429">SUMPRODUCT(Q$398:T$398,Q429:T429)</f>
        <v>1140</v>
      </c>
      <c r="AB429">
        <f ca="1" t="shared" si="97"/>
        <v>9</v>
      </c>
      <c r="AC429">
        <f ca="1" t="shared" si="98"/>
        <v>6</v>
      </c>
      <c r="AD429">
        <f ca="1" t="shared" si="99"/>
        <v>5</v>
      </c>
      <c r="AE429">
        <f ca="1" t="shared" si="100"/>
        <v>0</v>
      </c>
      <c r="AF429" t="str">
        <f ca="1" t="shared" si="101"/>
        <v>{63,1540}</v>
      </c>
      <c r="AG429" t="str">
        <f ca="1" t="shared" si="102"/>
        <v>{62,1}</v>
      </c>
      <c r="AH429" t="str">
        <f ca="1" t="shared" si="103"/>
        <v>{2,9800}</v>
      </c>
      <c r="AI429" t="str">
        <f ca="1" t="shared" si="104"/>
        <v>{6030001,9}</v>
      </c>
      <c r="AJ429" t="str">
        <f ca="1" t="shared" si="105"/>
        <v>{6030002,6}</v>
      </c>
      <c r="AK429" t="str">
        <f ca="1" t="shared" si="106"/>
        <v>{6030003,5}</v>
      </c>
      <c r="AL429" t="str">
        <f ca="1" t="shared" si="107"/>
        <v/>
      </c>
      <c r="AM429" t="str">
        <f t="shared" si="108"/>
        <v>{6020030,8}</v>
      </c>
      <c r="AN429" t="str">
        <f ca="1" t="shared" si="109"/>
        <v>[{63,1540},{62,1},{2,9800},{6030001,9},{6030002,6},{6030003,5},{6020030,8}]</v>
      </c>
    </row>
    <row r="430" spans="4:40">
      <c r="D430" s="81" t="s">
        <v>268</v>
      </c>
      <c r="E430" s="81">
        <v>345</v>
      </c>
      <c r="F430" s="81">
        <f ca="1">MATCH(E430,OFFSET(载具预期!$D$7:$D$306,0,MATCH($E$110,载具预期!$E$6:$H$6,0)),1)</f>
        <v>300</v>
      </c>
      <c r="G430" s="81">
        <f ca="1" t="shared" si="85"/>
        <v>1565</v>
      </c>
      <c r="H430" s="81">
        <f ca="1" t="shared" si="86"/>
        <v>1</v>
      </c>
      <c r="I430" s="81">
        <f ca="1" t="shared" si="87"/>
        <v>10000</v>
      </c>
      <c r="J430" s="81">
        <f ca="1" t="shared" si="88"/>
        <v>9</v>
      </c>
      <c r="K430" s="81">
        <f ca="1" t="shared" si="89"/>
        <v>6</v>
      </c>
      <c r="L430" s="81">
        <f ca="1" t="shared" si="90"/>
        <v>9.16</v>
      </c>
      <c r="M430" s="81">
        <f ca="1" t="shared" si="91"/>
        <v>3.84</v>
      </c>
      <c r="N430" s="81" cm="1">
        <f ca="1" t="array" ref="N430">SUMPRODUCT(J430:M430,$J$110:$M$110)</f>
        <v>17672</v>
      </c>
      <c r="O430" s="81" cm="1">
        <f ca="1" t="array" ref="O430">SUMPRODUCT(G430:I430,$G$110:$I$110)</f>
        <v>2215</v>
      </c>
      <c r="P430">
        <f ca="1" t="shared" si="110"/>
        <v>352</v>
      </c>
      <c r="Q430" cm="1">
        <f ca="1" t="array" ref="Q430">_xlfn.XLOOKUP($D430&amp;8,$D$444:$D$763&amp;$E$444:$E$763,O$444:O$763)</f>
        <v>0</v>
      </c>
      <c r="R430" cm="1">
        <f ca="1" t="array" ref="R430">_xlfn.XLOOKUP($D430&amp;8,$D$444:$D$763&amp;$E$444:$E$763,P$444:P$763)</f>
        <v>0</v>
      </c>
      <c r="S430" cm="1">
        <f ca="1" t="array" ref="S430">_xlfn.XLOOKUP($D430&amp;8,$D$444:$D$763&amp;$E$444:$E$763,Q$444:Q$763)</f>
        <v>0.52</v>
      </c>
      <c r="T430" cm="1">
        <f ca="1" t="array" ref="T430">_xlfn.XLOOKUP($D430&amp;8,$D$444:$D$763&amp;$E$444:$E$763,R$444:R$763)</f>
        <v>0.48</v>
      </c>
      <c r="U430" t="str">
        <f ca="1" t="shared" si="92"/>
        <v/>
      </c>
      <c r="V430" t="str">
        <f ca="1" t="shared" si="93"/>
        <v/>
      </c>
      <c r="W430" t="str">
        <f ca="1" t="shared" si="94"/>
        <v>神话零件碎片概率：52%</v>
      </c>
      <c r="X430" t="str">
        <f ca="1" t="shared" si="95"/>
        <v>创世零件碎片概率：48%</v>
      </c>
      <c r="Y430" t="str">
        <f ca="1" t="shared" si="113"/>
        <v>开启后可随机获得以下奖励：\n神话零件碎片概率：52%\n创世零件碎片概率：48%</v>
      </c>
      <c r="Z430">
        <v>7</v>
      </c>
      <c r="AA430" cm="1">
        <f ca="1" t="array" ref="AA430">SUMPRODUCT(Q$398:T$398,Q430:T430)</f>
        <v>1184</v>
      </c>
      <c r="AB430">
        <f ca="1" t="shared" si="97"/>
        <v>9</v>
      </c>
      <c r="AC430">
        <f ca="1" t="shared" si="98"/>
        <v>6</v>
      </c>
      <c r="AD430">
        <f ca="1" t="shared" si="99"/>
        <v>5</v>
      </c>
      <c r="AE430">
        <f ca="1" t="shared" si="100"/>
        <v>0</v>
      </c>
      <c r="AF430" t="str">
        <f ca="1" t="shared" si="101"/>
        <v>{63,1565}</v>
      </c>
      <c r="AG430" t="str">
        <f ca="1" t="shared" si="102"/>
        <v>{62,1}</v>
      </c>
      <c r="AH430" t="str">
        <f ca="1" t="shared" si="103"/>
        <v>{2,10000}</v>
      </c>
      <c r="AI430" t="str">
        <f ca="1" t="shared" si="104"/>
        <v>{6030001,9}</v>
      </c>
      <c r="AJ430" t="str">
        <f ca="1" t="shared" si="105"/>
        <v>{6030002,6}</v>
      </c>
      <c r="AK430" t="str">
        <f ca="1" t="shared" si="106"/>
        <v>{6030003,5}</v>
      </c>
      <c r="AL430" t="str">
        <f ca="1" t="shared" si="107"/>
        <v/>
      </c>
      <c r="AM430" t="str">
        <f t="shared" si="108"/>
        <v>{6020031,8}</v>
      </c>
      <c r="AN430" t="str">
        <f ca="1" t="shared" si="109"/>
        <v>[{63,1565},{62,1},{2,10000},{6030001,9},{6030002,6},{6030003,5},{6020031,8}]</v>
      </c>
    </row>
    <row r="431" spans="4:40">
      <c r="D431" s="81" t="s">
        <v>269</v>
      </c>
      <c r="E431" s="81">
        <v>355</v>
      </c>
      <c r="F431" s="81">
        <f ca="1">MATCH(E431,OFFSET(载具预期!$D$7:$D$306,0,MATCH($E$110,载具预期!$E$6:$H$6,0)),1)</f>
        <v>300</v>
      </c>
      <c r="G431" s="81">
        <f ca="1" t="shared" si="85"/>
        <v>1605</v>
      </c>
      <c r="H431" s="81">
        <f ca="1" t="shared" si="86"/>
        <v>1</v>
      </c>
      <c r="I431" s="81">
        <f ca="1" t="shared" si="87"/>
        <v>10200</v>
      </c>
      <c r="J431" s="81">
        <f ca="1" t="shared" si="88"/>
        <v>9</v>
      </c>
      <c r="K431" s="81">
        <f ca="1" t="shared" si="89"/>
        <v>6</v>
      </c>
      <c r="L431" s="81">
        <f ca="1" t="shared" si="90"/>
        <v>8.92</v>
      </c>
      <c r="M431" s="81">
        <f ca="1" t="shared" si="91"/>
        <v>4.08</v>
      </c>
      <c r="N431" s="81" cm="1">
        <f ca="1" t="array" ref="N431">SUMPRODUCT(J431:M431,$J$110:$M$110)</f>
        <v>17864</v>
      </c>
      <c r="O431" s="81" cm="1">
        <f ca="1" t="array" ref="O431">SUMPRODUCT(G431:I431,$G$110:$I$110)</f>
        <v>2265</v>
      </c>
      <c r="P431">
        <f ca="1" t="shared" si="110"/>
        <v>192</v>
      </c>
      <c r="Q431" cm="1">
        <f ca="1" t="array" ref="Q431">_xlfn.XLOOKUP($D431&amp;8,$D$444:$D$763&amp;$E$444:$E$763,O$444:O$763)</f>
        <v>0</v>
      </c>
      <c r="R431" cm="1">
        <f ca="1" t="array" ref="R431">_xlfn.XLOOKUP($D431&amp;8,$D$444:$D$763&amp;$E$444:$E$763,P$444:P$763)</f>
        <v>0</v>
      </c>
      <c r="S431" cm="1">
        <f ca="1" t="array" ref="S431">_xlfn.XLOOKUP($D431&amp;8,$D$444:$D$763&amp;$E$444:$E$763,Q$444:Q$763)</f>
        <v>0.49</v>
      </c>
      <c r="T431" cm="1">
        <f ca="1" t="array" ref="T431">_xlfn.XLOOKUP($D431&amp;8,$D$444:$D$763&amp;$E$444:$E$763,R$444:R$763)</f>
        <v>0.51</v>
      </c>
      <c r="U431" t="str">
        <f ca="1" t="shared" si="92"/>
        <v/>
      </c>
      <c r="V431" t="str">
        <f ca="1" t="shared" si="93"/>
        <v/>
      </c>
      <c r="W431" t="str">
        <f ca="1" t="shared" si="94"/>
        <v>神话零件碎片概率：49%</v>
      </c>
      <c r="X431" t="str">
        <f ca="1" t="shared" si="95"/>
        <v>创世零件碎片概率：51%</v>
      </c>
      <c r="Y431" t="str">
        <f ca="1" t="shared" si="113"/>
        <v>开启后可随机获得以下奖励：\n神话零件碎片概率：49%\n创世零件碎片概率：51%</v>
      </c>
      <c r="Z431">
        <v>7</v>
      </c>
      <c r="AA431" cm="1">
        <f ca="1" t="array" ref="AA431">SUMPRODUCT(Q$398:T$398,Q431:T431)</f>
        <v>1208</v>
      </c>
      <c r="AB431">
        <f ca="1" t="shared" si="97"/>
        <v>9</v>
      </c>
      <c r="AC431">
        <f ca="1" t="shared" si="98"/>
        <v>6</v>
      </c>
      <c r="AD431">
        <f ca="1" t="shared" si="99"/>
        <v>5</v>
      </c>
      <c r="AE431">
        <f ca="1" t="shared" si="100"/>
        <v>0</v>
      </c>
      <c r="AF431" t="str">
        <f ca="1" t="shared" si="101"/>
        <v>{63,1605}</v>
      </c>
      <c r="AG431" t="str">
        <f ca="1" t="shared" si="102"/>
        <v>{62,1}</v>
      </c>
      <c r="AH431" t="str">
        <f ca="1" t="shared" si="103"/>
        <v>{2,10200}</v>
      </c>
      <c r="AI431" t="str">
        <f ca="1" t="shared" si="104"/>
        <v>{6030001,9}</v>
      </c>
      <c r="AJ431" t="str">
        <f ca="1" t="shared" si="105"/>
        <v>{6030002,6}</v>
      </c>
      <c r="AK431" t="str">
        <f ca="1" t="shared" si="106"/>
        <v>{6030003,5}</v>
      </c>
      <c r="AL431" t="str">
        <f ca="1" t="shared" si="107"/>
        <v/>
      </c>
      <c r="AM431" t="str">
        <f t="shared" si="108"/>
        <v>{6020032,8}</v>
      </c>
      <c r="AN431" t="str">
        <f ca="1" t="shared" si="109"/>
        <v>[{63,1605},{62,1},{2,10200},{6030001,9},{6030002,6},{6030003,5},{6020032,8}]</v>
      </c>
    </row>
    <row r="432" spans="4:40">
      <c r="D432" s="81" t="s">
        <v>270</v>
      </c>
      <c r="E432" s="81">
        <v>365</v>
      </c>
      <c r="F432" s="81">
        <f ca="1">MATCH(E432,OFFSET(载具预期!$D$7:$D$306,0,MATCH($E$110,载具预期!$E$6:$H$6,0)),1)</f>
        <v>300</v>
      </c>
      <c r="G432" s="81">
        <f ca="1" t="shared" si="85"/>
        <v>1625</v>
      </c>
      <c r="H432" s="81">
        <f ca="1" t="shared" si="86"/>
        <v>1</v>
      </c>
      <c r="I432" s="81">
        <f ca="1" t="shared" si="87"/>
        <v>10400</v>
      </c>
      <c r="J432" s="81">
        <f ca="1" t="shared" si="88"/>
        <v>9</v>
      </c>
      <c r="K432" s="81">
        <f ca="1" t="shared" si="89"/>
        <v>6</v>
      </c>
      <c r="L432" s="81">
        <f ca="1" t="shared" si="90"/>
        <v>8.68</v>
      </c>
      <c r="M432" s="81">
        <f ca="1" t="shared" si="91"/>
        <v>4.32</v>
      </c>
      <c r="N432" s="81" cm="1">
        <f ca="1" t="array" ref="N432">SUMPRODUCT(J432:M432,$J$110:$M$110)</f>
        <v>18056</v>
      </c>
      <c r="O432" s="81" cm="1">
        <f ca="1" t="array" ref="O432">SUMPRODUCT(G432:I432,$G$110:$I$110)</f>
        <v>2295</v>
      </c>
      <c r="P432">
        <f ca="1" t="shared" si="110"/>
        <v>192</v>
      </c>
      <c r="Q432" cm="1">
        <f ca="1" t="array" ref="Q432">_xlfn.XLOOKUP($D432&amp;8,$D$444:$D$763&amp;$E$444:$E$763,O$444:O$763)</f>
        <v>0</v>
      </c>
      <c r="R432" cm="1">
        <f ca="1" t="array" ref="R432">_xlfn.XLOOKUP($D432&amp;8,$D$444:$D$763&amp;$E$444:$E$763,P$444:P$763)</f>
        <v>0</v>
      </c>
      <c r="S432" cm="1">
        <f ca="1" t="array" ref="S432">_xlfn.XLOOKUP($D432&amp;8,$D$444:$D$763&amp;$E$444:$E$763,Q$444:Q$763)</f>
        <v>0.46</v>
      </c>
      <c r="T432" cm="1">
        <f ca="1" t="array" ref="T432">_xlfn.XLOOKUP($D432&amp;8,$D$444:$D$763&amp;$E$444:$E$763,R$444:R$763)</f>
        <v>0.54</v>
      </c>
      <c r="U432" t="str">
        <f ca="1" t="shared" si="92"/>
        <v/>
      </c>
      <c r="V432" t="str">
        <f ca="1" t="shared" si="93"/>
        <v/>
      </c>
      <c r="W432" t="str">
        <f ca="1" t="shared" si="94"/>
        <v>神话零件碎片概率：46%</v>
      </c>
      <c r="X432" t="str">
        <f ca="1" t="shared" si="95"/>
        <v>创世零件碎片概率：54%</v>
      </c>
      <c r="Y432" t="str">
        <f ca="1" t="shared" si="113"/>
        <v>开启后可随机获得以下奖励：\n神话零件碎片概率：46%\n创世零件碎片概率：54%</v>
      </c>
      <c r="Z432">
        <v>7</v>
      </c>
      <c r="AA432" cm="1">
        <f ca="1" t="array" ref="AA432">SUMPRODUCT(Q$398:T$398,Q432:T432)</f>
        <v>1232</v>
      </c>
      <c r="AB432">
        <f ca="1" t="shared" si="97"/>
        <v>9</v>
      </c>
      <c r="AC432">
        <f ca="1" t="shared" si="98"/>
        <v>6</v>
      </c>
      <c r="AD432">
        <f ca="1" t="shared" si="99"/>
        <v>5</v>
      </c>
      <c r="AE432">
        <f ca="1" t="shared" si="100"/>
        <v>0</v>
      </c>
      <c r="AF432" t="str">
        <f ca="1" t="shared" si="101"/>
        <v>{63,1625}</v>
      </c>
      <c r="AG432" t="str">
        <f ca="1" t="shared" si="102"/>
        <v>{62,1}</v>
      </c>
      <c r="AH432" t="str">
        <f ca="1" t="shared" si="103"/>
        <v>{2,10400}</v>
      </c>
      <c r="AI432" t="str">
        <f ca="1" t="shared" si="104"/>
        <v>{6030001,9}</v>
      </c>
      <c r="AJ432" t="str">
        <f ca="1" t="shared" si="105"/>
        <v>{6030002,6}</v>
      </c>
      <c r="AK432" t="str">
        <f ca="1" t="shared" si="106"/>
        <v>{6030003,5}</v>
      </c>
      <c r="AL432" t="str">
        <f ca="1" t="shared" si="107"/>
        <v/>
      </c>
      <c r="AM432" t="str">
        <f t="shared" si="108"/>
        <v>{6020033,8}</v>
      </c>
      <c r="AN432" t="str">
        <f ca="1" t="shared" si="109"/>
        <v>[{63,1625},{62,1},{2,10400},{6030001,9},{6030002,6},{6030003,5},{6020033,8}]</v>
      </c>
    </row>
    <row r="433" spans="4:40">
      <c r="D433" s="81" t="s">
        <v>271</v>
      </c>
      <c r="E433" s="81">
        <v>375</v>
      </c>
      <c r="F433" s="81">
        <f ca="1">MATCH(E433,OFFSET(载具预期!$D$7:$D$306,0,MATCH($E$110,载具预期!$E$6:$H$6,0)),1)</f>
        <v>300</v>
      </c>
      <c r="G433" s="81">
        <f ca="1" t="shared" si="85"/>
        <v>1665</v>
      </c>
      <c r="H433" s="81">
        <f ca="1" t="shared" si="86"/>
        <v>1</v>
      </c>
      <c r="I433" s="81">
        <f ca="1" t="shared" si="87"/>
        <v>10600</v>
      </c>
      <c r="J433" s="81">
        <f ca="1" t="shared" si="88"/>
        <v>9</v>
      </c>
      <c r="K433" s="81">
        <f ca="1" t="shared" si="89"/>
        <v>6</v>
      </c>
      <c r="L433" s="81">
        <f ca="1" t="shared" si="90"/>
        <v>8.44</v>
      </c>
      <c r="M433" s="81">
        <f ca="1" t="shared" si="91"/>
        <v>4.56</v>
      </c>
      <c r="N433" s="81" cm="1">
        <f ca="1" t="array" ref="N433">SUMPRODUCT(J433:M433,$J$110:$M$110)</f>
        <v>18248</v>
      </c>
      <c r="O433" s="81" cm="1">
        <f ca="1" t="array" ref="O433">SUMPRODUCT(G433:I433,$G$110:$I$110)</f>
        <v>2345</v>
      </c>
      <c r="P433">
        <f ca="1" t="shared" si="110"/>
        <v>192</v>
      </c>
      <c r="Q433" cm="1">
        <f ca="1" t="array" ref="Q433">_xlfn.XLOOKUP($D433&amp;8,$D$444:$D$763&amp;$E$444:$E$763,O$444:O$763)</f>
        <v>0</v>
      </c>
      <c r="R433" cm="1">
        <f ca="1" t="array" ref="R433">_xlfn.XLOOKUP($D433&amp;8,$D$444:$D$763&amp;$E$444:$E$763,P$444:P$763)</f>
        <v>0</v>
      </c>
      <c r="S433" cm="1">
        <f ca="1" t="array" ref="S433">_xlfn.XLOOKUP($D433&amp;8,$D$444:$D$763&amp;$E$444:$E$763,Q$444:Q$763)</f>
        <v>0.43</v>
      </c>
      <c r="T433" cm="1">
        <f ca="1" t="array" ref="T433">_xlfn.XLOOKUP($D433&amp;8,$D$444:$D$763&amp;$E$444:$E$763,R$444:R$763)</f>
        <v>0.57</v>
      </c>
      <c r="U433" t="str">
        <f ca="1" t="shared" si="92"/>
        <v/>
      </c>
      <c r="V433" t="str">
        <f ca="1" t="shared" si="93"/>
        <v/>
      </c>
      <c r="W433" t="str">
        <f ca="1" t="shared" si="94"/>
        <v>神话零件碎片概率：43%</v>
      </c>
      <c r="X433" t="str">
        <f ca="1" t="shared" si="95"/>
        <v>创世零件碎片概率：57%</v>
      </c>
      <c r="Y433" t="str">
        <f ca="1" t="shared" si="113"/>
        <v>开启后可随机获得以下奖励：\n神话零件碎片概率：43%\n创世零件碎片概率：57%</v>
      </c>
      <c r="Z433">
        <v>7</v>
      </c>
      <c r="AA433" cm="1">
        <f ca="1" t="array" ref="AA433">SUMPRODUCT(Q$398:T$398,Q433:T433)</f>
        <v>1256</v>
      </c>
      <c r="AB433">
        <f ca="1" t="shared" si="97"/>
        <v>9</v>
      </c>
      <c r="AC433">
        <f ca="1" t="shared" si="98"/>
        <v>6</v>
      </c>
      <c r="AD433">
        <f ca="1" t="shared" si="99"/>
        <v>5</v>
      </c>
      <c r="AE433">
        <f ca="1" t="shared" si="100"/>
        <v>0</v>
      </c>
      <c r="AF433" t="str">
        <f ca="1" t="shared" si="101"/>
        <v>{63,1665}</v>
      </c>
      <c r="AG433" t="str">
        <f ca="1" t="shared" si="102"/>
        <v>{62,1}</v>
      </c>
      <c r="AH433" t="str">
        <f ca="1" t="shared" si="103"/>
        <v>{2,10600}</v>
      </c>
      <c r="AI433" t="str">
        <f ca="1" t="shared" si="104"/>
        <v>{6030001,9}</v>
      </c>
      <c r="AJ433" t="str">
        <f ca="1" t="shared" si="105"/>
        <v>{6030002,6}</v>
      </c>
      <c r="AK433" t="str">
        <f ca="1" t="shared" si="106"/>
        <v>{6030003,5}</v>
      </c>
      <c r="AL433" t="str">
        <f ca="1" t="shared" si="107"/>
        <v/>
      </c>
      <c r="AM433" t="str">
        <f t="shared" si="108"/>
        <v>{6020034,8}</v>
      </c>
      <c r="AN433" t="str">
        <f ca="1" t="shared" si="109"/>
        <v>[{63,1665},{62,1},{2,10600},{6030001,9},{6030002,6},{6030003,5},{6020034,8}]</v>
      </c>
    </row>
    <row r="434" spans="4:40">
      <c r="D434" s="81" t="s">
        <v>272</v>
      </c>
      <c r="E434" s="81">
        <v>385</v>
      </c>
      <c r="F434" s="81">
        <f ca="1">MATCH(E434,OFFSET(载具预期!$D$7:$D$306,0,MATCH($E$110,载具预期!$E$6:$H$6,0)),1)</f>
        <v>300</v>
      </c>
      <c r="G434" s="81">
        <f ca="1" t="shared" si="85"/>
        <v>1690</v>
      </c>
      <c r="H434" s="81">
        <f ca="1" t="shared" si="86"/>
        <v>1</v>
      </c>
      <c r="I434" s="81">
        <f ca="1" t="shared" si="87"/>
        <v>10800</v>
      </c>
      <c r="J434" s="81">
        <f ca="1" t="shared" si="88"/>
        <v>9</v>
      </c>
      <c r="K434" s="81">
        <f ca="1" t="shared" si="89"/>
        <v>6</v>
      </c>
      <c r="L434" s="81">
        <f ca="1" t="shared" si="90"/>
        <v>8.2</v>
      </c>
      <c r="M434" s="81">
        <f ca="1" t="shared" si="91"/>
        <v>4.8</v>
      </c>
      <c r="N434" s="81" cm="1">
        <f ca="1" t="array" ref="N434">SUMPRODUCT(J434:M434,$J$110:$M$110)</f>
        <v>18440</v>
      </c>
      <c r="O434" s="81" cm="1">
        <f ca="1" t="array" ref="O434">SUMPRODUCT(G434:I434,$G$110:$I$110)</f>
        <v>2380</v>
      </c>
      <c r="P434">
        <f ca="1" t="shared" si="110"/>
        <v>192</v>
      </c>
      <c r="Q434" cm="1">
        <f ca="1" t="array" ref="Q434">_xlfn.XLOOKUP($D434&amp;8,$D$444:$D$763&amp;$E$444:$E$763,O$444:O$763)</f>
        <v>0</v>
      </c>
      <c r="R434" cm="1">
        <f ca="1" t="array" ref="R434">_xlfn.XLOOKUP($D434&amp;8,$D$444:$D$763&amp;$E$444:$E$763,P$444:P$763)</f>
        <v>0</v>
      </c>
      <c r="S434" cm="1">
        <f ca="1" t="array" ref="S434">_xlfn.XLOOKUP($D434&amp;8,$D$444:$D$763&amp;$E$444:$E$763,Q$444:Q$763)</f>
        <v>0.4</v>
      </c>
      <c r="T434" cm="1">
        <f ca="1" t="array" ref="T434">_xlfn.XLOOKUP($D434&amp;8,$D$444:$D$763&amp;$E$444:$E$763,R$444:R$763)</f>
        <v>0.6</v>
      </c>
      <c r="U434" t="str">
        <f ca="1" t="shared" si="92"/>
        <v/>
      </c>
      <c r="V434" t="str">
        <f ca="1" t="shared" si="93"/>
        <v/>
      </c>
      <c r="W434" t="str">
        <f ca="1" t="shared" si="94"/>
        <v>神话零件碎片概率：40%</v>
      </c>
      <c r="X434" t="str">
        <f ca="1" t="shared" si="95"/>
        <v>创世零件碎片概率：60%</v>
      </c>
      <c r="Y434" t="str">
        <f ca="1" t="shared" si="113"/>
        <v>开启后可随机获得以下奖励：\n神话零件碎片概率：40%\n创世零件碎片概率：60%</v>
      </c>
      <c r="Z434">
        <v>7</v>
      </c>
      <c r="AA434" cm="1">
        <f ca="1" t="array" ref="AA434">SUMPRODUCT(Q$398:T$398,Q434:T434)</f>
        <v>1280</v>
      </c>
      <c r="AB434">
        <f ca="1" t="shared" si="97"/>
        <v>9</v>
      </c>
      <c r="AC434">
        <f ca="1" t="shared" si="98"/>
        <v>6</v>
      </c>
      <c r="AD434">
        <f ca="1" t="shared" si="99"/>
        <v>5</v>
      </c>
      <c r="AE434">
        <f ca="1" t="shared" si="100"/>
        <v>0</v>
      </c>
      <c r="AF434" t="str">
        <f ca="1" t="shared" si="101"/>
        <v>{63,1690}</v>
      </c>
      <c r="AG434" t="str">
        <f ca="1" t="shared" si="102"/>
        <v>{62,1}</v>
      </c>
      <c r="AH434" t="str">
        <f ca="1" t="shared" si="103"/>
        <v>{2,10800}</v>
      </c>
      <c r="AI434" t="str">
        <f ca="1" t="shared" si="104"/>
        <v>{6030001,9}</v>
      </c>
      <c r="AJ434" t="str">
        <f ca="1" t="shared" si="105"/>
        <v>{6030002,6}</v>
      </c>
      <c r="AK434" t="str">
        <f ca="1" t="shared" si="106"/>
        <v>{6030003,5}</v>
      </c>
      <c r="AL434" t="str">
        <f ca="1" t="shared" si="107"/>
        <v/>
      </c>
      <c r="AM434" t="str">
        <f t="shared" si="108"/>
        <v>{6020035,8}</v>
      </c>
      <c r="AN434" t="str">
        <f ca="1" t="shared" si="109"/>
        <v>[{63,1690},{62,1},{2,10800},{6030001,9},{6030002,6},{6030003,5},{6020035,8}]</v>
      </c>
    </row>
    <row r="435" spans="4:40">
      <c r="D435" s="81" t="s">
        <v>273</v>
      </c>
      <c r="E435" s="81">
        <v>395</v>
      </c>
      <c r="F435" s="81">
        <f ca="1">MATCH(E435,OFFSET(载具预期!$D$7:$D$306,0,MATCH($E$110,载具预期!$E$6:$H$6,0)),1)</f>
        <v>300</v>
      </c>
      <c r="G435" s="81">
        <f ca="1" t="shared" si="85"/>
        <v>1730</v>
      </c>
      <c r="H435" s="81">
        <f ca="1" t="shared" si="86"/>
        <v>1</v>
      </c>
      <c r="I435" s="81">
        <f ca="1" t="shared" si="87"/>
        <v>11000</v>
      </c>
      <c r="J435" s="81">
        <f ca="1" t="shared" si="88"/>
        <v>9</v>
      </c>
      <c r="K435" s="81">
        <f ca="1" t="shared" si="89"/>
        <v>6</v>
      </c>
      <c r="L435" s="81">
        <f ca="1" t="shared" si="90"/>
        <v>7.96</v>
      </c>
      <c r="M435" s="81">
        <f ca="1" t="shared" si="91"/>
        <v>5.04</v>
      </c>
      <c r="N435" s="81" cm="1">
        <f ca="1" t="array" ref="N435">SUMPRODUCT(J435:M435,$J$110:$M$110)</f>
        <v>18632</v>
      </c>
      <c r="O435" s="81" cm="1">
        <f ca="1" t="array" ref="O435">SUMPRODUCT(G435:I435,$G$110:$I$110)</f>
        <v>2430</v>
      </c>
      <c r="P435">
        <f ca="1" t="shared" si="110"/>
        <v>192</v>
      </c>
      <c r="Q435" cm="1">
        <f ca="1" t="array" ref="Q435">_xlfn.XLOOKUP($D435&amp;8,$D$444:$D$763&amp;$E$444:$E$763,O$444:O$763)</f>
        <v>0</v>
      </c>
      <c r="R435" cm="1">
        <f ca="1" t="array" ref="R435">_xlfn.XLOOKUP($D435&amp;8,$D$444:$D$763&amp;$E$444:$E$763,P$444:P$763)</f>
        <v>0</v>
      </c>
      <c r="S435" cm="1">
        <f ca="1" t="array" ref="S435">_xlfn.XLOOKUP($D435&amp;8,$D$444:$D$763&amp;$E$444:$E$763,Q$444:Q$763)</f>
        <v>0.37</v>
      </c>
      <c r="T435" cm="1">
        <f ca="1" t="array" ref="T435">_xlfn.XLOOKUP($D435&amp;8,$D$444:$D$763&amp;$E$444:$E$763,R$444:R$763)</f>
        <v>0.63</v>
      </c>
      <c r="U435" t="str">
        <f ca="1" t="shared" si="92"/>
        <v/>
      </c>
      <c r="V435" t="str">
        <f ca="1" t="shared" si="93"/>
        <v/>
      </c>
      <c r="W435" t="str">
        <f ca="1" t="shared" si="94"/>
        <v>神话零件碎片概率：37%</v>
      </c>
      <c r="X435" t="str">
        <f ca="1" t="shared" si="95"/>
        <v>创世零件碎片概率：63%</v>
      </c>
      <c r="Y435" t="str">
        <f ca="1" t="shared" si="113"/>
        <v>开启后可随机获得以下奖励：\n神话零件碎片概率：37%\n创世零件碎片概率：63%</v>
      </c>
      <c r="Z435">
        <v>7</v>
      </c>
      <c r="AA435" cm="1">
        <f ca="1" t="array" ref="AA435">SUMPRODUCT(Q$398:T$398,Q435:T435)</f>
        <v>1304</v>
      </c>
      <c r="AB435">
        <f ca="1" t="shared" si="97"/>
        <v>9</v>
      </c>
      <c r="AC435">
        <f ca="1" t="shared" si="98"/>
        <v>6</v>
      </c>
      <c r="AD435">
        <f ca="1" t="shared" si="99"/>
        <v>5</v>
      </c>
      <c r="AE435">
        <f ca="1" t="shared" si="100"/>
        <v>0</v>
      </c>
      <c r="AF435" t="str">
        <f ca="1" t="shared" si="101"/>
        <v>{63,1730}</v>
      </c>
      <c r="AG435" t="str">
        <f ca="1" t="shared" si="102"/>
        <v>{62,1}</v>
      </c>
      <c r="AH435" t="str">
        <f ca="1" t="shared" si="103"/>
        <v>{2,11000}</v>
      </c>
      <c r="AI435" t="str">
        <f ca="1" t="shared" si="104"/>
        <v>{6030001,9}</v>
      </c>
      <c r="AJ435" t="str">
        <f ca="1" t="shared" si="105"/>
        <v>{6030002,6}</v>
      </c>
      <c r="AK435" t="str">
        <f ca="1" t="shared" si="106"/>
        <v>{6030003,5}</v>
      </c>
      <c r="AL435" t="str">
        <f ca="1" t="shared" si="107"/>
        <v/>
      </c>
      <c r="AM435" t="str">
        <f t="shared" si="108"/>
        <v>{6020036,8}</v>
      </c>
      <c r="AN435" t="str">
        <f ca="1" t="shared" si="109"/>
        <v>[{63,1730},{62,1},{2,11000},{6030001,9},{6030002,6},{6030003,5},{6020036,8}]</v>
      </c>
    </row>
    <row r="436" spans="4:40">
      <c r="D436" s="81" t="s">
        <v>274</v>
      </c>
      <c r="E436" s="81">
        <v>405</v>
      </c>
      <c r="F436" s="81">
        <f ca="1">MATCH(E436,OFFSET(载具预期!$D$7:$D$306,0,MATCH($E$110,载具预期!$E$6:$H$6,0)),1)</f>
        <v>300</v>
      </c>
      <c r="G436" s="81">
        <f ca="1" t="shared" si="85"/>
        <v>1750</v>
      </c>
      <c r="H436" s="81">
        <f ca="1" t="shared" si="86"/>
        <v>1</v>
      </c>
      <c r="I436" s="81">
        <f ca="1" t="shared" si="87"/>
        <v>11200</v>
      </c>
      <c r="J436" s="81">
        <f ca="1" t="shared" si="88"/>
        <v>9</v>
      </c>
      <c r="K436" s="81">
        <f ca="1" t="shared" si="89"/>
        <v>6</v>
      </c>
      <c r="L436" s="81">
        <f ca="1" t="shared" si="90"/>
        <v>7.72</v>
      </c>
      <c r="M436" s="81">
        <f ca="1" t="shared" si="91"/>
        <v>5.28</v>
      </c>
      <c r="N436" s="81" cm="1">
        <f ca="1" t="array" ref="N436">SUMPRODUCT(J436:M436,$J$110:$M$110)</f>
        <v>18824</v>
      </c>
      <c r="O436" s="81" cm="1">
        <f ca="1" t="array" ref="O436">SUMPRODUCT(G436:I436,$G$110:$I$110)</f>
        <v>2460</v>
      </c>
      <c r="P436">
        <f ca="1" t="shared" si="110"/>
        <v>192</v>
      </c>
      <c r="Q436" cm="1">
        <f ca="1" t="array" ref="Q436">_xlfn.XLOOKUP($D436&amp;8,$D$444:$D$763&amp;$E$444:$E$763,O$444:O$763)</f>
        <v>0</v>
      </c>
      <c r="R436" cm="1">
        <f ca="1" t="array" ref="R436">_xlfn.XLOOKUP($D436&amp;8,$D$444:$D$763&amp;$E$444:$E$763,P$444:P$763)</f>
        <v>0</v>
      </c>
      <c r="S436" cm="1">
        <f ca="1" t="array" ref="S436">_xlfn.XLOOKUP($D436&amp;8,$D$444:$D$763&amp;$E$444:$E$763,Q$444:Q$763)</f>
        <v>0.34</v>
      </c>
      <c r="T436" cm="1">
        <f ca="1" t="array" ref="T436">_xlfn.XLOOKUP($D436&amp;8,$D$444:$D$763&amp;$E$444:$E$763,R$444:R$763)</f>
        <v>0.66</v>
      </c>
      <c r="U436" t="str">
        <f ca="1" t="shared" si="92"/>
        <v/>
      </c>
      <c r="V436" t="str">
        <f ca="1" t="shared" si="93"/>
        <v/>
      </c>
      <c r="W436" t="str">
        <f ca="1" t="shared" si="94"/>
        <v>神话零件碎片概率：34%</v>
      </c>
      <c r="X436" t="str">
        <f ca="1" t="shared" si="95"/>
        <v>创世零件碎片概率：66%</v>
      </c>
      <c r="Y436" t="str">
        <f ca="1" t="shared" si="113"/>
        <v>开启后可随机获得以下奖励：\n神话零件碎片概率：34%\n创世零件碎片概率：66%</v>
      </c>
      <c r="Z436">
        <v>7</v>
      </c>
      <c r="AA436" cm="1">
        <f ca="1" t="array" ref="AA436">SUMPRODUCT(Q$398:T$398,Q436:T436)</f>
        <v>1328</v>
      </c>
      <c r="AB436">
        <f ca="1" t="shared" si="97"/>
        <v>9</v>
      </c>
      <c r="AC436">
        <f ca="1" t="shared" si="98"/>
        <v>6</v>
      </c>
      <c r="AD436">
        <f ca="1" t="shared" si="99"/>
        <v>5</v>
      </c>
      <c r="AE436">
        <f ca="1" t="shared" si="100"/>
        <v>0</v>
      </c>
      <c r="AF436" t="str">
        <f ca="1" t="shared" si="101"/>
        <v>{63,1750}</v>
      </c>
      <c r="AG436" t="str">
        <f ca="1" t="shared" si="102"/>
        <v>{62,1}</v>
      </c>
      <c r="AH436" t="str">
        <f ca="1" t="shared" si="103"/>
        <v>{2,11200}</v>
      </c>
      <c r="AI436" t="str">
        <f ca="1" t="shared" si="104"/>
        <v>{6030001,9}</v>
      </c>
      <c r="AJ436" t="str">
        <f ca="1" t="shared" si="105"/>
        <v>{6030002,6}</v>
      </c>
      <c r="AK436" t="str">
        <f ca="1" t="shared" si="106"/>
        <v>{6030003,5}</v>
      </c>
      <c r="AL436" t="str">
        <f ca="1" t="shared" si="107"/>
        <v/>
      </c>
      <c r="AM436" t="str">
        <f t="shared" si="108"/>
        <v>{6020037,8}</v>
      </c>
      <c r="AN436" t="str">
        <f ca="1" t="shared" si="109"/>
        <v>[{63,1750},{62,1},{2,11200},{6030001,9},{6030002,6},{6030003,5},{6020037,8}]</v>
      </c>
    </row>
    <row r="437" spans="4:40">
      <c r="D437" s="81" t="s">
        <v>275</v>
      </c>
      <c r="E437" s="81">
        <v>415</v>
      </c>
      <c r="F437" s="81">
        <f ca="1">MATCH(E437,OFFSET(载具预期!$D$7:$D$306,0,MATCH($E$110,载具预期!$E$6:$H$6,0)),1)</f>
        <v>300</v>
      </c>
      <c r="G437" s="81">
        <f ca="1" t="shared" si="85"/>
        <v>1790</v>
      </c>
      <c r="H437" s="81">
        <f ca="1" t="shared" si="86"/>
        <v>1</v>
      </c>
      <c r="I437" s="81">
        <f ca="1" t="shared" si="87"/>
        <v>11400</v>
      </c>
      <c r="J437" s="81">
        <f ca="1" t="shared" si="88"/>
        <v>9</v>
      </c>
      <c r="K437" s="81">
        <f ca="1" t="shared" si="89"/>
        <v>6</v>
      </c>
      <c r="L437" s="81">
        <f ca="1" t="shared" si="90"/>
        <v>7.48</v>
      </c>
      <c r="M437" s="81">
        <f ca="1" t="shared" si="91"/>
        <v>5.52</v>
      </c>
      <c r="N437" s="81" cm="1">
        <f ca="1" t="array" ref="N437">SUMPRODUCT(J437:M437,$J$110:$M$110)</f>
        <v>19016</v>
      </c>
      <c r="O437" s="81" cm="1">
        <f ca="1" t="array" ref="O437">SUMPRODUCT(G437:I437,$G$110:$I$110)</f>
        <v>2510</v>
      </c>
      <c r="P437">
        <f ca="1" t="shared" si="110"/>
        <v>192</v>
      </c>
      <c r="Q437" cm="1">
        <f ca="1" t="array" ref="Q437">_xlfn.XLOOKUP($D437&amp;8,$D$444:$D$763&amp;$E$444:$E$763,O$444:O$763)</f>
        <v>0</v>
      </c>
      <c r="R437" cm="1">
        <f ca="1" t="array" ref="R437">_xlfn.XLOOKUP($D437&amp;8,$D$444:$D$763&amp;$E$444:$E$763,P$444:P$763)</f>
        <v>0</v>
      </c>
      <c r="S437" cm="1">
        <f ca="1" t="array" ref="S437">_xlfn.XLOOKUP($D437&amp;8,$D$444:$D$763&amp;$E$444:$E$763,Q$444:Q$763)</f>
        <v>0.31</v>
      </c>
      <c r="T437" cm="1">
        <f ca="1" t="array" ref="T437">_xlfn.XLOOKUP($D437&amp;8,$D$444:$D$763&amp;$E$444:$E$763,R$444:R$763)</f>
        <v>0.69</v>
      </c>
      <c r="U437" t="str">
        <f ca="1" t="shared" si="92"/>
        <v/>
      </c>
      <c r="V437" t="str">
        <f ca="1" t="shared" si="93"/>
        <v/>
      </c>
      <c r="W437" t="str">
        <f ca="1" t="shared" si="94"/>
        <v>神话零件碎片概率：31%</v>
      </c>
      <c r="X437" t="str">
        <f ca="1" t="shared" si="95"/>
        <v>创世零件碎片概率：69%</v>
      </c>
      <c r="Y437" t="str">
        <f ca="1" t="shared" si="113"/>
        <v>开启后可随机获得以下奖励：\n神话零件碎片概率：31%\n创世零件碎片概率：69%</v>
      </c>
      <c r="Z437">
        <v>7</v>
      </c>
      <c r="AA437" cm="1">
        <f ca="1" t="array" ref="AA437">SUMPRODUCT(Q$398:T$398,Q437:T437)</f>
        <v>1352</v>
      </c>
      <c r="AB437">
        <f ca="1" t="shared" si="97"/>
        <v>9</v>
      </c>
      <c r="AC437">
        <f ca="1" t="shared" si="98"/>
        <v>6</v>
      </c>
      <c r="AD437">
        <f ca="1" t="shared" si="99"/>
        <v>5</v>
      </c>
      <c r="AE437">
        <f ca="1" t="shared" si="100"/>
        <v>0</v>
      </c>
      <c r="AF437" t="str">
        <f ca="1" t="shared" si="101"/>
        <v>{63,1790}</v>
      </c>
      <c r="AG437" t="str">
        <f ca="1" t="shared" si="102"/>
        <v>{62,1}</v>
      </c>
      <c r="AH437" t="str">
        <f ca="1" t="shared" si="103"/>
        <v>{2,11400}</v>
      </c>
      <c r="AI437" t="str">
        <f ca="1" t="shared" si="104"/>
        <v>{6030001,9}</v>
      </c>
      <c r="AJ437" t="str">
        <f ca="1" t="shared" si="105"/>
        <v>{6030002,6}</v>
      </c>
      <c r="AK437" t="str">
        <f ca="1" t="shared" si="106"/>
        <v>{6030003,5}</v>
      </c>
      <c r="AL437" t="str">
        <f ca="1" t="shared" si="107"/>
        <v/>
      </c>
      <c r="AM437" t="str">
        <f t="shared" si="108"/>
        <v>{6020038,8}</v>
      </c>
      <c r="AN437" t="str">
        <f ca="1" t="shared" si="109"/>
        <v>[{63,1790},{62,1},{2,11400},{6030001,9},{6030002,6},{6030003,5},{6020038,8}]</v>
      </c>
    </row>
    <row r="438" spans="4:40">
      <c r="D438" s="81" t="s">
        <v>276</v>
      </c>
      <c r="E438" s="81">
        <v>425</v>
      </c>
      <c r="F438" s="81">
        <f ca="1">MATCH(E438,OFFSET(载具预期!$D$7:$D$306,0,MATCH($E$110,载具预期!$E$6:$H$6,0)),1)</f>
        <v>300</v>
      </c>
      <c r="G438" s="81">
        <f ca="1" t="shared" si="85"/>
        <v>1815</v>
      </c>
      <c r="H438" s="81">
        <f ca="1" t="shared" si="86"/>
        <v>1</v>
      </c>
      <c r="I438" s="81">
        <f ca="1" t="shared" si="87"/>
        <v>11600</v>
      </c>
      <c r="J438" s="81">
        <f ca="1" t="shared" si="88"/>
        <v>9</v>
      </c>
      <c r="K438" s="81">
        <f ca="1" t="shared" si="89"/>
        <v>6</v>
      </c>
      <c r="L438" s="81">
        <f ca="1" t="shared" si="90"/>
        <v>7.24</v>
      </c>
      <c r="M438" s="81">
        <f ca="1" t="shared" si="91"/>
        <v>5.76</v>
      </c>
      <c r="N438" s="81" cm="1">
        <f ca="1" t="array" ref="N438">SUMPRODUCT(J438:M438,$J$110:$M$110)</f>
        <v>19208</v>
      </c>
      <c r="O438" s="81" cm="1">
        <f ca="1" t="array" ref="O438">SUMPRODUCT(G438:I438,$G$110:$I$110)</f>
        <v>2545</v>
      </c>
      <c r="P438">
        <f ca="1" t="shared" si="110"/>
        <v>192</v>
      </c>
      <c r="Q438" cm="1">
        <f ca="1" t="array" ref="Q438">_xlfn.XLOOKUP($D438&amp;8,$D$444:$D$763&amp;$E$444:$E$763,O$444:O$763)</f>
        <v>0</v>
      </c>
      <c r="R438" cm="1">
        <f ca="1" t="array" ref="R438">_xlfn.XLOOKUP($D438&amp;8,$D$444:$D$763&amp;$E$444:$E$763,P$444:P$763)</f>
        <v>0</v>
      </c>
      <c r="S438" cm="1">
        <f ca="1" t="array" ref="S438">_xlfn.XLOOKUP($D438&amp;8,$D$444:$D$763&amp;$E$444:$E$763,Q$444:Q$763)</f>
        <v>0.28</v>
      </c>
      <c r="T438" cm="1">
        <f ca="1" t="array" ref="T438">_xlfn.XLOOKUP($D438&amp;8,$D$444:$D$763&amp;$E$444:$E$763,R$444:R$763)</f>
        <v>0.72</v>
      </c>
      <c r="U438" t="str">
        <f ca="1" t="shared" si="92"/>
        <v/>
      </c>
      <c r="V438" t="str">
        <f ca="1" t="shared" si="93"/>
        <v/>
      </c>
      <c r="W438" t="str">
        <f ca="1" t="shared" si="94"/>
        <v>神话零件碎片概率：28%</v>
      </c>
      <c r="X438" t="str">
        <f ca="1" t="shared" si="95"/>
        <v>创世零件碎片概率：72%</v>
      </c>
      <c r="Y438" t="str">
        <f ca="1" t="shared" si="113"/>
        <v>开启后可随机获得以下奖励：\n神话零件碎片概率：28%\n创世零件碎片概率：72%</v>
      </c>
      <c r="Z438">
        <v>7</v>
      </c>
      <c r="AA438" cm="1">
        <f ca="1" t="array" ref="AA438">SUMPRODUCT(Q$398:T$398,Q438:T438)</f>
        <v>1376</v>
      </c>
      <c r="AB438">
        <f ca="1" t="shared" si="97"/>
        <v>9</v>
      </c>
      <c r="AC438">
        <f ca="1" t="shared" si="98"/>
        <v>6</v>
      </c>
      <c r="AD438">
        <f ca="1" t="shared" si="99"/>
        <v>5</v>
      </c>
      <c r="AE438">
        <f ca="1" t="shared" si="100"/>
        <v>0</v>
      </c>
      <c r="AF438" t="str">
        <f ca="1" t="shared" si="101"/>
        <v>{63,1815}</v>
      </c>
      <c r="AG438" t="str">
        <f ca="1" t="shared" si="102"/>
        <v>{62,1}</v>
      </c>
      <c r="AH438" t="str">
        <f ca="1" t="shared" si="103"/>
        <v>{2,11600}</v>
      </c>
      <c r="AI438" t="str">
        <f ca="1" t="shared" si="104"/>
        <v>{6030001,9}</v>
      </c>
      <c r="AJ438" t="str">
        <f ca="1" t="shared" si="105"/>
        <v>{6030002,6}</v>
      </c>
      <c r="AK438" t="str">
        <f ca="1" t="shared" si="106"/>
        <v>{6030003,5}</v>
      </c>
      <c r="AL438" t="str">
        <f ca="1" t="shared" si="107"/>
        <v/>
      </c>
      <c r="AM438" t="str">
        <f t="shared" si="108"/>
        <v>{6020039,8}</v>
      </c>
      <c r="AN438" t="str">
        <f ca="1" t="shared" si="109"/>
        <v>[{63,1815},{62,1},{2,11600},{6030001,9},{6030002,6},{6030003,5},{6020039,8}]</v>
      </c>
    </row>
    <row r="439" spans="4:40">
      <c r="D439" s="81" t="s">
        <v>277</v>
      </c>
      <c r="E439" s="81">
        <v>435</v>
      </c>
      <c r="F439" s="81">
        <f ca="1">MATCH(E439,OFFSET(载具预期!$D$7:$D$306,0,MATCH($E$110,载具预期!$E$6:$H$6,0)),1)</f>
        <v>300</v>
      </c>
      <c r="G439" s="81">
        <f ca="1" t="shared" si="85"/>
        <v>1855</v>
      </c>
      <c r="H439" s="81">
        <f ca="1" t="shared" si="86"/>
        <v>1</v>
      </c>
      <c r="I439" s="81">
        <f ca="1" t="shared" si="87"/>
        <v>11800</v>
      </c>
      <c r="J439" s="81">
        <f ca="1" t="shared" si="88"/>
        <v>9</v>
      </c>
      <c r="K439" s="81">
        <f ca="1" t="shared" si="89"/>
        <v>6</v>
      </c>
      <c r="L439" s="81">
        <f ca="1" t="shared" si="90"/>
        <v>7</v>
      </c>
      <c r="M439" s="81">
        <f ca="1" t="shared" si="91"/>
        <v>6</v>
      </c>
      <c r="N439" s="81" cm="1">
        <f ca="1" t="array" ref="N439">SUMPRODUCT(J439:M439,$J$110:$M$110)</f>
        <v>19400</v>
      </c>
      <c r="O439" s="81" cm="1">
        <f ca="1" t="array" ref="O439">SUMPRODUCT(G439:I439,$G$110:$I$110)</f>
        <v>2595</v>
      </c>
      <c r="P439">
        <f ca="1" t="shared" si="110"/>
        <v>192</v>
      </c>
      <c r="Q439" cm="1">
        <f ca="1" t="array" ref="Q439">_xlfn.XLOOKUP($D439&amp;8,$D$444:$D$763&amp;$E$444:$E$763,O$444:O$763)</f>
        <v>0</v>
      </c>
      <c r="R439" cm="1">
        <f ca="1" t="array" ref="R439">_xlfn.XLOOKUP($D439&amp;8,$D$444:$D$763&amp;$E$444:$E$763,P$444:P$763)</f>
        <v>0</v>
      </c>
      <c r="S439" cm="1">
        <f ca="1" t="array" ref="S439">_xlfn.XLOOKUP($D439&amp;8,$D$444:$D$763&amp;$E$444:$E$763,Q$444:Q$763)</f>
        <v>0.25</v>
      </c>
      <c r="T439" cm="1">
        <f ca="1" t="array" ref="T439">_xlfn.XLOOKUP($D439&amp;8,$D$444:$D$763&amp;$E$444:$E$763,R$444:R$763)</f>
        <v>0.75</v>
      </c>
      <c r="U439" t="str">
        <f ca="1" t="shared" si="92"/>
        <v/>
      </c>
      <c r="V439" t="str">
        <f ca="1" t="shared" si="93"/>
        <v/>
      </c>
      <c r="W439" t="str">
        <f ca="1" t="shared" si="94"/>
        <v>神话零件碎片概率：25%</v>
      </c>
      <c r="X439" t="str">
        <f ca="1" t="shared" si="95"/>
        <v>创世零件碎片概率：75%</v>
      </c>
      <c r="Y439" t="str">
        <f ca="1" t="shared" si="113"/>
        <v>开启后可随机获得以下奖励：\n神话零件碎片概率：25%\n创世零件碎片概率：75%</v>
      </c>
      <c r="Z439">
        <v>7</v>
      </c>
      <c r="AA439" cm="1">
        <f ca="1" t="array" ref="AA439">SUMPRODUCT(Q$398:T$398,Q439:T439)</f>
        <v>1400</v>
      </c>
      <c r="AB439">
        <f ca="1" t="shared" si="97"/>
        <v>9</v>
      </c>
      <c r="AC439">
        <f ca="1" t="shared" si="98"/>
        <v>6</v>
      </c>
      <c r="AD439">
        <f ca="1" t="shared" si="99"/>
        <v>5</v>
      </c>
      <c r="AE439">
        <f ca="1" t="shared" si="100"/>
        <v>0</v>
      </c>
      <c r="AF439" t="str">
        <f ca="1" t="shared" si="101"/>
        <v>{63,1855}</v>
      </c>
      <c r="AG439" t="str">
        <f ca="1" t="shared" si="102"/>
        <v>{62,1}</v>
      </c>
      <c r="AH439" t="str">
        <f ca="1" t="shared" si="103"/>
        <v>{2,11800}</v>
      </c>
      <c r="AI439" t="str">
        <f ca="1" t="shared" si="104"/>
        <v>{6030001,9}</v>
      </c>
      <c r="AJ439" t="str">
        <f ca="1" t="shared" si="105"/>
        <v>{6030002,6}</v>
      </c>
      <c r="AK439" t="str">
        <f ca="1" t="shared" si="106"/>
        <v>{6030003,5}</v>
      </c>
      <c r="AL439" t="str">
        <f ca="1" t="shared" si="107"/>
        <v/>
      </c>
      <c r="AM439" t="str">
        <f t="shared" si="108"/>
        <v>{6020040,8}</v>
      </c>
      <c r="AN439" t="str">
        <f ca="1" t="shared" si="109"/>
        <v>[{63,1855},{62,1},{2,11800},{6030001,9},{6030002,6},{6030003,5},{6020040,8}]</v>
      </c>
    </row>
    <row r="441" spans="4:40">
      <c r="F441" s="36">
        <v>61</v>
      </c>
      <c r="G441" s="36">
        <v>63</v>
      </c>
      <c r="H441" s="36">
        <v>62</v>
      </c>
      <c r="I441" s="36">
        <v>2</v>
      </c>
      <c r="J441" s="36">
        <v>6030001</v>
      </c>
      <c r="K441" s="36">
        <f>J441+1</f>
        <v>6030002</v>
      </c>
      <c r="L441" s="36">
        <f>K441+1</f>
        <v>6030003</v>
      </c>
      <c r="M441" s="36">
        <f>L441+1</f>
        <v>6030004</v>
      </c>
      <c r="N441" s="70"/>
      <c r="O441" s="70"/>
      <c r="P441" s="70"/>
      <c r="Q441" s="70"/>
      <c r="R441" s="70"/>
    </row>
    <row r="442" spans="4:40">
      <c r="F442" s="36">
        <v>1</v>
      </c>
      <c r="G442" s="36">
        <f t="shared" ref="G442:M442" si="114">_xlfn.XLOOKUP(G443,$D$6:$D$16,$E$6:$E$16)</f>
        <v>1</v>
      </c>
      <c r="H442" s="36">
        <f t="shared" si="114"/>
        <v>150</v>
      </c>
      <c r="I442" s="36">
        <v>1</v>
      </c>
      <c r="J442" s="36">
        <f t="shared" si="114"/>
        <v>200</v>
      </c>
      <c r="K442" s="36">
        <f t="shared" si="114"/>
        <v>400</v>
      </c>
      <c r="L442" s="36">
        <f t="shared" si="114"/>
        <v>800</v>
      </c>
      <c r="M442" s="36">
        <f t="shared" si="114"/>
        <v>1600</v>
      </c>
      <c r="N442" s="36" t="s">
        <v>278</v>
      </c>
      <c r="O442" s="36">
        <f t="shared" ref="O442:R442" si="115">_xlfn.XLOOKUP(O443,$D$6:$D$16,$E$6:$E$16)</f>
        <v>200</v>
      </c>
      <c r="P442" s="36">
        <f t="shared" si="115"/>
        <v>400</v>
      </c>
      <c r="Q442" s="36">
        <f t="shared" si="115"/>
        <v>800</v>
      </c>
      <c r="R442" s="36">
        <f t="shared" si="115"/>
        <v>1600</v>
      </c>
    </row>
    <row r="443" spans="4:40">
      <c r="D443" s="2" t="s">
        <v>233</v>
      </c>
      <c r="E443" s="64" t="s">
        <v>233</v>
      </c>
      <c r="F443" s="64" t="s">
        <v>279</v>
      </c>
      <c r="G443" s="64" t="s">
        <v>32</v>
      </c>
      <c r="H443" s="64" t="s">
        <v>178</v>
      </c>
      <c r="I443" s="64" t="s">
        <v>33</v>
      </c>
      <c r="J443" s="64" t="s">
        <v>34</v>
      </c>
      <c r="K443" s="64" t="s">
        <v>35</v>
      </c>
      <c r="L443" s="64" t="s">
        <v>36</v>
      </c>
      <c r="M443" s="64" t="s">
        <v>37</v>
      </c>
      <c r="N443" s="64" t="s">
        <v>280</v>
      </c>
      <c r="O443" s="64" t="s">
        <v>34</v>
      </c>
      <c r="P443" s="64" t="s">
        <v>35</v>
      </c>
      <c r="Q443" s="64" t="s">
        <v>36</v>
      </c>
      <c r="R443" s="64" t="s">
        <v>37</v>
      </c>
      <c r="U443" s="93"/>
      <c r="V443" s="93"/>
      <c r="W443" s="93"/>
      <c r="X443" s="93"/>
      <c r="Y443" s="93"/>
      <c r="Z443" s="93"/>
      <c r="AA443" s="93"/>
      <c r="AB443" s="93"/>
      <c r="AC443" s="93"/>
    </row>
    <row r="444" spans="4:40">
      <c r="D444" s="81" t="s">
        <v>238</v>
      </c>
      <c r="E444" s="84">
        <v>1</v>
      </c>
      <c r="F444" s="84">
        <f>80</f>
        <v>80</v>
      </c>
      <c r="G444" s="84" cm="1">
        <f t="array" ref="G444">IF($E444&lt;7,_xlfn.XLOOKUP($D444&amp;$E444,$D$155:$D$395&amp;$E$155:$E$395,G$155:G$395),"")</f>
        <v>0</v>
      </c>
      <c r="H444" s="84"/>
      <c r="I444" s="84">
        <v>500</v>
      </c>
      <c r="J444" s="84">
        <v>2</v>
      </c>
      <c r="K444" s="84"/>
      <c r="L444" s="84"/>
      <c r="M444" s="84"/>
      <c r="N444" s="84"/>
      <c r="O444" s="84"/>
      <c r="P444" s="84"/>
      <c r="Q444" s="84">
        <v>0</v>
      </c>
      <c r="R444" s="84">
        <v>0</v>
      </c>
      <c r="S444" s="90">
        <f>_xlfn.XLOOKUP(D444,$D$111:$D$151,$E$111:$E$151)</f>
        <v>45</v>
      </c>
      <c r="T444" s="90" cm="1">
        <f t="array" ref="T444">IFERROR(SUMPRODUCT(F444:M444,$F$154:$M$154)+IFERROR(N444*SUMPRODUCT(O444:R444,$O$154:$R$154),0),"")</f>
        <v>980</v>
      </c>
      <c r="U444" s="94"/>
      <c r="V444" s="94" t="str">
        <f>IF(OR(H444="",H444=0),"","{"&amp;H$441&amp;","&amp;H444&amp;"}")</f>
        <v/>
      </c>
      <c r="W444" t="str">
        <f>IF(OR(E444=8),"{"&amp;6020000+MATCH(D444,$D$400:$D$439,0)&amp;",8}","")</f>
        <v/>
      </c>
      <c r="X444" s="94" t="str">
        <f>IF(OR(F444="",F444=0),"","{"&amp;F$441&amp;","&amp;F444&amp;"}")</f>
        <v>{61,80}</v>
      </c>
      <c r="Y444" s="94" t="str">
        <f>IF(OR(G444="",G444=0),"","{"&amp;G$441&amp;","&amp;G444&amp;"}")</f>
        <v/>
      </c>
      <c r="Z444" s="94" t="str">
        <f>IF(OR(L444="",L444=0),"","{"&amp;L$441&amp;","&amp;L444&amp;"}")</f>
        <v/>
      </c>
      <c r="AA444" s="94" t="str">
        <f>IF(OR(K444="",K444=0),"","{"&amp;K$441&amp;","&amp;K444&amp;"}")</f>
        <v/>
      </c>
      <c r="AB444" s="94" t="str">
        <f>IF(OR(J444="",J444=0),"","{"&amp;J$441&amp;","&amp;J444&amp;"}")</f>
        <v>{6030001,2}</v>
      </c>
      <c r="AE444" s="94" t="str">
        <f>IF(OR(I444="",I444=0),"","{"&amp;I$441&amp;","&amp;I444&amp;"}")</f>
        <v>{2,500}</v>
      </c>
      <c r="AH444" t="str">
        <f>"["&amp;_xlfn.TEXTJOIN(",",1,V444:AF444)&amp;"]"</f>
        <v>[{61,80},{6030001,2},{2,500}]</v>
      </c>
    </row>
    <row r="445" spans="4:40">
      <c r="D445" s="81" t="s">
        <v>238</v>
      </c>
      <c r="E445" s="84">
        <v>2</v>
      </c>
      <c r="F445" s="84">
        <v>80</v>
      </c>
      <c r="G445" s="84">
        <v>100</v>
      </c>
      <c r="H445" s="84"/>
      <c r="I445" s="84">
        <v>500</v>
      </c>
      <c r="J445" s="84" cm="1">
        <f t="array" ref="J445">IF($E445&lt;7,_xlfn.XLOOKUP($D445&amp;$E445,$D$155:$D$395&amp;$E$155:$E$395,J$155:J$395),"")</f>
        <v>0</v>
      </c>
      <c r="K445" s="84"/>
      <c r="L445" s="84"/>
      <c r="M445" s="84"/>
      <c r="N445" s="84"/>
      <c r="O445" s="84"/>
      <c r="P445" s="84"/>
      <c r="Q445" s="84">
        <v>0</v>
      </c>
      <c r="R445" s="84">
        <v>0</v>
      </c>
      <c r="S445" s="90">
        <f>_xlfn.XLOOKUP(D445,$D$111:$D$151,$E$111:$E$151)</f>
        <v>45</v>
      </c>
      <c r="T445" s="90" cm="1">
        <f t="array" ref="T445">IFERROR(SUMPRODUCT(F445:M445,$F$154:$M$154)+IFERROR(N445*SUMPRODUCT(O445:R445,$O$154:$R$154),0),"")</f>
        <v>680</v>
      </c>
      <c r="U445" s="94"/>
      <c r="V445" s="94" t="str">
        <f t="shared" ref="V445:V457" si="116">IF(OR(H445="",H445=0),"","{"&amp;H$441&amp;","&amp;H445&amp;"}")</f>
        <v/>
      </c>
      <c r="W445" t="str">
        <f t="shared" ref="W445:W508" si="117">IF(OR(E445=8),"{"&amp;6020000+MATCH(D445,$D$400:$D$439,0)&amp;",8}","")</f>
        <v/>
      </c>
      <c r="X445" s="94" t="str">
        <f t="shared" ref="X445:X457" si="118">IF(OR(F445="",F445=0),"","{"&amp;F$441&amp;","&amp;F445&amp;"}")</f>
        <v>{61,80}</v>
      </c>
      <c r="Y445" s="94" t="str">
        <f t="shared" ref="Y445:Y457" si="119">IF(OR(G445="",G445=0),"","{"&amp;G$441&amp;","&amp;G445&amp;"}")</f>
        <v>{63,100}</v>
      </c>
      <c r="Z445" s="94" t="str">
        <f t="shared" ref="Z445:Z457" si="120">IF(OR(L445="",L445=0),"","{"&amp;L$441&amp;","&amp;L445&amp;"}")</f>
        <v/>
      </c>
      <c r="AA445" s="94" t="str">
        <f t="shared" ref="AA445:AA457" si="121">IF(OR(K445="",K445=0),"","{"&amp;K$441&amp;","&amp;K445&amp;"}")</f>
        <v/>
      </c>
      <c r="AB445" s="94" t="str">
        <f t="shared" ref="AB445:AB457" si="122">IF(OR(J445="",J445=0),"","{"&amp;J$441&amp;","&amp;J445&amp;"}")</f>
        <v/>
      </c>
      <c r="AE445" s="94" t="str">
        <f t="shared" ref="AE445:AE457" si="123">IF(OR(I445="",I445=0),"","{"&amp;I$441&amp;","&amp;I445&amp;"}")</f>
        <v>{2,500}</v>
      </c>
      <c r="AH445" t="str">
        <f t="shared" ref="AH445:AH508" si="124">"["&amp;_xlfn.TEXTJOIN(",",1,V445:AF445)&amp;"]"</f>
        <v>[{61,80},{63,100},{2,500}]</v>
      </c>
    </row>
    <row r="446" spans="4:40">
      <c r="D446" s="81" t="s">
        <v>238</v>
      </c>
      <c r="E446" s="84">
        <v>3</v>
      </c>
      <c r="F446" s="84">
        <v>80</v>
      </c>
      <c r="G446" s="84" cm="1">
        <f t="array" ref="G446">IF($E446&lt;7,_xlfn.XLOOKUP($D446&amp;$E446,$D$155:$D$395&amp;$E$155:$E$395,G$155:G$395),"")</f>
        <v>0</v>
      </c>
      <c r="H446" s="84"/>
      <c r="I446" s="84">
        <v>500</v>
      </c>
      <c r="J446" s="84">
        <v>3</v>
      </c>
      <c r="K446" s="84"/>
      <c r="L446" s="84"/>
      <c r="M446" s="84"/>
      <c r="N446" s="84"/>
      <c r="O446" s="84"/>
      <c r="P446" s="84"/>
      <c r="Q446" s="84">
        <v>0</v>
      </c>
      <c r="R446" s="84">
        <v>0</v>
      </c>
      <c r="S446" s="90">
        <f t="shared" ref="S446:S509" si="125">_xlfn.XLOOKUP(D446,$D$111:$D$151,$E$111:$E$151)</f>
        <v>45</v>
      </c>
      <c r="T446" s="90" cm="1">
        <f t="array" ref="T446">IFERROR(SUMPRODUCT(F446:M446,$F$154:$M$154)+IFERROR(N446*SUMPRODUCT(O446:R446,$O$154:$R$154),0),"")</f>
        <v>1180</v>
      </c>
      <c r="U446" s="94"/>
      <c r="V446" s="94" t="str">
        <f t="shared" si="116"/>
        <v/>
      </c>
      <c r="W446" t="str">
        <f t="shared" si="117"/>
        <v/>
      </c>
      <c r="X446" s="94" t="str">
        <f t="shared" si="118"/>
        <v>{61,80}</v>
      </c>
      <c r="Y446" s="94" t="str">
        <f t="shared" si="119"/>
        <v/>
      </c>
      <c r="Z446" s="94" t="str">
        <f t="shared" si="120"/>
        <v/>
      </c>
      <c r="AA446" s="94" t="str">
        <f t="shared" si="121"/>
        <v/>
      </c>
      <c r="AB446" s="94" t="str">
        <f t="shared" si="122"/>
        <v>{6030001,3}</v>
      </c>
      <c r="AE446" s="94" t="str">
        <f t="shared" si="123"/>
        <v>{2,500}</v>
      </c>
      <c r="AH446" t="str">
        <f t="shared" si="124"/>
        <v>[{61,80},{6030001,3},{2,500}]</v>
      </c>
    </row>
    <row r="447" spans="4:40">
      <c r="D447" s="81" t="s">
        <v>238</v>
      </c>
      <c r="E447" s="84">
        <v>4</v>
      </c>
      <c r="F447" s="84">
        <f>CEILING(F448*1.25,5)</f>
        <v>125</v>
      </c>
      <c r="G447" s="84">
        <f>G445*1.5</f>
        <v>150</v>
      </c>
      <c r="H447" s="84"/>
      <c r="I447" s="84">
        <v>500</v>
      </c>
      <c r="J447" s="84" cm="1">
        <f t="array" ref="J447">IF($E447&lt;7,_xlfn.XLOOKUP($D447&amp;$E447,$D$155:$D$395&amp;$E$155:$E$395,J$155:J$395),"")</f>
        <v>0</v>
      </c>
      <c r="K447" s="84"/>
      <c r="L447" s="84"/>
      <c r="M447" s="84"/>
      <c r="N447" s="84"/>
      <c r="O447" s="84"/>
      <c r="P447" s="84"/>
      <c r="Q447" s="84">
        <v>0</v>
      </c>
      <c r="R447" s="84">
        <v>0</v>
      </c>
      <c r="S447" s="90">
        <f t="shared" si="125"/>
        <v>45</v>
      </c>
      <c r="T447" s="90" cm="1">
        <f t="array" ref="T447">IFERROR(SUMPRODUCT(F447:M447,$F$154:$M$154)+IFERROR(N447*SUMPRODUCT(O447:R447,$O$154:$R$154),0),"")</f>
        <v>775</v>
      </c>
      <c r="U447" s="94"/>
      <c r="V447" s="94" t="str">
        <f t="shared" si="116"/>
        <v/>
      </c>
      <c r="W447" t="str">
        <f t="shared" si="117"/>
        <v/>
      </c>
      <c r="X447" s="94" t="str">
        <f t="shared" si="118"/>
        <v>{61,125}</v>
      </c>
      <c r="Y447" s="94" t="str">
        <f t="shared" si="119"/>
        <v>{63,150}</v>
      </c>
      <c r="Z447" s="94" t="str">
        <f t="shared" si="120"/>
        <v/>
      </c>
      <c r="AA447" s="94" t="str">
        <f t="shared" si="121"/>
        <v/>
      </c>
      <c r="AB447" s="94" t="str">
        <f t="shared" si="122"/>
        <v/>
      </c>
      <c r="AE447" s="94" t="str">
        <f t="shared" si="123"/>
        <v>{2,500}</v>
      </c>
      <c r="AH447" t="str">
        <f t="shared" si="124"/>
        <v>[{61,125},{63,150},{2,500}]</v>
      </c>
    </row>
    <row r="448" spans="4:40">
      <c r="D448" s="81" t="s">
        <v>238</v>
      </c>
      <c r="E448" s="84">
        <v>5</v>
      </c>
      <c r="F448" s="84">
        <f>CEILING(F444*1.25,5)</f>
        <v>100</v>
      </c>
      <c r="G448" s="84" cm="1">
        <f t="array" ref="G448">IF($E448&lt;7,_xlfn.XLOOKUP($D448&amp;$E448,$D$155:$D$395&amp;$E$155:$E$395,G$155:G$395),"")</f>
        <v>0</v>
      </c>
      <c r="H448" s="84"/>
      <c r="I448" s="84">
        <v>500</v>
      </c>
      <c r="J448" s="84">
        <v>4</v>
      </c>
      <c r="K448" s="84"/>
      <c r="L448" s="84"/>
      <c r="M448" s="84"/>
      <c r="N448" s="84"/>
      <c r="O448" s="84"/>
      <c r="P448" s="84"/>
      <c r="Q448" s="84">
        <v>0</v>
      </c>
      <c r="R448" s="84">
        <v>0</v>
      </c>
      <c r="S448" s="90">
        <f t="shared" si="125"/>
        <v>45</v>
      </c>
      <c r="T448" s="90" cm="1">
        <f t="array" ref="T448">IFERROR(SUMPRODUCT(F448:M448,$F$154:$M$154)+IFERROR(N448*SUMPRODUCT(O448:R448,$O$154:$R$154),0),"")</f>
        <v>1400</v>
      </c>
      <c r="U448" s="94"/>
      <c r="V448" s="94" t="str">
        <f t="shared" si="116"/>
        <v/>
      </c>
      <c r="W448" t="str">
        <f t="shared" si="117"/>
        <v/>
      </c>
      <c r="X448" s="94" t="str">
        <f t="shared" si="118"/>
        <v>{61,100}</v>
      </c>
      <c r="Y448" s="94" t="str">
        <f t="shared" si="119"/>
        <v/>
      </c>
      <c r="Z448" s="94" t="str">
        <f t="shared" si="120"/>
        <v/>
      </c>
      <c r="AA448" s="94" t="str">
        <f t="shared" si="121"/>
        <v/>
      </c>
      <c r="AB448" s="94" t="str">
        <f t="shared" si="122"/>
        <v>{6030001,4}</v>
      </c>
      <c r="AE448" s="94" t="str">
        <f t="shared" si="123"/>
        <v>{2,500}</v>
      </c>
      <c r="AH448" t="str">
        <f t="shared" si="124"/>
        <v>[{61,100},{6030001,4},{2,500}]</v>
      </c>
    </row>
    <row r="449" spans="4:34">
      <c r="D449" s="81" t="s">
        <v>238</v>
      </c>
      <c r="E449" s="84">
        <v>6</v>
      </c>
      <c r="F449" s="84">
        <f>CEILING(F445*1.25,5)</f>
        <v>100</v>
      </c>
      <c r="G449" s="84">
        <v>150</v>
      </c>
      <c r="H449" s="84"/>
      <c r="I449" s="84">
        <v>500</v>
      </c>
      <c r="J449" s="84" cm="1">
        <f t="array" ref="J449">IF($E449&lt;7,_xlfn.XLOOKUP($D449&amp;$E449,$D$155:$D$395&amp;$E$155:$E$395,J$155:J$395),"")</f>
        <v>0</v>
      </c>
      <c r="K449" s="84"/>
      <c r="L449" s="84"/>
      <c r="M449" s="84"/>
      <c r="N449" s="84"/>
      <c r="O449" s="84"/>
      <c r="P449" s="84"/>
      <c r="Q449" s="84">
        <v>0</v>
      </c>
      <c r="R449" s="84">
        <v>0</v>
      </c>
      <c r="S449" s="90">
        <f t="shared" si="125"/>
        <v>45</v>
      </c>
      <c r="T449" s="90" cm="1">
        <f t="array" ref="T449">IFERROR(SUMPRODUCT(F449:M449,$F$154:$M$154)+IFERROR(N449*SUMPRODUCT(O449:R449,$O$154:$R$154),0),"")</f>
        <v>750</v>
      </c>
      <c r="U449" s="94"/>
      <c r="V449" s="94" t="str">
        <f t="shared" si="116"/>
        <v/>
      </c>
      <c r="W449" t="str">
        <f t="shared" si="117"/>
        <v/>
      </c>
      <c r="X449" s="94" t="str">
        <f t="shared" si="118"/>
        <v>{61,100}</v>
      </c>
      <c r="Y449" s="94" t="str">
        <f t="shared" si="119"/>
        <v>{63,150}</v>
      </c>
      <c r="Z449" s="94" t="str">
        <f t="shared" si="120"/>
        <v/>
      </c>
      <c r="AA449" s="94" t="str">
        <f t="shared" si="121"/>
        <v/>
      </c>
      <c r="AB449" s="94" t="str">
        <f t="shared" si="122"/>
        <v/>
      </c>
      <c r="AE449" s="94" t="str">
        <f t="shared" si="123"/>
        <v>{2,500}</v>
      </c>
      <c r="AH449" t="str">
        <f t="shared" si="124"/>
        <v>[{61,100},{63,150},{2,500}]</v>
      </c>
    </row>
    <row r="450" spans="4:34">
      <c r="D450" s="81" t="s">
        <v>238</v>
      </c>
      <c r="E450" s="84">
        <v>7</v>
      </c>
      <c r="F450" s="84">
        <f>CEILING(F446*1.25,5)</f>
        <v>100</v>
      </c>
      <c r="G450" s="84" t="str" cm="1">
        <f t="array" ref="G450">IF($E450&lt;7,_xlfn.XLOOKUP($D450&amp;$E450,$D$155:$D$395&amp;$E$155:$E$395,G$155:G$395),"")</f>
        <v/>
      </c>
      <c r="H450" s="84"/>
      <c r="I450" s="84">
        <v>500</v>
      </c>
      <c r="J450" s="84">
        <v>8</v>
      </c>
      <c r="K450" s="84"/>
      <c r="L450" s="84"/>
      <c r="M450" s="84"/>
      <c r="N450" s="84"/>
      <c r="O450" s="84"/>
      <c r="P450" s="84"/>
      <c r="Q450" s="84" t="s">
        <v>282</v>
      </c>
      <c r="R450" s="84" t="s">
        <v>282</v>
      </c>
      <c r="S450" s="90">
        <f t="shared" si="125"/>
        <v>45</v>
      </c>
      <c r="T450" s="90" cm="1">
        <f t="array" ref="T450">IFERROR(SUMPRODUCT(F450:M450,$F$154:$M$154)+IFERROR(N450*SUMPRODUCT(O450:R450,$O$154:$R$154),0),"")</f>
        <v>2200</v>
      </c>
      <c r="U450" s="94"/>
      <c r="V450" s="94" t="str">
        <f t="shared" si="116"/>
        <v/>
      </c>
      <c r="W450" t="str">
        <f t="shared" si="117"/>
        <v/>
      </c>
      <c r="X450" s="94" t="str">
        <f t="shared" si="118"/>
        <v>{61,100}</v>
      </c>
      <c r="Y450" s="94" t="str">
        <f t="shared" si="119"/>
        <v/>
      </c>
      <c r="Z450" s="94" t="str">
        <f t="shared" si="120"/>
        <v/>
      </c>
      <c r="AA450" s="94" t="str">
        <f t="shared" si="121"/>
        <v/>
      </c>
      <c r="AB450" s="94" t="str">
        <f t="shared" si="122"/>
        <v>{6030001,8}</v>
      </c>
      <c r="AE450" s="94" t="str">
        <f t="shared" si="123"/>
        <v>{2,500}</v>
      </c>
      <c r="AH450" t="str">
        <f t="shared" si="124"/>
        <v>[{61,100},{6030001,8},{2,500}]</v>
      </c>
    </row>
    <row r="451" spans="4:34">
      <c r="D451" s="81" t="s">
        <v>238</v>
      </c>
      <c r="E451" s="84">
        <v>8</v>
      </c>
      <c r="F451" s="84">
        <f>CEILING(F450*1.5,5)</f>
        <v>150</v>
      </c>
      <c r="G451" s="84">
        <f>G447*1.5</f>
        <v>225</v>
      </c>
      <c r="H451" s="84">
        <f>1</f>
        <v>1</v>
      </c>
      <c r="I451" s="84">
        <v>500</v>
      </c>
      <c r="J451" s="84" t="str" cm="1">
        <f t="array" ref="J451">IF($E451&lt;7,_xlfn.XLOOKUP($D451&amp;$E451,$D$155:$D$395&amp;$E$155:$E$395,J$155:J$395),"")</f>
        <v/>
      </c>
      <c r="K451" s="84"/>
      <c r="L451" s="84"/>
      <c r="M451" s="84"/>
      <c r="N451" s="84">
        <v>8</v>
      </c>
      <c r="O451" s="84">
        <v>1</v>
      </c>
      <c r="P451" s="84"/>
      <c r="Q451" s="84" t="s">
        <v>282</v>
      </c>
      <c r="R451" s="84" t="s">
        <v>282</v>
      </c>
      <c r="S451" s="90">
        <f t="shared" si="125"/>
        <v>45</v>
      </c>
      <c r="T451" s="90" cm="1">
        <f t="array" ref="T451">IFERROR(SUMPRODUCT(F451:M451,$F$154:$M$154)+IFERROR(N451*SUMPRODUCT(O451:R451,$O$154:$R$154),0),"")</f>
        <v>2625</v>
      </c>
      <c r="U451" s="94"/>
      <c r="V451" s="94" t="str">
        <f t="shared" ref="V451:V514" si="126">IF(OR(H451="",H451=0),"","{"&amp;H$441&amp;","&amp;H451&amp;"}")</f>
        <v>{62,1}</v>
      </c>
      <c r="W451" t="str">
        <f t="shared" si="117"/>
        <v>{6020001,8}</v>
      </c>
      <c r="X451" s="94" t="str">
        <f t="shared" ref="X451:X514" si="127">IF(OR(F451="",F451=0),"","{"&amp;F$441&amp;","&amp;F451&amp;"}")</f>
        <v>{61,150}</v>
      </c>
      <c r="Y451" s="94" t="str">
        <f t="shared" ref="Y451:Y514" si="128">IF(OR(G451="",G451=0),"","{"&amp;G$441&amp;","&amp;G451&amp;"}")</f>
        <v>{63,225}</v>
      </c>
      <c r="Z451" s="94" t="str">
        <f t="shared" ref="Z451:Z514" si="129">IF(OR(L451="",L451=0),"","{"&amp;L$441&amp;","&amp;L451&amp;"}")</f>
        <v/>
      </c>
      <c r="AA451" s="94" t="str">
        <f t="shared" ref="AA451:AA514" si="130">IF(OR(K451="",K451=0),"","{"&amp;K$441&amp;","&amp;K451&amp;"}")</f>
        <v/>
      </c>
      <c r="AB451" s="94" t="str">
        <f t="shared" ref="AB451:AB514" si="131">IF(OR(J451="",J451=0),"","{"&amp;J$441&amp;","&amp;J451&amp;"}")</f>
        <v/>
      </c>
      <c r="AE451" s="94" t="str">
        <f t="shared" ref="AE451:AE514" si="132">IF(OR(I451="",I451=0),"","{"&amp;I$441&amp;","&amp;I451&amp;"}")</f>
        <v>{2,500}</v>
      </c>
      <c r="AH451" t="str">
        <f t="shared" si="124"/>
        <v>[{62,1},{6020001,8},{61,150},{63,225},{2,500}]</v>
      </c>
    </row>
    <row r="452" spans="4:34">
      <c r="D452" s="81" t="str">
        <f ca="1">IF(E451=8,OFFSET($D$111,MATCH(D451,$D$112:$D$151,0)+1,0),D451)</f>
        <v>精良Ⅱ</v>
      </c>
      <c r="E452" s="84">
        <f>IF(E451=8,1,E451+1)</f>
        <v>1</v>
      </c>
      <c r="F452" s="84">
        <f>F444+5</f>
        <v>85</v>
      </c>
      <c r="G452" s="84"/>
      <c r="H452" s="84"/>
      <c r="I452" s="84">
        <f>I444+25</f>
        <v>525</v>
      </c>
      <c r="J452" s="84">
        <v>2</v>
      </c>
      <c r="K452" s="84"/>
      <c r="L452" s="84"/>
      <c r="M452" s="84"/>
      <c r="N452" s="84">
        <v>0</v>
      </c>
      <c r="O452" s="84">
        <v>0</v>
      </c>
      <c r="P452" s="84">
        <v>0</v>
      </c>
      <c r="Q452" s="84">
        <v>0</v>
      </c>
      <c r="R452" s="84">
        <v>0</v>
      </c>
      <c r="S452" s="90">
        <f ca="1" t="shared" si="125"/>
        <v>55</v>
      </c>
      <c r="T452" s="90" cm="1">
        <f t="array" ref="T452">IFERROR(SUMPRODUCT(F452:M452,$F$154:$M$154)+IFERROR(N452*SUMPRODUCT(O452:R452,$O$154:$R$154),0),"")</f>
        <v>1010</v>
      </c>
      <c r="U452" s="94"/>
      <c r="V452" s="94" t="str">
        <f t="shared" si="126"/>
        <v/>
      </c>
      <c r="W452" t="str">
        <f ca="1" t="shared" si="117"/>
        <v/>
      </c>
      <c r="X452" s="94" t="str">
        <f t="shared" si="127"/>
        <v>{61,85}</v>
      </c>
      <c r="Y452" s="94" t="str">
        <f t="shared" si="128"/>
        <v/>
      </c>
      <c r="Z452" s="94" t="str">
        <f t="shared" si="129"/>
        <v/>
      </c>
      <c r="AA452" s="94" t="str">
        <f t="shared" si="130"/>
        <v/>
      </c>
      <c r="AB452" s="94" t="str">
        <f t="shared" si="131"/>
        <v>{6030001,2}</v>
      </c>
      <c r="AE452" s="94" t="str">
        <f t="shared" si="132"/>
        <v>{2,525}</v>
      </c>
      <c r="AH452" t="str">
        <f ca="1" t="shared" si="124"/>
        <v>[{61,85},{6030001,2},{2,525}]</v>
      </c>
    </row>
    <row r="453" spans="4:34">
      <c r="D453" s="81" t="str">
        <f ca="1" t="shared" ref="D453:D516" si="133">IF(E452=8,OFFSET($D$111,MATCH(D452,$D$112:$D$151,0)+1,0),D452)</f>
        <v>精良Ⅱ</v>
      </c>
      <c r="E453" s="84">
        <f t="shared" ref="E453:E516" si="134">IF(E452=8,1,E452+1)</f>
        <v>2</v>
      </c>
      <c r="F453" s="84">
        <f>F445+5</f>
        <v>85</v>
      </c>
      <c r="G453" s="84">
        <f>G445+5</f>
        <v>105</v>
      </c>
      <c r="H453" s="84"/>
      <c r="I453" s="84">
        <f t="shared" ref="I453:I516" si="135">I445+25</f>
        <v>525</v>
      </c>
      <c r="J453" s="84" cm="1">
        <f ca="1" t="array" ref="J453">IF($E453&lt;7,_xlfn.XLOOKUP($D453&amp;$E453,$D$155:$D$395&amp;$E$155:$E$395,J$155:J$395),"")</f>
        <v>0</v>
      </c>
      <c r="K453" s="84"/>
      <c r="L453" s="84"/>
      <c r="M453" s="84"/>
      <c r="N453" s="84" t="s">
        <v>282</v>
      </c>
      <c r="O453" s="84" t="s">
        <v>282</v>
      </c>
      <c r="P453" s="84" t="s">
        <v>282</v>
      </c>
      <c r="Q453" s="84" t="s">
        <v>282</v>
      </c>
      <c r="R453" s="84" t="s">
        <v>282</v>
      </c>
      <c r="S453" s="90">
        <f ca="1" t="shared" si="125"/>
        <v>55</v>
      </c>
      <c r="T453" s="90" cm="1">
        <f ca="1" t="array" ref="T453">IFERROR(SUMPRODUCT(F453:M453,$F$154:$M$154)+IFERROR(N453*SUMPRODUCT(O453:R453,$O$154:$R$154),0),"")</f>
        <v>715</v>
      </c>
      <c r="U453" s="94"/>
      <c r="V453" s="94" t="str">
        <f t="shared" si="126"/>
        <v/>
      </c>
      <c r="W453" t="str">
        <f ca="1" t="shared" si="117"/>
        <v/>
      </c>
      <c r="X453" s="94" t="str">
        <f t="shared" si="127"/>
        <v>{61,85}</v>
      </c>
      <c r="Y453" s="94" t="str">
        <f t="shared" si="128"/>
        <v>{63,105}</v>
      </c>
      <c r="Z453" s="94" t="str">
        <f t="shared" si="129"/>
        <v/>
      </c>
      <c r="AA453" s="94" t="str">
        <f t="shared" si="130"/>
        <v/>
      </c>
      <c r="AB453" s="94" t="str">
        <f ca="1" t="shared" si="131"/>
        <v/>
      </c>
      <c r="AE453" s="94" t="str">
        <f t="shared" si="132"/>
        <v>{2,525}</v>
      </c>
      <c r="AH453" t="str">
        <f ca="1" t="shared" si="124"/>
        <v>[{61,85},{63,105},{2,525}]</v>
      </c>
    </row>
    <row r="454" spans="4:34">
      <c r="D454" s="81" t="str">
        <f ca="1" t="shared" si="133"/>
        <v>精良Ⅱ</v>
      </c>
      <c r="E454" s="84">
        <f t="shared" si="134"/>
        <v>3</v>
      </c>
      <c r="F454" s="84">
        <f>F446+5</f>
        <v>85</v>
      </c>
      <c r="G454" s="84"/>
      <c r="H454" s="84"/>
      <c r="I454" s="84">
        <f t="shared" si="135"/>
        <v>525</v>
      </c>
      <c r="J454" s="84">
        <v>3</v>
      </c>
      <c r="K454" s="84" cm="1">
        <f ca="1" t="array" ref="K454">IF($E454&lt;7,_xlfn.XLOOKUP($D454&amp;$E454,$D$155:$D$395&amp;$E$155:$E$395,K$155:K$395),"")</f>
        <v>0</v>
      </c>
      <c r="L454" s="84" cm="1">
        <f ca="1" t="array" ref="L454">IF($E454&lt;7,_xlfn.XLOOKUP($D454&amp;$E454,$D$155:$D$395&amp;$E$155:$E$395,L$155:L$395),"")</f>
        <v>0</v>
      </c>
      <c r="M454" s="84" cm="1">
        <f ca="1" t="array" ref="M454">IF($E454&lt;7,_xlfn.XLOOKUP($D454&amp;$E454,$D$155:$D$395&amp;$E$155:$E$395,M$155:M$395),"")</f>
        <v>0</v>
      </c>
      <c r="N454" s="84" t="s">
        <v>282</v>
      </c>
      <c r="O454" s="84" t="s">
        <v>282</v>
      </c>
      <c r="P454" s="84" t="s">
        <v>282</v>
      </c>
      <c r="Q454" s="84" t="s">
        <v>282</v>
      </c>
      <c r="R454" s="84" t="s">
        <v>282</v>
      </c>
      <c r="S454" s="90">
        <f ca="1" t="shared" si="125"/>
        <v>55</v>
      </c>
      <c r="T454" s="90" cm="1">
        <f ca="1" t="array" ref="T454">IFERROR(SUMPRODUCT(F454:M454,$F$154:$M$154)+IFERROR(N454*SUMPRODUCT(O454:R454,$O$154:$R$154),0),"")</f>
        <v>1210</v>
      </c>
      <c r="U454" s="94"/>
      <c r="V454" s="94" t="str">
        <f t="shared" si="126"/>
        <v/>
      </c>
      <c r="W454" t="str">
        <f ca="1" t="shared" si="117"/>
        <v/>
      </c>
      <c r="X454" s="94" t="str">
        <f t="shared" si="127"/>
        <v>{61,85}</v>
      </c>
      <c r="Y454" s="94" t="str">
        <f t="shared" si="128"/>
        <v/>
      </c>
      <c r="Z454" s="94" t="str">
        <f ca="1" t="shared" si="129"/>
        <v/>
      </c>
      <c r="AA454" s="94" t="str">
        <f ca="1" t="shared" si="130"/>
        <v/>
      </c>
      <c r="AB454" s="94" t="str">
        <f t="shared" si="131"/>
        <v>{6030001,3}</v>
      </c>
      <c r="AE454" s="94" t="str">
        <f t="shared" si="132"/>
        <v>{2,525}</v>
      </c>
      <c r="AH454" t="str">
        <f ca="1" t="shared" si="124"/>
        <v>[{61,85},{6030001,3},{2,525}]</v>
      </c>
    </row>
    <row r="455" spans="4:34">
      <c r="D455" s="81" t="str">
        <f ca="1" t="shared" si="133"/>
        <v>精良Ⅱ</v>
      </c>
      <c r="E455" s="84">
        <f t="shared" si="134"/>
        <v>4</v>
      </c>
      <c r="F455" s="84">
        <f>CEILING(F456*1.25,5)</f>
        <v>140</v>
      </c>
      <c r="G455" s="84">
        <f>CEILING(G453*1.5,5)</f>
        <v>160</v>
      </c>
      <c r="H455" s="84"/>
      <c r="I455" s="84">
        <f t="shared" si="135"/>
        <v>525</v>
      </c>
      <c r="J455" s="84" cm="1">
        <f ca="1" t="array" ref="J455">IF($E455&lt;7,_xlfn.XLOOKUP($D455&amp;$E455,$D$155:$D$395&amp;$E$155:$E$395,J$155:J$395),"")</f>
        <v>0</v>
      </c>
      <c r="K455" s="84" cm="1">
        <f ca="1" t="array" ref="K455">IF($E455&lt;7,_xlfn.XLOOKUP($D455&amp;$E455,$D$155:$D$395&amp;$E$155:$E$395,K$155:K$395),"")</f>
        <v>0</v>
      </c>
      <c r="L455" s="84" cm="1">
        <f ca="1" t="array" ref="L455">IF($E455&lt;7,_xlfn.XLOOKUP($D455&amp;$E455,$D$155:$D$395&amp;$E$155:$E$395,L$155:L$395),"")</f>
        <v>0</v>
      </c>
      <c r="M455" s="84" cm="1">
        <f ca="1" t="array" ref="M455">IF($E455&lt;7,_xlfn.XLOOKUP($D455&amp;$E455,$D$155:$D$395&amp;$E$155:$E$395,M$155:M$395),"")</f>
        <v>0</v>
      </c>
      <c r="N455" s="84" t="s">
        <v>282</v>
      </c>
      <c r="O455" s="84" t="s">
        <v>282</v>
      </c>
      <c r="P455" s="84" t="s">
        <v>282</v>
      </c>
      <c r="Q455" s="84" t="s">
        <v>282</v>
      </c>
      <c r="R455" s="84" t="s">
        <v>282</v>
      </c>
      <c r="S455" s="90">
        <f ca="1" t="shared" si="125"/>
        <v>55</v>
      </c>
      <c r="T455" s="90" cm="1">
        <f ca="1" t="array" ref="T455">IFERROR(SUMPRODUCT(F455:M455,$F$154:$M$154)+IFERROR(N455*SUMPRODUCT(O455:R455,$O$154:$R$154),0),"")</f>
        <v>825</v>
      </c>
      <c r="U455" s="94"/>
      <c r="V455" s="94" t="str">
        <f t="shared" si="126"/>
        <v/>
      </c>
      <c r="W455" t="str">
        <f ca="1" t="shared" si="117"/>
        <v/>
      </c>
      <c r="X455" s="94" t="str">
        <f t="shared" si="127"/>
        <v>{61,140}</v>
      </c>
      <c r="Y455" s="94" t="str">
        <f t="shared" si="128"/>
        <v>{63,160}</v>
      </c>
      <c r="Z455" s="94" t="str">
        <f ca="1" t="shared" si="129"/>
        <v/>
      </c>
      <c r="AA455" s="94" t="str">
        <f ca="1" t="shared" si="130"/>
        <v/>
      </c>
      <c r="AB455" s="94" t="str">
        <f ca="1" t="shared" si="131"/>
        <v/>
      </c>
      <c r="AE455" s="94" t="str">
        <f t="shared" si="132"/>
        <v>{2,525}</v>
      </c>
      <c r="AH455" t="str">
        <f ca="1" t="shared" si="124"/>
        <v>[{61,140},{63,160},{2,525}]</v>
      </c>
    </row>
    <row r="456" spans="4:34">
      <c r="D456" s="81" t="str">
        <f ca="1" t="shared" si="133"/>
        <v>精良Ⅱ</v>
      </c>
      <c r="E456" s="84">
        <f t="shared" si="134"/>
        <v>5</v>
      </c>
      <c r="F456" s="84">
        <f>CEILING(F452*1.25,5)</f>
        <v>110</v>
      </c>
      <c r="G456" s="84"/>
      <c r="H456" s="84"/>
      <c r="I456" s="84">
        <f t="shared" si="135"/>
        <v>525</v>
      </c>
      <c r="J456" s="84">
        <v>4</v>
      </c>
      <c r="K456" s="84"/>
      <c r="L456" s="84" cm="1">
        <f ca="1" t="array" ref="L456">IF($E456&lt;7,_xlfn.XLOOKUP($D456&amp;$E456,$D$155:$D$395&amp;$E$155:$E$395,L$155:L$395),"")</f>
        <v>0</v>
      </c>
      <c r="M456" s="84" cm="1">
        <f ca="1" t="array" ref="M456">IF($E456&lt;7,_xlfn.XLOOKUP($D456&amp;$E456,$D$155:$D$395&amp;$E$155:$E$395,M$155:M$395),"")</f>
        <v>0</v>
      </c>
      <c r="N456" s="84" t="s">
        <v>282</v>
      </c>
      <c r="O456" s="84" t="s">
        <v>282</v>
      </c>
      <c r="P456" s="84" t="s">
        <v>282</v>
      </c>
      <c r="Q456" s="84" t="s">
        <v>282</v>
      </c>
      <c r="R456" s="84" t="s">
        <v>282</v>
      </c>
      <c r="S456" s="90">
        <f ca="1" t="shared" si="125"/>
        <v>55</v>
      </c>
      <c r="T456" s="90" cm="1">
        <f ca="1" t="array" ref="T456">IFERROR(SUMPRODUCT(F456:M456,$F$154:$M$154)+IFERROR(N456*SUMPRODUCT(O456:R456,$O$154:$R$154),0),"")</f>
        <v>1435</v>
      </c>
      <c r="U456" s="94"/>
      <c r="V456" s="94" t="str">
        <f t="shared" si="126"/>
        <v/>
      </c>
      <c r="W456" t="str">
        <f ca="1" t="shared" si="117"/>
        <v/>
      </c>
      <c r="X456" s="94" t="str">
        <f t="shared" si="127"/>
        <v>{61,110}</v>
      </c>
      <c r="Y456" s="94" t="str">
        <f t="shared" si="128"/>
        <v/>
      </c>
      <c r="Z456" s="94" t="str">
        <f ca="1" t="shared" si="129"/>
        <v/>
      </c>
      <c r="AA456" s="94" t="str">
        <f t="shared" si="130"/>
        <v/>
      </c>
      <c r="AB456" s="94" t="str">
        <f t="shared" si="131"/>
        <v>{6030001,4}</v>
      </c>
      <c r="AE456" s="94" t="str">
        <f t="shared" si="132"/>
        <v>{2,525}</v>
      </c>
      <c r="AH456" t="str">
        <f ca="1" t="shared" si="124"/>
        <v>[{61,110},{6030001,4},{2,525}]</v>
      </c>
    </row>
    <row r="457" spans="4:34">
      <c r="D457" s="81" t="str">
        <f ca="1" t="shared" si="133"/>
        <v>精良Ⅱ</v>
      </c>
      <c r="E457" s="84">
        <f t="shared" si="134"/>
        <v>6</v>
      </c>
      <c r="F457" s="84">
        <f>CEILING(F453*1.25,5)</f>
        <v>110</v>
      </c>
      <c r="G457" s="84">
        <f>G455</f>
        <v>160</v>
      </c>
      <c r="H457" s="84"/>
      <c r="I457" s="84">
        <f t="shared" si="135"/>
        <v>525</v>
      </c>
      <c r="J457" s="84" cm="1">
        <f ca="1" t="array" ref="J457">IF($E457&lt;7,_xlfn.XLOOKUP($D457&amp;$E457,$D$155:$D$395&amp;$E$155:$E$395,J$155:J$395),"")</f>
        <v>0</v>
      </c>
      <c r="K457" s="84" cm="1">
        <f ca="1" t="array" ref="K457">IF($E457&lt;7,_xlfn.XLOOKUP($D457&amp;$E457,$D$155:$D$395&amp;$E$155:$E$395,K$155:K$395),"")</f>
        <v>0</v>
      </c>
      <c r="L457" s="84" cm="1">
        <f ca="1" t="array" ref="L457">IF($E457&lt;7,_xlfn.XLOOKUP($D457&amp;$E457,$D$155:$D$395&amp;$E$155:$E$395,L$155:L$395),"")</f>
        <v>0</v>
      </c>
      <c r="M457" s="84" cm="1">
        <f ca="1" t="array" ref="M457">IF($E457&lt;7,_xlfn.XLOOKUP($D457&amp;$E457,$D$155:$D$395&amp;$E$155:$E$395,M$155:M$395),"")</f>
        <v>0</v>
      </c>
      <c r="N457" s="84" t="s">
        <v>282</v>
      </c>
      <c r="O457" s="84" t="s">
        <v>282</v>
      </c>
      <c r="P457" s="84" t="s">
        <v>282</v>
      </c>
      <c r="Q457" s="84" t="s">
        <v>282</v>
      </c>
      <c r="R457" s="84" t="s">
        <v>282</v>
      </c>
      <c r="S457" s="90">
        <f ca="1" t="shared" si="125"/>
        <v>55</v>
      </c>
      <c r="T457" s="90" cm="1">
        <f ca="1" t="array" ref="T457">IFERROR(SUMPRODUCT(F457:M457,$F$154:$M$154)+IFERROR(N457*SUMPRODUCT(O457:R457,$O$154:$R$154),0),"")</f>
        <v>795</v>
      </c>
      <c r="U457" s="94"/>
      <c r="V457" s="94" t="str">
        <f t="shared" si="126"/>
        <v/>
      </c>
      <c r="W457" t="str">
        <f ca="1" t="shared" si="117"/>
        <v/>
      </c>
      <c r="X457" s="94" t="str">
        <f t="shared" si="127"/>
        <v>{61,110}</v>
      </c>
      <c r="Y457" s="94" t="str">
        <f t="shared" si="128"/>
        <v>{63,160}</v>
      </c>
      <c r="Z457" s="94" t="str">
        <f ca="1" t="shared" si="129"/>
        <v/>
      </c>
      <c r="AA457" s="94" t="str">
        <f ca="1" t="shared" si="130"/>
        <v/>
      </c>
      <c r="AB457" s="94" t="str">
        <f ca="1" t="shared" si="131"/>
        <v/>
      </c>
      <c r="AE457" s="94" t="str">
        <f t="shared" si="132"/>
        <v>{2,525}</v>
      </c>
      <c r="AH457" t="str">
        <f ca="1" t="shared" si="124"/>
        <v>[{61,110},{63,160},{2,525}]</v>
      </c>
    </row>
    <row r="458" spans="4:34">
      <c r="D458" s="81" t="str">
        <f ca="1" t="shared" si="133"/>
        <v>精良Ⅱ</v>
      </c>
      <c r="E458" s="84">
        <f t="shared" si="134"/>
        <v>7</v>
      </c>
      <c r="F458" s="84">
        <f>CEILING(F454*1.25,5)</f>
        <v>110</v>
      </c>
      <c r="G458" s="84"/>
      <c r="H458" s="84"/>
      <c r="I458" s="84">
        <f t="shared" si="135"/>
        <v>525</v>
      </c>
      <c r="J458" s="84" t="str" cm="1">
        <f ca="1" t="array" ref="J458">IF($E458&lt;7,_xlfn.XLOOKUP($D458&amp;$E458,$D$155:$D$395&amp;$E$155:$E$395,J$155:J$395),"")</f>
        <v/>
      </c>
      <c r="K458" s="84">
        <v>3</v>
      </c>
      <c r="L458" s="84" t="str" cm="1">
        <f ca="1" t="array" ref="L458">IF($E458&lt;7,_xlfn.XLOOKUP($D458&amp;$E458,$D$155:$D$395&amp;$E$155:$E$395,L$155:L$395),"")</f>
        <v/>
      </c>
      <c r="M458" s="84" t="str" cm="1">
        <f ca="1" t="array" ref="M458">IF($E458&lt;7,_xlfn.XLOOKUP($D458&amp;$E458,$D$155:$D$395&amp;$E$155:$E$395,M$155:M$395),"")</f>
        <v/>
      </c>
      <c r="N458" s="84" t="s">
        <v>282</v>
      </c>
      <c r="O458" s="84" t="s">
        <v>282</v>
      </c>
      <c r="P458" s="84" t="s">
        <v>282</v>
      </c>
      <c r="Q458" s="84" t="s">
        <v>282</v>
      </c>
      <c r="R458" s="84" t="s">
        <v>282</v>
      </c>
      <c r="S458" s="90">
        <f ca="1" t="shared" si="125"/>
        <v>55</v>
      </c>
      <c r="T458" s="90" cm="1">
        <f ca="1" t="array" ref="T458">IFERROR(SUMPRODUCT(F458:M458,$F$154:$M$154)+IFERROR(N458*SUMPRODUCT(O458:R458,$O$154:$R$154),0),"")</f>
        <v>1835</v>
      </c>
      <c r="U458" s="94"/>
      <c r="V458" s="94" t="str">
        <f t="shared" si="126"/>
        <v/>
      </c>
      <c r="W458" t="str">
        <f ca="1" t="shared" si="117"/>
        <v/>
      </c>
      <c r="X458" s="94" t="str">
        <f t="shared" si="127"/>
        <v>{61,110}</v>
      </c>
      <c r="Y458" s="94" t="str">
        <f t="shared" si="128"/>
        <v/>
      </c>
      <c r="Z458" s="94" t="str">
        <f ca="1" t="shared" si="129"/>
        <v/>
      </c>
      <c r="AA458" s="94" t="str">
        <f t="shared" si="130"/>
        <v>{6030002,3}</v>
      </c>
      <c r="AB458" s="94" t="str">
        <f ca="1" t="shared" si="131"/>
        <v/>
      </c>
      <c r="AE458" s="94" t="str">
        <f t="shared" si="132"/>
        <v>{2,525}</v>
      </c>
      <c r="AH458" t="str">
        <f ca="1" t="shared" si="124"/>
        <v>[{61,110},{6030002,3},{2,525}]</v>
      </c>
    </row>
    <row r="459" spans="4:34">
      <c r="D459" s="81" t="str">
        <f ca="1" t="shared" si="133"/>
        <v>精良Ⅱ</v>
      </c>
      <c r="E459" s="84">
        <f t="shared" si="134"/>
        <v>8</v>
      </c>
      <c r="F459" s="84">
        <f>CEILING(F458*1.5,5)</f>
        <v>165</v>
      </c>
      <c r="G459" s="84">
        <f>CEILING(G457*1.5,5)</f>
        <v>240</v>
      </c>
      <c r="H459" s="84">
        <f>1</f>
        <v>1</v>
      </c>
      <c r="I459" s="84">
        <f t="shared" si="135"/>
        <v>525</v>
      </c>
      <c r="J459" s="84" t="str" cm="1">
        <f ca="1" t="array" ref="J459">IF($E459&lt;7,_xlfn.XLOOKUP($D459&amp;$E459,$D$155:$D$395&amp;$E$155:$E$395,J$155:J$395),"")</f>
        <v/>
      </c>
      <c r="K459" s="84" t="str" cm="1">
        <f ca="1" t="array" ref="K459">IF($E459&lt;7,_xlfn.XLOOKUP($D459&amp;$E459,$D$155:$D$395&amp;$E$155:$E$395,K$155:K$395),"")</f>
        <v/>
      </c>
      <c r="L459" s="84" t="str" cm="1">
        <f ca="1" t="array" ref="L459">IF($E459&lt;7,_xlfn.XLOOKUP($D459&amp;$E459,$D$155:$D$395&amp;$E$155:$E$395,L$155:L$395),"")</f>
        <v/>
      </c>
      <c r="M459" s="84" t="str" cm="1">
        <f ca="1" t="array" ref="M459">IF($E459&lt;7,_xlfn.XLOOKUP($D459&amp;$E459,$D$155:$D$395&amp;$E$155:$E$395,M$155:M$395),"")</f>
        <v/>
      </c>
      <c r="N459" s="84">
        <v>8</v>
      </c>
      <c r="O459" s="84">
        <v>0.7</v>
      </c>
      <c r="P459" s="84">
        <v>0.3</v>
      </c>
      <c r="Q459" s="84">
        <v>0</v>
      </c>
      <c r="R459" s="84">
        <v>0</v>
      </c>
      <c r="S459" s="90">
        <f ca="1" t="shared" si="125"/>
        <v>55</v>
      </c>
      <c r="T459" s="90" cm="1">
        <f ca="1" t="array" ref="T459">IFERROR(SUMPRODUCT(F459:M459,$F$154:$M$154)+IFERROR(N459*SUMPRODUCT(O459:R459,$O$154:$R$154),0),"")</f>
        <v>3160</v>
      </c>
      <c r="U459" s="94"/>
      <c r="V459" s="94" t="str">
        <f t="shared" si="126"/>
        <v>{62,1}</v>
      </c>
      <c r="W459" t="str">
        <f ca="1" t="shared" si="117"/>
        <v>{6020002,8}</v>
      </c>
      <c r="X459" s="94" t="str">
        <f t="shared" si="127"/>
        <v>{61,165}</v>
      </c>
      <c r="Y459" s="94" t="str">
        <f t="shared" si="128"/>
        <v>{63,240}</v>
      </c>
      <c r="Z459" s="94" t="str">
        <f ca="1" t="shared" si="129"/>
        <v/>
      </c>
      <c r="AA459" s="94" t="str">
        <f ca="1" t="shared" si="130"/>
        <v/>
      </c>
      <c r="AB459" s="94" t="str">
        <f ca="1" t="shared" si="131"/>
        <v/>
      </c>
      <c r="AE459" s="94" t="str">
        <f t="shared" si="132"/>
        <v>{2,525}</v>
      </c>
      <c r="AH459" t="str">
        <f ca="1" t="shared" si="124"/>
        <v>[{62,1},{6020002,8},{61,165},{63,240},{2,525}]</v>
      </c>
    </row>
    <row r="460" spans="4:34">
      <c r="D460" s="81" t="str">
        <f ca="1" t="shared" si="133"/>
        <v>精良Ⅲ</v>
      </c>
      <c r="E460" s="84">
        <f t="shared" si="134"/>
        <v>1</v>
      </c>
      <c r="F460" s="84">
        <f>F452+5</f>
        <v>90</v>
      </c>
      <c r="G460" s="84"/>
      <c r="H460" s="84"/>
      <c r="I460" s="84">
        <f t="shared" si="135"/>
        <v>550</v>
      </c>
      <c r="J460" s="84">
        <v>2</v>
      </c>
      <c r="K460" s="84" cm="1">
        <f ca="1" t="array" ref="K460">IF($E460&lt;7,_xlfn.XLOOKUP($D460&amp;$E460,$D$155:$D$395&amp;$E$155:$E$395,K$155:K$395),"")</f>
        <v>0</v>
      </c>
      <c r="L460" s="84" cm="1">
        <f ca="1" t="array" ref="L460">IF($E460&lt;7,_xlfn.XLOOKUP($D460&amp;$E460,$D$155:$D$395&amp;$E$155:$E$395,L$155:L$395),"")</f>
        <v>0</v>
      </c>
      <c r="M460" s="84" cm="1">
        <f ca="1" t="array" ref="M460">IF($E460&lt;7,_xlfn.XLOOKUP($D460&amp;$E460,$D$155:$D$395&amp;$E$155:$E$395,M$155:M$395),"")</f>
        <v>0</v>
      </c>
      <c r="N460" s="84" t="s">
        <v>282</v>
      </c>
      <c r="O460" s="84" t="s">
        <v>282</v>
      </c>
      <c r="P460" s="84" t="s">
        <v>282</v>
      </c>
      <c r="Q460" s="84" t="s">
        <v>282</v>
      </c>
      <c r="R460" s="84" t="s">
        <v>282</v>
      </c>
      <c r="S460" s="90">
        <f ca="1" t="shared" si="125"/>
        <v>65</v>
      </c>
      <c r="T460" s="90" cm="1">
        <f ca="1" t="array" ref="T460">IFERROR(SUMPRODUCT(F460:M460,$F$154:$M$154)+IFERROR(N460*SUMPRODUCT(O460:R460,$O$154:$R$154),0),"")</f>
        <v>1040</v>
      </c>
      <c r="U460" s="94"/>
      <c r="V460" s="94" t="str">
        <f t="shared" si="126"/>
        <v/>
      </c>
      <c r="W460" t="str">
        <f ca="1" t="shared" si="117"/>
        <v/>
      </c>
      <c r="X460" s="94" t="str">
        <f t="shared" si="127"/>
        <v>{61,90}</v>
      </c>
      <c r="Y460" s="94" t="str">
        <f t="shared" si="128"/>
        <v/>
      </c>
      <c r="Z460" s="94" t="str">
        <f ca="1" t="shared" si="129"/>
        <v/>
      </c>
      <c r="AA460" s="94" t="str">
        <f ca="1" t="shared" si="130"/>
        <v/>
      </c>
      <c r="AB460" s="94" t="str">
        <f t="shared" si="131"/>
        <v>{6030001,2}</v>
      </c>
      <c r="AE460" s="94" t="str">
        <f t="shared" si="132"/>
        <v>{2,550}</v>
      </c>
      <c r="AH460" t="str">
        <f ca="1" t="shared" si="124"/>
        <v>[{61,90},{6030001,2},{2,550}]</v>
      </c>
    </row>
    <row r="461" spans="4:34">
      <c r="D461" s="81" t="str">
        <f ca="1" t="shared" si="133"/>
        <v>精良Ⅲ</v>
      </c>
      <c r="E461" s="84">
        <f t="shared" si="134"/>
        <v>2</v>
      </c>
      <c r="F461" s="84">
        <f>F453+5</f>
        <v>90</v>
      </c>
      <c r="G461" s="84">
        <f>G453+5</f>
        <v>110</v>
      </c>
      <c r="H461" s="84"/>
      <c r="I461" s="84">
        <f t="shared" si="135"/>
        <v>550</v>
      </c>
      <c r="J461" s="84" cm="1">
        <f ca="1" t="array" ref="J461">IF($E461&lt;7,_xlfn.XLOOKUP($D461&amp;$E461,$D$155:$D$395&amp;$E$155:$E$395,J$155:J$395),"")</f>
        <v>0</v>
      </c>
      <c r="K461" s="84" cm="1">
        <f ca="1" t="array" ref="K461">IF($E461&lt;7,_xlfn.XLOOKUP($D461&amp;$E461,$D$155:$D$395&amp;$E$155:$E$395,K$155:K$395),"")</f>
        <v>0</v>
      </c>
      <c r="L461" s="84" cm="1">
        <f ca="1" t="array" ref="L461">IF($E461&lt;7,_xlfn.XLOOKUP($D461&amp;$E461,$D$155:$D$395&amp;$E$155:$E$395,L$155:L$395),"")</f>
        <v>0</v>
      </c>
      <c r="M461" s="84" cm="1">
        <f ca="1" t="array" ref="M461">IF($E461&lt;7,_xlfn.XLOOKUP($D461&amp;$E461,$D$155:$D$395&amp;$E$155:$E$395,M$155:M$395),"")</f>
        <v>0</v>
      </c>
      <c r="N461" s="84" t="s">
        <v>282</v>
      </c>
      <c r="O461" s="84" t="s">
        <v>282</v>
      </c>
      <c r="P461" s="84" t="s">
        <v>282</v>
      </c>
      <c r="Q461" s="84" t="s">
        <v>282</v>
      </c>
      <c r="R461" s="84" t="s">
        <v>282</v>
      </c>
      <c r="S461" s="90">
        <f ca="1" t="shared" si="125"/>
        <v>65</v>
      </c>
      <c r="T461" s="90" cm="1">
        <f ca="1" t="array" ref="T461">IFERROR(SUMPRODUCT(F461:M461,$F$154:$M$154)+IFERROR(N461*SUMPRODUCT(O461:R461,$O$154:$R$154),0),"")</f>
        <v>750</v>
      </c>
      <c r="U461" s="94"/>
      <c r="V461" s="94" t="str">
        <f t="shared" si="126"/>
        <v/>
      </c>
      <c r="W461" t="str">
        <f ca="1" t="shared" si="117"/>
        <v/>
      </c>
      <c r="X461" s="94" t="str">
        <f t="shared" si="127"/>
        <v>{61,90}</v>
      </c>
      <c r="Y461" s="94" t="str">
        <f t="shared" si="128"/>
        <v>{63,110}</v>
      </c>
      <c r="Z461" s="94" t="str">
        <f ca="1" t="shared" si="129"/>
        <v/>
      </c>
      <c r="AA461" s="94" t="str">
        <f ca="1" t="shared" si="130"/>
        <v/>
      </c>
      <c r="AB461" s="94" t="str">
        <f ca="1" t="shared" si="131"/>
        <v/>
      </c>
      <c r="AE461" s="94" t="str">
        <f t="shared" si="132"/>
        <v>{2,550}</v>
      </c>
      <c r="AH461" t="str">
        <f ca="1" t="shared" si="124"/>
        <v>[{61,90},{63,110},{2,550}]</v>
      </c>
    </row>
    <row r="462" spans="4:34">
      <c r="D462" s="81" t="str">
        <f ca="1" t="shared" si="133"/>
        <v>精良Ⅲ</v>
      </c>
      <c r="E462" s="84">
        <f t="shared" si="134"/>
        <v>3</v>
      </c>
      <c r="F462" s="84">
        <f>F454+5</f>
        <v>90</v>
      </c>
      <c r="G462" s="84"/>
      <c r="H462" s="84"/>
      <c r="I462" s="84">
        <f t="shared" si="135"/>
        <v>550</v>
      </c>
      <c r="J462" s="84">
        <v>3</v>
      </c>
      <c r="K462" s="84" cm="1">
        <f ca="1" t="array" ref="K462">IF($E462&lt;7,_xlfn.XLOOKUP($D462&amp;$E462,$D$155:$D$395&amp;$E$155:$E$395,K$155:K$395),"")</f>
        <v>0</v>
      </c>
      <c r="L462" s="84" cm="1">
        <f ca="1" t="array" ref="L462">IF($E462&lt;7,_xlfn.XLOOKUP($D462&amp;$E462,$D$155:$D$395&amp;$E$155:$E$395,L$155:L$395),"")</f>
        <v>0</v>
      </c>
      <c r="M462" s="84" cm="1">
        <f ca="1" t="array" ref="M462">IF($E462&lt;7,_xlfn.XLOOKUP($D462&amp;$E462,$D$155:$D$395&amp;$E$155:$E$395,M$155:M$395),"")</f>
        <v>0</v>
      </c>
      <c r="N462" s="84" t="s">
        <v>282</v>
      </c>
      <c r="O462" s="84" t="s">
        <v>282</v>
      </c>
      <c r="P462" s="84" t="s">
        <v>282</v>
      </c>
      <c r="Q462" s="84" t="s">
        <v>282</v>
      </c>
      <c r="R462" s="84" t="s">
        <v>282</v>
      </c>
      <c r="S462" s="90">
        <f ca="1" t="shared" si="125"/>
        <v>65</v>
      </c>
      <c r="T462" s="90" cm="1">
        <f ca="1" t="array" ref="T462">IFERROR(SUMPRODUCT(F462:M462,$F$154:$M$154)+IFERROR(N462*SUMPRODUCT(O462:R462,$O$154:$R$154),0),"")</f>
        <v>1240</v>
      </c>
      <c r="U462" s="94"/>
      <c r="V462" s="94" t="str">
        <f t="shared" si="126"/>
        <v/>
      </c>
      <c r="W462" t="str">
        <f ca="1" t="shared" si="117"/>
        <v/>
      </c>
      <c r="X462" s="94" t="str">
        <f t="shared" si="127"/>
        <v>{61,90}</v>
      </c>
      <c r="Y462" s="94" t="str">
        <f t="shared" si="128"/>
        <v/>
      </c>
      <c r="Z462" s="94" t="str">
        <f ca="1" t="shared" si="129"/>
        <v/>
      </c>
      <c r="AA462" s="94" t="str">
        <f ca="1" t="shared" si="130"/>
        <v/>
      </c>
      <c r="AB462" s="94" t="str">
        <f t="shared" si="131"/>
        <v>{6030001,3}</v>
      </c>
      <c r="AE462" s="94" t="str">
        <f t="shared" si="132"/>
        <v>{2,550}</v>
      </c>
      <c r="AH462" t="str">
        <f ca="1" t="shared" si="124"/>
        <v>[{61,90},{6030001,3},{2,550}]</v>
      </c>
    </row>
    <row r="463" spans="4:34">
      <c r="D463" s="81" t="str">
        <f ca="1" t="shared" si="133"/>
        <v>精良Ⅲ</v>
      </c>
      <c r="E463" s="84">
        <f t="shared" si="134"/>
        <v>4</v>
      </c>
      <c r="F463" s="84">
        <f>CEILING(F464*1.25,5)</f>
        <v>145</v>
      </c>
      <c r="G463" s="84">
        <f>CEILING(G461*1.5,5)</f>
        <v>165</v>
      </c>
      <c r="H463" s="84"/>
      <c r="I463" s="84">
        <f t="shared" si="135"/>
        <v>550</v>
      </c>
      <c r="J463" s="84" cm="1">
        <f ca="1" t="array" ref="J463">IF($E463&lt;7,_xlfn.XLOOKUP($D463&amp;$E463,$D$155:$D$395&amp;$E$155:$E$395,J$155:J$395),"")</f>
        <v>0</v>
      </c>
      <c r="K463" s="84" cm="1">
        <f ca="1" t="array" ref="K463">IF($E463&lt;7,_xlfn.XLOOKUP($D463&amp;$E463,$D$155:$D$395&amp;$E$155:$E$395,K$155:K$395),"")</f>
        <v>0</v>
      </c>
      <c r="L463" s="84" cm="1">
        <f ca="1" t="array" ref="L463">IF($E463&lt;7,_xlfn.XLOOKUP($D463&amp;$E463,$D$155:$D$395&amp;$E$155:$E$395,L$155:L$395),"")</f>
        <v>0</v>
      </c>
      <c r="M463" s="84" cm="1">
        <f ca="1" t="array" ref="M463">IF($E463&lt;7,_xlfn.XLOOKUP($D463&amp;$E463,$D$155:$D$395&amp;$E$155:$E$395,M$155:M$395),"")</f>
        <v>0</v>
      </c>
      <c r="N463" s="84" t="s">
        <v>282</v>
      </c>
      <c r="O463" s="84" t="s">
        <v>282</v>
      </c>
      <c r="P463" s="84" t="s">
        <v>282</v>
      </c>
      <c r="Q463" s="84" t="s">
        <v>282</v>
      </c>
      <c r="R463" s="84" t="s">
        <v>282</v>
      </c>
      <c r="S463" s="90">
        <f ca="1" t="shared" si="125"/>
        <v>65</v>
      </c>
      <c r="T463" s="90" cm="1">
        <f ca="1" t="array" ref="T463">IFERROR(SUMPRODUCT(F463:M463,$F$154:$M$154)+IFERROR(N463*SUMPRODUCT(O463:R463,$O$154:$R$154),0),"")</f>
        <v>860</v>
      </c>
      <c r="U463" s="94"/>
      <c r="V463" s="94" t="str">
        <f t="shared" si="126"/>
        <v/>
      </c>
      <c r="W463" t="str">
        <f ca="1" t="shared" si="117"/>
        <v/>
      </c>
      <c r="X463" s="94" t="str">
        <f t="shared" si="127"/>
        <v>{61,145}</v>
      </c>
      <c r="Y463" s="94" t="str">
        <f t="shared" si="128"/>
        <v>{63,165}</v>
      </c>
      <c r="Z463" s="94" t="str">
        <f ca="1" t="shared" si="129"/>
        <v/>
      </c>
      <c r="AA463" s="94" t="str">
        <f ca="1" t="shared" si="130"/>
        <v/>
      </c>
      <c r="AB463" s="94" t="str">
        <f ca="1" t="shared" si="131"/>
        <v/>
      </c>
      <c r="AE463" s="94" t="str">
        <f t="shared" si="132"/>
        <v>{2,550}</v>
      </c>
      <c r="AH463" t="str">
        <f ca="1" t="shared" si="124"/>
        <v>[{61,145},{63,165},{2,550}]</v>
      </c>
    </row>
    <row r="464" spans="4:34">
      <c r="D464" s="81" t="str">
        <f ca="1" t="shared" si="133"/>
        <v>精良Ⅲ</v>
      </c>
      <c r="E464" s="84">
        <f t="shared" si="134"/>
        <v>5</v>
      </c>
      <c r="F464" s="84">
        <f>CEILING(F460*1.25,5)</f>
        <v>115</v>
      </c>
      <c r="G464" s="84"/>
      <c r="H464" s="84"/>
      <c r="I464" s="84">
        <f t="shared" si="135"/>
        <v>550</v>
      </c>
      <c r="J464" s="84">
        <v>6</v>
      </c>
      <c r="K464" s="84"/>
      <c r="L464" s="84" cm="1">
        <f ca="1" t="array" ref="L464">IF($E464&lt;7,_xlfn.XLOOKUP($D464&amp;$E464,$D$155:$D$395&amp;$E$155:$E$395,L$155:L$395),"")</f>
        <v>0</v>
      </c>
      <c r="M464" s="84" cm="1">
        <f ca="1" t="array" ref="M464">IF($E464&lt;7,_xlfn.XLOOKUP($D464&amp;$E464,$D$155:$D$395&amp;$E$155:$E$395,M$155:M$395),"")</f>
        <v>0</v>
      </c>
      <c r="N464" s="84" t="s">
        <v>282</v>
      </c>
      <c r="O464" s="84" t="s">
        <v>282</v>
      </c>
      <c r="P464" s="84" t="s">
        <v>282</v>
      </c>
      <c r="Q464" s="84" t="s">
        <v>282</v>
      </c>
      <c r="R464" s="84" t="s">
        <v>282</v>
      </c>
      <c r="S464" s="90">
        <f ca="1" t="shared" si="125"/>
        <v>65</v>
      </c>
      <c r="T464" s="90" cm="1">
        <f ca="1" t="array" ref="T464">IFERROR(SUMPRODUCT(F464:M464,$F$154:$M$154)+IFERROR(N464*SUMPRODUCT(O464:R464,$O$154:$R$154),0),"")</f>
        <v>1865</v>
      </c>
      <c r="U464" s="94"/>
      <c r="V464" s="94" t="str">
        <f t="shared" si="126"/>
        <v/>
      </c>
      <c r="W464" t="str">
        <f ca="1" t="shared" si="117"/>
        <v/>
      </c>
      <c r="X464" s="94" t="str">
        <f t="shared" si="127"/>
        <v>{61,115}</v>
      </c>
      <c r="Y464" s="94" t="str">
        <f t="shared" si="128"/>
        <v/>
      </c>
      <c r="Z464" s="94" t="str">
        <f ca="1" t="shared" si="129"/>
        <v/>
      </c>
      <c r="AA464" s="94" t="str">
        <f t="shared" si="130"/>
        <v/>
      </c>
      <c r="AB464" s="94" t="str">
        <f t="shared" si="131"/>
        <v>{6030001,6}</v>
      </c>
      <c r="AE464" s="94" t="str">
        <f t="shared" si="132"/>
        <v>{2,550}</v>
      </c>
      <c r="AH464" t="str">
        <f ca="1" t="shared" si="124"/>
        <v>[{61,115},{6030001,6},{2,550}]</v>
      </c>
    </row>
    <row r="465" spans="4:34">
      <c r="D465" s="81" t="str">
        <f ca="1" t="shared" si="133"/>
        <v>精良Ⅲ</v>
      </c>
      <c r="E465" s="84">
        <f t="shared" si="134"/>
        <v>6</v>
      </c>
      <c r="F465" s="84">
        <f>CEILING(F461*1.25,5)</f>
        <v>115</v>
      </c>
      <c r="G465" s="84">
        <f>G463</f>
        <v>165</v>
      </c>
      <c r="H465" s="84"/>
      <c r="I465" s="84">
        <f t="shared" si="135"/>
        <v>550</v>
      </c>
      <c r="J465" s="84" cm="1">
        <f ca="1" t="array" ref="J465">IF($E465&lt;7,_xlfn.XLOOKUP($D465&amp;$E465,$D$155:$D$395&amp;$E$155:$E$395,J$155:J$395),"")</f>
        <v>0</v>
      </c>
      <c r="K465" s="84" cm="1">
        <f ca="1" t="array" ref="K465">IF($E465&lt;7,_xlfn.XLOOKUP($D465&amp;$E465,$D$155:$D$395&amp;$E$155:$E$395,K$155:K$395),"")</f>
        <v>0</v>
      </c>
      <c r="L465" s="84" cm="1">
        <f ca="1" t="array" ref="L465">IF($E465&lt;7,_xlfn.XLOOKUP($D465&amp;$E465,$D$155:$D$395&amp;$E$155:$E$395,L$155:L$395),"")</f>
        <v>0</v>
      </c>
      <c r="M465" s="84" cm="1">
        <f ca="1" t="array" ref="M465">IF($E465&lt;7,_xlfn.XLOOKUP($D465&amp;$E465,$D$155:$D$395&amp;$E$155:$E$395,M$155:M$395),"")</f>
        <v>0</v>
      </c>
      <c r="N465" s="84" t="s">
        <v>282</v>
      </c>
      <c r="O465" s="84" t="s">
        <v>282</v>
      </c>
      <c r="P465" s="84" t="s">
        <v>282</v>
      </c>
      <c r="Q465" s="84" t="s">
        <v>282</v>
      </c>
      <c r="R465" s="84" t="s">
        <v>282</v>
      </c>
      <c r="S465" s="90">
        <f ca="1" t="shared" si="125"/>
        <v>65</v>
      </c>
      <c r="T465" s="90" cm="1">
        <f ca="1" t="array" ref="T465">IFERROR(SUMPRODUCT(F465:M465,$F$154:$M$154)+IFERROR(N465*SUMPRODUCT(O465:R465,$O$154:$R$154),0),"")</f>
        <v>830</v>
      </c>
      <c r="U465" s="94"/>
      <c r="V465" s="94" t="str">
        <f t="shared" si="126"/>
        <v/>
      </c>
      <c r="W465" t="str">
        <f ca="1" t="shared" si="117"/>
        <v/>
      </c>
      <c r="X465" s="94" t="str">
        <f t="shared" si="127"/>
        <v>{61,115}</v>
      </c>
      <c r="Y465" s="94" t="str">
        <f t="shared" si="128"/>
        <v>{63,165}</v>
      </c>
      <c r="Z465" s="94" t="str">
        <f ca="1" t="shared" si="129"/>
        <v/>
      </c>
      <c r="AA465" s="94" t="str">
        <f ca="1" t="shared" si="130"/>
        <v/>
      </c>
      <c r="AB465" s="94" t="str">
        <f ca="1" t="shared" si="131"/>
        <v/>
      </c>
      <c r="AE465" s="94" t="str">
        <f t="shared" si="132"/>
        <v>{2,550}</v>
      </c>
      <c r="AH465" t="str">
        <f ca="1" t="shared" si="124"/>
        <v>[{61,115},{63,165},{2,550}]</v>
      </c>
    </row>
    <row r="466" spans="4:34">
      <c r="D466" s="81" t="str">
        <f ca="1" t="shared" si="133"/>
        <v>精良Ⅲ</v>
      </c>
      <c r="E466" s="84">
        <f t="shared" si="134"/>
        <v>7</v>
      </c>
      <c r="F466" s="84">
        <f>CEILING(F462*1.25,5)</f>
        <v>115</v>
      </c>
      <c r="G466" s="84"/>
      <c r="H466" s="84"/>
      <c r="I466" s="84">
        <f t="shared" si="135"/>
        <v>550</v>
      </c>
      <c r="J466" s="84" t="str" cm="1">
        <f ca="1" t="array" ref="J466">IF($E466&lt;7,_xlfn.XLOOKUP($D466&amp;$E466,$D$155:$D$395&amp;$E$155:$E$395,J$155:J$395),"")</f>
        <v/>
      </c>
      <c r="K466" s="84">
        <v>3</v>
      </c>
      <c r="L466" s="84" t="str" cm="1">
        <f ca="1" t="array" ref="L466">IF($E466&lt;7,_xlfn.XLOOKUP($D466&amp;$E466,$D$155:$D$395&amp;$E$155:$E$395,L$155:L$395),"")</f>
        <v/>
      </c>
      <c r="M466" s="84" t="str" cm="1">
        <f ca="1" t="array" ref="M466">IF($E466&lt;7,_xlfn.XLOOKUP($D466&amp;$E466,$D$155:$D$395&amp;$E$155:$E$395,M$155:M$395),"")</f>
        <v/>
      </c>
      <c r="N466" s="84" t="s">
        <v>282</v>
      </c>
      <c r="O466" s="84" t="s">
        <v>282</v>
      </c>
      <c r="P466" s="84" t="s">
        <v>282</v>
      </c>
      <c r="Q466" s="84" t="s">
        <v>282</v>
      </c>
      <c r="R466" s="84" t="s">
        <v>282</v>
      </c>
      <c r="S466" s="90">
        <f ca="1" t="shared" si="125"/>
        <v>65</v>
      </c>
      <c r="T466" s="90" cm="1">
        <f ca="1" t="array" ref="T466">IFERROR(SUMPRODUCT(F466:M466,$F$154:$M$154)+IFERROR(N466*SUMPRODUCT(O466:R466,$O$154:$R$154),0),"")</f>
        <v>1865</v>
      </c>
      <c r="U466" s="94"/>
      <c r="V466" s="94" t="str">
        <f t="shared" si="126"/>
        <v/>
      </c>
      <c r="W466" t="str">
        <f ca="1" t="shared" si="117"/>
        <v/>
      </c>
      <c r="X466" s="94" t="str">
        <f t="shared" si="127"/>
        <v>{61,115}</v>
      </c>
      <c r="Y466" s="94" t="str">
        <f t="shared" si="128"/>
        <v/>
      </c>
      <c r="Z466" s="94" t="str">
        <f ca="1" t="shared" si="129"/>
        <v/>
      </c>
      <c r="AA466" s="94" t="str">
        <f t="shared" si="130"/>
        <v>{6030002,3}</v>
      </c>
      <c r="AB466" s="94" t="str">
        <f ca="1" t="shared" si="131"/>
        <v/>
      </c>
      <c r="AE466" s="94" t="str">
        <f t="shared" si="132"/>
        <v>{2,550}</v>
      </c>
      <c r="AH466" t="str">
        <f ca="1" t="shared" si="124"/>
        <v>[{61,115},{6030002,3},{2,550}]</v>
      </c>
    </row>
    <row r="467" spans="4:34">
      <c r="D467" s="81" t="str">
        <f ca="1" t="shared" si="133"/>
        <v>精良Ⅲ</v>
      </c>
      <c r="E467" s="84">
        <f t="shared" si="134"/>
        <v>8</v>
      </c>
      <c r="F467" s="84">
        <f>CEILING(F466*1.5,5)</f>
        <v>175</v>
      </c>
      <c r="G467" s="84">
        <f>CEILING(G465*1.5,5)</f>
        <v>250</v>
      </c>
      <c r="H467" s="84">
        <f>1</f>
        <v>1</v>
      </c>
      <c r="I467" s="84">
        <f t="shared" si="135"/>
        <v>550</v>
      </c>
      <c r="J467" s="84" t="str" cm="1">
        <f ca="1" t="array" ref="J467">IF($E467&lt;7,_xlfn.XLOOKUP($D467&amp;$E467,$D$155:$D$395&amp;$E$155:$E$395,J$155:J$395),"")</f>
        <v/>
      </c>
      <c r="K467" s="84" t="str" cm="1">
        <f ca="1" t="array" ref="K467">IF($E467&lt;7,_xlfn.XLOOKUP($D467&amp;$E467,$D$155:$D$395&amp;$E$155:$E$395,K$155:K$395),"")</f>
        <v/>
      </c>
      <c r="L467" s="84" t="str" cm="1">
        <f ca="1" t="array" ref="L467">IF($E467&lt;7,_xlfn.XLOOKUP($D467&amp;$E467,$D$155:$D$395&amp;$E$155:$E$395,L$155:L$395),"")</f>
        <v/>
      </c>
      <c r="M467" s="84" t="str" cm="1">
        <f ca="1" t="array" ref="M467">IF($E467&lt;7,_xlfn.XLOOKUP($D467&amp;$E467,$D$155:$D$395&amp;$E$155:$E$395,M$155:M$395),"")</f>
        <v/>
      </c>
      <c r="N467" s="84">
        <v>8</v>
      </c>
      <c r="O467" s="84">
        <v>0.5</v>
      </c>
      <c r="P467" s="84">
        <v>0.5</v>
      </c>
      <c r="Q467" s="84">
        <v>0</v>
      </c>
      <c r="R467" s="84">
        <v>0</v>
      </c>
      <c r="S467" s="90">
        <f ca="1" t="shared" si="125"/>
        <v>65</v>
      </c>
      <c r="T467" s="90" cm="1">
        <f ca="1" t="array" ref="T467">IFERROR(SUMPRODUCT(F467:M467,$F$154:$M$154)+IFERROR(N467*SUMPRODUCT(O467:R467,$O$154:$R$154),0),"")</f>
        <v>3525</v>
      </c>
      <c r="U467" s="94"/>
      <c r="V467" s="94" t="str">
        <f t="shared" si="126"/>
        <v>{62,1}</v>
      </c>
      <c r="W467" t="str">
        <f ca="1" t="shared" si="117"/>
        <v>{6020003,8}</v>
      </c>
      <c r="X467" s="94" t="str">
        <f t="shared" si="127"/>
        <v>{61,175}</v>
      </c>
      <c r="Y467" s="94" t="str">
        <f t="shared" si="128"/>
        <v>{63,250}</v>
      </c>
      <c r="Z467" s="94" t="str">
        <f ca="1" t="shared" si="129"/>
        <v/>
      </c>
      <c r="AA467" s="94" t="str">
        <f ca="1" t="shared" si="130"/>
        <v/>
      </c>
      <c r="AB467" s="94" t="str">
        <f ca="1" t="shared" si="131"/>
        <v/>
      </c>
      <c r="AE467" s="94" t="str">
        <f t="shared" si="132"/>
        <v>{2,550}</v>
      </c>
      <c r="AH467" t="str">
        <f ca="1" t="shared" si="124"/>
        <v>[{62,1},{6020003,8},{61,175},{63,250},{2,550}]</v>
      </c>
    </row>
    <row r="468" spans="4:34">
      <c r="D468" s="81" t="str">
        <f ca="1" t="shared" si="133"/>
        <v>精良Ⅳ</v>
      </c>
      <c r="E468" s="84">
        <f t="shared" si="134"/>
        <v>1</v>
      </c>
      <c r="F468" s="84">
        <f>F460+5</f>
        <v>95</v>
      </c>
      <c r="G468" s="84"/>
      <c r="H468" s="84"/>
      <c r="I468" s="84">
        <f t="shared" si="135"/>
        <v>575</v>
      </c>
      <c r="J468" s="84">
        <v>2</v>
      </c>
      <c r="K468" s="84" cm="1">
        <f ca="1" t="array" ref="K468">IF($E468&lt;7,_xlfn.XLOOKUP($D468&amp;$E468,$D$155:$D$395&amp;$E$155:$E$395,K$155:K$395),"")</f>
        <v>0</v>
      </c>
      <c r="L468" s="84" cm="1">
        <f ca="1" t="array" ref="L468">IF($E468&lt;7,_xlfn.XLOOKUP($D468&amp;$E468,$D$155:$D$395&amp;$E$155:$E$395,L$155:L$395),"")</f>
        <v>0</v>
      </c>
      <c r="M468" s="84" cm="1">
        <f ca="1" t="array" ref="M468">IF($E468&lt;7,_xlfn.XLOOKUP($D468&amp;$E468,$D$155:$D$395&amp;$E$155:$E$395,M$155:M$395),"")</f>
        <v>0</v>
      </c>
      <c r="N468" s="84" t="s">
        <v>282</v>
      </c>
      <c r="O468" s="84" t="s">
        <v>282</v>
      </c>
      <c r="P468" s="84" t="s">
        <v>282</v>
      </c>
      <c r="Q468" s="84" t="s">
        <v>282</v>
      </c>
      <c r="R468" s="84" t="s">
        <v>282</v>
      </c>
      <c r="S468" s="90">
        <f ca="1" t="shared" si="125"/>
        <v>75</v>
      </c>
      <c r="T468" s="90" cm="1">
        <f ca="1" t="array" ref="T468">IFERROR(SUMPRODUCT(F468:M468,$F$154:$M$154)+IFERROR(N468*SUMPRODUCT(O468:R468,$O$154:$R$154),0),"")</f>
        <v>1070</v>
      </c>
      <c r="U468" s="94"/>
      <c r="V468" s="94" t="str">
        <f t="shared" si="126"/>
        <v/>
      </c>
      <c r="W468" t="str">
        <f ca="1" t="shared" si="117"/>
        <v/>
      </c>
      <c r="X468" s="94" t="str">
        <f t="shared" si="127"/>
        <v>{61,95}</v>
      </c>
      <c r="Y468" s="94" t="str">
        <f t="shared" si="128"/>
        <v/>
      </c>
      <c r="Z468" s="94" t="str">
        <f ca="1" t="shared" si="129"/>
        <v/>
      </c>
      <c r="AA468" s="94" t="str">
        <f ca="1" t="shared" si="130"/>
        <v/>
      </c>
      <c r="AB468" s="94" t="str">
        <f t="shared" si="131"/>
        <v>{6030001,2}</v>
      </c>
      <c r="AE468" s="94" t="str">
        <f t="shared" si="132"/>
        <v>{2,575}</v>
      </c>
      <c r="AH468" t="str">
        <f ca="1" t="shared" si="124"/>
        <v>[{61,95},{6030001,2},{2,575}]</v>
      </c>
    </row>
    <row r="469" spans="4:34">
      <c r="D469" s="81" t="str">
        <f ca="1" t="shared" si="133"/>
        <v>精良Ⅳ</v>
      </c>
      <c r="E469" s="84">
        <f t="shared" si="134"/>
        <v>2</v>
      </c>
      <c r="F469" s="84">
        <f>F461+5</f>
        <v>95</v>
      </c>
      <c r="G469" s="84">
        <f>G461+5</f>
        <v>115</v>
      </c>
      <c r="H469" s="84"/>
      <c r="I469" s="84">
        <f t="shared" si="135"/>
        <v>575</v>
      </c>
      <c r="J469" s="84" cm="1">
        <f ca="1" t="array" ref="J469">IF($E469&lt;7,_xlfn.XLOOKUP($D469&amp;$E469,$D$155:$D$395&amp;$E$155:$E$395,J$155:J$395),"")</f>
        <v>0</v>
      </c>
      <c r="K469" s="84" cm="1">
        <f ca="1" t="array" ref="K469">IF($E469&lt;7,_xlfn.XLOOKUP($D469&amp;$E469,$D$155:$D$395&amp;$E$155:$E$395,K$155:K$395),"")</f>
        <v>0</v>
      </c>
      <c r="L469" s="84" cm="1">
        <f ca="1" t="array" ref="L469">IF($E469&lt;7,_xlfn.XLOOKUP($D469&amp;$E469,$D$155:$D$395&amp;$E$155:$E$395,L$155:L$395),"")</f>
        <v>0</v>
      </c>
      <c r="M469" s="84" cm="1">
        <f ca="1" t="array" ref="M469">IF($E469&lt;7,_xlfn.XLOOKUP($D469&amp;$E469,$D$155:$D$395&amp;$E$155:$E$395,M$155:M$395),"")</f>
        <v>0</v>
      </c>
      <c r="N469" s="84" t="s">
        <v>282</v>
      </c>
      <c r="O469" s="84" t="s">
        <v>282</v>
      </c>
      <c r="P469" s="84" t="s">
        <v>282</v>
      </c>
      <c r="Q469" s="84" t="s">
        <v>282</v>
      </c>
      <c r="R469" s="84" t="s">
        <v>282</v>
      </c>
      <c r="S469" s="90">
        <f ca="1" t="shared" si="125"/>
        <v>75</v>
      </c>
      <c r="T469" s="90" cm="1">
        <f ca="1" t="array" ref="T469">IFERROR(SUMPRODUCT(F469:M469,$F$154:$M$154)+IFERROR(N469*SUMPRODUCT(O469:R469,$O$154:$R$154),0),"")</f>
        <v>785</v>
      </c>
      <c r="U469" s="94"/>
      <c r="V469" s="94" t="str">
        <f t="shared" si="126"/>
        <v/>
      </c>
      <c r="W469" t="str">
        <f ca="1" t="shared" si="117"/>
        <v/>
      </c>
      <c r="X469" s="94" t="str">
        <f t="shared" si="127"/>
        <v>{61,95}</v>
      </c>
      <c r="Y469" s="94" t="str">
        <f t="shared" si="128"/>
        <v>{63,115}</v>
      </c>
      <c r="Z469" s="94" t="str">
        <f ca="1" t="shared" si="129"/>
        <v/>
      </c>
      <c r="AA469" s="94" t="str">
        <f ca="1" t="shared" si="130"/>
        <v/>
      </c>
      <c r="AB469" s="94" t="str">
        <f ca="1" t="shared" si="131"/>
        <v/>
      </c>
      <c r="AE469" s="94" t="str">
        <f t="shared" si="132"/>
        <v>{2,575}</v>
      </c>
      <c r="AH469" t="str">
        <f ca="1" t="shared" si="124"/>
        <v>[{61,95},{63,115},{2,575}]</v>
      </c>
    </row>
    <row r="470" spans="4:34">
      <c r="D470" s="81" t="str">
        <f ca="1" t="shared" si="133"/>
        <v>精良Ⅳ</v>
      </c>
      <c r="E470" s="84">
        <f t="shared" si="134"/>
        <v>3</v>
      </c>
      <c r="F470" s="84">
        <f>F462+5</f>
        <v>95</v>
      </c>
      <c r="G470" s="84"/>
      <c r="H470" s="84"/>
      <c r="I470" s="84">
        <f t="shared" si="135"/>
        <v>575</v>
      </c>
      <c r="J470" s="84">
        <v>3</v>
      </c>
      <c r="K470" s="84" cm="1">
        <f ca="1" t="array" ref="K470">IF($E470&lt;7,_xlfn.XLOOKUP($D470&amp;$E470,$D$155:$D$395&amp;$E$155:$E$395,K$155:K$395),"")</f>
        <v>0</v>
      </c>
      <c r="L470" s="84" cm="1">
        <f ca="1" t="array" ref="L470">IF($E470&lt;7,_xlfn.XLOOKUP($D470&amp;$E470,$D$155:$D$395&amp;$E$155:$E$395,L$155:L$395),"")</f>
        <v>0</v>
      </c>
      <c r="M470" s="84" cm="1">
        <f ca="1" t="array" ref="M470">IF($E470&lt;7,_xlfn.XLOOKUP($D470&amp;$E470,$D$155:$D$395&amp;$E$155:$E$395,M$155:M$395),"")</f>
        <v>0</v>
      </c>
      <c r="N470" s="84" t="s">
        <v>282</v>
      </c>
      <c r="O470" s="84" t="s">
        <v>282</v>
      </c>
      <c r="P470" s="84" t="s">
        <v>282</v>
      </c>
      <c r="Q470" s="84" t="s">
        <v>282</v>
      </c>
      <c r="R470" s="84" t="s">
        <v>282</v>
      </c>
      <c r="S470" s="90">
        <f ca="1" t="shared" si="125"/>
        <v>75</v>
      </c>
      <c r="T470" s="90" cm="1">
        <f ca="1" t="array" ref="T470">IFERROR(SUMPRODUCT(F470:M470,$F$154:$M$154)+IFERROR(N470*SUMPRODUCT(O470:R470,$O$154:$R$154),0),"")</f>
        <v>1270</v>
      </c>
      <c r="U470" s="94"/>
      <c r="V470" s="94" t="str">
        <f t="shared" si="126"/>
        <v/>
      </c>
      <c r="W470" t="str">
        <f ca="1" t="shared" si="117"/>
        <v/>
      </c>
      <c r="X470" s="94" t="str">
        <f t="shared" si="127"/>
        <v>{61,95}</v>
      </c>
      <c r="Y470" s="94" t="str">
        <f t="shared" si="128"/>
        <v/>
      </c>
      <c r="Z470" s="94" t="str">
        <f ca="1" t="shared" si="129"/>
        <v/>
      </c>
      <c r="AA470" s="94" t="str">
        <f ca="1" t="shared" si="130"/>
        <v/>
      </c>
      <c r="AB470" s="94" t="str">
        <f t="shared" si="131"/>
        <v>{6030001,3}</v>
      </c>
      <c r="AE470" s="94" t="str">
        <f t="shared" si="132"/>
        <v>{2,575}</v>
      </c>
      <c r="AH470" t="str">
        <f ca="1" t="shared" si="124"/>
        <v>[{61,95},{6030001,3},{2,575}]</v>
      </c>
    </row>
    <row r="471" spans="4:34">
      <c r="D471" s="81" t="str">
        <f ca="1" t="shared" si="133"/>
        <v>精良Ⅳ</v>
      </c>
      <c r="E471" s="84">
        <f t="shared" si="134"/>
        <v>4</v>
      </c>
      <c r="F471" s="84">
        <f>CEILING(F472*1.25,5)</f>
        <v>150</v>
      </c>
      <c r="G471" s="84">
        <f>CEILING(G469*1.5,5)</f>
        <v>175</v>
      </c>
      <c r="H471" s="84"/>
      <c r="I471" s="84">
        <f t="shared" si="135"/>
        <v>575</v>
      </c>
      <c r="J471" s="84" cm="1">
        <f ca="1" t="array" ref="J471">IF($E471&lt;7,_xlfn.XLOOKUP($D471&amp;$E471,$D$155:$D$395&amp;$E$155:$E$395,J$155:J$395),"")</f>
        <v>0</v>
      </c>
      <c r="K471" s="84" cm="1">
        <f ca="1" t="array" ref="K471">IF($E471&lt;7,_xlfn.XLOOKUP($D471&amp;$E471,$D$155:$D$395&amp;$E$155:$E$395,K$155:K$395),"")</f>
        <v>0</v>
      </c>
      <c r="L471" s="84" cm="1">
        <f ca="1" t="array" ref="L471">IF($E471&lt;7,_xlfn.XLOOKUP($D471&amp;$E471,$D$155:$D$395&amp;$E$155:$E$395,L$155:L$395),"")</f>
        <v>0</v>
      </c>
      <c r="M471" s="84" cm="1">
        <f ca="1" t="array" ref="M471">IF($E471&lt;7,_xlfn.XLOOKUP($D471&amp;$E471,$D$155:$D$395&amp;$E$155:$E$395,M$155:M$395),"")</f>
        <v>0</v>
      </c>
      <c r="N471" s="84" t="s">
        <v>282</v>
      </c>
      <c r="O471" s="84" t="s">
        <v>282</v>
      </c>
      <c r="P471" s="84" t="s">
        <v>282</v>
      </c>
      <c r="Q471" s="84" t="s">
        <v>282</v>
      </c>
      <c r="R471" s="84" t="s">
        <v>282</v>
      </c>
      <c r="S471" s="90">
        <f ca="1" t="shared" si="125"/>
        <v>75</v>
      </c>
      <c r="T471" s="90" cm="1">
        <f ca="1" t="array" ref="T471">IFERROR(SUMPRODUCT(F471:M471,$F$154:$M$154)+IFERROR(N471*SUMPRODUCT(O471:R471,$O$154:$R$154),0),"")</f>
        <v>900</v>
      </c>
      <c r="U471" s="94"/>
      <c r="V471" s="94" t="str">
        <f t="shared" si="126"/>
        <v/>
      </c>
      <c r="W471" t="str">
        <f ca="1" t="shared" si="117"/>
        <v/>
      </c>
      <c r="X471" s="94" t="str">
        <f t="shared" si="127"/>
        <v>{61,150}</v>
      </c>
      <c r="Y471" s="94" t="str">
        <f t="shared" si="128"/>
        <v>{63,175}</v>
      </c>
      <c r="Z471" s="94" t="str">
        <f ca="1" t="shared" si="129"/>
        <v/>
      </c>
      <c r="AA471" s="94" t="str">
        <f ca="1" t="shared" si="130"/>
        <v/>
      </c>
      <c r="AB471" s="94" t="str">
        <f ca="1" t="shared" si="131"/>
        <v/>
      </c>
      <c r="AE471" s="94" t="str">
        <f t="shared" si="132"/>
        <v>{2,575}</v>
      </c>
      <c r="AH471" t="str">
        <f ca="1" t="shared" si="124"/>
        <v>[{61,150},{63,175},{2,575}]</v>
      </c>
    </row>
    <row r="472" spans="4:34">
      <c r="D472" s="81" t="str">
        <f ca="1" t="shared" si="133"/>
        <v>精良Ⅳ</v>
      </c>
      <c r="E472" s="84">
        <f t="shared" si="134"/>
        <v>5</v>
      </c>
      <c r="F472" s="84">
        <f>CEILING(F468*1.25,5)</f>
        <v>120</v>
      </c>
      <c r="G472" s="84"/>
      <c r="H472" s="84"/>
      <c r="I472" s="84">
        <f t="shared" si="135"/>
        <v>575</v>
      </c>
      <c r="J472" s="84">
        <v>6</v>
      </c>
      <c r="K472" s="84"/>
      <c r="L472" s="84" cm="1">
        <f ca="1" t="array" ref="L472">IF($E472&lt;7,_xlfn.XLOOKUP($D472&amp;$E472,$D$155:$D$395&amp;$E$155:$E$395,L$155:L$395),"")</f>
        <v>0</v>
      </c>
      <c r="M472" s="84" cm="1">
        <f ca="1" t="array" ref="M472">IF($E472&lt;7,_xlfn.XLOOKUP($D472&amp;$E472,$D$155:$D$395&amp;$E$155:$E$395,M$155:M$395),"")</f>
        <v>0</v>
      </c>
      <c r="N472" s="84" t="s">
        <v>282</v>
      </c>
      <c r="O472" s="84" t="s">
        <v>282</v>
      </c>
      <c r="P472" s="84" t="s">
        <v>282</v>
      </c>
      <c r="Q472" s="84" t="s">
        <v>282</v>
      </c>
      <c r="R472" s="84" t="s">
        <v>282</v>
      </c>
      <c r="S472" s="90">
        <f ca="1" t="shared" si="125"/>
        <v>75</v>
      </c>
      <c r="T472" s="90" cm="1">
        <f ca="1" t="array" ref="T472">IFERROR(SUMPRODUCT(F472:M472,$F$154:$M$154)+IFERROR(N472*SUMPRODUCT(O472:R472,$O$154:$R$154),0),"")</f>
        <v>1895</v>
      </c>
      <c r="U472" s="94"/>
      <c r="V472" s="94" t="str">
        <f t="shared" si="126"/>
        <v/>
      </c>
      <c r="W472" t="str">
        <f ca="1" t="shared" si="117"/>
        <v/>
      </c>
      <c r="X472" s="94" t="str">
        <f t="shared" si="127"/>
        <v>{61,120}</v>
      </c>
      <c r="Y472" s="94" t="str">
        <f t="shared" si="128"/>
        <v/>
      </c>
      <c r="Z472" s="94" t="str">
        <f ca="1" t="shared" si="129"/>
        <v/>
      </c>
      <c r="AA472" s="94" t="str">
        <f t="shared" si="130"/>
        <v/>
      </c>
      <c r="AB472" s="94" t="str">
        <f t="shared" si="131"/>
        <v>{6030001,6}</v>
      </c>
      <c r="AE472" s="94" t="str">
        <f t="shared" si="132"/>
        <v>{2,575}</v>
      </c>
      <c r="AH472" t="str">
        <f ca="1" t="shared" si="124"/>
        <v>[{61,120},{6030001,6},{2,575}]</v>
      </c>
    </row>
    <row r="473" spans="4:34">
      <c r="D473" s="81" t="str">
        <f ca="1" t="shared" si="133"/>
        <v>精良Ⅳ</v>
      </c>
      <c r="E473" s="84">
        <f t="shared" si="134"/>
        <v>6</v>
      </c>
      <c r="F473" s="84">
        <f>CEILING(F469*1.25,5)</f>
        <v>120</v>
      </c>
      <c r="G473" s="84">
        <f>G471</f>
        <v>175</v>
      </c>
      <c r="H473" s="84"/>
      <c r="I473" s="84">
        <f t="shared" si="135"/>
        <v>575</v>
      </c>
      <c r="J473" s="84" cm="1">
        <f ca="1" t="array" ref="J473">IF($E473&lt;7,_xlfn.XLOOKUP($D473&amp;$E473,$D$155:$D$395&amp;$E$155:$E$395,J$155:J$395),"")</f>
        <v>0</v>
      </c>
      <c r="K473" s="84" cm="1">
        <f ca="1" t="array" ref="K473">IF($E473&lt;7,_xlfn.XLOOKUP($D473&amp;$E473,$D$155:$D$395&amp;$E$155:$E$395,K$155:K$395),"")</f>
        <v>0</v>
      </c>
      <c r="L473" s="84" cm="1">
        <f ca="1" t="array" ref="L473">IF($E473&lt;7,_xlfn.XLOOKUP($D473&amp;$E473,$D$155:$D$395&amp;$E$155:$E$395,L$155:L$395),"")</f>
        <v>0</v>
      </c>
      <c r="M473" s="84" cm="1">
        <f ca="1" t="array" ref="M473">IF($E473&lt;7,_xlfn.XLOOKUP($D473&amp;$E473,$D$155:$D$395&amp;$E$155:$E$395,M$155:M$395),"")</f>
        <v>0</v>
      </c>
      <c r="N473" s="84" t="s">
        <v>282</v>
      </c>
      <c r="O473" s="84" t="s">
        <v>282</v>
      </c>
      <c r="P473" s="84" t="s">
        <v>282</v>
      </c>
      <c r="Q473" s="84" t="s">
        <v>282</v>
      </c>
      <c r="R473" s="84" t="s">
        <v>282</v>
      </c>
      <c r="S473" s="90">
        <f ca="1" t="shared" si="125"/>
        <v>75</v>
      </c>
      <c r="T473" s="90" cm="1">
        <f ca="1" t="array" ref="T473">IFERROR(SUMPRODUCT(F473:M473,$F$154:$M$154)+IFERROR(N473*SUMPRODUCT(O473:R473,$O$154:$R$154),0),"")</f>
        <v>870</v>
      </c>
      <c r="U473" s="94"/>
      <c r="V473" s="94" t="str">
        <f t="shared" si="126"/>
        <v/>
      </c>
      <c r="W473" t="str">
        <f ca="1" t="shared" si="117"/>
        <v/>
      </c>
      <c r="X473" s="94" t="str">
        <f t="shared" si="127"/>
        <v>{61,120}</v>
      </c>
      <c r="Y473" s="94" t="str">
        <f t="shared" si="128"/>
        <v>{63,175}</v>
      </c>
      <c r="Z473" s="94" t="str">
        <f ca="1" t="shared" si="129"/>
        <v/>
      </c>
      <c r="AA473" s="94" t="str">
        <f ca="1" t="shared" si="130"/>
        <v/>
      </c>
      <c r="AB473" s="94" t="str">
        <f ca="1" t="shared" si="131"/>
        <v/>
      </c>
      <c r="AE473" s="94" t="str">
        <f t="shared" si="132"/>
        <v>{2,575}</v>
      </c>
      <c r="AH473" t="str">
        <f ca="1" t="shared" si="124"/>
        <v>[{61,120},{63,175},{2,575}]</v>
      </c>
    </row>
    <row r="474" spans="4:34">
      <c r="D474" s="81" t="str">
        <f ca="1" t="shared" si="133"/>
        <v>精良Ⅳ</v>
      </c>
      <c r="E474" s="84">
        <f t="shared" si="134"/>
        <v>7</v>
      </c>
      <c r="F474" s="84">
        <f>CEILING(F470*1.25,5)</f>
        <v>120</v>
      </c>
      <c r="G474" s="84"/>
      <c r="H474" s="84"/>
      <c r="I474" s="84">
        <f t="shared" si="135"/>
        <v>575</v>
      </c>
      <c r="J474" s="84" t="str" cm="1">
        <f ca="1" t="array" ref="J474">IF($E474&lt;7,_xlfn.XLOOKUP($D474&amp;$E474,$D$155:$D$395&amp;$E$155:$E$395,J$155:J$395),"")</f>
        <v/>
      </c>
      <c r="K474" s="84">
        <v>4</v>
      </c>
      <c r="L474" s="84" t="str" cm="1">
        <f ca="1" t="array" ref="L474">IF($E474&lt;7,_xlfn.XLOOKUP($D474&amp;$E474,$D$155:$D$395&amp;$E$155:$E$395,L$155:L$395),"")</f>
        <v/>
      </c>
      <c r="M474" s="84" t="str" cm="1">
        <f ca="1" t="array" ref="M474">IF($E474&lt;7,_xlfn.XLOOKUP($D474&amp;$E474,$D$155:$D$395&amp;$E$155:$E$395,M$155:M$395),"")</f>
        <v/>
      </c>
      <c r="N474" s="84" t="s">
        <v>282</v>
      </c>
      <c r="O474" s="84" t="s">
        <v>282</v>
      </c>
      <c r="P474" s="84" t="s">
        <v>282</v>
      </c>
      <c r="Q474" s="84" t="s">
        <v>282</v>
      </c>
      <c r="R474" s="84" t="s">
        <v>282</v>
      </c>
      <c r="S474" s="90">
        <f ca="1" t="shared" si="125"/>
        <v>75</v>
      </c>
      <c r="T474" s="90" cm="1">
        <f ca="1" t="array" ref="T474">IFERROR(SUMPRODUCT(F474:M474,$F$154:$M$154)+IFERROR(N474*SUMPRODUCT(O474:R474,$O$154:$R$154),0),"")</f>
        <v>2295</v>
      </c>
      <c r="U474" s="94"/>
      <c r="V474" s="94" t="str">
        <f t="shared" si="126"/>
        <v/>
      </c>
      <c r="W474" t="str">
        <f ca="1" t="shared" si="117"/>
        <v/>
      </c>
      <c r="X474" s="94" t="str">
        <f t="shared" si="127"/>
        <v>{61,120}</v>
      </c>
      <c r="Y474" s="94" t="str">
        <f t="shared" si="128"/>
        <v/>
      </c>
      <c r="Z474" s="94" t="str">
        <f ca="1" t="shared" si="129"/>
        <v/>
      </c>
      <c r="AA474" s="94" t="str">
        <f t="shared" si="130"/>
        <v>{6030002,4}</v>
      </c>
      <c r="AB474" s="94" t="str">
        <f ca="1" t="shared" si="131"/>
        <v/>
      </c>
      <c r="AE474" s="94" t="str">
        <f t="shared" si="132"/>
        <v>{2,575}</v>
      </c>
      <c r="AH474" t="str">
        <f ca="1" t="shared" si="124"/>
        <v>[{61,120},{6030002,4},{2,575}]</v>
      </c>
    </row>
    <row r="475" spans="4:34">
      <c r="D475" s="81" t="str">
        <f ca="1" t="shared" si="133"/>
        <v>精良Ⅳ</v>
      </c>
      <c r="E475" s="84">
        <f t="shared" si="134"/>
        <v>8</v>
      </c>
      <c r="F475" s="84">
        <f>CEILING(F474*1.5,5)</f>
        <v>180</v>
      </c>
      <c r="G475" s="84">
        <f>CEILING(G473*1.5,5)</f>
        <v>265</v>
      </c>
      <c r="H475" s="84">
        <f>1</f>
        <v>1</v>
      </c>
      <c r="I475" s="84">
        <f t="shared" si="135"/>
        <v>575</v>
      </c>
      <c r="J475" s="84" t="str" cm="1">
        <f ca="1" t="array" ref="J475">IF($E475&lt;7,_xlfn.XLOOKUP($D475&amp;$E475,$D$155:$D$395&amp;$E$155:$E$395,J$155:J$395),"")</f>
        <v/>
      </c>
      <c r="K475" s="84" t="str" cm="1">
        <f ca="1" t="array" ref="K475">IF($E475&lt;7,_xlfn.XLOOKUP($D475&amp;$E475,$D$155:$D$395&amp;$E$155:$E$395,K$155:K$395),"")</f>
        <v/>
      </c>
      <c r="L475" s="84" t="str" cm="1">
        <f ca="1" t="array" ref="L475">IF($E475&lt;7,_xlfn.XLOOKUP($D475&amp;$E475,$D$155:$D$395&amp;$E$155:$E$395,L$155:L$395),"")</f>
        <v/>
      </c>
      <c r="M475" s="84" t="str" cm="1">
        <f ca="1" t="array" ref="M475">IF($E475&lt;7,_xlfn.XLOOKUP($D475&amp;$E475,$D$155:$D$395&amp;$E$155:$E$395,M$155:M$395),"")</f>
        <v/>
      </c>
      <c r="N475" s="84">
        <v>8</v>
      </c>
      <c r="O475" s="84">
        <v>0.3</v>
      </c>
      <c r="P475" s="84">
        <v>0.7</v>
      </c>
      <c r="Q475" s="84">
        <v>0</v>
      </c>
      <c r="R475" s="84">
        <v>0</v>
      </c>
      <c r="S475" s="90">
        <f ca="1" t="shared" si="125"/>
        <v>75</v>
      </c>
      <c r="T475" s="90" cm="1">
        <f ca="1" t="array" ref="T475">IFERROR(SUMPRODUCT(F475:M475,$F$154:$M$154)+IFERROR(N475*SUMPRODUCT(O475:R475,$O$154:$R$154),0),"")</f>
        <v>3890</v>
      </c>
      <c r="U475" s="94"/>
      <c r="V475" s="94" t="str">
        <f t="shared" si="126"/>
        <v>{62,1}</v>
      </c>
      <c r="W475" t="str">
        <f ca="1" t="shared" si="117"/>
        <v>{6020004,8}</v>
      </c>
      <c r="X475" s="94" t="str">
        <f t="shared" si="127"/>
        <v>{61,180}</v>
      </c>
      <c r="Y475" s="94" t="str">
        <f t="shared" si="128"/>
        <v>{63,265}</v>
      </c>
      <c r="Z475" s="94" t="str">
        <f ca="1" t="shared" si="129"/>
        <v/>
      </c>
      <c r="AA475" s="94" t="str">
        <f ca="1" t="shared" si="130"/>
        <v/>
      </c>
      <c r="AB475" s="94" t="str">
        <f ca="1" t="shared" si="131"/>
        <v/>
      </c>
      <c r="AE475" s="94" t="str">
        <f t="shared" si="132"/>
        <v>{2,575}</v>
      </c>
      <c r="AH475" t="str">
        <f ca="1" t="shared" si="124"/>
        <v>[{62,1},{6020004,8},{61,180},{63,265},{2,575}]</v>
      </c>
    </row>
    <row r="476" spans="4:34">
      <c r="D476" s="81" t="str">
        <f ca="1" t="shared" si="133"/>
        <v>精良Ⅴ</v>
      </c>
      <c r="E476" s="84">
        <f t="shared" si="134"/>
        <v>1</v>
      </c>
      <c r="F476" s="84">
        <f>F468+5</f>
        <v>100</v>
      </c>
      <c r="G476" s="84"/>
      <c r="H476" s="84"/>
      <c r="I476" s="84">
        <f t="shared" si="135"/>
        <v>600</v>
      </c>
      <c r="J476" s="84">
        <v>3</v>
      </c>
      <c r="K476" s="84" cm="1">
        <f ca="1" t="array" ref="K476">IF($E476&lt;7,_xlfn.XLOOKUP($D476&amp;$E476,$D$155:$D$395&amp;$E$155:$E$395,K$155:K$395),"")</f>
        <v>0</v>
      </c>
      <c r="L476" s="84" cm="1">
        <f ca="1" t="array" ref="L476">IF($E476&lt;7,_xlfn.XLOOKUP($D476&amp;$E476,$D$155:$D$395&amp;$E$155:$E$395,L$155:L$395),"")</f>
        <v>0</v>
      </c>
      <c r="M476" s="84" cm="1">
        <f ca="1" t="array" ref="M476">IF($E476&lt;7,_xlfn.XLOOKUP($D476&amp;$E476,$D$155:$D$395&amp;$E$155:$E$395,M$155:M$395),"")</f>
        <v>0</v>
      </c>
      <c r="N476" s="84" t="s">
        <v>282</v>
      </c>
      <c r="O476" s="84" t="s">
        <v>282</v>
      </c>
      <c r="P476" s="84" t="s">
        <v>282</v>
      </c>
      <c r="Q476" s="84" t="s">
        <v>282</v>
      </c>
      <c r="R476" s="84" t="s">
        <v>282</v>
      </c>
      <c r="S476" s="90">
        <f ca="1" t="shared" si="125"/>
        <v>85</v>
      </c>
      <c r="T476" s="90" cm="1">
        <f ca="1" t="array" ref="T476">IFERROR(SUMPRODUCT(F476:M476,$F$154:$M$154)+IFERROR(N476*SUMPRODUCT(O476:R476,$O$154:$R$154),0),"")</f>
        <v>1300</v>
      </c>
      <c r="U476" s="94"/>
      <c r="V476" s="94" t="str">
        <f t="shared" si="126"/>
        <v/>
      </c>
      <c r="W476" t="str">
        <f ca="1" t="shared" si="117"/>
        <v/>
      </c>
      <c r="X476" s="94" t="str">
        <f t="shared" si="127"/>
        <v>{61,100}</v>
      </c>
      <c r="Y476" s="94" t="str">
        <f t="shared" si="128"/>
        <v/>
      </c>
      <c r="Z476" s="94" t="str">
        <f ca="1" t="shared" si="129"/>
        <v/>
      </c>
      <c r="AA476" s="94" t="str">
        <f ca="1" t="shared" si="130"/>
        <v/>
      </c>
      <c r="AB476" s="94" t="str">
        <f t="shared" si="131"/>
        <v>{6030001,3}</v>
      </c>
      <c r="AE476" s="94" t="str">
        <f t="shared" si="132"/>
        <v>{2,600}</v>
      </c>
      <c r="AH476" t="str">
        <f ca="1" t="shared" si="124"/>
        <v>[{61,100},{6030001,3},{2,600}]</v>
      </c>
    </row>
    <row r="477" spans="4:34">
      <c r="D477" s="81" t="str">
        <f ca="1" t="shared" si="133"/>
        <v>精良Ⅴ</v>
      </c>
      <c r="E477" s="84">
        <f t="shared" si="134"/>
        <v>2</v>
      </c>
      <c r="F477" s="84">
        <f>F469+5</f>
        <v>100</v>
      </c>
      <c r="G477" s="84">
        <f>G469+5</f>
        <v>120</v>
      </c>
      <c r="H477" s="84"/>
      <c r="I477" s="84">
        <f t="shared" si="135"/>
        <v>600</v>
      </c>
      <c r="J477" s="84" cm="1">
        <f ca="1" t="array" ref="J477">IF($E477&lt;7,_xlfn.XLOOKUP($D477&amp;$E477,$D$155:$D$395&amp;$E$155:$E$395,J$155:J$395),"")</f>
        <v>0</v>
      </c>
      <c r="K477" s="84" cm="1">
        <f ca="1" t="array" ref="K477">IF($E477&lt;7,_xlfn.XLOOKUP($D477&amp;$E477,$D$155:$D$395&amp;$E$155:$E$395,K$155:K$395),"")</f>
        <v>0</v>
      </c>
      <c r="L477" s="84" cm="1">
        <f ca="1" t="array" ref="L477">IF($E477&lt;7,_xlfn.XLOOKUP($D477&amp;$E477,$D$155:$D$395&amp;$E$155:$E$395,L$155:L$395),"")</f>
        <v>0</v>
      </c>
      <c r="M477" s="84" cm="1">
        <f ca="1" t="array" ref="M477">IF($E477&lt;7,_xlfn.XLOOKUP($D477&amp;$E477,$D$155:$D$395&amp;$E$155:$E$395,M$155:M$395),"")</f>
        <v>0</v>
      </c>
      <c r="N477" s="84" t="s">
        <v>282</v>
      </c>
      <c r="O477" s="84" t="s">
        <v>282</v>
      </c>
      <c r="P477" s="84" t="s">
        <v>282</v>
      </c>
      <c r="Q477" s="84" t="s">
        <v>282</v>
      </c>
      <c r="R477" s="84" t="s">
        <v>282</v>
      </c>
      <c r="S477" s="90">
        <f ca="1" t="shared" si="125"/>
        <v>85</v>
      </c>
      <c r="T477" s="90" cm="1">
        <f ca="1" t="array" ref="T477">IFERROR(SUMPRODUCT(F477:M477,$F$154:$M$154)+IFERROR(N477*SUMPRODUCT(O477:R477,$O$154:$R$154),0),"")</f>
        <v>820</v>
      </c>
      <c r="U477" s="94"/>
      <c r="V477" s="94" t="str">
        <f t="shared" si="126"/>
        <v/>
      </c>
      <c r="W477" t="str">
        <f ca="1" t="shared" si="117"/>
        <v/>
      </c>
      <c r="X477" s="94" t="str">
        <f t="shared" si="127"/>
        <v>{61,100}</v>
      </c>
      <c r="Y477" s="94" t="str">
        <f t="shared" si="128"/>
        <v>{63,120}</v>
      </c>
      <c r="Z477" s="94" t="str">
        <f ca="1" t="shared" si="129"/>
        <v/>
      </c>
      <c r="AA477" s="94" t="str">
        <f ca="1" t="shared" si="130"/>
        <v/>
      </c>
      <c r="AB477" s="94" t="str">
        <f ca="1" t="shared" si="131"/>
        <v/>
      </c>
      <c r="AE477" s="94" t="str">
        <f t="shared" si="132"/>
        <v>{2,600}</v>
      </c>
      <c r="AH477" t="str">
        <f ca="1" t="shared" si="124"/>
        <v>[{61,100},{63,120},{2,600}]</v>
      </c>
    </row>
    <row r="478" spans="4:34">
      <c r="D478" s="81" t="str">
        <f ca="1" t="shared" si="133"/>
        <v>精良Ⅴ</v>
      </c>
      <c r="E478" s="84">
        <f t="shared" si="134"/>
        <v>3</v>
      </c>
      <c r="F478" s="84">
        <f>F470+5</f>
        <v>100</v>
      </c>
      <c r="G478" s="84"/>
      <c r="H478" s="84"/>
      <c r="I478" s="84">
        <f t="shared" si="135"/>
        <v>600</v>
      </c>
      <c r="J478" s="84">
        <v>4</v>
      </c>
      <c r="K478" s="84" cm="1">
        <f ca="1" t="array" ref="K478">IF($E478&lt;7,_xlfn.XLOOKUP($D478&amp;$E478,$D$155:$D$395&amp;$E$155:$E$395,K$155:K$395),"")</f>
        <v>0</v>
      </c>
      <c r="L478" s="84" cm="1">
        <f ca="1" t="array" ref="L478">IF($E478&lt;7,_xlfn.XLOOKUP($D478&amp;$E478,$D$155:$D$395&amp;$E$155:$E$395,L$155:L$395),"")</f>
        <v>0</v>
      </c>
      <c r="M478" s="84" cm="1">
        <f ca="1" t="array" ref="M478">IF($E478&lt;7,_xlfn.XLOOKUP($D478&amp;$E478,$D$155:$D$395&amp;$E$155:$E$395,M$155:M$395),"")</f>
        <v>0</v>
      </c>
      <c r="N478" s="84" t="s">
        <v>282</v>
      </c>
      <c r="O478" s="84" t="s">
        <v>282</v>
      </c>
      <c r="P478" s="84" t="s">
        <v>282</v>
      </c>
      <c r="Q478" s="84" t="s">
        <v>282</v>
      </c>
      <c r="R478" s="84" t="s">
        <v>282</v>
      </c>
      <c r="S478" s="90">
        <f ca="1" t="shared" si="125"/>
        <v>85</v>
      </c>
      <c r="T478" s="90" cm="1">
        <f ca="1" t="array" ref="T478">IFERROR(SUMPRODUCT(F478:M478,$F$154:$M$154)+IFERROR(N478*SUMPRODUCT(O478:R478,$O$154:$R$154),0),"")</f>
        <v>1500</v>
      </c>
      <c r="U478" s="94"/>
      <c r="V478" s="94" t="str">
        <f t="shared" si="126"/>
        <v/>
      </c>
      <c r="W478" t="str">
        <f ca="1" t="shared" si="117"/>
        <v/>
      </c>
      <c r="X478" s="94" t="str">
        <f t="shared" si="127"/>
        <v>{61,100}</v>
      </c>
      <c r="Y478" s="94" t="str">
        <f t="shared" si="128"/>
        <v/>
      </c>
      <c r="Z478" s="94" t="str">
        <f ca="1" t="shared" si="129"/>
        <v/>
      </c>
      <c r="AA478" s="94" t="str">
        <f ca="1" t="shared" si="130"/>
        <v/>
      </c>
      <c r="AB478" s="94" t="str">
        <f t="shared" si="131"/>
        <v>{6030001,4}</v>
      </c>
      <c r="AE478" s="94" t="str">
        <f t="shared" si="132"/>
        <v>{2,600}</v>
      </c>
      <c r="AH478" t="str">
        <f ca="1" t="shared" si="124"/>
        <v>[{61,100},{6030001,4},{2,600}]</v>
      </c>
    </row>
    <row r="479" spans="4:34">
      <c r="D479" s="81" t="str">
        <f ca="1" t="shared" si="133"/>
        <v>精良Ⅴ</v>
      </c>
      <c r="E479" s="84">
        <f t="shared" si="134"/>
        <v>4</v>
      </c>
      <c r="F479" s="84">
        <f>CEILING(F480*1.25,5)</f>
        <v>160</v>
      </c>
      <c r="G479" s="84">
        <f>CEILING(G477*1.5,5)</f>
        <v>180</v>
      </c>
      <c r="H479" s="84"/>
      <c r="I479" s="84">
        <f t="shared" si="135"/>
        <v>600</v>
      </c>
      <c r="J479" s="84" cm="1">
        <f ca="1" t="array" ref="J479">IF($E479&lt;7,_xlfn.XLOOKUP($D479&amp;$E479,$D$155:$D$395&amp;$E$155:$E$395,J$155:J$395),"")</f>
        <v>0</v>
      </c>
      <c r="K479" s="84" cm="1">
        <f ca="1" t="array" ref="K479">IF($E479&lt;7,_xlfn.XLOOKUP($D479&amp;$E479,$D$155:$D$395&amp;$E$155:$E$395,K$155:K$395),"")</f>
        <v>0</v>
      </c>
      <c r="L479" s="84" cm="1">
        <f ca="1" t="array" ref="L479">IF($E479&lt;7,_xlfn.XLOOKUP($D479&amp;$E479,$D$155:$D$395&amp;$E$155:$E$395,L$155:L$395),"")</f>
        <v>0</v>
      </c>
      <c r="M479" s="84" cm="1">
        <f ca="1" t="array" ref="M479">IF($E479&lt;7,_xlfn.XLOOKUP($D479&amp;$E479,$D$155:$D$395&amp;$E$155:$E$395,M$155:M$395),"")</f>
        <v>0</v>
      </c>
      <c r="N479" s="84" t="s">
        <v>282</v>
      </c>
      <c r="O479" s="84" t="s">
        <v>282</v>
      </c>
      <c r="P479" s="84" t="s">
        <v>282</v>
      </c>
      <c r="Q479" s="84" t="s">
        <v>282</v>
      </c>
      <c r="R479" s="84" t="s">
        <v>282</v>
      </c>
      <c r="S479" s="90">
        <f ca="1" t="shared" si="125"/>
        <v>85</v>
      </c>
      <c r="T479" s="90" cm="1">
        <f ca="1" t="array" ref="T479">IFERROR(SUMPRODUCT(F479:M479,$F$154:$M$154)+IFERROR(N479*SUMPRODUCT(O479:R479,$O$154:$R$154),0),"")</f>
        <v>940</v>
      </c>
      <c r="U479" s="94"/>
      <c r="V479" s="94" t="str">
        <f t="shared" si="126"/>
        <v/>
      </c>
      <c r="W479" t="str">
        <f ca="1" t="shared" si="117"/>
        <v/>
      </c>
      <c r="X479" s="94" t="str">
        <f t="shared" si="127"/>
        <v>{61,160}</v>
      </c>
      <c r="Y479" s="94" t="str">
        <f t="shared" si="128"/>
        <v>{63,180}</v>
      </c>
      <c r="Z479" s="94" t="str">
        <f ca="1" t="shared" si="129"/>
        <v/>
      </c>
      <c r="AA479" s="94" t="str">
        <f ca="1" t="shared" si="130"/>
        <v/>
      </c>
      <c r="AB479" s="94" t="str">
        <f ca="1" t="shared" si="131"/>
        <v/>
      </c>
      <c r="AE479" s="94" t="str">
        <f t="shared" si="132"/>
        <v>{2,600}</v>
      </c>
      <c r="AH479" t="str">
        <f ca="1" t="shared" si="124"/>
        <v>[{61,160},{63,180},{2,600}]</v>
      </c>
    </row>
    <row r="480" spans="4:34">
      <c r="D480" s="81" t="str">
        <f ca="1" t="shared" si="133"/>
        <v>精良Ⅴ</v>
      </c>
      <c r="E480" s="84">
        <f t="shared" si="134"/>
        <v>5</v>
      </c>
      <c r="F480" s="84">
        <f>CEILING(F476*1.25,5)</f>
        <v>125</v>
      </c>
      <c r="G480" s="84"/>
      <c r="H480" s="84"/>
      <c r="I480" s="84">
        <f t="shared" si="135"/>
        <v>600</v>
      </c>
      <c r="J480" s="84">
        <v>6</v>
      </c>
      <c r="K480" s="84"/>
      <c r="L480" s="84" cm="1">
        <f ca="1" t="array" ref="L480">IF($E480&lt;7,_xlfn.XLOOKUP($D480&amp;$E480,$D$155:$D$395&amp;$E$155:$E$395,L$155:L$395),"")</f>
        <v>0</v>
      </c>
      <c r="M480" s="84" cm="1">
        <f ca="1" t="array" ref="M480">IF($E480&lt;7,_xlfn.XLOOKUP($D480&amp;$E480,$D$155:$D$395&amp;$E$155:$E$395,M$155:M$395),"")</f>
        <v>0</v>
      </c>
      <c r="N480" s="84" t="s">
        <v>282</v>
      </c>
      <c r="O480" s="84" t="s">
        <v>282</v>
      </c>
      <c r="P480" s="84" t="s">
        <v>282</v>
      </c>
      <c r="Q480" s="84" t="s">
        <v>282</v>
      </c>
      <c r="R480" s="84" t="s">
        <v>282</v>
      </c>
      <c r="S480" s="90">
        <f ca="1" t="shared" si="125"/>
        <v>85</v>
      </c>
      <c r="T480" s="90" cm="1">
        <f ca="1" t="array" ref="T480">IFERROR(SUMPRODUCT(F480:M480,$F$154:$M$154)+IFERROR(N480*SUMPRODUCT(O480:R480,$O$154:$R$154),0),"")</f>
        <v>1925</v>
      </c>
      <c r="U480" s="94"/>
      <c r="V480" s="94" t="str">
        <f t="shared" si="126"/>
        <v/>
      </c>
      <c r="W480" t="str">
        <f ca="1" t="shared" si="117"/>
        <v/>
      </c>
      <c r="X480" s="94" t="str">
        <f t="shared" si="127"/>
        <v>{61,125}</v>
      </c>
      <c r="Y480" s="94" t="str">
        <f t="shared" si="128"/>
        <v/>
      </c>
      <c r="Z480" s="94" t="str">
        <f ca="1" t="shared" si="129"/>
        <v/>
      </c>
      <c r="AA480" s="94" t="str">
        <f t="shared" si="130"/>
        <v/>
      </c>
      <c r="AB480" s="94" t="str">
        <f t="shared" si="131"/>
        <v>{6030001,6}</v>
      </c>
      <c r="AE480" s="94" t="str">
        <f t="shared" si="132"/>
        <v>{2,600}</v>
      </c>
      <c r="AH480" t="str">
        <f ca="1" t="shared" si="124"/>
        <v>[{61,125},{6030001,6},{2,600}]</v>
      </c>
    </row>
    <row r="481" spans="4:34">
      <c r="D481" s="81" t="str">
        <f ca="1" t="shared" si="133"/>
        <v>精良Ⅴ</v>
      </c>
      <c r="E481" s="84">
        <f t="shared" si="134"/>
        <v>6</v>
      </c>
      <c r="F481" s="84">
        <f>CEILING(F477*1.25,5)</f>
        <v>125</v>
      </c>
      <c r="G481" s="84">
        <f>G479</f>
        <v>180</v>
      </c>
      <c r="H481" s="84"/>
      <c r="I481" s="84">
        <f t="shared" si="135"/>
        <v>600</v>
      </c>
      <c r="J481" s="84" cm="1">
        <f ca="1" t="array" ref="J481">IF($E481&lt;7,_xlfn.XLOOKUP($D481&amp;$E481,$D$155:$D$395&amp;$E$155:$E$395,J$155:J$395),"")</f>
        <v>0</v>
      </c>
      <c r="K481" s="84" cm="1">
        <f ca="1" t="array" ref="K481">IF($E481&lt;7,_xlfn.XLOOKUP($D481&amp;$E481,$D$155:$D$395&amp;$E$155:$E$395,K$155:K$395),"")</f>
        <v>0</v>
      </c>
      <c r="L481" s="84" cm="1">
        <f ca="1" t="array" ref="L481">IF($E481&lt;7,_xlfn.XLOOKUP($D481&amp;$E481,$D$155:$D$395&amp;$E$155:$E$395,L$155:L$395),"")</f>
        <v>0</v>
      </c>
      <c r="M481" s="84" cm="1">
        <f ca="1" t="array" ref="M481">IF($E481&lt;7,_xlfn.XLOOKUP($D481&amp;$E481,$D$155:$D$395&amp;$E$155:$E$395,M$155:M$395),"")</f>
        <v>0</v>
      </c>
      <c r="N481" s="84" t="s">
        <v>282</v>
      </c>
      <c r="O481" s="84" t="s">
        <v>282</v>
      </c>
      <c r="P481" s="84" t="s">
        <v>282</v>
      </c>
      <c r="Q481" s="84" t="s">
        <v>282</v>
      </c>
      <c r="R481" s="84" t="s">
        <v>282</v>
      </c>
      <c r="S481" s="90">
        <f ca="1" t="shared" si="125"/>
        <v>85</v>
      </c>
      <c r="T481" s="90" cm="1">
        <f ca="1" t="array" ref="T481">IFERROR(SUMPRODUCT(F481:M481,$F$154:$M$154)+IFERROR(N481*SUMPRODUCT(O481:R481,$O$154:$R$154),0),"")</f>
        <v>905</v>
      </c>
      <c r="U481" s="94"/>
      <c r="V481" s="94" t="str">
        <f t="shared" si="126"/>
        <v/>
      </c>
      <c r="W481" t="str">
        <f ca="1" t="shared" si="117"/>
        <v/>
      </c>
      <c r="X481" s="94" t="str">
        <f t="shared" si="127"/>
        <v>{61,125}</v>
      </c>
      <c r="Y481" s="94" t="str">
        <f t="shared" si="128"/>
        <v>{63,180}</v>
      </c>
      <c r="Z481" s="94" t="str">
        <f ca="1" t="shared" si="129"/>
        <v/>
      </c>
      <c r="AA481" s="94" t="str">
        <f ca="1" t="shared" si="130"/>
        <v/>
      </c>
      <c r="AB481" s="94" t="str">
        <f ca="1" t="shared" si="131"/>
        <v/>
      </c>
      <c r="AE481" s="94" t="str">
        <f t="shared" si="132"/>
        <v>{2,600}</v>
      </c>
      <c r="AH481" t="str">
        <f ca="1" t="shared" si="124"/>
        <v>[{61,125},{63,180},{2,600}]</v>
      </c>
    </row>
    <row r="482" spans="4:34">
      <c r="D482" s="81" t="str">
        <f ca="1" t="shared" si="133"/>
        <v>精良Ⅴ</v>
      </c>
      <c r="E482" s="84">
        <f t="shared" si="134"/>
        <v>7</v>
      </c>
      <c r="F482" s="84">
        <f>CEILING(F478*1.25,5)</f>
        <v>125</v>
      </c>
      <c r="G482" s="84"/>
      <c r="H482" s="84"/>
      <c r="I482" s="84">
        <f t="shared" si="135"/>
        <v>600</v>
      </c>
      <c r="J482" s="84" t="str" cm="1">
        <f ca="1" t="array" ref="J482">IF($E482&lt;7,_xlfn.XLOOKUP($D482&amp;$E482,$D$155:$D$395&amp;$E$155:$E$395,J$155:J$395),"")</f>
        <v/>
      </c>
      <c r="K482" s="84">
        <v>4</v>
      </c>
      <c r="L482" s="84" t="str" cm="1">
        <f ca="1" t="array" ref="L482">IF($E482&lt;7,_xlfn.XLOOKUP($D482&amp;$E482,$D$155:$D$395&amp;$E$155:$E$395,L$155:L$395),"")</f>
        <v/>
      </c>
      <c r="M482" s="84" t="str" cm="1">
        <f ca="1" t="array" ref="M482">IF($E482&lt;7,_xlfn.XLOOKUP($D482&amp;$E482,$D$155:$D$395&amp;$E$155:$E$395,M$155:M$395),"")</f>
        <v/>
      </c>
      <c r="N482" s="84" t="s">
        <v>282</v>
      </c>
      <c r="O482" s="84" t="s">
        <v>282</v>
      </c>
      <c r="P482" s="84" t="s">
        <v>282</v>
      </c>
      <c r="Q482" s="84" t="s">
        <v>282</v>
      </c>
      <c r="R482" s="84" t="s">
        <v>282</v>
      </c>
      <c r="S482" s="90">
        <f ca="1" t="shared" si="125"/>
        <v>85</v>
      </c>
      <c r="T482" s="90" cm="1">
        <f ca="1" t="array" ref="T482">IFERROR(SUMPRODUCT(F482:M482,$F$154:$M$154)+IFERROR(N482*SUMPRODUCT(O482:R482,$O$154:$R$154),0),"")</f>
        <v>2325</v>
      </c>
      <c r="U482" s="94"/>
      <c r="V482" s="94" t="str">
        <f t="shared" si="126"/>
        <v/>
      </c>
      <c r="W482" t="str">
        <f ca="1" t="shared" si="117"/>
        <v/>
      </c>
      <c r="X482" s="94" t="str">
        <f t="shared" si="127"/>
        <v>{61,125}</v>
      </c>
      <c r="Y482" s="94" t="str">
        <f t="shared" si="128"/>
        <v/>
      </c>
      <c r="Z482" s="94" t="str">
        <f ca="1" t="shared" si="129"/>
        <v/>
      </c>
      <c r="AA482" s="94" t="str">
        <f t="shared" si="130"/>
        <v>{6030002,4}</v>
      </c>
      <c r="AB482" s="94" t="str">
        <f ca="1" t="shared" si="131"/>
        <v/>
      </c>
      <c r="AE482" s="94" t="str">
        <f t="shared" si="132"/>
        <v>{2,600}</v>
      </c>
      <c r="AH482" t="str">
        <f ca="1" t="shared" si="124"/>
        <v>[{61,125},{6030002,4},{2,600}]</v>
      </c>
    </row>
    <row r="483" spans="4:34">
      <c r="D483" s="81" t="str">
        <f ca="1" t="shared" si="133"/>
        <v>精良Ⅴ</v>
      </c>
      <c r="E483" s="84">
        <f t="shared" si="134"/>
        <v>8</v>
      </c>
      <c r="F483" s="84">
        <f>CEILING(F482*1.5,5)</f>
        <v>190</v>
      </c>
      <c r="G483" s="84">
        <f>CEILING(G481*1.5,5)</f>
        <v>270</v>
      </c>
      <c r="H483" s="84">
        <f>1</f>
        <v>1</v>
      </c>
      <c r="I483" s="84">
        <f t="shared" si="135"/>
        <v>600</v>
      </c>
      <c r="J483" s="84" t="str" cm="1">
        <f ca="1" t="array" ref="J483">IF($E483&lt;7,_xlfn.XLOOKUP($D483&amp;$E483,$D$155:$D$395&amp;$E$155:$E$395,J$155:J$395),"")</f>
        <v/>
      </c>
      <c r="K483" s="84" t="str" cm="1">
        <f ca="1" t="array" ref="K483">IF($E483&lt;7,_xlfn.XLOOKUP($D483&amp;$E483,$D$155:$D$395&amp;$E$155:$E$395,K$155:K$395),"")</f>
        <v/>
      </c>
      <c r="L483" s="84" t="str" cm="1">
        <f ca="1" t="array" ref="L483">IF($E483&lt;7,_xlfn.XLOOKUP($D483&amp;$E483,$D$155:$D$395&amp;$E$155:$E$395,L$155:L$395),"")</f>
        <v/>
      </c>
      <c r="M483" s="84" t="str" cm="1">
        <f ca="1" t="array" ref="M483">IF($E483&lt;7,_xlfn.XLOOKUP($D483&amp;$E483,$D$155:$D$395&amp;$E$155:$E$395,M$155:M$395),"")</f>
        <v/>
      </c>
      <c r="N483" s="84">
        <v>8</v>
      </c>
      <c r="O483" s="84">
        <v>0.1</v>
      </c>
      <c r="P483" s="84">
        <v>0.87</v>
      </c>
      <c r="Q483" s="84">
        <v>0.03</v>
      </c>
      <c r="R483" s="84">
        <v>0</v>
      </c>
      <c r="S483" s="90">
        <f ca="1" t="shared" si="125"/>
        <v>85</v>
      </c>
      <c r="T483" s="90" cm="1">
        <f ca="1" t="array" ref="T483">IFERROR(SUMPRODUCT(F483:M483,$F$154:$M$154)+IFERROR(N483*SUMPRODUCT(O483:R483,$O$154:$R$154),0),"")</f>
        <v>4346</v>
      </c>
      <c r="U483" s="94"/>
      <c r="V483" s="94" t="str">
        <f t="shared" si="126"/>
        <v>{62,1}</v>
      </c>
      <c r="W483" t="str">
        <f ca="1" t="shared" si="117"/>
        <v>{6020005,8}</v>
      </c>
      <c r="X483" s="94" t="str">
        <f t="shared" si="127"/>
        <v>{61,190}</v>
      </c>
      <c r="Y483" s="94" t="str">
        <f t="shared" si="128"/>
        <v>{63,270}</v>
      </c>
      <c r="Z483" s="94" t="str">
        <f ca="1" t="shared" si="129"/>
        <v/>
      </c>
      <c r="AA483" s="94" t="str">
        <f ca="1" t="shared" si="130"/>
        <v/>
      </c>
      <c r="AB483" s="94" t="str">
        <f ca="1" t="shared" si="131"/>
        <v/>
      </c>
      <c r="AE483" s="94" t="str">
        <f t="shared" si="132"/>
        <v>{2,600}</v>
      </c>
      <c r="AH483" t="str">
        <f ca="1" t="shared" si="124"/>
        <v>[{62,1},{6020005,8},{61,190},{63,270},{2,600}]</v>
      </c>
    </row>
    <row r="484" spans="4:34">
      <c r="D484" s="81" t="str">
        <f ca="1" t="shared" si="133"/>
        <v>豪华Ⅰ</v>
      </c>
      <c r="E484" s="84">
        <f t="shared" si="134"/>
        <v>1</v>
      </c>
      <c r="F484" s="84">
        <f>F476+5</f>
        <v>105</v>
      </c>
      <c r="G484" s="84"/>
      <c r="H484" s="84"/>
      <c r="I484" s="84">
        <f t="shared" si="135"/>
        <v>625</v>
      </c>
      <c r="J484" s="84">
        <v>3</v>
      </c>
      <c r="K484" s="84" cm="1">
        <f ca="1" t="array" ref="K484">IF($E484&lt;7,_xlfn.XLOOKUP($D484&amp;$E484,$D$155:$D$395&amp;$E$155:$E$395,K$155:K$395),"")</f>
        <v>0</v>
      </c>
      <c r="L484" s="84" cm="1">
        <f ca="1" t="array" ref="L484">IF($E484&lt;7,_xlfn.XLOOKUP($D484&amp;$E484,$D$155:$D$395&amp;$E$155:$E$395,L$155:L$395),"")</f>
        <v>0</v>
      </c>
      <c r="M484" s="84" cm="1">
        <f ca="1" t="array" ref="M484">IF($E484&lt;7,_xlfn.XLOOKUP($D484&amp;$E484,$D$155:$D$395&amp;$E$155:$E$395,M$155:M$395),"")</f>
        <v>0</v>
      </c>
      <c r="N484" s="84" t="s">
        <v>282</v>
      </c>
      <c r="O484" s="84" t="s">
        <v>282</v>
      </c>
      <c r="P484" s="84" t="s">
        <v>282</v>
      </c>
      <c r="Q484" s="84" t="s">
        <v>282</v>
      </c>
      <c r="R484" s="84" t="s">
        <v>282</v>
      </c>
      <c r="S484" s="90">
        <f ca="1" t="shared" si="125"/>
        <v>95</v>
      </c>
      <c r="T484" s="90" cm="1">
        <f ca="1" t="array" ref="T484">IFERROR(SUMPRODUCT(F484:M484,$F$154:$M$154)+IFERROR(N484*SUMPRODUCT(O484:R484,$O$154:$R$154),0),"")</f>
        <v>1330</v>
      </c>
      <c r="U484" s="94"/>
      <c r="V484" s="94" t="str">
        <f t="shared" si="126"/>
        <v/>
      </c>
      <c r="W484" t="str">
        <f ca="1" t="shared" si="117"/>
        <v/>
      </c>
      <c r="X484" s="94" t="str">
        <f t="shared" si="127"/>
        <v>{61,105}</v>
      </c>
      <c r="Y484" s="94" t="str">
        <f t="shared" si="128"/>
        <v/>
      </c>
      <c r="Z484" s="94" t="str">
        <f ca="1" t="shared" si="129"/>
        <v/>
      </c>
      <c r="AA484" s="94" t="str">
        <f ca="1" t="shared" si="130"/>
        <v/>
      </c>
      <c r="AB484" s="94" t="str">
        <f t="shared" si="131"/>
        <v>{6030001,3}</v>
      </c>
      <c r="AE484" s="94" t="str">
        <f t="shared" si="132"/>
        <v>{2,625}</v>
      </c>
      <c r="AH484" t="str">
        <f ca="1" t="shared" si="124"/>
        <v>[{61,105},{6030001,3},{2,625}]</v>
      </c>
    </row>
    <row r="485" spans="4:34">
      <c r="D485" s="81" t="str">
        <f ca="1" t="shared" si="133"/>
        <v>豪华Ⅰ</v>
      </c>
      <c r="E485" s="84">
        <f t="shared" si="134"/>
        <v>2</v>
      </c>
      <c r="F485" s="84">
        <f>F477+5</f>
        <v>105</v>
      </c>
      <c r="G485" s="84">
        <f>G477+5</f>
        <v>125</v>
      </c>
      <c r="H485" s="84"/>
      <c r="I485" s="84">
        <f t="shared" si="135"/>
        <v>625</v>
      </c>
      <c r="J485" s="84" cm="1">
        <f ca="1" t="array" ref="J485">IF($E485&lt;7,_xlfn.XLOOKUP($D485&amp;$E485,$D$155:$D$395&amp;$E$155:$E$395,J$155:J$395),"")</f>
        <v>0</v>
      </c>
      <c r="K485" s="84" cm="1">
        <f ca="1" t="array" ref="K485">IF($E485&lt;7,_xlfn.XLOOKUP($D485&amp;$E485,$D$155:$D$395&amp;$E$155:$E$395,K$155:K$395),"")</f>
        <v>0</v>
      </c>
      <c r="L485" s="84" cm="1">
        <f ca="1" t="array" ref="L485">IF($E485&lt;7,_xlfn.XLOOKUP($D485&amp;$E485,$D$155:$D$395&amp;$E$155:$E$395,L$155:L$395),"")</f>
        <v>0</v>
      </c>
      <c r="M485" s="84" cm="1">
        <f ca="1" t="array" ref="M485">IF($E485&lt;7,_xlfn.XLOOKUP($D485&amp;$E485,$D$155:$D$395&amp;$E$155:$E$395,M$155:M$395),"")</f>
        <v>0</v>
      </c>
      <c r="N485" s="84" t="s">
        <v>282</v>
      </c>
      <c r="O485" s="84" t="s">
        <v>282</v>
      </c>
      <c r="P485" s="84" t="s">
        <v>282</v>
      </c>
      <c r="Q485" s="84" t="s">
        <v>282</v>
      </c>
      <c r="R485" s="84" t="s">
        <v>282</v>
      </c>
      <c r="S485" s="90">
        <f ca="1" t="shared" si="125"/>
        <v>95</v>
      </c>
      <c r="T485" s="90" cm="1">
        <f ca="1" t="array" ref="T485">IFERROR(SUMPRODUCT(F485:M485,$F$154:$M$154)+IFERROR(N485*SUMPRODUCT(O485:R485,$O$154:$R$154),0),"")</f>
        <v>855</v>
      </c>
      <c r="U485" s="94"/>
      <c r="V485" s="94" t="str">
        <f t="shared" si="126"/>
        <v/>
      </c>
      <c r="W485" t="str">
        <f ca="1" t="shared" si="117"/>
        <v/>
      </c>
      <c r="X485" s="94" t="str">
        <f t="shared" si="127"/>
        <v>{61,105}</v>
      </c>
      <c r="Y485" s="94" t="str">
        <f t="shared" si="128"/>
        <v>{63,125}</v>
      </c>
      <c r="Z485" s="94" t="str">
        <f ca="1" t="shared" si="129"/>
        <v/>
      </c>
      <c r="AA485" s="94" t="str">
        <f ca="1" t="shared" si="130"/>
        <v/>
      </c>
      <c r="AB485" s="94" t="str">
        <f ca="1" t="shared" si="131"/>
        <v/>
      </c>
      <c r="AE485" s="94" t="str">
        <f t="shared" si="132"/>
        <v>{2,625}</v>
      </c>
      <c r="AH485" t="str">
        <f ca="1" t="shared" si="124"/>
        <v>[{61,105},{63,125},{2,625}]</v>
      </c>
    </row>
    <row r="486" spans="4:34">
      <c r="D486" s="81" t="str">
        <f ca="1" t="shared" si="133"/>
        <v>豪华Ⅰ</v>
      </c>
      <c r="E486" s="84">
        <f t="shared" si="134"/>
        <v>3</v>
      </c>
      <c r="F486" s="84">
        <f>F478+5</f>
        <v>105</v>
      </c>
      <c r="G486" s="84"/>
      <c r="H486" s="84"/>
      <c r="I486" s="84">
        <f t="shared" si="135"/>
        <v>625</v>
      </c>
      <c r="J486" s="84">
        <v>4</v>
      </c>
      <c r="K486" s="84" cm="1">
        <f ca="1" t="array" ref="K486">IF($E486&lt;7,_xlfn.XLOOKUP($D486&amp;$E486,$D$155:$D$395&amp;$E$155:$E$395,K$155:K$395),"")</f>
        <v>0</v>
      </c>
      <c r="L486" s="84" cm="1">
        <f ca="1" t="array" ref="L486">IF($E486&lt;7,_xlfn.XLOOKUP($D486&amp;$E486,$D$155:$D$395&amp;$E$155:$E$395,L$155:L$395),"")</f>
        <v>0</v>
      </c>
      <c r="M486" s="84" cm="1">
        <f ca="1" t="array" ref="M486">IF($E486&lt;7,_xlfn.XLOOKUP($D486&amp;$E486,$D$155:$D$395&amp;$E$155:$E$395,M$155:M$395),"")</f>
        <v>0</v>
      </c>
      <c r="N486" s="84" t="s">
        <v>282</v>
      </c>
      <c r="O486" s="84" t="s">
        <v>282</v>
      </c>
      <c r="P486" s="84" t="s">
        <v>282</v>
      </c>
      <c r="Q486" s="84" t="s">
        <v>282</v>
      </c>
      <c r="R486" s="84" t="s">
        <v>282</v>
      </c>
      <c r="S486" s="90">
        <f ca="1" t="shared" si="125"/>
        <v>95</v>
      </c>
      <c r="T486" s="90" cm="1">
        <f ca="1" t="array" ref="T486">IFERROR(SUMPRODUCT(F486:M486,$F$154:$M$154)+IFERROR(N486*SUMPRODUCT(O486:R486,$O$154:$R$154),0),"")</f>
        <v>1530</v>
      </c>
      <c r="U486" s="94"/>
      <c r="V486" s="94" t="str">
        <f t="shared" si="126"/>
        <v/>
      </c>
      <c r="W486" t="str">
        <f ca="1" t="shared" si="117"/>
        <v/>
      </c>
      <c r="X486" s="94" t="str">
        <f t="shared" si="127"/>
        <v>{61,105}</v>
      </c>
      <c r="Y486" s="94" t="str">
        <f t="shared" si="128"/>
        <v/>
      </c>
      <c r="Z486" s="94" t="str">
        <f ca="1" t="shared" si="129"/>
        <v/>
      </c>
      <c r="AA486" s="94" t="str">
        <f ca="1" t="shared" si="130"/>
        <v/>
      </c>
      <c r="AB486" s="94" t="str">
        <f t="shared" si="131"/>
        <v>{6030001,4}</v>
      </c>
      <c r="AE486" s="94" t="str">
        <f t="shared" si="132"/>
        <v>{2,625}</v>
      </c>
      <c r="AH486" t="str">
        <f ca="1" t="shared" si="124"/>
        <v>[{61,105},{6030001,4},{2,625}]</v>
      </c>
    </row>
    <row r="487" spans="4:34">
      <c r="D487" s="81" t="str">
        <f ca="1" t="shared" si="133"/>
        <v>豪华Ⅰ</v>
      </c>
      <c r="E487" s="84">
        <f t="shared" si="134"/>
        <v>4</v>
      </c>
      <c r="F487" s="84">
        <f>CEILING(F488*1.25,5)</f>
        <v>170</v>
      </c>
      <c r="G487" s="84">
        <f>CEILING(G485*1.5,5)</f>
        <v>190</v>
      </c>
      <c r="H487" s="84"/>
      <c r="I487" s="84">
        <f t="shared" si="135"/>
        <v>625</v>
      </c>
      <c r="J487" s="84" cm="1">
        <f ca="1" t="array" ref="J487">IF($E487&lt;7,_xlfn.XLOOKUP($D487&amp;$E487,$D$155:$D$395&amp;$E$155:$E$395,J$155:J$395),"")</f>
        <v>0</v>
      </c>
      <c r="K487" s="84" cm="1">
        <f ca="1" t="array" ref="K487">IF($E487&lt;7,_xlfn.XLOOKUP($D487&amp;$E487,$D$155:$D$395&amp;$E$155:$E$395,K$155:K$395),"")</f>
        <v>0</v>
      </c>
      <c r="L487" s="84" cm="1">
        <f ca="1" t="array" ref="L487">IF($E487&lt;7,_xlfn.XLOOKUP($D487&amp;$E487,$D$155:$D$395&amp;$E$155:$E$395,L$155:L$395),"")</f>
        <v>0</v>
      </c>
      <c r="M487" s="84" cm="1">
        <f ca="1" t="array" ref="M487">IF($E487&lt;7,_xlfn.XLOOKUP($D487&amp;$E487,$D$155:$D$395&amp;$E$155:$E$395,M$155:M$395),"")</f>
        <v>0</v>
      </c>
      <c r="N487" s="84" t="s">
        <v>282</v>
      </c>
      <c r="O487" s="84" t="s">
        <v>282</v>
      </c>
      <c r="P487" s="84" t="s">
        <v>282</v>
      </c>
      <c r="Q487" s="84" t="s">
        <v>282</v>
      </c>
      <c r="R487" s="84" t="s">
        <v>282</v>
      </c>
      <c r="S487" s="90">
        <f ca="1" t="shared" si="125"/>
        <v>95</v>
      </c>
      <c r="T487" s="90" cm="1">
        <f ca="1" t="array" ref="T487">IFERROR(SUMPRODUCT(F487:M487,$F$154:$M$154)+IFERROR(N487*SUMPRODUCT(O487:R487,$O$154:$R$154),0),"")</f>
        <v>985</v>
      </c>
      <c r="U487" s="94"/>
      <c r="V487" s="94" t="str">
        <f t="shared" si="126"/>
        <v/>
      </c>
      <c r="W487" t="str">
        <f ca="1" t="shared" si="117"/>
        <v/>
      </c>
      <c r="X487" s="94" t="str">
        <f t="shared" si="127"/>
        <v>{61,170}</v>
      </c>
      <c r="Y487" s="94" t="str">
        <f t="shared" si="128"/>
        <v>{63,190}</v>
      </c>
      <c r="Z487" s="94" t="str">
        <f ca="1" t="shared" si="129"/>
        <v/>
      </c>
      <c r="AA487" s="94" t="str">
        <f ca="1" t="shared" si="130"/>
        <v/>
      </c>
      <c r="AB487" s="94" t="str">
        <f ca="1" t="shared" si="131"/>
        <v/>
      </c>
      <c r="AE487" s="94" t="str">
        <f t="shared" si="132"/>
        <v>{2,625}</v>
      </c>
      <c r="AH487" t="str">
        <f ca="1" t="shared" si="124"/>
        <v>[{61,170},{63,190},{2,625}]</v>
      </c>
    </row>
    <row r="488" spans="4:34">
      <c r="D488" s="81" t="str">
        <f ca="1" t="shared" si="133"/>
        <v>豪华Ⅰ</v>
      </c>
      <c r="E488" s="84">
        <f t="shared" si="134"/>
        <v>5</v>
      </c>
      <c r="F488" s="84">
        <f>CEILING(F484*1.25,5)</f>
        <v>135</v>
      </c>
      <c r="G488" s="84"/>
      <c r="H488" s="84"/>
      <c r="I488" s="84">
        <f t="shared" si="135"/>
        <v>625</v>
      </c>
      <c r="J488" s="84">
        <v>6</v>
      </c>
      <c r="K488" s="84"/>
      <c r="L488" s="84" cm="1">
        <f ca="1" t="array" ref="L488">IF($E488&lt;7,_xlfn.XLOOKUP($D488&amp;$E488,$D$155:$D$395&amp;$E$155:$E$395,L$155:L$395),"")</f>
        <v>0</v>
      </c>
      <c r="M488" s="84" cm="1">
        <f ca="1" t="array" ref="M488">IF($E488&lt;7,_xlfn.XLOOKUP($D488&amp;$E488,$D$155:$D$395&amp;$E$155:$E$395,M$155:M$395),"")</f>
        <v>0</v>
      </c>
      <c r="N488" s="84" t="s">
        <v>282</v>
      </c>
      <c r="O488" s="84" t="s">
        <v>282</v>
      </c>
      <c r="P488" s="84" t="s">
        <v>282</v>
      </c>
      <c r="Q488" s="84" t="s">
        <v>282</v>
      </c>
      <c r="R488" s="84" t="s">
        <v>282</v>
      </c>
      <c r="S488" s="90">
        <f ca="1" t="shared" si="125"/>
        <v>95</v>
      </c>
      <c r="T488" s="90" cm="1">
        <f ca="1" t="array" ref="T488">IFERROR(SUMPRODUCT(F488:M488,$F$154:$M$154)+IFERROR(N488*SUMPRODUCT(O488:R488,$O$154:$R$154),0),"")</f>
        <v>1960</v>
      </c>
      <c r="U488" s="94"/>
      <c r="V488" s="94" t="str">
        <f t="shared" si="126"/>
        <v/>
      </c>
      <c r="W488" t="str">
        <f ca="1" t="shared" si="117"/>
        <v/>
      </c>
      <c r="X488" s="94" t="str">
        <f t="shared" si="127"/>
        <v>{61,135}</v>
      </c>
      <c r="Y488" s="94" t="str">
        <f t="shared" si="128"/>
        <v/>
      </c>
      <c r="Z488" s="94" t="str">
        <f ca="1" t="shared" si="129"/>
        <v/>
      </c>
      <c r="AA488" s="94" t="str">
        <f t="shared" si="130"/>
        <v/>
      </c>
      <c r="AB488" s="94" t="str">
        <f t="shared" si="131"/>
        <v>{6030001,6}</v>
      </c>
      <c r="AE488" s="94" t="str">
        <f t="shared" si="132"/>
        <v>{2,625}</v>
      </c>
      <c r="AH488" t="str">
        <f ca="1" t="shared" si="124"/>
        <v>[{61,135},{6030001,6},{2,625}]</v>
      </c>
    </row>
    <row r="489" spans="4:34">
      <c r="D489" s="81" t="str">
        <f ca="1" t="shared" si="133"/>
        <v>豪华Ⅰ</v>
      </c>
      <c r="E489" s="84">
        <f t="shared" si="134"/>
        <v>6</v>
      </c>
      <c r="F489" s="84">
        <f>CEILING(F485*1.25,5)</f>
        <v>135</v>
      </c>
      <c r="G489" s="84">
        <f>G487</f>
        <v>190</v>
      </c>
      <c r="H489" s="84"/>
      <c r="I489" s="84">
        <f t="shared" si="135"/>
        <v>625</v>
      </c>
      <c r="J489" s="84" cm="1">
        <f ca="1" t="array" ref="J489">IF($E489&lt;7,_xlfn.XLOOKUP($D489&amp;$E489,$D$155:$D$395&amp;$E$155:$E$395,J$155:J$395),"")</f>
        <v>0</v>
      </c>
      <c r="K489" s="84" cm="1">
        <f ca="1" t="array" ref="K489">IF($E489&lt;7,_xlfn.XLOOKUP($D489&amp;$E489,$D$155:$D$395&amp;$E$155:$E$395,K$155:K$395),"")</f>
        <v>0</v>
      </c>
      <c r="L489" s="84" cm="1">
        <f ca="1" t="array" ref="L489">IF($E489&lt;7,_xlfn.XLOOKUP($D489&amp;$E489,$D$155:$D$395&amp;$E$155:$E$395,L$155:L$395),"")</f>
        <v>0</v>
      </c>
      <c r="M489" s="84" cm="1">
        <f ca="1" t="array" ref="M489">IF($E489&lt;7,_xlfn.XLOOKUP($D489&amp;$E489,$D$155:$D$395&amp;$E$155:$E$395,M$155:M$395),"")</f>
        <v>0</v>
      </c>
      <c r="N489" s="84" t="s">
        <v>282</v>
      </c>
      <c r="O489" s="84" t="s">
        <v>282</v>
      </c>
      <c r="P489" s="84" t="s">
        <v>282</v>
      </c>
      <c r="Q489" s="84" t="s">
        <v>282</v>
      </c>
      <c r="R489" s="84" t="s">
        <v>282</v>
      </c>
      <c r="S489" s="90">
        <f ca="1" t="shared" si="125"/>
        <v>95</v>
      </c>
      <c r="T489" s="90" cm="1">
        <f ca="1" t="array" ref="T489">IFERROR(SUMPRODUCT(F489:M489,$F$154:$M$154)+IFERROR(N489*SUMPRODUCT(O489:R489,$O$154:$R$154),0),"")</f>
        <v>950</v>
      </c>
      <c r="U489" s="94"/>
      <c r="V489" s="94" t="str">
        <f t="shared" si="126"/>
        <v/>
      </c>
      <c r="W489" t="str">
        <f ca="1" t="shared" si="117"/>
        <v/>
      </c>
      <c r="X489" s="94" t="str">
        <f t="shared" si="127"/>
        <v>{61,135}</v>
      </c>
      <c r="Y489" s="94" t="str">
        <f t="shared" si="128"/>
        <v>{63,190}</v>
      </c>
      <c r="Z489" s="94" t="str">
        <f ca="1" t="shared" si="129"/>
        <v/>
      </c>
      <c r="AA489" s="94" t="str">
        <f ca="1" t="shared" si="130"/>
        <v/>
      </c>
      <c r="AB489" s="94" t="str">
        <f ca="1" t="shared" si="131"/>
        <v/>
      </c>
      <c r="AE489" s="94" t="str">
        <f t="shared" si="132"/>
        <v>{2,625}</v>
      </c>
      <c r="AH489" t="str">
        <f ca="1" t="shared" si="124"/>
        <v>[{61,135},{63,190},{2,625}]</v>
      </c>
    </row>
    <row r="490" spans="4:34">
      <c r="D490" s="81" t="str">
        <f ca="1" t="shared" si="133"/>
        <v>豪华Ⅰ</v>
      </c>
      <c r="E490" s="84">
        <f t="shared" si="134"/>
        <v>7</v>
      </c>
      <c r="F490" s="84">
        <f>CEILING(F486*1.25,5)</f>
        <v>135</v>
      </c>
      <c r="G490" s="84"/>
      <c r="H490" s="84"/>
      <c r="I490" s="84">
        <f t="shared" si="135"/>
        <v>625</v>
      </c>
      <c r="J490" s="84" t="str" cm="1">
        <f ca="1" t="array" ref="J490">IF($E490&lt;7,_xlfn.XLOOKUP($D490&amp;$E490,$D$155:$D$395&amp;$E$155:$E$395,J$155:J$395),"")</f>
        <v/>
      </c>
      <c r="K490" s="84">
        <v>5</v>
      </c>
      <c r="L490" s="84" t="str" cm="1">
        <f ca="1" t="array" ref="L490">IF($E490&lt;7,_xlfn.XLOOKUP($D490&amp;$E490,$D$155:$D$395&amp;$E$155:$E$395,L$155:L$395),"")</f>
        <v/>
      </c>
      <c r="M490" s="84" t="str" cm="1">
        <f ca="1" t="array" ref="M490">IF($E490&lt;7,_xlfn.XLOOKUP($D490&amp;$E490,$D$155:$D$395&amp;$E$155:$E$395,M$155:M$395),"")</f>
        <v/>
      </c>
      <c r="N490" s="84" t="s">
        <v>282</v>
      </c>
      <c r="O490" s="84" t="s">
        <v>282</v>
      </c>
      <c r="P490" s="84" t="s">
        <v>282</v>
      </c>
      <c r="Q490" s="84" t="s">
        <v>282</v>
      </c>
      <c r="R490" s="84" t="s">
        <v>282</v>
      </c>
      <c r="S490" s="90">
        <f ca="1" t="shared" si="125"/>
        <v>95</v>
      </c>
      <c r="T490" s="90" cm="1">
        <f ca="1" t="array" ref="T490">IFERROR(SUMPRODUCT(F490:M490,$F$154:$M$154)+IFERROR(N490*SUMPRODUCT(O490:R490,$O$154:$R$154),0),"")</f>
        <v>2760</v>
      </c>
      <c r="U490" s="94"/>
      <c r="V490" s="94" t="str">
        <f t="shared" si="126"/>
        <v/>
      </c>
      <c r="W490" t="str">
        <f ca="1" t="shared" si="117"/>
        <v/>
      </c>
      <c r="X490" s="94" t="str">
        <f t="shared" si="127"/>
        <v>{61,135}</v>
      </c>
      <c r="Y490" s="94" t="str">
        <f t="shared" si="128"/>
        <v/>
      </c>
      <c r="Z490" s="94" t="str">
        <f ca="1" t="shared" si="129"/>
        <v/>
      </c>
      <c r="AA490" s="94" t="str">
        <f t="shared" si="130"/>
        <v>{6030002,5}</v>
      </c>
      <c r="AB490" s="94" t="str">
        <f ca="1" t="shared" si="131"/>
        <v/>
      </c>
      <c r="AE490" s="94" t="str">
        <f t="shared" si="132"/>
        <v>{2,625}</v>
      </c>
      <c r="AH490" t="str">
        <f ca="1" t="shared" si="124"/>
        <v>[{61,135},{6030002,5},{2,625}]</v>
      </c>
    </row>
    <row r="491" spans="4:34">
      <c r="D491" s="81" t="str">
        <f ca="1" t="shared" si="133"/>
        <v>豪华Ⅰ</v>
      </c>
      <c r="E491" s="84">
        <f t="shared" si="134"/>
        <v>8</v>
      </c>
      <c r="F491" s="84">
        <f>CEILING(F490*1.5,5)</f>
        <v>205</v>
      </c>
      <c r="G491" s="84">
        <f>CEILING(G489*1.5,5)</f>
        <v>285</v>
      </c>
      <c r="H491" s="84">
        <f>1</f>
        <v>1</v>
      </c>
      <c r="I491" s="84">
        <f t="shared" si="135"/>
        <v>625</v>
      </c>
      <c r="J491" s="84" t="str" cm="1">
        <f ca="1" t="array" ref="J491">IF($E491&lt;7,_xlfn.XLOOKUP($D491&amp;$E491,$D$155:$D$395&amp;$E$155:$E$395,J$155:J$395),"")</f>
        <v/>
      </c>
      <c r="K491" s="84" t="str" cm="1">
        <f ca="1" t="array" ref="K491">IF($E491&lt;7,_xlfn.XLOOKUP($D491&amp;$E491,$D$155:$D$395&amp;$E$155:$E$395,K$155:K$395),"")</f>
        <v/>
      </c>
      <c r="L491" s="84" t="str" cm="1">
        <f ca="1" t="array" ref="L491">IF($E491&lt;7,_xlfn.XLOOKUP($D491&amp;$E491,$D$155:$D$395&amp;$E$155:$E$395,L$155:L$395),"")</f>
        <v/>
      </c>
      <c r="M491" s="84" t="str" cm="1">
        <f ca="1" t="array" ref="M491">IF($E491&lt;7,_xlfn.XLOOKUP($D491&amp;$E491,$D$155:$D$395&amp;$E$155:$E$395,M$155:M$395),"")</f>
        <v/>
      </c>
      <c r="N491" s="84">
        <v>8</v>
      </c>
      <c r="O491" s="84">
        <v>0</v>
      </c>
      <c r="P491" s="84">
        <v>0.94</v>
      </c>
      <c r="Q491" s="84">
        <v>0.06</v>
      </c>
      <c r="R491" s="84">
        <v>0</v>
      </c>
      <c r="S491" s="90">
        <f ca="1" t="shared" si="125"/>
        <v>95</v>
      </c>
      <c r="T491" s="90" cm="1">
        <f ca="1" t="array" ref="T491">IFERROR(SUMPRODUCT(F491:M491,$F$154:$M$154)+IFERROR(N491*SUMPRODUCT(O491:R491,$O$154:$R$154),0),"")</f>
        <v>4657</v>
      </c>
      <c r="U491" s="94"/>
      <c r="V491" s="94" t="str">
        <f t="shared" si="126"/>
        <v>{62,1}</v>
      </c>
      <c r="W491" t="str">
        <f ca="1" t="shared" si="117"/>
        <v>{6020006,8}</v>
      </c>
      <c r="X491" s="94" t="str">
        <f t="shared" si="127"/>
        <v>{61,205}</v>
      </c>
      <c r="Y491" s="94" t="str">
        <f t="shared" si="128"/>
        <v>{63,285}</v>
      </c>
      <c r="Z491" s="94" t="str">
        <f ca="1" t="shared" si="129"/>
        <v/>
      </c>
      <c r="AA491" s="94" t="str">
        <f ca="1" t="shared" si="130"/>
        <v/>
      </c>
      <c r="AB491" s="94" t="str">
        <f ca="1" t="shared" si="131"/>
        <v/>
      </c>
      <c r="AE491" s="94" t="str">
        <f t="shared" si="132"/>
        <v>{2,625}</v>
      </c>
      <c r="AH491" t="str">
        <f ca="1" t="shared" si="124"/>
        <v>[{62,1},{6020006,8},{61,205},{63,285},{2,625}]</v>
      </c>
    </row>
    <row r="492" spans="4:34">
      <c r="D492" s="81" t="str">
        <f ca="1" t="shared" si="133"/>
        <v>豪华Ⅱ</v>
      </c>
      <c r="E492" s="84">
        <f t="shared" si="134"/>
        <v>1</v>
      </c>
      <c r="F492" s="84">
        <f>F484+5</f>
        <v>110</v>
      </c>
      <c r="G492" s="84"/>
      <c r="H492" s="84"/>
      <c r="I492" s="84">
        <f t="shared" si="135"/>
        <v>650</v>
      </c>
      <c r="J492" s="84">
        <v>3</v>
      </c>
      <c r="K492" s="84" cm="1">
        <f ca="1" t="array" ref="K492">IF($E492&lt;7,_xlfn.XLOOKUP($D492&amp;$E492,$D$155:$D$395&amp;$E$155:$E$395,K$155:K$395),"")</f>
        <v>0</v>
      </c>
      <c r="L492" s="84" cm="1">
        <f ca="1" t="array" ref="L492">IF($E492&lt;7,_xlfn.XLOOKUP($D492&amp;$E492,$D$155:$D$395&amp;$E$155:$E$395,L$155:L$395),"")</f>
        <v>0</v>
      </c>
      <c r="M492" s="84" cm="1">
        <f ca="1" t="array" ref="M492">IF($E492&lt;7,_xlfn.XLOOKUP($D492&amp;$E492,$D$155:$D$395&amp;$E$155:$E$395,M$155:M$395),"")</f>
        <v>0</v>
      </c>
      <c r="N492" s="84" t="s">
        <v>282</v>
      </c>
      <c r="O492" s="84" t="s">
        <v>282</v>
      </c>
      <c r="P492" s="84" t="s">
        <v>282</v>
      </c>
      <c r="Q492" s="84" t="s">
        <v>282</v>
      </c>
      <c r="R492" s="84" t="s">
        <v>282</v>
      </c>
      <c r="S492" s="90">
        <f ca="1" t="shared" si="125"/>
        <v>105</v>
      </c>
      <c r="T492" s="90" cm="1">
        <f ca="1" t="array" ref="T492">IFERROR(SUMPRODUCT(F492:M492,$F$154:$M$154)+IFERROR(N492*SUMPRODUCT(O492:R492,$O$154:$R$154),0),"")</f>
        <v>1360</v>
      </c>
      <c r="U492" s="94"/>
      <c r="V492" s="94" t="str">
        <f t="shared" si="126"/>
        <v/>
      </c>
      <c r="W492" t="str">
        <f ca="1" t="shared" si="117"/>
        <v/>
      </c>
      <c r="X492" s="94" t="str">
        <f t="shared" si="127"/>
        <v>{61,110}</v>
      </c>
      <c r="Y492" s="94" t="str">
        <f t="shared" si="128"/>
        <v/>
      </c>
      <c r="Z492" s="94" t="str">
        <f ca="1" t="shared" si="129"/>
        <v/>
      </c>
      <c r="AA492" s="94" t="str">
        <f ca="1" t="shared" si="130"/>
        <v/>
      </c>
      <c r="AB492" s="94" t="str">
        <f t="shared" si="131"/>
        <v>{6030001,3}</v>
      </c>
      <c r="AE492" s="94" t="str">
        <f t="shared" si="132"/>
        <v>{2,650}</v>
      </c>
      <c r="AH492" t="str">
        <f ca="1" t="shared" si="124"/>
        <v>[{61,110},{6030001,3},{2,650}]</v>
      </c>
    </row>
    <row r="493" spans="4:34">
      <c r="D493" s="81" t="str">
        <f ca="1" t="shared" si="133"/>
        <v>豪华Ⅱ</v>
      </c>
      <c r="E493" s="84">
        <f t="shared" si="134"/>
        <v>2</v>
      </c>
      <c r="F493" s="84">
        <f>F485+5</f>
        <v>110</v>
      </c>
      <c r="G493" s="84">
        <f>G485+5</f>
        <v>130</v>
      </c>
      <c r="H493" s="84"/>
      <c r="I493" s="84">
        <f t="shared" si="135"/>
        <v>650</v>
      </c>
      <c r="J493" s="84" cm="1">
        <f ca="1" t="array" ref="J493">IF($E493&lt;7,_xlfn.XLOOKUP($D493&amp;$E493,$D$155:$D$395&amp;$E$155:$E$395,J$155:J$395),"")</f>
        <v>0</v>
      </c>
      <c r="K493" s="84" cm="1">
        <f ca="1" t="array" ref="K493">IF($E493&lt;7,_xlfn.XLOOKUP($D493&amp;$E493,$D$155:$D$395&amp;$E$155:$E$395,K$155:K$395),"")</f>
        <v>0</v>
      </c>
      <c r="L493" s="84" cm="1">
        <f ca="1" t="array" ref="L493">IF($E493&lt;7,_xlfn.XLOOKUP($D493&amp;$E493,$D$155:$D$395&amp;$E$155:$E$395,L$155:L$395),"")</f>
        <v>0</v>
      </c>
      <c r="M493" s="84" cm="1">
        <f ca="1" t="array" ref="M493">IF($E493&lt;7,_xlfn.XLOOKUP($D493&amp;$E493,$D$155:$D$395&amp;$E$155:$E$395,M$155:M$395),"")</f>
        <v>0</v>
      </c>
      <c r="N493" s="84" t="s">
        <v>282</v>
      </c>
      <c r="O493" s="84" t="s">
        <v>282</v>
      </c>
      <c r="P493" s="84" t="s">
        <v>282</v>
      </c>
      <c r="Q493" s="84" t="s">
        <v>282</v>
      </c>
      <c r="R493" s="84" t="s">
        <v>282</v>
      </c>
      <c r="S493" s="90">
        <f ca="1" t="shared" si="125"/>
        <v>105</v>
      </c>
      <c r="T493" s="90" cm="1">
        <f ca="1" t="array" ref="T493">IFERROR(SUMPRODUCT(F493:M493,$F$154:$M$154)+IFERROR(N493*SUMPRODUCT(O493:R493,$O$154:$R$154),0),"")</f>
        <v>890</v>
      </c>
      <c r="U493" s="94"/>
      <c r="V493" s="94" t="str">
        <f t="shared" si="126"/>
        <v/>
      </c>
      <c r="W493" t="str">
        <f ca="1" t="shared" si="117"/>
        <v/>
      </c>
      <c r="X493" s="94" t="str">
        <f t="shared" si="127"/>
        <v>{61,110}</v>
      </c>
      <c r="Y493" s="94" t="str">
        <f t="shared" si="128"/>
        <v>{63,130}</v>
      </c>
      <c r="Z493" s="94" t="str">
        <f ca="1" t="shared" si="129"/>
        <v/>
      </c>
      <c r="AA493" s="94" t="str">
        <f ca="1" t="shared" si="130"/>
        <v/>
      </c>
      <c r="AB493" s="94" t="str">
        <f ca="1" t="shared" si="131"/>
        <v/>
      </c>
      <c r="AE493" s="94" t="str">
        <f t="shared" si="132"/>
        <v>{2,650}</v>
      </c>
      <c r="AH493" t="str">
        <f ca="1" t="shared" si="124"/>
        <v>[{61,110},{63,130},{2,650}]</v>
      </c>
    </row>
    <row r="494" spans="4:34">
      <c r="D494" s="81" t="str">
        <f ca="1" t="shared" si="133"/>
        <v>豪华Ⅱ</v>
      </c>
      <c r="E494" s="84">
        <f t="shared" si="134"/>
        <v>3</v>
      </c>
      <c r="F494" s="84">
        <f>F486+5</f>
        <v>110</v>
      </c>
      <c r="G494" s="84"/>
      <c r="H494" s="84"/>
      <c r="I494" s="84">
        <f t="shared" si="135"/>
        <v>650</v>
      </c>
      <c r="J494" s="84">
        <v>4</v>
      </c>
      <c r="K494" s="84" cm="1">
        <f ca="1" t="array" ref="K494">IF($E494&lt;7,_xlfn.XLOOKUP($D494&amp;$E494,$D$155:$D$395&amp;$E$155:$E$395,K$155:K$395),"")</f>
        <v>0</v>
      </c>
      <c r="L494" s="84" cm="1">
        <f ca="1" t="array" ref="L494">IF($E494&lt;7,_xlfn.XLOOKUP($D494&amp;$E494,$D$155:$D$395&amp;$E$155:$E$395,L$155:L$395),"")</f>
        <v>0</v>
      </c>
      <c r="M494" s="84" cm="1">
        <f ca="1" t="array" ref="M494">IF($E494&lt;7,_xlfn.XLOOKUP($D494&amp;$E494,$D$155:$D$395&amp;$E$155:$E$395,M$155:M$395),"")</f>
        <v>0</v>
      </c>
      <c r="N494" s="84" t="s">
        <v>282</v>
      </c>
      <c r="O494" s="84" t="s">
        <v>282</v>
      </c>
      <c r="P494" s="84" t="s">
        <v>282</v>
      </c>
      <c r="Q494" s="84" t="s">
        <v>282</v>
      </c>
      <c r="R494" s="84" t="s">
        <v>282</v>
      </c>
      <c r="S494" s="90">
        <f ca="1" t="shared" si="125"/>
        <v>105</v>
      </c>
      <c r="T494" s="90" cm="1">
        <f ca="1" t="array" ref="T494">IFERROR(SUMPRODUCT(F494:M494,$F$154:$M$154)+IFERROR(N494*SUMPRODUCT(O494:R494,$O$154:$R$154),0),"")</f>
        <v>1560</v>
      </c>
      <c r="U494" s="94"/>
      <c r="V494" s="94" t="str">
        <f t="shared" si="126"/>
        <v/>
      </c>
      <c r="W494" t="str">
        <f ca="1" t="shared" si="117"/>
        <v/>
      </c>
      <c r="X494" s="94" t="str">
        <f t="shared" si="127"/>
        <v>{61,110}</v>
      </c>
      <c r="Y494" s="94" t="str">
        <f t="shared" si="128"/>
        <v/>
      </c>
      <c r="Z494" s="94" t="str">
        <f ca="1" t="shared" si="129"/>
        <v/>
      </c>
      <c r="AA494" s="94" t="str">
        <f ca="1" t="shared" si="130"/>
        <v/>
      </c>
      <c r="AB494" s="94" t="str">
        <f t="shared" si="131"/>
        <v>{6030001,4}</v>
      </c>
      <c r="AE494" s="94" t="str">
        <f t="shared" si="132"/>
        <v>{2,650}</v>
      </c>
      <c r="AH494" t="str">
        <f ca="1" t="shared" si="124"/>
        <v>[{61,110},{6030001,4},{2,650}]</v>
      </c>
    </row>
    <row r="495" spans="4:34">
      <c r="D495" s="81" t="str">
        <f ca="1" t="shared" si="133"/>
        <v>豪华Ⅱ</v>
      </c>
      <c r="E495" s="84">
        <f t="shared" si="134"/>
        <v>4</v>
      </c>
      <c r="F495" s="84">
        <f>CEILING(F496*1.25,5)</f>
        <v>175</v>
      </c>
      <c r="G495" s="84">
        <f>CEILING(G493*1.5,5)</f>
        <v>195</v>
      </c>
      <c r="H495" s="84"/>
      <c r="I495" s="84">
        <f t="shared" si="135"/>
        <v>650</v>
      </c>
      <c r="J495" s="84"/>
      <c r="K495" s="84" cm="1">
        <f ca="1" t="array" ref="K495">IF($E495&lt;7,_xlfn.XLOOKUP($D495&amp;$E495,$D$155:$D$395&amp;$E$155:$E$395,K$155:K$395),"")</f>
        <v>0</v>
      </c>
      <c r="L495" s="84" cm="1">
        <f ca="1" t="array" ref="L495">IF($E495&lt;7,_xlfn.XLOOKUP($D495&amp;$E495,$D$155:$D$395&amp;$E$155:$E$395,L$155:L$395),"")</f>
        <v>0</v>
      </c>
      <c r="M495" s="84" cm="1">
        <f ca="1" t="array" ref="M495">IF($E495&lt;7,_xlfn.XLOOKUP($D495&amp;$E495,$D$155:$D$395&amp;$E$155:$E$395,M$155:M$395),"")</f>
        <v>0</v>
      </c>
      <c r="N495" s="84" t="s">
        <v>282</v>
      </c>
      <c r="O495" s="84" t="s">
        <v>282</v>
      </c>
      <c r="P495" s="84" t="s">
        <v>282</v>
      </c>
      <c r="Q495" s="84" t="s">
        <v>282</v>
      </c>
      <c r="R495" s="84" t="s">
        <v>282</v>
      </c>
      <c r="S495" s="90">
        <f ca="1" t="shared" si="125"/>
        <v>105</v>
      </c>
      <c r="T495" s="90" cm="1">
        <f ca="1" t="array" ref="T495">IFERROR(SUMPRODUCT(F495:M495,$F$154:$M$154)+IFERROR(N495*SUMPRODUCT(O495:R495,$O$154:$R$154),0),"")</f>
        <v>1020</v>
      </c>
      <c r="U495" s="94"/>
      <c r="V495" s="94" t="str">
        <f t="shared" si="126"/>
        <v/>
      </c>
      <c r="W495" t="str">
        <f ca="1" t="shared" si="117"/>
        <v/>
      </c>
      <c r="X495" s="94" t="str">
        <f t="shared" si="127"/>
        <v>{61,175}</v>
      </c>
      <c r="Y495" s="94" t="str">
        <f t="shared" si="128"/>
        <v>{63,195}</v>
      </c>
      <c r="Z495" s="94" t="str">
        <f ca="1" t="shared" si="129"/>
        <v/>
      </c>
      <c r="AA495" s="94" t="str">
        <f ca="1" t="shared" si="130"/>
        <v/>
      </c>
      <c r="AB495" s="94" t="str">
        <f t="shared" si="131"/>
        <v/>
      </c>
      <c r="AE495" s="94" t="str">
        <f t="shared" si="132"/>
        <v>{2,650}</v>
      </c>
      <c r="AH495" t="str">
        <f ca="1" t="shared" si="124"/>
        <v>[{61,175},{63,195},{2,650}]</v>
      </c>
    </row>
    <row r="496" spans="4:34">
      <c r="D496" s="81" t="str">
        <f ca="1" t="shared" si="133"/>
        <v>豪华Ⅱ</v>
      </c>
      <c r="E496" s="84">
        <f t="shared" si="134"/>
        <v>5</v>
      </c>
      <c r="F496" s="84">
        <f>CEILING(F492*1.25,5)</f>
        <v>140</v>
      </c>
      <c r="G496" s="84"/>
      <c r="H496" s="84"/>
      <c r="I496" s="84">
        <f t="shared" si="135"/>
        <v>650</v>
      </c>
      <c r="J496" s="84">
        <v>7</v>
      </c>
      <c r="K496" s="84"/>
      <c r="L496" s="84" cm="1">
        <f ca="1" t="array" ref="L496">IF($E496&lt;7,_xlfn.XLOOKUP($D496&amp;$E496,$D$155:$D$395&amp;$E$155:$E$395,L$155:L$395),"")</f>
        <v>0</v>
      </c>
      <c r="M496" s="84" cm="1">
        <f ca="1" t="array" ref="M496">IF($E496&lt;7,_xlfn.XLOOKUP($D496&amp;$E496,$D$155:$D$395&amp;$E$155:$E$395,M$155:M$395),"")</f>
        <v>0</v>
      </c>
      <c r="N496" s="84" t="s">
        <v>282</v>
      </c>
      <c r="O496" s="84" t="s">
        <v>282</v>
      </c>
      <c r="P496" s="84" t="s">
        <v>282</v>
      </c>
      <c r="Q496" s="84" t="s">
        <v>282</v>
      </c>
      <c r="R496" s="84" t="s">
        <v>282</v>
      </c>
      <c r="S496" s="90">
        <f ca="1" t="shared" si="125"/>
        <v>105</v>
      </c>
      <c r="T496" s="90" cm="1">
        <f ca="1" t="array" ref="T496">IFERROR(SUMPRODUCT(F496:M496,$F$154:$M$154)+IFERROR(N496*SUMPRODUCT(O496:R496,$O$154:$R$154),0),"")</f>
        <v>2190</v>
      </c>
      <c r="U496" s="94"/>
      <c r="V496" s="94" t="str">
        <f t="shared" si="126"/>
        <v/>
      </c>
      <c r="W496" t="str">
        <f ca="1" t="shared" si="117"/>
        <v/>
      </c>
      <c r="X496" s="94" t="str">
        <f t="shared" si="127"/>
        <v>{61,140}</v>
      </c>
      <c r="Y496" s="94" t="str">
        <f t="shared" si="128"/>
        <v/>
      </c>
      <c r="Z496" s="94" t="str">
        <f ca="1" t="shared" si="129"/>
        <v/>
      </c>
      <c r="AA496" s="94" t="str">
        <f t="shared" si="130"/>
        <v/>
      </c>
      <c r="AB496" s="94" t="str">
        <f t="shared" si="131"/>
        <v>{6030001,7}</v>
      </c>
      <c r="AE496" s="94" t="str">
        <f t="shared" si="132"/>
        <v>{2,650}</v>
      </c>
      <c r="AH496" t="str">
        <f ca="1" t="shared" si="124"/>
        <v>[{61,140},{6030001,7},{2,650}]</v>
      </c>
    </row>
    <row r="497" spans="4:34">
      <c r="D497" s="81" t="str">
        <f ca="1" t="shared" si="133"/>
        <v>豪华Ⅱ</v>
      </c>
      <c r="E497" s="84">
        <f t="shared" si="134"/>
        <v>6</v>
      </c>
      <c r="F497" s="84">
        <f>CEILING(F493*1.25,5)</f>
        <v>140</v>
      </c>
      <c r="G497" s="84">
        <f>G495</f>
        <v>195</v>
      </c>
      <c r="H497" s="84"/>
      <c r="I497" s="84">
        <f t="shared" si="135"/>
        <v>650</v>
      </c>
      <c r="J497" s="84" cm="1">
        <f ca="1" t="array" ref="J497">IF($E497&lt;7,_xlfn.XLOOKUP($D497&amp;$E497,$D$155:$D$395&amp;$E$155:$E$395,J$155:J$395),"")</f>
        <v>0</v>
      </c>
      <c r="K497" s="84" cm="1">
        <f ca="1" t="array" ref="K497">IF($E497&lt;7,_xlfn.XLOOKUP($D497&amp;$E497,$D$155:$D$395&amp;$E$155:$E$395,K$155:K$395),"")</f>
        <v>0</v>
      </c>
      <c r="L497" s="84" cm="1">
        <f ca="1" t="array" ref="L497">IF($E497&lt;7,_xlfn.XLOOKUP($D497&amp;$E497,$D$155:$D$395&amp;$E$155:$E$395,L$155:L$395),"")</f>
        <v>0</v>
      </c>
      <c r="M497" s="84" cm="1">
        <f ca="1" t="array" ref="M497">IF($E497&lt;7,_xlfn.XLOOKUP($D497&amp;$E497,$D$155:$D$395&amp;$E$155:$E$395,M$155:M$395),"")</f>
        <v>0</v>
      </c>
      <c r="N497" s="84" t="s">
        <v>282</v>
      </c>
      <c r="O497" s="84" t="s">
        <v>282</v>
      </c>
      <c r="P497" s="84" t="s">
        <v>282</v>
      </c>
      <c r="Q497" s="84" t="s">
        <v>282</v>
      </c>
      <c r="R497" s="84" t="s">
        <v>282</v>
      </c>
      <c r="S497" s="90">
        <f ca="1" t="shared" si="125"/>
        <v>105</v>
      </c>
      <c r="T497" s="90" cm="1">
        <f ca="1" t="array" ref="T497">IFERROR(SUMPRODUCT(F497:M497,$F$154:$M$154)+IFERROR(N497*SUMPRODUCT(O497:R497,$O$154:$R$154),0),"")</f>
        <v>985</v>
      </c>
      <c r="U497" s="94"/>
      <c r="V497" s="94" t="str">
        <f t="shared" si="126"/>
        <v/>
      </c>
      <c r="W497" t="str">
        <f ca="1" t="shared" si="117"/>
        <v/>
      </c>
      <c r="X497" s="94" t="str">
        <f t="shared" si="127"/>
        <v>{61,140}</v>
      </c>
      <c r="Y497" s="94" t="str">
        <f t="shared" si="128"/>
        <v>{63,195}</v>
      </c>
      <c r="Z497" s="94" t="str">
        <f ca="1" t="shared" si="129"/>
        <v/>
      </c>
      <c r="AA497" s="94" t="str">
        <f ca="1" t="shared" si="130"/>
        <v/>
      </c>
      <c r="AB497" s="94" t="str">
        <f ca="1" t="shared" si="131"/>
        <v/>
      </c>
      <c r="AE497" s="94" t="str">
        <f t="shared" si="132"/>
        <v>{2,650}</v>
      </c>
      <c r="AH497" t="str">
        <f ca="1" t="shared" si="124"/>
        <v>[{61,140},{63,195},{2,650}]</v>
      </c>
    </row>
    <row r="498" spans="4:34">
      <c r="D498" s="81" t="str">
        <f ca="1" t="shared" si="133"/>
        <v>豪华Ⅱ</v>
      </c>
      <c r="E498" s="84">
        <f t="shared" si="134"/>
        <v>7</v>
      </c>
      <c r="F498" s="84">
        <f>CEILING(F494*1.25,5)</f>
        <v>140</v>
      </c>
      <c r="G498" s="84"/>
      <c r="H498" s="84"/>
      <c r="I498" s="84">
        <f t="shared" si="135"/>
        <v>650</v>
      </c>
      <c r="J498" s="84" t="str" cm="1">
        <f ca="1" t="array" ref="J498">IF($E498&lt;7,_xlfn.XLOOKUP($D498&amp;$E498,$D$155:$D$395&amp;$E$155:$E$395,J$155:J$395),"")</f>
        <v/>
      </c>
      <c r="K498" s="84">
        <v>5</v>
      </c>
      <c r="L498" s="84" t="str" cm="1">
        <f ca="1" t="array" ref="L498">IF($E498&lt;7,_xlfn.XLOOKUP($D498&amp;$E498,$D$155:$D$395&amp;$E$155:$E$395,L$155:L$395),"")</f>
        <v/>
      </c>
      <c r="M498" s="84" t="str" cm="1">
        <f ca="1" t="array" ref="M498">IF($E498&lt;7,_xlfn.XLOOKUP($D498&amp;$E498,$D$155:$D$395&amp;$E$155:$E$395,M$155:M$395),"")</f>
        <v/>
      </c>
      <c r="N498" s="84" t="s">
        <v>282</v>
      </c>
      <c r="O498" s="84" t="s">
        <v>282</v>
      </c>
      <c r="P498" s="84" t="s">
        <v>282</v>
      </c>
      <c r="Q498" s="84" t="s">
        <v>282</v>
      </c>
      <c r="R498" s="84" t="s">
        <v>282</v>
      </c>
      <c r="S498" s="90">
        <f ca="1" t="shared" si="125"/>
        <v>105</v>
      </c>
      <c r="T498" s="90" cm="1">
        <f ca="1" t="array" ref="T498">IFERROR(SUMPRODUCT(F498:M498,$F$154:$M$154)+IFERROR(N498*SUMPRODUCT(O498:R498,$O$154:$R$154),0),"")</f>
        <v>2790</v>
      </c>
      <c r="U498" s="94"/>
      <c r="V498" s="94" t="str">
        <f t="shared" si="126"/>
        <v/>
      </c>
      <c r="W498" t="str">
        <f ca="1" t="shared" si="117"/>
        <v/>
      </c>
      <c r="X498" s="94" t="str">
        <f t="shared" si="127"/>
        <v>{61,140}</v>
      </c>
      <c r="Y498" s="94" t="str">
        <f t="shared" si="128"/>
        <v/>
      </c>
      <c r="Z498" s="94" t="str">
        <f ca="1" t="shared" si="129"/>
        <v/>
      </c>
      <c r="AA498" s="94" t="str">
        <f t="shared" si="130"/>
        <v>{6030002,5}</v>
      </c>
      <c r="AB498" s="94" t="str">
        <f ca="1" t="shared" si="131"/>
        <v/>
      </c>
      <c r="AE498" s="94" t="str">
        <f t="shared" si="132"/>
        <v>{2,650}</v>
      </c>
      <c r="AH498" t="str">
        <f ca="1" t="shared" si="124"/>
        <v>[{61,140},{6030002,5},{2,650}]</v>
      </c>
    </row>
    <row r="499" spans="4:34">
      <c r="D499" s="81" t="str">
        <f ca="1" t="shared" si="133"/>
        <v>豪华Ⅱ</v>
      </c>
      <c r="E499" s="84">
        <f t="shared" si="134"/>
        <v>8</v>
      </c>
      <c r="F499" s="84">
        <f>CEILING(F498*1.5,5)</f>
        <v>210</v>
      </c>
      <c r="G499" s="84">
        <f>CEILING(G497*1.5,5)</f>
        <v>295</v>
      </c>
      <c r="H499" s="84">
        <f>1</f>
        <v>1</v>
      </c>
      <c r="I499" s="84">
        <f t="shared" si="135"/>
        <v>650</v>
      </c>
      <c r="J499" s="84" t="str" cm="1">
        <f ca="1" t="array" ref="J499">IF($E499&lt;7,_xlfn.XLOOKUP($D499&amp;$E499,$D$155:$D$395&amp;$E$155:$E$395,J$155:J$395),"")</f>
        <v/>
      </c>
      <c r="K499" s="84" t="str" cm="1">
        <f ca="1" t="array" ref="K499">IF($E499&lt;7,_xlfn.XLOOKUP($D499&amp;$E499,$D$155:$D$395&amp;$E$155:$E$395,K$155:K$395),"")</f>
        <v/>
      </c>
      <c r="L499" s="84" t="str" cm="1">
        <f ca="1" t="array" ref="L499">IF($E499&lt;7,_xlfn.XLOOKUP($D499&amp;$E499,$D$155:$D$395&amp;$E$155:$E$395,L$155:L$395),"")</f>
        <v/>
      </c>
      <c r="M499" s="84" t="str" cm="1">
        <f ca="1" t="array" ref="M499">IF($E499&lt;7,_xlfn.XLOOKUP($D499&amp;$E499,$D$155:$D$395&amp;$E$155:$E$395,M$155:M$395),"")</f>
        <v/>
      </c>
      <c r="N499" s="84">
        <v>8</v>
      </c>
      <c r="O499" s="84">
        <v>0</v>
      </c>
      <c r="P499" s="84">
        <v>0.91</v>
      </c>
      <c r="Q499" s="84">
        <v>0.09</v>
      </c>
      <c r="R499" s="84">
        <v>0</v>
      </c>
      <c r="S499" s="90">
        <f ca="1" t="shared" si="125"/>
        <v>105</v>
      </c>
      <c r="T499" s="90" cm="1">
        <f ca="1" t="array" ref="T499">IFERROR(SUMPRODUCT(F499:M499,$F$154:$M$154)+IFERROR(N499*SUMPRODUCT(O499:R499,$O$154:$R$154),0),"")</f>
        <v>4793</v>
      </c>
      <c r="U499" s="94"/>
      <c r="V499" s="94" t="str">
        <f t="shared" si="126"/>
        <v>{62,1}</v>
      </c>
      <c r="W499" t="str">
        <f ca="1" t="shared" si="117"/>
        <v>{6020007,8}</v>
      </c>
      <c r="X499" s="94" t="str">
        <f t="shared" si="127"/>
        <v>{61,210}</v>
      </c>
      <c r="Y499" s="94" t="str">
        <f t="shared" si="128"/>
        <v>{63,295}</v>
      </c>
      <c r="Z499" s="94" t="str">
        <f ca="1" t="shared" si="129"/>
        <v/>
      </c>
      <c r="AA499" s="94" t="str">
        <f ca="1" t="shared" si="130"/>
        <v/>
      </c>
      <c r="AB499" s="94" t="str">
        <f ca="1" t="shared" si="131"/>
        <v/>
      </c>
      <c r="AE499" s="94" t="str">
        <f t="shared" si="132"/>
        <v>{2,650}</v>
      </c>
      <c r="AH499" t="str">
        <f ca="1" t="shared" si="124"/>
        <v>[{62,1},{6020007,8},{61,210},{63,295},{2,650}]</v>
      </c>
    </row>
    <row r="500" spans="4:34">
      <c r="D500" s="81" t="str">
        <f ca="1" t="shared" si="133"/>
        <v>豪华Ⅲ</v>
      </c>
      <c r="E500" s="84">
        <f t="shared" si="134"/>
        <v>1</v>
      </c>
      <c r="F500" s="84">
        <f>F492+5</f>
        <v>115</v>
      </c>
      <c r="G500" s="84"/>
      <c r="H500" s="84"/>
      <c r="I500" s="84">
        <f t="shared" si="135"/>
        <v>675</v>
      </c>
      <c r="J500" s="84">
        <v>3</v>
      </c>
      <c r="K500" s="84" cm="1">
        <f ca="1" t="array" ref="K500">IF($E500&lt;7,_xlfn.XLOOKUP($D500&amp;$E500,$D$155:$D$395&amp;$E$155:$E$395,K$155:K$395),"")</f>
        <v>0</v>
      </c>
      <c r="L500" s="84" cm="1">
        <f ca="1" t="array" ref="L500">IF($E500&lt;7,_xlfn.XLOOKUP($D500&amp;$E500,$D$155:$D$395&amp;$E$155:$E$395,L$155:L$395),"")</f>
        <v>0</v>
      </c>
      <c r="M500" s="84" cm="1">
        <f ca="1" t="array" ref="M500">IF($E500&lt;7,_xlfn.XLOOKUP($D500&amp;$E500,$D$155:$D$395&amp;$E$155:$E$395,M$155:M$395),"")</f>
        <v>0</v>
      </c>
      <c r="N500" s="84" t="s">
        <v>282</v>
      </c>
      <c r="O500" s="84" t="s">
        <v>282</v>
      </c>
      <c r="P500" s="84" t="s">
        <v>282</v>
      </c>
      <c r="Q500" s="84" t="s">
        <v>282</v>
      </c>
      <c r="R500" s="84" t="s">
        <v>282</v>
      </c>
      <c r="S500" s="90">
        <f ca="1" t="shared" si="125"/>
        <v>115</v>
      </c>
      <c r="T500" s="90" cm="1">
        <f ca="1" t="array" ref="T500">IFERROR(SUMPRODUCT(F500:M500,$F$154:$M$154)+IFERROR(N500*SUMPRODUCT(O500:R500,$O$154:$R$154),0),"")</f>
        <v>1390</v>
      </c>
      <c r="U500" s="94"/>
      <c r="V500" s="94" t="str">
        <f t="shared" si="126"/>
        <v/>
      </c>
      <c r="W500" t="str">
        <f ca="1" t="shared" si="117"/>
        <v/>
      </c>
      <c r="X500" s="94" t="str">
        <f t="shared" si="127"/>
        <v>{61,115}</v>
      </c>
      <c r="Y500" s="94" t="str">
        <f t="shared" si="128"/>
        <v/>
      </c>
      <c r="Z500" s="94" t="str">
        <f ca="1" t="shared" si="129"/>
        <v/>
      </c>
      <c r="AA500" s="94" t="str">
        <f ca="1" t="shared" si="130"/>
        <v/>
      </c>
      <c r="AB500" s="94" t="str">
        <f t="shared" si="131"/>
        <v>{6030001,3}</v>
      </c>
      <c r="AE500" s="94" t="str">
        <f t="shared" si="132"/>
        <v>{2,675}</v>
      </c>
      <c r="AH500" t="str">
        <f ca="1" t="shared" si="124"/>
        <v>[{61,115},{6030001,3},{2,675}]</v>
      </c>
    </row>
    <row r="501" spans="4:34">
      <c r="D501" s="81" t="str">
        <f ca="1" t="shared" si="133"/>
        <v>豪华Ⅲ</v>
      </c>
      <c r="E501" s="84">
        <f t="shared" si="134"/>
        <v>2</v>
      </c>
      <c r="F501" s="84">
        <f>F493+5</f>
        <v>115</v>
      </c>
      <c r="G501" s="84">
        <f>G493+5</f>
        <v>135</v>
      </c>
      <c r="H501" s="84"/>
      <c r="I501" s="84">
        <f t="shared" si="135"/>
        <v>675</v>
      </c>
      <c r="J501" s="84" cm="1">
        <f ca="1" t="array" ref="J501">IF($E501&lt;7,_xlfn.XLOOKUP($D501&amp;$E501,$D$155:$D$395&amp;$E$155:$E$395,J$155:J$395),"")</f>
        <v>0</v>
      </c>
      <c r="K501" s="84" cm="1">
        <f ca="1" t="array" ref="K501">IF($E501&lt;7,_xlfn.XLOOKUP($D501&amp;$E501,$D$155:$D$395&amp;$E$155:$E$395,K$155:K$395),"")</f>
        <v>0</v>
      </c>
      <c r="L501" s="84" cm="1">
        <f ca="1" t="array" ref="L501">IF($E501&lt;7,_xlfn.XLOOKUP($D501&amp;$E501,$D$155:$D$395&amp;$E$155:$E$395,L$155:L$395),"")</f>
        <v>0</v>
      </c>
      <c r="M501" s="84" cm="1">
        <f ca="1" t="array" ref="M501">IF($E501&lt;7,_xlfn.XLOOKUP($D501&amp;$E501,$D$155:$D$395&amp;$E$155:$E$395,M$155:M$395),"")</f>
        <v>0</v>
      </c>
      <c r="N501" s="84" t="s">
        <v>282</v>
      </c>
      <c r="O501" s="84" t="s">
        <v>282</v>
      </c>
      <c r="P501" s="84" t="s">
        <v>282</v>
      </c>
      <c r="Q501" s="84" t="s">
        <v>282</v>
      </c>
      <c r="R501" s="84" t="s">
        <v>282</v>
      </c>
      <c r="S501" s="90">
        <f ca="1" t="shared" si="125"/>
        <v>115</v>
      </c>
      <c r="T501" s="90" cm="1">
        <f ca="1" t="array" ref="T501">IFERROR(SUMPRODUCT(F501:M501,$F$154:$M$154)+IFERROR(N501*SUMPRODUCT(O501:R501,$O$154:$R$154),0),"")</f>
        <v>925</v>
      </c>
      <c r="U501" s="94"/>
      <c r="V501" s="94" t="str">
        <f t="shared" si="126"/>
        <v/>
      </c>
      <c r="W501" t="str">
        <f ca="1" t="shared" si="117"/>
        <v/>
      </c>
      <c r="X501" s="94" t="str">
        <f t="shared" si="127"/>
        <v>{61,115}</v>
      </c>
      <c r="Y501" s="94" t="str">
        <f t="shared" si="128"/>
        <v>{63,135}</v>
      </c>
      <c r="Z501" s="94" t="str">
        <f ca="1" t="shared" si="129"/>
        <v/>
      </c>
      <c r="AA501" s="94" t="str">
        <f ca="1" t="shared" si="130"/>
        <v/>
      </c>
      <c r="AB501" s="94" t="str">
        <f ca="1" t="shared" si="131"/>
        <v/>
      </c>
      <c r="AE501" s="94" t="str">
        <f t="shared" si="132"/>
        <v>{2,675}</v>
      </c>
      <c r="AH501" t="str">
        <f ca="1" t="shared" si="124"/>
        <v>[{61,115},{63,135},{2,675}]</v>
      </c>
    </row>
    <row r="502" spans="4:34">
      <c r="D502" s="81" t="str">
        <f ca="1" t="shared" si="133"/>
        <v>豪华Ⅲ</v>
      </c>
      <c r="E502" s="84">
        <f t="shared" si="134"/>
        <v>3</v>
      </c>
      <c r="F502" s="84">
        <f>F494+5</f>
        <v>115</v>
      </c>
      <c r="G502" s="84"/>
      <c r="H502" s="84"/>
      <c r="I502" s="84">
        <f t="shared" si="135"/>
        <v>675</v>
      </c>
      <c r="J502" s="84">
        <v>4</v>
      </c>
      <c r="K502" s="84" cm="1">
        <f ca="1" t="array" ref="K502">IF($E502&lt;7,_xlfn.XLOOKUP($D502&amp;$E502,$D$155:$D$395&amp;$E$155:$E$395,K$155:K$395),"")</f>
        <v>0</v>
      </c>
      <c r="L502" s="84" cm="1">
        <f ca="1" t="array" ref="L502">IF($E502&lt;7,_xlfn.XLOOKUP($D502&amp;$E502,$D$155:$D$395&amp;$E$155:$E$395,L$155:L$395),"")</f>
        <v>0</v>
      </c>
      <c r="M502" s="84" cm="1">
        <f ca="1" t="array" ref="M502">IF($E502&lt;7,_xlfn.XLOOKUP($D502&amp;$E502,$D$155:$D$395&amp;$E$155:$E$395,M$155:M$395),"")</f>
        <v>0</v>
      </c>
      <c r="N502" s="84" t="s">
        <v>282</v>
      </c>
      <c r="O502" s="84" t="s">
        <v>282</v>
      </c>
      <c r="P502" s="84" t="s">
        <v>282</v>
      </c>
      <c r="Q502" s="84" t="s">
        <v>282</v>
      </c>
      <c r="R502" s="84" t="s">
        <v>282</v>
      </c>
      <c r="S502" s="90">
        <f ca="1" t="shared" si="125"/>
        <v>115</v>
      </c>
      <c r="T502" s="90" cm="1">
        <f ca="1" t="array" ref="T502">IFERROR(SUMPRODUCT(F502:M502,$F$154:$M$154)+IFERROR(N502*SUMPRODUCT(O502:R502,$O$154:$R$154),0),"")</f>
        <v>1590</v>
      </c>
      <c r="U502" s="94"/>
      <c r="V502" s="94" t="str">
        <f t="shared" si="126"/>
        <v/>
      </c>
      <c r="W502" t="str">
        <f ca="1" t="shared" si="117"/>
        <v/>
      </c>
      <c r="X502" s="94" t="str">
        <f t="shared" si="127"/>
        <v>{61,115}</v>
      </c>
      <c r="Y502" s="94" t="str">
        <f t="shared" si="128"/>
        <v/>
      </c>
      <c r="Z502" s="94" t="str">
        <f ca="1" t="shared" si="129"/>
        <v/>
      </c>
      <c r="AA502" s="94" t="str">
        <f ca="1" t="shared" si="130"/>
        <v/>
      </c>
      <c r="AB502" s="94" t="str">
        <f t="shared" si="131"/>
        <v>{6030001,4}</v>
      </c>
      <c r="AE502" s="94" t="str">
        <f t="shared" si="132"/>
        <v>{2,675}</v>
      </c>
      <c r="AH502" t="str">
        <f ca="1" t="shared" si="124"/>
        <v>[{61,115},{6030001,4},{2,675}]</v>
      </c>
    </row>
    <row r="503" spans="4:34">
      <c r="D503" s="81" t="str">
        <f ca="1" t="shared" si="133"/>
        <v>豪华Ⅲ</v>
      </c>
      <c r="E503" s="84">
        <f t="shared" si="134"/>
        <v>4</v>
      </c>
      <c r="F503" s="84">
        <f>CEILING(F504*1.25,5)</f>
        <v>185</v>
      </c>
      <c r="G503" s="84">
        <f>CEILING(G501*1.5,5)</f>
        <v>205</v>
      </c>
      <c r="H503" s="84"/>
      <c r="I503" s="84">
        <f t="shared" si="135"/>
        <v>675</v>
      </c>
      <c r="J503" s="84" cm="1">
        <f ca="1" t="array" ref="J503">IF($E503&lt;7,_xlfn.XLOOKUP($D503&amp;$E503,$D$155:$D$395&amp;$E$155:$E$395,J$155:J$395),"")</f>
        <v>0</v>
      </c>
      <c r="K503" s="84" cm="1">
        <f ca="1" t="array" ref="K503">IF($E503&lt;7,_xlfn.XLOOKUP($D503&amp;$E503,$D$155:$D$395&amp;$E$155:$E$395,K$155:K$395),"")</f>
        <v>0</v>
      </c>
      <c r="L503" s="84" cm="1">
        <f ca="1" t="array" ref="L503">IF($E503&lt;7,_xlfn.XLOOKUP($D503&amp;$E503,$D$155:$D$395&amp;$E$155:$E$395,L$155:L$395),"")</f>
        <v>0</v>
      </c>
      <c r="M503" s="84" cm="1">
        <f ca="1" t="array" ref="M503">IF($E503&lt;7,_xlfn.XLOOKUP($D503&amp;$E503,$D$155:$D$395&amp;$E$155:$E$395,M$155:M$395),"")</f>
        <v>0</v>
      </c>
      <c r="N503" s="84" t="s">
        <v>282</v>
      </c>
      <c r="O503" s="84" t="s">
        <v>282</v>
      </c>
      <c r="P503" s="84" t="s">
        <v>282</v>
      </c>
      <c r="Q503" s="84" t="s">
        <v>282</v>
      </c>
      <c r="R503" s="84" t="s">
        <v>282</v>
      </c>
      <c r="S503" s="90">
        <f ca="1" t="shared" si="125"/>
        <v>115</v>
      </c>
      <c r="T503" s="90" cm="1">
        <f ca="1" t="array" ref="T503">IFERROR(SUMPRODUCT(F503:M503,$F$154:$M$154)+IFERROR(N503*SUMPRODUCT(O503:R503,$O$154:$R$154),0),"")</f>
        <v>1065</v>
      </c>
      <c r="U503" s="94"/>
      <c r="V503" s="94" t="str">
        <f t="shared" si="126"/>
        <v/>
      </c>
      <c r="W503" t="str">
        <f ca="1" t="shared" si="117"/>
        <v/>
      </c>
      <c r="X503" s="94" t="str">
        <f t="shared" si="127"/>
        <v>{61,185}</v>
      </c>
      <c r="Y503" s="94" t="str">
        <f t="shared" si="128"/>
        <v>{63,205}</v>
      </c>
      <c r="Z503" s="94" t="str">
        <f ca="1" t="shared" si="129"/>
        <v/>
      </c>
      <c r="AA503" s="94" t="str">
        <f ca="1" t="shared" si="130"/>
        <v/>
      </c>
      <c r="AB503" s="94" t="str">
        <f ca="1" t="shared" si="131"/>
        <v/>
      </c>
      <c r="AE503" s="94" t="str">
        <f t="shared" si="132"/>
        <v>{2,675}</v>
      </c>
      <c r="AH503" t="str">
        <f ca="1" t="shared" si="124"/>
        <v>[{61,185},{63,205},{2,675}]</v>
      </c>
    </row>
    <row r="504" spans="4:34">
      <c r="D504" s="81" t="str">
        <f ca="1" t="shared" si="133"/>
        <v>豪华Ⅲ</v>
      </c>
      <c r="E504" s="84">
        <f t="shared" si="134"/>
        <v>5</v>
      </c>
      <c r="F504" s="84">
        <f>CEILING(F500*1.25,5)</f>
        <v>145</v>
      </c>
      <c r="G504" s="84"/>
      <c r="H504" s="84"/>
      <c r="I504" s="84">
        <f t="shared" si="135"/>
        <v>675</v>
      </c>
      <c r="J504" s="84">
        <v>7</v>
      </c>
      <c r="K504" s="84"/>
      <c r="L504" s="84" cm="1">
        <f ca="1" t="array" ref="L504">IF($E504&lt;7,_xlfn.XLOOKUP($D504&amp;$E504,$D$155:$D$395&amp;$E$155:$E$395,L$155:L$395),"")</f>
        <v>0</v>
      </c>
      <c r="M504" s="84" cm="1">
        <f ca="1" t="array" ref="M504">IF($E504&lt;7,_xlfn.XLOOKUP($D504&amp;$E504,$D$155:$D$395&amp;$E$155:$E$395,M$155:M$395),"")</f>
        <v>0</v>
      </c>
      <c r="N504" s="84" t="s">
        <v>282</v>
      </c>
      <c r="O504" s="84" t="s">
        <v>282</v>
      </c>
      <c r="P504" s="84" t="s">
        <v>282</v>
      </c>
      <c r="Q504" s="84" t="s">
        <v>282</v>
      </c>
      <c r="R504" s="84" t="s">
        <v>282</v>
      </c>
      <c r="S504" s="90">
        <f ca="1" t="shared" si="125"/>
        <v>115</v>
      </c>
      <c r="T504" s="90" cm="1">
        <f ca="1" t="array" ref="T504">IFERROR(SUMPRODUCT(F504:M504,$F$154:$M$154)+IFERROR(N504*SUMPRODUCT(O504:R504,$O$154:$R$154),0),"")</f>
        <v>2220</v>
      </c>
      <c r="U504" s="94"/>
      <c r="V504" s="94" t="str">
        <f t="shared" si="126"/>
        <v/>
      </c>
      <c r="W504" t="str">
        <f ca="1" t="shared" si="117"/>
        <v/>
      </c>
      <c r="X504" s="94" t="str">
        <f t="shared" si="127"/>
        <v>{61,145}</v>
      </c>
      <c r="Y504" s="94" t="str">
        <f t="shared" si="128"/>
        <v/>
      </c>
      <c r="Z504" s="94" t="str">
        <f ca="1" t="shared" si="129"/>
        <v/>
      </c>
      <c r="AA504" s="94" t="str">
        <f t="shared" si="130"/>
        <v/>
      </c>
      <c r="AB504" s="94" t="str">
        <f t="shared" si="131"/>
        <v>{6030001,7}</v>
      </c>
      <c r="AE504" s="94" t="str">
        <f t="shared" si="132"/>
        <v>{2,675}</v>
      </c>
      <c r="AH504" t="str">
        <f ca="1" t="shared" si="124"/>
        <v>[{61,145},{6030001,7},{2,675}]</v>
      </c>
    </row>
    <row r="505" spans="4:34">
      <c r="D505" s="81" t="str">
        <f ca="1" t="shared" si="133"/>
        <v>豪华Ⅲ</v>
      </c>
      <c r="E505" s="84">
        <f t="shared" si="134"/>
        <v>6</v>
      </c>
      <c r="F505" s="84">
        <f>CEILING(F501*1.25,5)</f>
        <v>145</v>
      </c>
      <c r="G505" s="84">
        <f>G503</f>
        <v>205</v>
      </c>
      <c r="H505" s="84"/>
      <c r="I505" s="84">
        <f t="shared" si="135"/>
        <v>675</v>
      </c>
      <c r="J505" s="84" cm="1">
        <f ca="1" t="array" ref="J505">IF($E505&lt;7,_xlfn.XLOOKUP($D505&amp;$E505,$D$155:$D$395&amp;$E$155:$E$395,J$155:J$395),"")</f>
        <v>0</v>
      </c>
      <c r="K505" s="84" cm="1">
        <f ca="1" t="array" ref="K505">IF($E505&lt;7,_xlfn.XLOOKUP($D505&amp;$E505,$D$155:$D$395&amp;$E$155:$E$395,K$155:K$395),"")</f>
        <v>0</v>
      </c>
      <c r="L505" s="84" cm="1">
        <f ca="1" t="array" ref="L505">IF($E505&lt;7,_xlfn.XLOOKUP($D505&amp;$E505,$D$155:$D$395&amp;$E$155:$E$395,L$155:L$395),"")</f>
        <v>0</v>
      </c>
      <c r="M505" s="84" cm="1">
        <f ca="1" t="array" ref="M505">IF($E505&lt;7,_xlfn.XLOOKUP($D505&amp;$E505,$D$155:$D$395&amp;$E$155:$E$395,M$155:M$395),"")</f>
        <v>0</v>
      </c>
      <c r="N505" s="84" t="s">
        <v>282</v>
      </c>
      <c r="O505" s="84" t="s">
        <v>282</v>
      </c>
      <c r="P505" s="84" t="s">
        <v>282</v>
      </c>
      <c r="Q505" s="84" t="s">
        <v>282</v>
      </c>
      <c r="R505" s="84" t="s">
        <v>282</v>
      </c>
      <c r="S505" s="90">
        <f ca="1" t="shared" si="125"/>
        <v>115</v>
      </c>
      <c r="T505" s="90" cm="1">
        <f ca="1" t="array" ref="T505">IFERROR(SUMPRODUCT(F505:M505,$F$154:$M$154)+IFERROR(N505*SUMPRODUCT(O505:R505,$O$154:$R$154),0),"")</f>
        <v>1025</v>
      </c>
      <c r="U505" s="94"/>
      <c r="V505" s="94" t="str">
        <f t="shared" si="126"/>
        <v/>
      </c>
      <c r="W505" t="str">
        <f ca="1" t="shared" si="117"/>
        <v/>
      </c>
      <c r="X505" s="94" t="str">
        <f t="shared" si="127"/>
        <v>{61,145}</v>
      </c>
      <c r="Y505" s="94" t="str">
        <f t="shared" si="128"/>
        <v>{63,205}</v>
      </c>
      <c r="Z505" s="94" t="str">
        <f ca="1" t="shared" si="129"/>
        <v/>
      </c>
      <c r="AA505" s="94" t="str">
        <f ca="1" t="shared" si="130"/>
        <v/>
      </c>
      <c r="AB505" s="94" t="str">
        <f ca="1" t="shared" si="131"/>
        <v/>
      </c>
      <c r="AE505" s="94" t="str">
        <f t="shared" si="132"/>
        <v>{2,675}</v>
      </c>
      <c r="AH505" t="str">
        <f ca="1" t="shared" si="124"/>
        <v>[{61,145},{63,205},{2,675}]</v>
      </c>
    </row>
    <row r="506" spans="4:34">
      <c r="D506" s="81" t="str">
        <f ca="1" t="shared" si="133"/>
        <v>豪华Ⅲ</v>
      </c>
      <c r="E506" s="84">
        <f t="shared" si="134"/>
        <v>7</v>
      </c>
      <c r="F506" s="84">
        <f>CEILING(F502*1.25,5)</f>
        <v>145</v>
      </c>
      <c r="G506" s="84"/>
      <c r="H506" s="84"/>
      <c r="I506" s="84">
        <f t="shared" si="135"/>
        <v>675</v>
      </c>
      <c r="J506" s="84" t="str" cm="1">
        <f ca="1" t="array" ref="J506">IF($E506&lt;7,_xlfn.XLOOKUP($D506&amp;$E506,$D$155:$D$395&amp;$E$155:$E$395,J$155:J$395),"")</f>
        <v/>
      </c>
      <c r="K506" s="84">
        <v>6</v>
      </c>
      <c r="L506" s="84" t="str" cm="1">
        <f ca="1" t="array" ref="L506">IF($E506&lt;7,_xlfn.XLOOKUP($D506&amp;$E506,$D$155:$D$395&amp;$E$155:$E$395,L$155:L$395),"")</f>
        <v/>
      </c>
      <c r="M506" s="84" t="str" cm="1">
        <f ca="1" t="array" ref="M506">IF($E506&lt;7,_xlfn.XLOOKUP($D506&amp;$E506,$D$155:$D$395&amp;$E$155:$E$395,M$155:M$395),"")</f>
        <v/>
      </c>
      <c r="N506" s="84" t="s">
        <v>282</v>
      </c>
      <c r="O506" s="84" t="s">
        <v>282</v>
      </c>
      <c r="P506" s="84" t="s">
        <v>282</v>
      </c>
      <c r="Q506" s="84" t="s">
        <v>282</v>
      </c>
      <c r="R506" s="84" t="s">
        <v>282</v>
      </c>
      <c r="S506" s="90">
        <f ca="1" t="shared" si="125"/>
        <v>115</v>
      </c>
      <c r="T506" s="90" cm="1">
        <f ca="1" t="array" ref="T506">IFERROR(SUMPRODUCT(F506:M506,$F$154:$M$154)+IFERROR(N506*SUMPRODUCT(O506:R506,$O$154:$R$154),0),"")</f>
        <v>3220</v>
      </c>
      <c r="U506" s="94"/>
      <c r="V506" s="94" t="str">
        <f t="shared" si="126"/>
        <v/>
      </c>
      <c r="W506" t="str">
        <f ca="1" t="shared" si="117"/>
        <v/>
      </c>
      <c r="X506" s="94" t="str">
        <f t="shared" si="127"/>
        <v>{61,145}</v>
      </c>
      <c r="Y506" s="94" t="str">
        <f t="shared" si="128"/>
        <v/>
      </c>
      <c r="Z506" s="94" t="str">
        <f ca="1" t="shared" si="129"/>
        <v/>
      </c>
      <c r="AA506" s="94" t="str">
        <f t="shared" si="130"/>
        <v>{6030002,6}</v>
      </c>
      <c r="AB506" s="94" t="str">
        <f ca="1" t="shared" si="131"/>
        <v/>
      </c>
      <c r="AE506" s="94" t="str">
        <f t="shared" si="132"/>
        <v>{2,675}</v>
      </c>
      <c r="AH506" t="str">
        <f ca="1" t="shared" si="124"/>
        <v>[{61,145},{6030002,6},{2,675}]</v>
      </c>
    </row>
    <row r="507" spans="4:34">
      <c r="D507" s="81" t="str">
        <f ca="1" t="shared" si="133"/>
        <v>豪华Ⅲ</v>
      </c>
      <c r="E507" s="84">
        <f t="shared" si="134"/>
        <v>8</v>
      </c>
      <c r="F507" s="84">
        <f>CEILING(F506*1.5,5)</f>
        <v>220</v>
      </c>
      <c r="G507" s="84">
        <f>CEILING(G505*1.5,5)</f>
        <v>310</v>
      </c>
      <c r="H507" s="84">
        <f>1</f>
        <v>1</v>
      </c>
      <c r="I507" s="84">
        <f t="shared" si="135"/>
        <v>675</v>
      </c>
      <c r="J507" s="84" t="str" cm="1">
        <f ca="1" t="array" ref="J507">IF($E507&lt;7,_xlfn.XLOOKUP($D507&amp;$E507,$D$155:$D$395&amp;$E$155:$E$395,J$155:J$395),"")</f>
        <v/>
      </c>
      <c r="K507" s="84" t="str" cm="1">
        <f ca="1" t="array" ref="K507">IF($E507&lt;7,_xlfn.XLOOKUP($D507&amp;$E507,$D$155:$D$395&amp;$E$155:$E$395,K$155:K$395),"")</f>
        <v/>
      </c>
      <c r="L507" s="84" t="str" cm="1">
        <f ca="1" t="array" ref="L507">IF($E507&lt;7,_xlfn.XLOOKUP($D507&amp;$E507,$D$155:$D$395&amp;$E$155:$E$395,L$155:L$395),"")</f>
        <v/>
      </c>
      <c r="M507" s="84" t="str" cm="1">
        <f ca="1" t="array" ref="M507">IF($E507&lt;7,_xlfn.XLOOKUP($D507&amp;$E507,$D$155:$D$395&amp;$E$155:$E$395,M$155:M$395),"")</f>
        <v/>
      </c>
      <c r="N507" s="84">
        <v>8</v>
      </c>
      <c r="O507" s="84">
        <v>0</v>
      </c>
      <c r="P507" s="84">
        <v>0.88</v>
      </c>
      <c r="Q507" s="84">
        <v>0.12</v>
      </c>
      <c r="R507" s="84">
        <v>0</v>
      </c>
      <c r="S507" s="90">
        <f ca="1" t="shared" si="125"/>
        <v>115</v>
      </c>
      <c r="T507" s="90" cm="1">
        <f ca="1" t="array" ref="T507">IFERROR(SUMPRODUCT(F507:M507,$F$154:$M$154)+IFERROR(N507*SUMPRODUCT(O507:R507,$O$154:$R$154),0),"")</f>
        <v>4939</v>
      </c>
      <c r="U507" s="94"/>
      <c r="V507" s="94" t="str">
        <f t="shared" si="126"/>
        <v>{62,1}</v>
      </c>
      <c r="W507" t="str">
        <f ca="1" t="shared" si="117"/>
        <v>{6020008,8}</v>
      </c>
      <c r="X507" s="94" t="str">
        <f t="shared" si="127"/>
        <v>{61,220}</v>
      </c>
      <c r="Y507" s="94" t="str">
        <f t="shared" si="128"/>
        <v>{63,310}</v>
      </c>
      <c r="Z507" s="94" t="str">
        <f ca="1" t="shared" si="129"/>
        <v/>
      </c>
      <c r="AA507" s="94" t="str">
        <f ca="1" t="shared" si="130"/>
        <v/>
      </c>
      <c r="AB507" s="94" t="str">
        <f ca="1" t="shared" si="131"/>
        <v/>
      </c>
      <c r="AE507" s="94" t="str">
        <f t="shared" si="132"/>
        <v>{2,675}</v>
      </c>
      <c r="AH507" t="str">
        <f ca="1" t="shared" si="124"/>
        <v>[{62,1},{6020008,8},{61,220},{63,310},{2,675}]</v>
      </c>
    </row>
    <row r="508" spans="4:34">
      <c r="D508" s="81" t="str">
        <f ca="1" t="shared" si="133"/>
        <v>豪华Ⅳ</v>
      </c>
      <c r="E508" s="84">
        <f t="shared" si="134"/>
        <v>1</v>
      </c>
      <c r="F508" s="84">
        <f>F500+5</f>
        <v>120</v>
      </c>
      <c r="G508" s="84"/>
      <c r="H508" s="84"/>
      <c r="I508" s="84">
        <f t="shared" si="135"/>
        <v>700</v>
      </c>
      <c r="J508" s="84">
        <v>3</v>
      </c>
      <c r="K508" s="84" cm="1">
        <f ca="1" t="array" ref="K508">IF($E508&lt;7,_xlfn.XLOOKUP($D508&amp;$E508,$D$155:$D$395&amp;$E$155:$E$395,K$155:K$395),"")</f>
        <v>0</v>
      </c>
      <c r="L508" s="84" cm="1">
        <f ca="1" t="array" ref="L508">IF($E508&lt;7,_xlfn.XLOOKUP($D508&amp;$E508,$D$155:$D$395&amp;$E$155:$E$395,L$155:L$395),"")</f>
        <v>0</v>
      </c>
      <c r="M508" s="84" cm="1">
        <f ca="1" t="array" ref="M508">IF($E508&lt;7,_xlfn.XLOOKUP($D508&amp;$E508,$D$155:$D$395&amp;$E$155:$E$395,M$155:M$395),"")</f>
        <v>0</v>
      </c>
      <c r="N508" s="84" t="s">
        <v>282</v>
      </c>
      <c r="O508" s="84" t="s">
        <v>282</v>
      </c>
      <c r="P508" s="84" t="s">
        <v>282</v>
      </c>
      <c r="Q508" s="84" t="s">
        <v>282</v>
      </c>
      <c r="R508" s="84" t="s">
        <v>282</v>
      </c>
      <c r="S508" s="90">
        <f ca="1" t="shared" si="125"/>
        <v>125</v>
      </c>
      <c r="T508" s="90" cm="1">
        <f ca="1" t="array" ref="T508">IFERROR(SUMPRODUCT(F508:M508,$F$154:$M$154)+IFERROR(N508*SUMPRODUCT(O508:R508,$O$154:$R$154),0),"")</f>
        <v>1420</v>
      </c>
      <c r="U508" s="94"/>
      <c r="V508" s="94" t="str">
        <f t="shared" si="126"/>
        <v/>
      </c>
      <c r="W508" t="str">
        <f ca="1" t="shared" si="117"/>
        <v/>
      </c>
      <c r="X508" s="94" t="str">
        <f t="shared" si="127"/>
        <v>{61,120}</v>
      </c>
      <c r="Y508" s="94" t="str">
        <f t="shared" si="128"/>
        <v/>
      </c>
      <c r="Z508" s="94" t="str">
        <f ca="1" t="shared" si="129"/>
        <v/>
      </c>
      <c r="AA508" s="94" t="str">
        <f ca="1" t="shared" si="130"/>
        <v/>
      </c>
      <c r="AB508" s="94" t="str">
        <f t="shared" si="131"/>
        <v>{6030001,3}</v>
      </c>
      <c r="AE508" s="94" t="str">
        <f t="shared" si="132"/>
        <v>{2,700}</v>
      </c>
      <c r="AH508" t="str">
        <f ca="1" t="shared" si="124"/>
        <v>[{61,120},{6030001,3},{2,700}]</v>
      </c>
    </row>
    <row r="509" spans="4:34">
      <c r="D509" s="81" t="str">
        <f ca="1" t="shared" si="133"/>
        <v>豪华Ⅳ</v>
      </c>
      <c r="E509" s="84">
        <f t="shared" si="134"/>
        <v>2</v>
      </c>
      <c r="F509" s="84">
        <f>F501+5</f>
        <v>120</v>
      </c>
      <c r="G509" s="84">
        <f>G501+5</f>
        <v>140</v>
      </c>
      <c r="H509" s="84"/>
      <c r="I509" s="84">
        <f t="shared" si="135"/>
        <v>700</v>
      </c>
      <c r="J509" s="84" cm="1">
        <f ca="1" t="array" ref="J509">IF($E509&lt;7,_xlfn.XLOOKUP($D509&amp;$E509,$D$155:$D$395&amp;$E$155:$E$395,J$155:J$395),"")</f>
        <v>0</v>
      </c>
      <c r="K509" s="84" cm="1">
        <f ca="1" t="array" ref="K509">IF($E509&lt;7,_xlfn.XLOOKUP($D509&amp;$E509,$D$155:$D$395&amp;$E$155:$E$395,K$155:K$395),"")</f>
        <v>0</v>
      </c>
      <c r="L509" s="84" cm="1">
        <f ca="1" t="array" ref="L509">IF($E509&lt;7,_xlfn.XLOOKUP($D509&amp;$E509,$D$155:$D$395&amp;$E$155:$E$395,L$155:L$395),"")</f>
        <v>0</v>
      </c>
      <c r="M509" s="84" cm="1">
        <f ca="1" t="array" ref="M509">IF($E509&lt;7,_xlfn.XLOOKUP($D509&amp;$E509,$D$155:$D$395&amp;$E$155:$E$395,M$155:M$395),"")</f>
        <v>0</v>
      </c>
      <c r="N509" s="84" t="s">
        <v>282</v>
      </c>
      <c r="O509" s="84" t="s">
        <v>282</v>
      </c>
      <c r="P509" s="84" t="s">
        <v>282</v>
      </c>
      <c r="Q509" s="84" t="s">
        <v>282</v>
      </c>
      <c r="R509" s="84" t="s">
        <v>282</v>
      </c>
      <c r="S509" s="90">
        <f ca="1" t="shared" si="125"/>
        <v>125</v>
      </c>
      <c r="T509" s="90" cm="1">
        <f ca="1" t="array" ref="T509">IFERROR(SUMPRODUCT(F509:M509,$F$154:$M$154)+IFERROR(N509*SUMPRODUCT(O509:R509,$O$154:$R$154),0),"")</f>
        <v>960</v>
      </c>
      <c r="U509" s="94"/>
      <c r="V509" s="94" t="str">
        <f t="shared" si="126"/>
        <v/>
      </c>
      <c r="W509" t="str">
        <f ca="1" t="shared" ref="W509:W572" si="136">IF(OR(E509=8),"{"&amp;6020000+MATCH(D509,$D$400:$D$439,0)&amp;",8}","")</f>
        <v/>
      </c>
      <c r="X509" s="94" t="str">
        <f t="shared" si="127"/>
        <v>{61,120}</v>
      </c>
      <c r="Y509" s="94" t="str">
        <f t="shared" si="128"/>
        <v>{63,140}</v>
      </c>
      <c r="Z509" s="94" t="str">
        <f ca="1" t="shared" si="129"/>
        <v/>
      </c>
      <c r="AA509" s="94" t="str">
        <f ca="1" t="shared" si="130"/>
        <v/>
      </c>
      <c r="AB509" s="94" t="str">
        <f ca="1" t="shared" si="131"/>
        <v/>
      </c>
      <c r="AE509" s="94" t="str">
        <f t="shared" si="132"/>
        <v>{2,700}</v>
      </c>
      <c r="AH509" t="str">
        <f ca="1" t="shared" ref="AH509:AH572" si="137">"["&amp;_xlfn.TEXTJOIN(",",1,V509:AF509)&amp;"]"</f>
        <v>[{61,120},{63,140},{2,700}]</v>
      </c>
    </row>
    <row r="510" spans="4:34">
      <c r="D510" s="81" t="str">
        <f ca="1" t="shared" si="133"/>
        <v>豪华Ⅳ</v>
      </c>
      <c r="E510" s="84">
        <f t="shared" si="134"/>
        <v>3</v>
      </c>
      <c r="F510" s="84">
        <f>F502+5</f>
        <v>120</v>
      </c>
      <c r="G510" s="84"/>
      <c r="H510" s="84"/>
      <c r="I510" s="84">
        <f t="shared" si="135"/>
        <v>700</v>
      </c>
      <c r="J510" s="84">
        <v>5</v>
      </c>
      <c r="K510" s="84" cm="1">
        <f ca="1" t="array" ref="K510">IF($E510&lt;7,_xlfn.XLOOKUP($D510&amp;$E510,$D$155:$D$395&amp;$E$155:$E$395,K$155:K$395),"")</f>
        <v>0</v>
      </c>
      <c r="L510" s="84" cm="1">
        <f ca="1" t="array" ref="L510">IF($E510&lt;7,_xlfn.XLOOKUP($D510&amp;$E510,$D$155:$D$395&amp;$E$155:$E$395,L$155:L$395),"")</f>
        <v>0</v>
      </c>
      <c r="M510" s="84" cm="1">
        <f ca="1" t="array" ref="M510">IF($E510&lt;7,_xlfn.XLOOKUP($D510&amp;$E510,$D$155:$D$395&amp;$E$155:$E$395,M$155:M$395),"")</f>
        <v>0</v>
      </c>
      <c r="N510" s="84" t="s">
        <v>282</v>
      </c>
      <c r="O510" s="84" t="s">
        <v>282</v>
      </c>
      <c r="P510" s="84" t="s">
        <v>282</v>
      </c>
      <c r="Q510" s="84" t="s">
        <v>282</v>
      </c>
      <c r="R510" s="84" t="s">
        <v>282</v>
      </c>
      <c r="S510" s="90">
        <f ca="1" t="shared" ref="S510:S573" si="138">_xlfn.XLOOKUP(D510,$D$111:$D$151,$E$111:$E$151)</f>
        <v>125</v>
      </c>
      <c r="T510" s="90" cm="1">
        <f ca="1" t="array" ref="T510">IFERROR(SUMPRODUCT(F510:M510,$F$154:$M$154)+IFERROR(N510*SUMPRODUCT(O510:R510,$O$154:$R$154),0),"")</f>
        <v>1820</v>
      </c>
      <c r="U510" s="94"/>
      <c r="V510" s="94" t="str">
        <f t="shared" si="126"/>
        <v/>
      </c>
      <c r="W510" t="str">
        <f ca="1" t="shared" si="136"/>
        <v/>
      </c>
      <c r="X510" s="94" t="str">
        <f t="shared" si="127"/>
        <v>{61,120}</v>
      </c>
      <c r="Y510" s="94" t="str">
        <f t="shared" si="128"/>
        <v/>
      </c>
      <c r="Z510" s="94" t="str">
        <f ca="1" t="shared" si="129"/>
        <v/>
      </c>
      <c r="AA510" s="94" t="str">
        <f ca="1" t="shared" si="130"/>
        <v/>
      </c>
      <c r="AB510" s="94" t="str">
        <f t="shared" si="131"/>
        <v>{6030001,5}</v>
      </c>
      <c r="AE510" s="94" t="str">
        <f t="shared" si="132"/>
        <v>{2,700}</v>
      </c>
      <c r="AH510" t="str">
        <f ca="1" t="shared" si="137"/>
        <v>[{61,120},{6030001,5},{2,700}]</v>
      </c>
    </row>
    <row r="511" spans="4:34">
      <c r="D511" s="81" t="str">
        <f ca="1" t="shared" si="133"/>
        <v>豪华Ⅳ</v>
      </c>
      <c r="E511" s="84">
        <f t="shared" si="134"/>
        <v>4</v>
      </c>
      <c r="F511" s="84">
        <f>CEILING(F512*1.25,5)</f>
        <v>190</v>
      </c>
      <c r="G511" s="84">
        <f>CEILING(G509*1.5,5)</f>
        <v>210</v>
      </c>
      <c r="H511" s="84"/>
      <c r="I511" s="84">
        <f t="shared" si="135"/>
        <v>700</v>
      </c>
      <c r="J511" s="84" cm="1">
        <f ca="1" t="array" ref="J511">IF($E511&lt;7,_xlfn.XLOOKUP($D511&amp;$E511,$D$155:$D$395&amp;$E$155:$E$395,J$155:J$395),"")</f>
        <v>0</v>
      </c>
      <c r="K511" s="84" cm="1">
        <f ca="1" t="array" ref="K511">IF($E511&lt;7,_xlfn.XLOOKUP($D511&amp;$E511,$D$155:$D$395&amp;$E$155:$E$395,K$155:K$395),"")</f>
        <v>0</v>
      </c>
      <c r="L511" s="84" cm="1">
        <f ca="1" t="array" ref="L511">IF($E511&lt;7,_xlfn.XLOOKUP($D511&amp;$E511,$D$155:$D$395&amp;$E$155:$E$395,L$155:L$395),"")</f>
        <v>0</v>
      </c>
      <c r="M511" s="84" cm="1">
        <f ca="1" t="array" ref="M511">IF($E511&lt;7,_xlfn.XLOOKUP($D511&amp;$E511,$D$155:$D$395&amp;$E$155:$E$395,M$155:M$395),"")</f>
        <v>0</v>
      </c>
      <c r="N511" s="84" t="s">
        <v>282</v>
      </c>
      <c r="O511" s="84" t="s">
        <v>282</v>
      </c>
      <c r="P511" s="84" t="s">
        <v>282</v>
      </c>
      <c r="Q511" s="84" t="s">
        <v>282</v>
      </c>
      <c r="R511" s="84" t="s">
        <v>282</v>
      </c>
      <c r="S511" s="90">
        <f ca="1" t="shared" si="138"/>
        <v>125</v>
      </c>
      <c r="T511" s="90" cm="1">
        <f ca="1" t="array" ref="T511">IFERROR(SUMPRODUCT(F511:M511,$F$154:$M$154)+IFERROR(N511*SUMPRODUCT(O511:R511,$O$154:$R$154),0),"")</f>
        <v>1100</v>
      </c>
      <c r="U511" s="94"/>
      <c r="V511" s="94" t="str">
        <f t="shared" si="126"/>
        <v/>
      </c>
      <c r="W511" t="str">
        <f ca="1" t="shared" si="136"/>
        <v/>
      </c>
      <c r="X511" s="94" t="str">
        <f t="shared" si="127"/>
        <v>{61,190}</v>
      </c>
      <c r="Y511" s="94" t="str">
        <f t="shared" si="128"/>
        <v>{63,210}</v>
      </c>
      <c r="Z511" s="94" t="str">
        <f ca="1" t="shared" si="129"/>
        <v/>
      </c>
      <c r="AA511" s="94" t="str">
        <f ca="1" t="shared" si="130"/>
        <v/>
      </c>
      <c r="AB511" s="94" t="str">
        <f ca="1" t="shared" si="131"/>
        <v/>
      </c>
      <c r="AE511" s="94" t="str">
        <f t="shared" si="132"/>
        <v>{2,700}</v>
      </c>
      <c r="AH511" t="str">
        <f ca="1" t="shared" si="137"/>
        <v>[{61,190},{63,210},{2,700}]</v>
      </c>
    </row>
    <row r="512" spans="4:34">
      <c r="D512" s="81" t="str">
        <f ca="1" t="shared" si="133"/>
        <v>豪华Ⅳ</v>
      </c>
      <c r="E512" s="84">
        <f t="shared" si="134"/>
        <v>5</v>
      </c>
      <c r="F512" s="84">
        <f>CEILING(F508*1.25,5)</f>
        <v>150</v>
      </c>
      <c r="G512" s="84"/>
      <c r="H512" s="84"/>
      <c r="I512" s="84">
        <f t="shared" si="135"/>
        <v>700</v>
      </c>
      <c r="J512" s="84">
        <v>7</v>
      </c>
      <c r="K512" s="84"/>
      <c r="L512" s="84" cm="1">
        <f ca="1" t="array" ref="L512">IF($E512&lt;7,_xlfn.XLOOKUP($D512&amp;$E512,$D$155:$D$395&amp;$E$155:$E$395,L$155:L$395),"")</f>
        <v>0</v>
      </c>
      <c r="M512" s="84" cm="1">
        <f ca="1" t="array" ref="M512">IF($E512&lt;7,_xlfn.XLOOKUP($D512&amp;$E512,$D$155:$D$395&amp;$E$155:$E$395,M$155:M$395),"")</f>
        <v>0</v>
      </c>
      <c r="N512" s="84" t="s">
        <v>282</v>
      </c>
      <c r="O512" s="84" t="s">
        <v>282</v>
      </c>
      <c r="P512" s="84" t="s">
        <v>282</v>
      </c>
      <c r="Q512" s="84" t="s">
        <v>282</v>
      </c>
      <c r="R512" s="84" t="s">
        <v>282</v>
      </c>
      <c r="S512" s="90">
        <f ca="1" t="shared" si="138"/>
        <v>125</v>
      </c>
      <c r="T512" s="90" cm="1">
        <f ca="1" t="array" ref="T512">IFERROR(SUMPRODUCT(F512:M512,$F$154:$M$154)+IFERROR(N512*SUMPRODUCT(O512:R512,$O$154:$R$154),0),"")</f>
        <v>2250</v>
      </c>
      <c r="U512" s="94"/>
      <c r="V512" s="94" t="str">
        <f t="shared" si="126"/>
        <v/>
      </c>
      <c r="W512" t="str">
        <f ca="1" t="shared" si="136"/>
        <v/>
      </c>
      <c r="X512" s="94" t="str">
        <f t="shared" si="127"/>
        <v>{61,150}</v>
      </c>
      <c r="Y512" s="94" t="str">
        <f t="shared" si="128"/>
        <v/>
      </c>
      <c r="Z512" s="94" t="str">
        <f ca="1" t="shared" si="129"/>
        <v/>
      </c>
      <c r="AA512" s="94" t="str">
        <f t="shared" si="130"/>
        <v/>
      </c>
      <c r="AB512" s="94" t="str">
        <f t="shared" si="131"/>
        <v>{6030001,7}</v>
      </c>
      <c r="AE512" s="94" t="str">
        <f t="shared" si="132"/>
        <v>{2,700}</v>
      </c>
      <c r="AH512" t="str">
        <f ca="1" t="shared" si="137"/>
        <v>[{61,150},{6030001,7},{2,700}]</v>
      </c>
    </row>
    <row r="513" spans="4:34">
      <c r="D513" s="81" t="str">
        <f ca="1" t="shared" si="133"/>
        <v>豪华Ⅳ</v>
      </c>
      <c r="E513" s="84">
        <f t="shared" si="134"/>
        <v>6</v>
      </c>
      <c r="F513" s="84">
        <f>CEILING(F509*1.25,5)</f>
        <v>150</v>
      </c>
      <c r="G513" s="84">
        <f>G511</f>
        <v>210</v>
      </c>
      <c r="H513" s="84"/>
      <c r="I513" s="84">
        <f t="shared" si="135"/>
        <v>700</v>
      </c>
      <c r="J513" s="84" cm="1">
        <f ca="1" t="array" ref="J513">IF($E513&lt;7,_xlfn.XLOOKUP($D513&amp;$E513,$D$155:$D$395&amp;$E$155:$E$395,J$155:J$395),"")</f>
        <v>0</v>
      </c>
      <c r="K513" s="84" cm="1">
        <f ca="1" t="array" ref="K513">IF($E513&lt;7,_xlfn.XLOOKUP($D513&amp;$E513,$D$155:$D$395&amp;$E$155:$E$395,K$155:K$395),"")</f>
        <v>0</v>
      </c>
      <c r="L513" s="84" cm="1">
        <f ca="1" t="array" ref="L513">IF($E513&lt;7,_xlfn.XLOOKUP($D513&amp;$E513,$D$155:$D$395&amp;$E$155:$E$395,L$155:L$395),"")</f>
        <v>0</v>
      </c>
      <c r="M513" s="84" cm="1">
        <f ca="1" t="array" ref="M513">IF($E513&lt;7,_xlfn.XLOOKUP($D513&amp;$E513,$D$155:$D$395&amp;$E$155:$E$395,M$155:M$395),"")</f>
        <v>0</v>
      </c>
      <c r="N513" s="84" t="s">
        <v>282</v>
      </c>
      <c r="O513" s="84" t="s">
        <v>282</v>
      </c>
      <c r="P513" s="84" t="s">
        <v>282</v>
      </c>
      <c r="Q513" s="84" t="s">
        <v>282</v>
      </c>
      <c r="R513" s="84" t="s">
        <v>282</v>
      </c>
      <c r="S513" s="90">
        <f ca="1" t="shared" si="138"/>
        <v>125</v>
      </c>
      <c r="T513" s="90" cm="1">
        <f ca="1" t="array" ref="T513">IFERROR(SUMPRODUCT(F513:M513,$F$154:$M$154)+IFERROR(N513*SUMPRODUCT(O513:R513,$O$154:$R$154),0),"")</f>
        <v>1060</v>
      </c>
      <c r="U513" s="94"/>
      <c r="V513" s="94" t="str">
        <f t="shared" si="126"/>
        <v/>
      </c>
      <c r="W513" t="str">
        <f ca="1" t="shared" si="136"/>
        <v/>
      </c>
      <c r="X513" s="94" t="str">
        <f t="shared" si="127"/>
        <v>{61,150}</v>
      </c>
      <c r="Y513" s="94" t="str">
        <f t="shared" si="128"/>
        <v>{63,210}</v>
      </c>
      <c r="Z513" s="94" t="str">
        <f ca="1" t="shared" si="129"/>
        <v/>
      </c>
      <c r="AA513" s="94" t="str">
        <f ca="1" t="shared" si="130"/>
        <v/>
      </c>
      <c r="AB513" s="94" t="str">
        <f ca="1" t="shared" si="131"/>
        <v/>
      </c>
      <c r="AE513" s="94" t="str">
        <f t="shared" si="132"/>
        <v>{2,700}</v>
      </c>
      <c r="AH513" t="str">
        <f ca="1" t="shared" si="137"/>
        <v>[{61,150},{63,210},{2,700}]</v>
      </c>
    </row>
    <row r="514" spans="4:34">
      <c r="D514" s="81" t="str">
        <f ca="1" t="shared" si="133"/>
        <v>豪华Ⅳ</v>
      </c>
      <c r="E514" s="84">
        <f t="shared" si="134"/>
        <v>7</v>
      </c>
      <c r="F514" s="84">
        <f>CEILING(F510*1.25,5)</f>
        <v>150</v>
      </c>
      <c r="G514" s="84"/>
      <c r="H514" s="84"/>
      <c r="I514" s="84">
        <f t="shared" si="135"/>
        <v>700</v>
      </c>
      <c r="J514" s="84" t="str" cm="1">
        <f ca="1" t="array" ref="J514">IF($E514&lt;7,_xlfn.XLOOKUP($D514&amp;$E514,$D$155:$D$395&amp;$E$155:$E$395,J$155:J$395),"")</f>
        <v/>
      </c>
      <c r="K514" s="84">
        <v>6</v>
      </c>
      <c r="L514" s="84" t="str" cm="1">
        <f ca="1" t="array" ref="L514">IF($E514&lt;7,_xlfn.XLOOKUP($D514&amp;$E514,$D$155:$D$395&amp;$E$155:$E$395,L$155:L$395),"")</f>
        <v/>
      </c>
      <c r="M514" s="84" t="str" cm="1">
        <f ca="1" t="array" ref="M514">IF($E514&lt;7,_xlfn.XLOOKUP($D514&amp;$E514,$D$155:$D$395&amp;$E$155:$E$395,M$155:M$395),"")</f>
        <v/>
      </c>
      <c r="N514" s="84" t="s">
        <v>282</v>
      </c>
      <c r="O514" s="84" t="s">
        <v>282</v>
      </c>
      <c r="P514" s="84" t="s">
        <v>282</v>
      </c>
      <c r="Q514" s="84" t="s">
        <v>282</v>
      </c>
      <c r="R514" s="84" t="s">
        <v>282</v>
      </c>
      <c r="S514" s="90">
        <f ca="1" t="shared" si="138"/>
        <v>125</v>
      </c>
      <c r="T514" s="90" cm="1">
        <f ca="1" t="array" ref="T514">IFERROR(SUMPRODUCT(F514:M514,$F$154:$M$154)+IFERROR(N514*SUMPRODUCT(O514:R514,$O$154:$R$154),0),"")</f>
        <v>3250</v>
      </c>
      <c r="U514" s="94"/>
      <c r="V514" s="94" t="str">
        <f t="shared" si="126"/>
        <v/>
      </c>
      <c r="W514" t="str">
        <f ca="1" t="shared" si="136"/>
        <v/>
      </c>
      <c r="X514" s="94" t="str">
        <f t="shared" si="127"/>
        <v>{61,150}</v>
      </c>
      <c r="Y514" s="94" t="str">
        <f t="shared" si="128"/>
        <v/>
      </c>
      <c r="Z514" s="94" t="str">
        <f ca="1" t="shared" si="129"/>
        <v/>
      </c>
      <c r="AA514" s="94" t="str">
        <f t="shared" si="130"/>
        <v>{6030002,6}</v>
      </c>
      <c r="AB514" s="94" t="str">
        <f ca="1" t="shared" si="131"/>
        <v/>
      </c>
      <c r="AE514" s="94" t="str">
        <f t="shared" si="132"/>
        <v>{2,700}</v>
      </c>
      <c r="AH514" t="str">
        <f ca="1" t="shared" si="137"/>
        <v>[{61,150},{6030002,6},{2,700}]</v>
      </c>
    </row>
    <row r="515" spans="4:34">
      <c r="D515" s="81" t="str">
        <f ca="1" t="shared" si="133"/>
        <v>豪华Ⅳ</v>
      </c>
      <c r="E515" s="84">
        <f t="shared" si="134"/>
        <v>8</v>
      </c>
      <c r="F515" s="84">
        <f>CEILING(F514*1.5,5)</f>
        <v>225</v>
      </c>
      <c r="G515" s="84">
        <f>CEILING(G513*1.5,5)</f>
        <v>315</v>
      </c>
      <c r="H515" s="84">
        <f>1</f>
        <v>1</v>
      </c>
      <c r="I515" s="84">
        <f t="shared" si="135"/>
        <v>700</v>
      </c>
      <c r="J515" s="84" t="str" cm="1">
        <f ca="1" t="array" ref="J515">IF($E515&lt;7,_xlfn.XLOOKUP($D515&amp;$E515,$D$155:$D$395&amp;$E$155:$E$395,J$155:J$395),"")</f>
        <v/>
      </c>
      <c r="K515" s="84" t="str" cm="1">
        <f ca="1" t="array" ref="K515">IF($E515&lt;7,_xlfn.XLOOKUP($D515&amp;$E515,$D$155:$D$395&amp;$E$155:$E$395,K$155:K$395),"")</f>
        <v/>
      </c>
      <c r="L515" s="84" t="str" cm="1">
        <f ca="1" t="array" ref="L515">IF($E515&lt;7,_xlfn.XLOOKUP($D515&amp;$E515,$D$155:$D$395&amp;$E$155:$E$395,L$155:L$395),"")</f>
        <v/>
      </c>
      <c r="M515" s="84" t="str" cm="1">
        <f ca="1" t="array" ref="M515">IF($E515&lt;7,_xlfn.XLOOKUP($D515&amp;$E515,$D$155:$D$395&amp;$E$155:$E$395,M$155:M$395),"")</f>
        <v/>
      </c>
      <c r="N515" s="84">
        <v>8</v>
      </c>
      <c r="O515" s="84">
        <v>0</v>
      </c>
      <c r="P515" s="84">
        <v>0.85</v>
      </c>
      <c r="Q515" s="84">
        <v>0.15</v>
      </c>
      <c r="R515" s="84">
        <v>0</v>
      </c>
      <c r="S515" s="90">
        <f ca="1" t="shared" si="138"/>
        <v>125</v>
      </c>
      <c r="T515" s="90" cm="1">
        <f ca="1" t="array" ref="T515">IFERROR(SUMPRODUCT(F515:M515,$F$154:$M$154)+IFERROR(N515*SUMPRODUCT(O515:R515,$O$154:$R$154),0),"")</f>
        <v>5070</v>
      </c>
      <c r="U515" s="94"/>
      <c r="V515" s="94" t="str">
        <f t="shared" ref="V515:V578" si="139">IF(OR(H515="",H515=0),"","{"&amp;H$441&amp;","&amp;H515&amp;"}")</f>
        <v>{62,1}</v>
      </c>
      <c r="W515" t="str">
        <f ca="1" t="shared" si="136"/>
        <v>{6020009,8}</v>
      </c>
      <c r="X515" s="94" t="str">
        <f t="shared" ref="X515:X578" si="140">IF(OR(F515="",F515=0),"","{"&amp;F$441&amp;","&amp;F515&amp;"}")</f>
        <v>{61,225}</v>
      </c>
      <c r="Y515" s="94" t="str">
        <f t="shared" ref="Y515:Y578" si="141">IF(OR(G515="",G515=0),"","{"&amp;G$441&amp;","&amp;G515&amp;"}")</f>
        <v>{63,315}</v>
      </c>
      <c r="Z515" s="94" t="str">
        <f ca="1" t="shared" ref="Z515:Z578" si="142">IF(OR(L515="",L515=0),"","{"&amp;L$441&amp;","&amp;L515&amp;"}")</f>
        <v/>
      </c>
      <c r="AA515" s="94" t="str">
        <f ca="1" t="shared" ref="AA515:AA578" si="143">IF(OR(K515="",K515=0),"","{"&amp;K$441&amp;","&amp;K515&amp;"}")</f>
        <v/>
      </c>
      <c r="AB515" s="94" t="str">
        <f ca="1" t="shared" ref="AB515:AB578" si="144">IF(OR(J515="",J515=0),"","{"&amp;J$441&amp;","&amp;J515&amp;"}")</f>
        <v/>
      </c>
      <c r="AE515" s="94" t="str">
        <f t="shared" ref="AE515:AE578" si="145">IF(OR(I515="",I515=0),"","{"&amp;I$441&amp;","&amp;I515&amp;"}")</f>
        <v>{2,700}</v>
      </c>
      <c r="AH515" t="str">
        <f ca="1" t="shared" si="137"/>
        <v>[{62,1},{6020009,8},{61,225},{63,315},{2,700}]</v>
      </c>
    </row>
    <row r="516" spans="4:34">
      <c r="D516" s="81" t="str">
        <f ca="1" t="shared" si="133"/>
        <v>豪华Ⅴ</v>
      </c>
      <c r="E516" s="84">
        <f t="shared" si="134"/>
        <v>1</v>
      </c>
      <c r="F516" s="84">
        <f>F508+5</f>
        <v>125</v>
      </c>
      <c r="G516" s="84"/>
      <c r="H516" s="84"/>
      <c r="I516" s="84">
        <f t="shared" si="135"/>
        <v>725</v>
      </c>
      <c r="J516" s="84">
        <v>4</v>
      </c>
      <c r="K516" s="84" cm="1">
        <f ca="1" t="array" ref="K516">IF($E516&lt;7,_xlfn.XLOOKUP($D516&amp;$E516,$D$155:$D$395&amp;$E$155:$E$395,K$155:K$395),"")</f>
        <v>0</v>
      </c>
      <c r="L516" s="84" cm="1">
        <f ca="1" t="array" ref="L516">IF($E516&lt;7,_xlfn.XLOOKUP($D516&amp;$E516,$D$155:$D$395&amp;$E$155:$E$395,L$155:L$395),"")</f>
        <v>0</v>
      </c>
      <c r="M516" s="84" cm="1">
        <f ca="1" t="array" ref="M516">IF($E516&lt;7,_xlfn.XLOOKUP($D516&amp;$E516,$D$155:$D$395&amp;$E$155:$E$395,M$155:M$395),"")</f>
        <v>0</v>
      </c>
      <c r="N516" s="84" t="s">
        <v>282</v>
      </c>
      <c r="O516" s="84" t="s">
        <v>282</v>
      </c>
      <c r="P516" s="84" t="s">
        <v>282</v>
      </c>
      <c r="Q516" s="84" t="s">
        <v>282</v>
      </c>
      <c r="R516" s="84" t="s">
        <v>282</v>
      </c>
      <c r="S516" s="90">
        <f ca="1" t="shared" si="138"/>
        <v>135</v>
      </c>
      <c r="T516" s="90" cm="1">
        <f ca="1" t="array" ref="T516">IFERROR(SUMPRODUCT(F516:M516,$F$154:$M$154)+IFERROR(N516*SUMPRODUCT(O516:R516,$O$154:$R$154),0),"")</f>
        <v>1650</v>
      </c>
      <c r="U516" s="94"/>
      <c r="V516" s="94" t="str">
        <f t="shared" si="139"/>
        <v/>
      </c>
      <c r="W516" t="str">
        <f ca="1" t="shared" si="136"/>
        <v/>
      </c>
      <c r="X516" s="94" t="str">
        <f t="shared" si="140"/>
        <v>{61,125}</v>
      </c>
      <c r="Y516" s="94" t="str">
        <f t="shared" si="141"/>
        <v/>
      </c>
      <c r="Z516" s="94" t="str">
        <f ca="1" t="shared" si="142"/>
        <v/>
      </c>
      <c r="AA516" s="94" t="str">
        <f ca="1" t="shared" si="143"/>
        <v/>
      </c>
      <c r="AB516" s="94" t="str">
        <f t="shared" si="144"/>
        <v>{6030001,4}</v>
      </c>
      <c r="AE516" s="94" t="str">
        <f t="shared" si="145"/>
        <v>{2,725}</v>
      </c>
      <c r="AH516" t="str">
        <f ca="1" t="shared" si="137"/>
        <v>[{61,125},{6030001,4},{2,725}]</v>
      </c>
    </row>
    <row r="517" spans="4:34">
      <c r="D517" s="81" t="str">
        <f ca="1" t="shared" ref="D517:D580" si="146">IF(E516=8,OFFSET($D$111,MATCH(D516,$D$112:$D$151,0)+1,0),D516)</f>
        <v>豪华Ⅴ</v>
      </c>
      <c r="E517" s="84">
        <f t="shared" ref="E517:E580" si="147">IF(E516=8,1,E516+1)</f>
        <v>2</v>
      </c>
      <c r="F517" s="84">
        <f>F509+5</f>
        <v>125</v>
      </c>
      <c r="G517" s="84">
        <f>G509+5</f>
        <v>145</v>
      </c>
      <c r="H517" s="84"/>
      <c r="I517" s="84">
        <f t="shared" ref="I517:I580" si="148">I509+25</f>
        <v>725</v>
      </c>
      <c r="J517" s="84" cm="1">
        <f ca="1" t="array" ref="J517">IF($E517&lt;7,_xlfn.XLOOKUP($D517&amp;$E517,$D$155:$D$395&amp;$E$155:$E$395,J$155:J$395),"")</f>
        <v>0</v>
      </c>
      <c r="K517" s="84" cm="1">
        <f ca="1" t="array" ref="K517">IF($E517&lt;7,_xlfn.XLOOKUP($D517&amp;$E517,$D$155:$D$395&amp;$E$155:$E$395,K$155:K$395),"")</f>
        <v>0</v>
      </c>
      <c r="L517" s="84" cm="1">
        <f ca="1" t="array" ref="L517">IF($E517&lt;7,_xlfn.XLOOKUP($D517&amp;$E517,$D$155:$D$395&amp;$E$155:$E$395,L$155:L$395),"")</f>
        <v>0</v>
      </c>
      <c r="M517" s="84" cm="1">
        <f ca="1" t="array" ref="M517">IF($E517&lt;7,_xlfn.XLOOKUP($D517&amp;$E517,$D$155:$D$395&amp;$E$155:$E$395,M$155:M$395),"")</f>
        <v>0</v>
      </c>
      <c r="N517" s="84" t="s">
        <v>282</v>
      </c>
      <c r="O517" s="84" t="s">
        <v>282</v>
      </c>
      <c r="P517" s="84" t="s">
        <v>282</v>
      </c>
      <c r="Q517" s="84" t="s">
        <v>282</v>
      </c>
      <c r="R517" s="84" t="s">
        <v>282</v>
      </c>
      <c r="S517" s="90">
        <f ca="1" t="shared" si="138"/>
        <v>135</v>
      </c>
      <c r="T517" s="90" cm="1">
        <f ca="1" t="array" ref="T517">IFERROR(SUMPRODUCT(F517:M517,$F$154:$M$154)+IFERROR(N517*SUMPRODUCT(O517:R517,$O$154:$R$154),0),"")</f>
        <v>995</v>
      </c>
      <c r="U517" s="94"/>
      <c r="V517" s="94" t="str">
        <f t="shared" si="139"/>
        <v/>
      </c>
      <c r="W517" t="str">
        <f ca="1" t="shared" si="136"/>
        <v/>
      </c>
      <c r="X517" s="94" t="str">
        <f t="shared" si="140"/>
        <v>{61,125}</v>
      </c>
      <c r="Y517" s="94" t="str">
        <f t="shared" si="141"/>
        <v>{63,145}</v>
      </c>
      <c r="Z517" s="94" t="str">
        <f ca="1" t="shared" si="142"/>
        <v/>
      </c>
      <c r="AA517" s="94" t="str">
        <f ca="1" t="shared" si="143"/>
        <v/>
      </c>
      <c r="AB517" s="94" t="str">
        <f ca="1" t="shared" si="144"/>
        <v/>
      </c>
      <c r="AE517" s="94" t="str">
        <f t="shared" si="145"/>
        <v>{2,725}</v>
      </c>
      <c r="AH517" t="str">
        <f ca="1" t="shared" si="137"/>
        <v>[{61,125},{63,145},{2,725}]</v>
      </c>
    </row>
    <row r="518" spans="4:34">
      <c r="D518" s="81" t="str">
        <f ca="1" t="shared" si="146"/>
        <v>豪华Ⅴ</v>
      </c>
      <c r="E518" s="84">
        <f t="shared" si="147"/>
        <v>3</v>
      </c>
      <c r="F518" s="84">
        <f>F510+5</f>
        <v>125</v>
      </c>
      <c r="G518" s="84"/>
      <c r="H518" s="84"/>
      <c r="I518" s="84">
        <f t="shared" si="148"/>
        <v>725</v>
      </c>
      <c r="J518" s="84">
        <v>5</v>
      </c>
      <c r="K518" s="84"/>
      <c r="L518" s="84" cm="1">
        <f ca="1" t="array" ref="L518">IF($E518&lt;7,_xlfn.XLOOKUP($D518&amp;$E518,$D$155:$D$395&amp;$E$155:$E$395,L$155:L$395),"")</f>
        <v>0</v>
      </c>
      <c r="M518" s="84" cm="1">
        <f ca="1" t="array" ref="M518">IF($E518&lt;7,_xlfn.XLOOKUP($D518&amp;$E518,$D$155:$D$395&amp;$E$155:$E$395,M$155:M$395),"")</f>
        <v>0</v>
      </c>
      <c r="N518" s="84" t="s">
        <v>282</v>
      </c>
      <c r="O518" s="84" t="s">
        <v>282</v>
      </c>
      <c r="P518" s="84" t="s">
        <v>282</v>
      </c>
      <c r="Q518" s="84" t="s">
        <v>282</v>
      </c>
      <c r="R518" s="84" t="s">
        <v>282</v>
      </c>
      <c r="S518" s="90">
        <f ca="1" t="shared" si="138"/>
        <v>135</v>
      </c>
      <c r="T518" s="90" cm="1">
        <f ca="1" t="array" ref="T518">IFERROR(SUMPRODUCT(F518:M518,$F$154:$M$154)+IFERROR(N518*SUMPRODUCT(O518:R518,$O$154:$R$154),0),"")</f>
        <v>1850</v>
      </c>
      <c r="U518" s="94"/>
      <c r="V518" s="94" t="str">
        <f t="shared" si="139"/>
        <v/>
      </c>
      <c r="W518" t="str">
        <f ca="1" t="shared" si="136"/>
        <v/>
      </c>
      <c r="X518" s="94" t="str">
        <f t="shared" si="140"/>
        <v>{61,125}</v>
      </c>
      <c r="Y518" s="94" t="str">
        <f t="shared" si="141"/>
        <v/>
      </c>
      <c r="Z518" s="94" t="str">
        <f ca="1" t="shared" si="142"/>
        <v/>
      </c>
      <c r="AA518" s="94" t="str">
        <f t="shared" si="143"/>
        <v/>
      </c>
      <c r="AB518" s="94" t="str">
        <f t="shared" si="144"/>
        <v>{6030001,5}</v>
      </c>
      <c r="AE518" s="94" t="str">
        <f t="shared" si="145"/>
        <v>{2,725}</v>
      </c>
      <c r="AH518" t="str">
        <f ca="1" t="shared" si="137"/>
        <v>[{61,125},{6030001,5},{2,725}]</v>
      </c>
    </row>
    <row r="519" spans="4:34">
      <c r="D519" s="81" t="str">
        <f ca="1" t="shared" si="146"/>
        <v>豪华Ⅴ</v>
      </c>
      <c r="E519" s="84">
        <f t="shared" si="147"/>
        <v>4</v>
      </c>
      <c r="F519" s="84">
        <f>CEILING(F520*1.25,5)</f>
        <v>200</v>
      </c>
      <c r="G519" s="84">
        <f>CEILING(G517*1.5,5)</f>
        <v>220</v>
      </c>
      <c r="H519" s="84"/>
      <c r="I519" s="84">
        <f t="shared" si="148"/>
        <v>725</v>
      </c>
      <c r="J519" s="84" cm="1">
        <f ca="1" t="array" ref="J519">IF($E519&lt;7,_xlfn.XLOOKUP($D519&amp;$E519,$D$155:$D$395&amp;$E$155:$E$395,J$155:J$395),"")</f>
        <v>0</v>
      </c>
      <c r="K519" s="84"/>
      <c r="L519" s="84" cm="1">
        <f ca="1" t="array" ref="L519">IF($E519&lt;7,_xlfn.XLOOKUP($D519&amp;$E519,$D$155:$D$395&amp;$E$155:$E$395,L$155:L$395),"")</f>
        <v>0</v>
      </c>
      <c r="M519" s="84" cm="1">
        <f ca="1" t="array" ref="M519">IF($E519&lt;7,_xlfn.XLOOKUP($D519&amp;$E519,$D$155:$D$395&amp;$E$155:$E$395,M$155:M$395),"")</f>
        <v>0</v>
      </c>
      <c r="N519" s="84" t="s">
        <v>282</v>
      </c>
      <c r="O519" s="84" t="s">
        <v>282</v>
      </c>
      <c r="P519" s="84" t="s">
        <v>282</v>
      </c>
      <c r="Q519" s="84" t="s">
        <v>282</v>
      </c>
      <c r="R519" s="84" t="s">
        <v>282</v>
      </c>
      <c r="S519" s="90">
        <f ca="1" t="shared" si="138"/>
        <v>135</v>
      </c>
      <c r="T519" s="90" cm="1">
        <f ca="1" t="array" ref="T519">IFERROR(SUMPRODUCT(F519:M519,$F$154:$M$154)+IFERROR(N519*SUMPRODUCT(O519:R519,$O$154:$R$154),0),"")</f>
        <v>1145</v>
      </c>
      <c r="U519" s="94"/>
      <c r="V519" s="94" t="str">
        <f t="shared" si="139"/>
        <v/>
      </c>
      <c r="W519" t="str">
        <f ca="1" t="shared" si="136"/>
        <v/>
      </c>
      <c r="X519" s="94" t="str">
        <f t="shared" si="140"/>
        <v>{61,200}</v>
      </c>
      <c r="Y519" s="94" t="str">
        <f t="shared" si="141"/>
        <v>{63,220}</v>
      </c>
      <c r="Z519" s="94" t="str">
        <f ca="1" t="shared" si="142"/>
        <v/>
      </c>
      <c r="AA519" s="94" t="str">
        <f t="shared" si="143"/>
        <v/>
      </c>
      <c r="AB519" s="94" t="str">
        <f ca="1" t="shared" si="144"/>
        <v/>
      </c>
      <c r="AE519" s="94" t="str">
        <f t="shared" si="145"/>
        <v>{2,725}</v>
      </c>
      <c r="AH519" t="str">
        <f ca="1" t="shared" si="137"/>
        <v>[{61,200},{63,220},{2,725}]</v>
      </c>
    </row>
    <row r="520" spans="4:34">
      <c r="D520" s="81" t="str">
        <f ca="1" t="shared" si="146"/>
        <v>豪华Ⅴ</v>
      </c>
      <c r="E520" s="84">
        <f t="shared" si="147"/>
        <v>5</v>
      </c>
      <c r="F520" s="84">
        <f>CEILING(F516*1.25,5)</f>
        <v>160</v>
      </c>
      <c r="G520" s="84"/>
      <c r="H520" s="84"/>
      <c r="I520" s="84">
        <f t="shared" si="148"/>
        <v>725</v>
      </c>
      <c r="J520" s="84" cm="1">
        <f ca="1" t="array" ref="J520">IF($E520&lt;7,_xlfn.XLOOKUP($D520&amp;$E520,$D$155:$D$395&amp;$E$155:$E$395,J$155:J$395),"")</f>
        <v>0</v>
      </c>
      <c r="K520" s="84">
        <v>2</v>
      </c>
      <c r="L520" s="84" cm="1">
        <f ca="1" t="array" ref="L520">IF($E520&lt;7,_xlfn.XLOOKUP($D520&amp;$E520,$D$155:$D$395&amp;$E$155:$E$395,L$155:L$395),"")</f>
        <v>0</v>
      </c>
      <c r="M520" s="84" cm="1">
        <f ca="1" t="array" ref="M520">IF($E520&lt;7,_xlfn.XLOOKUP($D520&amp;$E520,$D$155:$D$395&amp;$E$155:$E$395,M$155:M$395),"")</f>
        <v>0</v>
      </c>
      <c r="N520" s="84" t="s">
        <v>282</v>
      </c>
      <c r="O520" s="84" t="s">
        <v>282</v>
      </c>
      <c r="P520" s="84" t="s">
        <v>282</v>
      </c>
      <c r="Q520" s="84" t="s">
        <v>282</v>
      </c>
      <c r="R520" s="84" t="s">
        <v>282</v>
      </c>
      <c r="S520" s="90">
        <f ca="1" t="shared" si="138"/>
        <v>135</v>
      </c>
      <c r="T520" s="90" cm="1">
        <f ca="1" t="array" ref="T520">IFERROR(SUMPRODUCT(F520:M520,$F$154:$M$154)+IFERROR(N520*SUMPRODUCT(O520:R520,$O$154:$R$154),0),"")</f>
        <v>1685</v>
      </c>
      <c r="U520" s="94"/>
      <c r="V520" s="94" t="str">
        <f t="shared" si="139"/>
        <v/>
      </c>
      <c r="W520" t="str">
        <f ca="1" t="shared" si="136"/>
        <v/>
      </c>
      <c r="X520" s="94" t="str">
        <f t="shared" si="140"/>
        <v>{61,160}</v>
      </c>
      <c r="Y520" s="94" t="str">
        <f t="shared" si="141"/>
        <v/>
      </c>
      <c r="Z520" s="94" t="str">
        <f ca="1" t="shared" si="142"/>
        <v/>
      </c>
      <c r="AA520" s="94" t="str">
        <f t="shared" si="143"/>
        <v>{6030002,2}</v>
      </c>
      <c r="AB520" s="94" t="str">
        <f ca="1" t="shared" si="144"/>
        <v/>
      </c>
      <c r="AE520" s="94" t="str">
        <f t="shared" si="145"/>
        <v>{2,725}</v>
      </c>
      <c r="AH520" t="str">
        <f ca="1" t="shared" si="137"/>
        <v>[{61,160},{6030002,2},{2,725}]</v>
      </c>
    </row>
    <row r="521" spans="4:34">
      <c r="D521" s="81" t="str">
        <f ca="1" t="shared" si="146"/>
        <v>豪华Ⅴ</v>
      </c>
      <c r="E521" s="84">
        <f t="shared" si="147"/>
        <v>6</v>
      </c>
      <c r="F521" s="84">
        <f>CEILING(F517*1.25,5)</f>
        <v>160</v>
      </c>
      <c r="G521" s="84">
        <f>G519</f>
        <v>220</v>
      </c>
      <c r="H521" s="84"/>
      <c r="I521" s="84">
        <f t="shared" si="148"/>
        <v>725</v>
      </c>
      <c r="J521" s="84" cm="1">
        <f ca="1" t="array" ref="J521">IF($E521&lt;7,_xlfn.XLOOKUP($D521&amp;$E521,$D$155:$D$395&amp;$E$155:$E$395,J$155:J$395),"")</f>
        <v>0</v>
      </c>
      <c r="K521" s="84" cm="1">
        <f ca="1" t="array" ref="K521">IF($E521&lt;7,_xlfn.XLOOKUP($D521&amp;$E521,$D$155:$D$395&amp;$E$155:$E$395,K$155:K$395),"")</f>
        <v>0</v>
      </c>
      <c r="L521" s="84" cm="1">
        <f ca="1" t="array" ref="L521">IF($E521&lt;7,_xlfn.XLOOKUP($D521&amp;$E521,$D$155:$D$395&amp;$E$155:$E$395,L$155:L$395),"")</f>
        <v>0</v>
      </c>
      <c r="M521" s="84" cm="1">
        <f ca="1" t="array" ref="M521">IF($E521&lt;7,_xlfn.XLOOKUP($D521&amp;$E521,$D$155:$D$395&amp;$E$155:$E$395,M$155:M$395),"")</f>
        <v>0</v>
      </c>
      <c r="N521" s="84" t="s">
        <v>282</v>
      </c>
      <c r="O521" s="84" t="s">
        <v>282</v>
      </c>
      <c r="P521" s="84" t="s">
        <v>282</v>
      </c>
      <c r="Q521" s="84" t="s">
        <v>282</v>
      </c>
      <c r="R521" s="84" t="s">
        <v>282</v>
      </c>
      <c r="S521" s="90">
        <f ca="1" t="shared" si="138"/>
        <v>135</v>
      </c>
      <c r="T521" s="90" cm="1">
        <f ca="1" t="array" ref="T521">IFERROR(SUMPRODUCT(F521:M521,$F$154:$M$154)+IFERROR(N521*SUMPRODUCT(O521:R521,$O$154:$R$154),0),"")</f>
        <v>1105</v>
      </c>
      <c r="U521" s="94"/>
      <c r="V521" s="94" t="str">
        <f t="shared" si="139"/>
        <v/>
      </c>
      <c r="W521" t="str">
        <f ca="1" t="shared" si="136"/>
        <v/>
      </c>
      <c r="X521" s="94" t="str">
        <f t="shared" si="140"/>
        <v>{61,160}</v>
      </c>
      <c r="Y521" s="94" t="str">
        <f t="shared" si="141"/>
        <v>{63,220}</v>
      </c>
      <c r="Z521" s="94" t="str">
        <f ca="1" t="shared" si="142"/>
        <v/>
      </c>
      <c r="AA521" s="94" t="str">
        <f ca="1" t="shared" si="143"/>
        <v/>
      </c>
      <c r="AB521" s="94" t="str">
        <f ca="1" t="shared" si="144"/>
        <v/>
      </c>
      <c r="AE521" s="94" t="str">
        <f t="shared" si="145"/>
        <v>{2,725}</v>
      </c>
      <c r="AH521" t="str">
        <f ca="1" t="shared" si="137"/>
        <v>[{61,160},{63,220},{2,725}]</v>
      </c>
    </row>
    <row r="522" spans="4:34">
      <c r="D522" s="81" t="str">
        <f ca="1" t="shared" si="146"/>
        <v>豪华Ⅴ</v>
      </c>
      <c r="E522" s="84">
        <f t="shared" si="147"/>
        <v>7</v>
      </c>
      <c r="F522" s="84">
        <f>CEILING(F518*1.25,5)</f>
        <v>160</v>
      </c>
      <c r="G522" s="84"/>
      <c r="H522" s="84"/>
      <c r="I522" s="84">
        <f t="shared" si="148"/>
        <v>725</v>
      </c>
      <c r="J522" s="84" t="str" cm="1">
        <f ca="1" t="array" ref="J522">IF($E522&lt;7,_xlfn.XLOOKUP($D522&amp;$E522,$D$155:$D$395&amp;$E$155:$E$395,J$155:J$395),"")</f>
        <v/>
      </c>
      <c r="K522" s="84">
        <v>6</v>
      </c>
      <c r="L522" s="84" t="str" cm="1">
        <f ca="1" t="array" ref="L522">IF($E522&lt;7,_xlfn.XLOOKUP($D522&amp;$E522,$D$155:$D$395&amp;$E$155:$E$395,L$155:L$395),"")</f>
        <v/>
      </c>
      <c r="M522" s="84" t="str" cm="1">
        <f ca="1" t="array" ref="M522">IF($E522&lt;7,_xlfn.XLOOKUP($D522&amp;$E522,$D$155:$D$395&amp;$E$155:$E$395,M$155:M$395),"")</f>
        <v/>
      </c>
      <c r="N522" s="84" t="s">
        <v>282</v>
      </c>
      <c r="O522" s="84" t="s">
        <v>282</v>
      </c>
      <c r="P522" s="84" t="s">
        <v>282</v>
      </c>
      <c r="Q522" s="84" t="s">
        <v>282</v>
      </c>
      <c r="R522" s="84" t="s">
        <v>282</v>
      </c>
      <c r="S522" s="90">
        <f ca="1" t="shared" si="138"/>
        <v>135</v>
      </c>
      <c r="T522" s="90" cm="1">
        <f ca="1" t="array" ref="T522">IFERROR(SUMPRODUCT(F522:M522,$F$154:$M$154)+IFERROR(N522*SUMPRODUCT(O522:R522,$O$154:$R$154),0),"")</f>
        <v>3285</v>
      </c>
      <c r="U522" s="94"/>
      <c r="V522" s="94" t="str">
        <f t="shared" si="139"/>
        <v/>
      </c>
      <c r="W522" t="str">
        <f ca="1" t="shared" si="136"/>
        <v/>
      </c>
      <c r="X522" s="94" t="str">
        <f t="shared" si="140"/>
        <v>{61,160}</v>
      </c>
      <c r="Y522" s="94" t="str">
        <f t="shared" si="141"/>
        <v/>
      </c>
      <c r="Z522" s="94" t="str">
        <f ca="1" t="shared" si="142"/>
        <v/>
      </c>
      <c r="AA522" s="94" t="str">
        <f t="shared" si="143"/>
        <v>{6030002,6}</v>
      </c>
      <c r="AB522" s="94" t="str">
        <f ca="1" t="shared" si="144"/>
        <v/>
      </c>
      <c r="AE522" s="94" t="str">
        <f t="shared" si="145"/>
        <v>{2,725}</v>
      </c>
      <c r="AH522" t="str">
        <f ca="1" t="shared" si="137"/>
        <v>[{61,160},{6030002,6},{2,725}]</v>
      </c>
    </row>
    <row r="523" spans="4:34">
      <c r="D523" s="81" t="str">
        <f ca="1" t="shared" si="146"/>
        <v>豪华Ⅴ</v>
      </c>
      <c r="E523" s="84">
        <f t="shared" si="147"/>
        <v>8</v>
      </c>
      <c r="F523" s="84">
        <f>CEILING(F522*1.5,5)</f>
        <v>240</v>
      </c>
      <c r="G523" s="84">
        <f>CEILING(G521*1.5,5)</f>
        <v>330</v>
      </c>
      <c r="H523" s="84">
        <f>1</f>
        <v>1</v>
      </c>
      <c r="I523" s="84">
        <f t="shared" si="148"/>
        <v>725</v>
      </c>
      <c r="J523" s="84" t="str" cm="1">
        <f ca="1" t="array" ref="J523">IF($E523&lt;7,_xlfn.XLOOKUP($D523&amp;$E523,$D$155:$D$395&amp;$E$155:$E$395,J$155:J$395),"")</f>
        <v/>
      </c>
      <c r="K523" s="84" t="str" cm="1">
        <f ca="1" t="array" ref="K523">IF($E523&lt;7,_xlfn.XLOOKUP($D523&amp;$E523,$D$155:$D$395&amp;$E$155:$E$395,K$155:K$395),"")</f>
        <v/>
      </c>
      <c r="L523" s="84" t="str" cm="1">
        <f ca="1" t="array" ref="L523">IF($E523&lt;7,_xlfn.XLOOKUP($D523&amp;$E523,$D$155:$D$395&amp;$E$155:$E$395,L$155:L$395),"")</f>
        <v/>
      </c>
      <c r="M523" s="84" t="str" cm="1">
        <f ca="1" t="array" ref="M523">IF($E523&lt;7,_xlfn.XLOOKUP($D523&amp;$E523,$D$155:$D$395&amp;$E$155:$E$395,M$155:M$395),"")</f>
        <v/>
      </c>
      <c r="N523" s="84">
        <v>8</v>
      </c>
      <c r="O523" s="84">
        <v>0</v>
      </c>
      <c r="P523" s="84">
        <v>0.82</v>
      </c>
      <c r="Q523" s="84">
        <v>0.18</v>
      </c>
      <c r="R523" s="84">
        <v>0</v>
      </c>
      <c r="S523" s="90">
        <f ca="1" t="shared" si="138"/>
        <v>135</v>
      </c>
      <c r="T523" s="90" cm="1">
        <f ca="1" t="array" ref="T523">IFERROR(SUMPRODUCT(F523:M523,$F$154:$M$154)+IFERROR(N523*SUMPRODUCT(O523:R523,$O$154:$R$154),0),"")</f>
        <v>5221</v>
      </c>
      <c r="U523" s="94"/>
      <c r="V523" s="94" t="str">
        <f t="shared" si="139"/>
        <v>{62,1}</v>
      </c>
      <c r="W523" t="str">
        <f ca="1" t="shared" si="136"/>
        <v>{6020010,8}</v>
      </c>
      <c r="X523" s="94" t="str">
        <f t="shared" si="140"/>
        <v>{61,240}</v>
      </c>
      <c r="Y523" s="94" t="str">
        <f t="shared" si="141"/>
        <v>{63,330}</v>
      </c>
      <c r="Z523" s="94" t="str">
        <f ca="1" t="shared" si="142"/>
        <v/>
      </c>
      <c r="AA523" s="94" t="str">
        <f ca="1" t="shared" si="143"/>
        <v/>
      </c>
      <c r="AB523" s="94" t="str">
        <f ca="1" t="shared" si="144"/>
        <v/>
      </c>
      <c r="AE523" s="94" t="str">
        <f t="shared" si="145"/>
        <v>{2,725}</v>
      </c>
      <c r="AH523" t="str">
        <f ca="1" t="shared" si="137"/>
        <v>[{62,1},{6020010,8},{61,240},{63,330},{2,725}]</v>
      </c>
    </row>
    <row r="524" spans="4:34">
      <c r="D524" s="81" t="str">
        <f ca="1" t="shared" si="146"/>
        <v>珍惜Ⅰ</v>
      </c>
      <c r="E524" s="84">
        <f t="shared" si="147"/>
        <v>1</v>
      </c>
      <c r="F524" s="84">
        <f>F516+5</f>
        <v>130</v>
      </c>
      <c r="G524" s="84"/>
      <c r="H524" s="84"/>
      <c r="I524" s="84">
        <f t="shared" si="148"/>
        <v>750</v>
      </c>
      <c r="J524" s="84">
        <v>4</v>
      </c>
      <c r="K524" s="84" cm="1">
        <f ca="1" t="array" ref="K524">IF($E524&lt;7,_xlfn.XLOOKUP($D524&amp;$E524,$D$155:$D$395&amp;$E$155:$E$395,K$155:K$395),"")</f>
        <v>0</v>
      </c>
      <c r="L524" s="84" cm="1">
        <f ca="1" t="array" ref="L524">IF($E524&lt;7,_xlfn.XLOOKUP($D524&amp;$E524,$D$155:$D$395&amp;$E$155:$E$395,L$155:L$395),"")</f>
        <v>0</v>
      </c>
      <c r="M524" s="84" cm="1">
        <f ca="1" t="array" ref="M524">IF($E524&lt;7,_xlfn.XLOOKUP($D524&amp;$E524,$D$155:$D$395&amp;$E$155:$E$395,M$155:M$395),"")</f>
        <v>0</v>
      </c>
      <c r="N524" s="84" t="s">
        <v>282</v>
      </c>
      <c r="O524" s="84" t="s">
        <v>282</v>
      </c>
      <c r="P524" s="84" t="s">
        <v>282</v>
      </c>
      <c r="Q524" s="84" t="s">
        <v>282</v>
      </c>
      <c r="R524" s="84" t="s">
        <v>282</v>
      </c>
      <c r="S524" s="90">
        <f ca="1" t="shared" si="138"/>
        <v>145</v>
      </c>
      <c r="T524" s="90" cm="1">
        <f ca="1" t="array" ref="T524">IFERROR(SUMPRODUCT(F524:M524,$F$154:$M$154)+IFERROR(N524*SUMPRODUCT(O524:R524,$O$154:$R$154),0),"")</f>
        <v>1680</v>
      </c>
      <c r="U524" s="94"/>
      <c r="V524" s="94" t="str">
        <f t="shared" si="139"/>
        <v/>
      </c>
      <c r="W524" t="str">
        <f ca="1" t="shared" si="136"/>
        <v/>
      </c>
      <c r="X524" s="94" t="str">
        <f t="shared" si="140"/>
        <v>{61,130}</v>
      </c>
      <c r="Y524" s="94" t="str">
        <f t="shared" si="141"/>
        <v/>
      </c>
      <c r="Z524" s="94" t="str">
        <f ca="1" t="shared" si="142"/>
        <v/>
      </c>
      <c r="AA524" s="94" t="str">
        <f ca="1" t="shared" si="143"/>
        <v/>
      </c>
      <c r="AB524" s="94" t="str">
        <f t="shared" si="144"/>
        <v>{6030001,4}</v>
      </c>
      <c r="AE524" s="94" t="str">
        <f t="shared" si="145"/>
        <v>{2,750}</v>
      </c>
      <c r="AH524" t="str">
        <f ca="1" t="shared" si="137"/>
        <v>[{61,130},{6030001,4},{2,750}]</v>
      </c>
    </row>
    <row r="525" spans="4:34">
      <c r="D525" s="81" t="str">
        <f ca="1" t="shared" si="146"/>
        <v>珍惜Ⅰ</v>
      </c>
      <c r="E525" s="84">
        <f t="shared" si="147"/>
        <v>2</v>
      </c>
      <c r="F525" s="84">
        <f>F517+5</f>
        <v>130</v>
      </c>
      <c r="G525" s="84">
        <f>G517+5</f>
        <v>150</v>
      </c>
      <c r="H525" s="84"/>
      <c r="I525" s="84">
        <f t="shared" si="148"/>
        <v>750</v>
      </c>
      <c r="J525" s="84" cm="1">
        <f ca="1" t="array" ref="J525">IF($E525&lt;7,_xlfn.XLOOKUP($D525&amp;$E525,$D$155:$D$395&amp;$E$155:$E$395,J$155:J$395),"")</f>
        <v>0</v>
      </c>
      <c r="K525" s="84" cm="1">
        <f ca="1" t="array" ref="K525">IF($E525&lt;7,_xlfn.XLOOKUP($D525&amp;$E525,$D$155:$D$395&amp;$E$155:$E$395,K$155:K$395),"")</f>
        <v>0</v>
      </c>
      <c r="L525" s="84" cm="1">
        <f ca="1" t="array" ref="L525">IF($E525&lt;7,_xlfn.XLOOKUP($D525&amp;$E525,$D$155:$D$395&amp;$E$155:$E$395,L$155:L$395),"")</f>
        <v>0</v>
      </c>
      <c r="M525" s="84" cm="1">
        <f ca="1" t="array" ref="M525">IF($E525&lt;7,_xlfn.XLOOKUP($D525&amp;$E525,$D$155:$D$395&amp;$E$155:$E$395,M$155:M$395),"")</f>
        <v>0</v>
      </c>
      <c r="N525" s="84" t="s">
        <v>282</v>
      </c>
      <c r="O525" s="84" t="s">
        <v>282</v>
      </c>
      <c r="P525" s="84" t="s">
        <v>282</v>
      </c>
      <c r="Q525" s="84" t="s">
        <v>282</v>
      </c>
      <c r="R525" s="84" t="s">
        <v>282</v>
      </c>
      <c r="S525" s="90">
        <f ca="1" t="shared" si="138"/>
        <v>145</v>
      </c>
      <c r="T525" s="90" cm="1">
        <f ca="1" t="array" ref="T525">IFERROR(SUMPRODUCT(F525:M525,$F$154:$M$154)+IFERROR(N525*SUMPRODUCT(O525:R525,$O$154:$R$154),0),"")</f>
        <v>1030</v>
      </c>
      <c r="U525" s="94"/>
      <c r="V525" s="94" t="str">
        <f t="shared" si="139"/>
        <v/>
      </c>
      <c r="W525" t="str">
        <f ca="1" t="shared" si="136"/>
        <v/>
      </c>
      <c r="X525" s="94" t="str">
        <f t="shared" si="140"/>
        <v>{61,130}</v>
      </c>
      <c r="Y525" s="94" t="str">
        <f t="shared" si="141"/>
        <v>{63,150}</v>
      </c>
      <c r="Z525" s="94" t="str">
        <f ca="1" t="shared" si="142"/>
        <v/>
      </c>
      <c r="AA525" s="94" t="str">
        <f ca="1" t="shared" si="143"/>
        <v/>
      </c>
      <c r="AB525" s="94" t="str">
        <f ca="1" t="shared" si="144"/>
        <v/>
      </c>
      <c r="AE525" s="94" t="str">
        <f t="shared" si="145"/>
        <v>{2,750}</v>
      </c>
      <c r="AH525" t="str">
        <f ca="1" t="shared" si="137"/>
        <v>[{61,130},{63,150},{2,750}]</v>
      </c>
    </row>
    <row r="526" spans="4:34">
      <c r="D526" s="81" t="str">
        <f ca="1" t="shared" si="146"/>
        <v>珍惜Ⅰ</v>
      </c>
      <c r="E526" s="84">
        <f t="shared" si="147"/>
        <v>3</v>
      </c>
      <c r="F526" s="84">
        <f>F518+5</f>
        <v>130</v>
      </c>
      <c r="G526" s="84"/>
      <c r="H526" s="84"/>
      <c r="I526" s="84">
        <f t="shared" si="148"/>
        <v>750</v>
      </c>
      <c r="J526" s="84">
        <v>5</v>
      </c>
      <c r="K526" s="84"/>
      <c r="L526" s="84"/>
      <c r="M526" s="84" cm="1">
        <f ca="1" t="array" ref="M526">IF($E526&lt;7,_xlfn.XLOOKUP($D526&amp;$E526,$D$155:$D$395&amp;$E$155:$E$395,M$155:M$395),"")</f>
        <v>0</v>
      </c>
      <c r="N526" s="84" t="s">
        <v>282</v>
      </c>
      <c r="O526" s="84" t="s">
        <v>282</v>
      </c>
      <c r="P526" s="84" t="s">
        <v>282</v>
      </c>
      <c r="Q526" s="84" t="s">
        <v>282</v>
      </c>
      <c r="R526" s="84" t="s">
        <v>282</v>
      </c>
      <c r="S526" s="90">
        <f ca="1" t="shared" si="138"/>
        <v>145</v>
      </c>
      <c r="T526" s="90" cm="1">
        <f ca="1" t="array" ref="T526">IFERROR(SUMPRODUCT(F526:M526,$F$154:$M$154)+IFERROR(N526*SUMPRODUCT(O526:R526,$O$154:$R$154),0),"")</f>
        <v>1880</v>
      </c>
      <c r="U526" s="94"/>
      <c r="V526" s="94" t="str">
        <f t="shared" si="139"/>
        <v/>
      </c>
      <c r="W526" t="str">
        <f ca="1" t="shared" si="136"/>
        <v/>
      </c>
      <c r="X526" s="94" t="str">
        <f t="shared" si="140"/>
        <v>{61,130}</v>
      </c>
      <c r="Y526" s="94" t="str">
        <f t="shared" si="141"/>
        <v/>
      </c>
      <c r="Z526" s="94" t="str">
        <f t="shared" si="142"/>
        <v/>
      </c>
      <c r="AA526" s="94" t="str">
        <f t="shared" si="143"/>
        <v/>
      </c>
      <c r="AB526" s="94" t="str">
        <f t="shared" si="144"/>
        <v>{6030001,5}</v>
      </c>
      <c r="AE526" s="94" t="str">
        <f t="shared" si="145"/>
        <v>{2,750}</v>
      </c>
      <c r="AH526" t="str">
        <f ca="1" t="shared" si="137"/>
        <v>[{61,130},{6030001,5},{2,750}]</v>
      </c>
    </row>
    <row r="527" spans="4:34">
      <c r="D527" s="81" t="str">
        <f ca="1" t="shared" si="146"/>
        <v>珍惜Ⅰ</v>
      </c>
      <c r="E527" s="84">
        <f t="shared" si="147"/>
        <v>4</v>
      </c>
      <c r="F527" s="84">
        <f>CEILING(F528*1.25,5)</f>
        <v>210</v>
      </c>
      <c r="G527" s="84">
        <f>CEILING(G525*1.5,5)</f>
        <v>225</v>
      </c>
      <c r="H527" s="84"/>
      <c r="I527" s="84">
        <f t="shared" si="148"/>
        <v>750</v>
      </c>
      <c r="J527" s="84" cm="1">
        <f ca="1" t="array" ref="J527">IF($E527&lt;7,_xlfn.XLOOKUP($D527&amp;$E527,$D$155:$D$395&amp;$E$155:$E$395,J$155:J$395),"")</f>
        <v>0</v>
      </c>
      <c r="K527" s="84"/>
      <c r="L527" s="84"/>
      <c r="M527" s="84" cm="1">
        <f ca="1" t="array" ref="M527">IF($E527&lt;7,_xlfn.XLOOKUP($D527&amp;$E527,$D$155:$D$395&amp;$E$155:$E$395,M$155:M$395),"")</f>
        <v>0</v>
      </c>
      <c r="N527" s="84" t="s">
        <v>282</v>
      </c>
      <c r="O527" s="84" t="s">
        <v>282</v>
      </c>
      <c r="P527" s="84" t="s">
        <v>282</v>
      </c>
      <c r="Q527" s="84" t="s">
        <v>282</v>
      </c>
      <c r="R527" s="84" t="s">
        <v>282</v>
      </c>
      <c r="S527" s="90">
        <f ca="1" t="shared" si="138"/>
        <v>145</v>
      </c>
      <c r="T527" s="90" cm="1">
        <f ca="1" t="array" ref="T527">IFERROR(SUMPRODUCT(F527:M527,$F$154:$M$154)+IFERROR(N527*SUMPRODUCT(O527:R527,$O$154:$R$154),0),"")</f>
        <v>1185</v>
      </c>
      <c r="U527" s="94"/>
      <c r="V527" s="94" t="str">
        <f t="shared" si="139"/>
        <v/>
      </c>
      <c r="W527" t="str">
        <f ca="1" t="shared" si="136"/>
        <v/>
      </c>
      <c r="X527" s="94" t="str">
        <f t="shared" si="140"/>
        <v>{61,210}</v>
      </c>
      <c r="Y527" s="94" t="str">
        <f t="shared" si="141"/>
        <v>{63,225}</v>
      </c>
      <c r="Z527" s="94" t="str">
        <f t="shared" si="142"/>
        <v/>
      </c>
      <c r="AA527" s="94" t="str">
        <f t="shared" si="143"/>
        <v/>
      </c>
      <c r="AB527" s="94" t="str">
        <f ca="1" t="shared" si="144"/>
        <v/>
      </c>
      <c r="AE527" s="94" t="str">
        <f t="shared" si="145"/>
        <v>{2,750}</v>
      </c>
      <c r="AH527" t="str">
        <f ca="1" t="shared" si="137"/>
        <v>[{61,210},{63,225},{2,750}]</v>
      </c>
    </row>
    <row r="528" spans="4:34">
      <c r="D528" s="81" t="str">
        <f ca="1" t="shared" si="146"/>
        <v>珍惜Ⅰ</v>
      </c>
      <c r="E528" s="84">
        <f t="shared" si="147"/>
        <v>5</v>
      </c>
      <c r="F528" s="84">
        <f>CEILING(F524*1.25,5)</f>
        <v>165</v>
      </c>
      <c r="G528" s="84"/>
      <c r="H528" s="84"/>
      <c r="I528" s="84">
        <f t="shared" si="148"/>
        <v>750</v>
      </c>
      <c r="J528" s="84" cm="1">
        <f ca="1" t="array" ref="J528">IF($E528&lt;7,_xlfn.XLOOKUP($D528&amp;$E528,$D$155:$D$395&amp;$E$155:$E$395,J$155:J$395),"")</f>
        <v>0</v>
      </c>
      <c r="K528" s="84">
        <v>3</v>
      </c>
      <c r="L528" s="84"/>
      <c r="M528" s="84" cm="1">
        <f ca="1" t="array" ref="M528">IF($E528&lt;7,_xlfn.XLOOKUP($D528&amp;$E528,$D$155:$D$395&amp;$E$155:$E$395,M$155:M$395),"")</f>
        <v>0</v>
      </c>
      <c r="N528" s="84" t="s">
        <v>282</v>
      </c>
      <c r="O528" s="84" t="s">
        <v>282</v>
      </c>
      <c r="P528" s="84" t="s">
        <v>282</v>
      </c>
      <c r="Q528" s="84" t="s">
        <v>282</v>
      </c>
      <c r="R528" s="84" t="s">
        <v>282</v>
      </c>
      <c r="S528" s="90">
        <f ca="1" t="shared" si="138"/>
        <v>145</v>
      </c>
      <c r="T528" s="90" cm="1">
        <f ca="1" t="array" ref="T528">IFERROR(SUMPRODUCT(F528:M528,$F$154:$M$154)+IFERROR(N528*SUMPRODUCT(O528:R528,$O$154:$R$154),0),"")</f>
        <v>2115</v>
      </c>
      <c r="U528" s="94"/>
      <c r="V528" s="94" t="str">
        <f t="shared" si="139"/>
        <v/>
      </c>
      <c r="W528" t="str">
        <f ca="1" t="shared" si="136"/>
        <v/>
      </c>
      <c r="X528" s="94" t="str">
        <f t="shared" si="140"/>
        <v>{61,165}</v>
      </c>
      <c r="Y528" s="94" t="str">
        <f t="shared" si="141"/>
        <v/>
      </c>
      <c r="Z528" s="94" t="str">
        <f t="shared" si="142"/>
        <v/>
      </c>
      <c r="AA528" s="94" t="str">
        <f t="shared" si="143"/>
        <v>{6030002,3}</v>
      </c>
      <c r="AB528" s="94" t="str">
        <f ca="1" t="shared" si="144"/>
        <v/>
      </c>
      <c r="AE528" s="94" t="str">
        <f t="shared" si="145"/>
        <v>{2,750}</v>
      </c>
      <c r="AH528" t="str">
        <f ca="1" t="shared" si="137"/>
        <v>[{61,165},{6030002,3},{2,750}]</v>
      </c>
    </row>
    <row r="529" spans="4:34">
      <c r="D529" s="81" t="str">
        <f ca="1" t="shared" si="146"/>
        <v>珍惜Ⅰ</v>
      </c>
      <c r="E529" s="84">
        <f t="shared" si="147"/>
        <v>6</v>
      </c>
      <c r="F529" s="84">
        <f>CEILING(F525*1.25,5)</f>
        <v>165</v>
      </c>
      <c r="G529" s="84">
        <f>G527</f>
        <v>225</v>
      </c>
      <c r="H529" s="84"/>
      <c r="I529" s="84">
        <f t="shared" si="148"/>
        <v>750</v>
      </c>
      <c r="J529" s="84" cm="1">
        <f ca="1" t="array" ref="J529">IF($E529&lt;7,_xlfn.XLOOKUP($D529&amp;$E529,$D$155:$D$395&amp;$E$155:$E$395,J$155:J$395),"")</f>
        <v>0</v>
      </c>
      <c r="K529" s="84" cm="1">
        <f ca="1" t="array" ref="K529">IF($E529&lt;7,_xlfn.XLOOKUP($D529&amp;$E529,$D$155:$D$395&amp;$E$155:$E$395,K$155:K$395),"")</f>
        <v>0</v>
      </c>
      <c r="L529" s="84" cm="1">
        <f ca="1" t="array" ref="L529">IF($E529&lt;7,_xlfn.XLOOKUP($D529&amp;$E529,$D$155:$D$395&amp;$E$155:$E$395,L$155:L$395),"")</f>
        <v>0</v>
      </c>
      <c r="M529" s="84" cm="1">
        <f ca="1" t="array" ref="M529">IF($E529&lt;7,_xlfn.XLOOKUP($D529&amp;$E529,$D$155:$D$395&amp;$E$155:$E$395,M$155:M$395),"")</f>
        <v>0</v>
      </c>
      <c r="N529" s="84" t="s">
        <v>282</v>
      </c>
      <c r="O529" s="84" t="s">
        <v>282</v>
      </c>
      <c r="P529" s="84" t="s">
        <v>282</v>
      </c>
      <c r="Q529" s="84" t="s">
        <v>282</v>
      </c>
      <c r="R529" s="84" t="s">
        <v>282</v>
      </c>
      <c r="S529" s="90">
        <f ca="1" t="shared" si="138"/>
        <v>145</v>
      </c>
      <c r="T529" s="90" cm="1">
        <f ca="1" t="array" ref="T529">IFERROR(SUMPRODUCT(F529:M529,$F$154:$M$154)+IFERROR(N529*SUMPRODUCT(O529:R529,$O$154:$R$154),0),"")</f>
        <v>1140</v>
      </c>
      <c r="U529" s="94"/>
      <c r="V529" s="94" t="str">
        <f t="shared" si="139"/>
        <v/>
      </c>
      <c r="W529" t="str">
        <f ca="1" t="shared" si="136"/>
        <v/>
      </c>
      <c r="X529" s="94" t="str">
        <f t="shared" si="140"/>
        <v>{61,165}</v>
      </c>
      <c r="Y529" s="94" t="str">
        <f t="shared" si="141"/>
        <v>{63,225}</v>
      </c>
      <c r="Z529" s="94" t="str">
        <f ca="1" t="shared" si="142"/>
        <v/>
      </c>
      <c r="AA529" s="94" t="str">
        <f ca="1" t="shared" si="143"/>
        <v/>
      </c>
      <c r="AB529" s="94" t="str">
        <f ca="1" t="shared" si="144"/>
        <v/>
      </c>
      <c r="AE529" s="94" t="str">
        <f t="shared" si="145"/>
        <v>{2,750}</v>
      </c>
      <c r="AH529" t="str">
        <f ca="1" t="shared" si="137"/>
        <v>[{61,165},{63,225},{2,750}]</v>
      </c>
    </row>
    <row r="530" spans="4:34">
      <c r="D530" s="81" t="str">
        <f ca="1" t="shared" si="146"/>
        <v>珍惜Ⅰ</v>
      </c>
      <c r="E530" s="84">
        <f t="shared" si="147"/>
        <v>7</v>
      </c>
      <c r="F530" s="84">
        <f>CEILING(F526*1.25,5)</f>
        <v>165</v>
      </c>
      <c r="G530" s="84"/>
      <c r="H530" s="84"/>
      <c r="I530" s="84">
        <f t="shared" si="148"/>
        <v>750</v>
      </c>
      <c r="J530" s="84" t="str" cm="1">
        <f ca="1" t="array" ref="J530">IF($E530&lt;7,_xlfn.XLOOKUP($D530&amp;$E530,$D$155:$D$395&amp;$E$155:$E$395,J$155:J$395),"")</f>
        <v/>
      </c>
      <c r="K530" s="84">
        <v>2</v>
      </c>
      <c r="L530" s="84" t="str" cm="1">
        <f ca="1" t="array" ref="L530">IF($E530&lt;7,_xlfn.XLOOKUP($D530&amp;$E530,$D$155:$D$395&amp;$E$155:$E$395,L$155:L$395),"")</f>
        <v/>
      </c>
      <c r="M530" s="84" t="str" cm="1">
        <f ca="1" t="array" ref="M530">IF($E530&lt;7,_xlfn.XLOOKUP($D530&amp;$E530,$D$155:$D$395&amp;$E$155:$E$395,M$155:M$395),"")</f>
        <v/>
      </c>
      <c r="N530" s="84" t="s">
        <v>282</v>
      </c>
      <c r="O530" s="84" t="s">
        <v>282</v>
      </c>
      <c r="P530" s="84" t="s">
        <v>282</v>
      </c>
      <c r="Q530" s="84" t="s">
        <v>282</v>
      </c>
      <c r="R530" s="84" t="s">
        <v>282</v>
      </c>
      <c r="S530" s="90">
        <f ca="1" t="shared" si="138"/>
        <v>145</v>
      </c>
      <c r="T530" s="90" cm="1">
        <f ca="1" t="array" ref="T530">IFERROR(SUMPRODUCT(F530:M530,$F$154:$M$154)+IFERROR(N530*SUMPRODUCT(O530:R530,$O$154:$R$154),0),"")</f>
        <v>1715</v>
      </c>
      <c r="U530" s="94"/>
      <c r="V530" s="94" t="str">
        <f t="shared" si="139"/>
        <v/>
      </c>
      <c r="W530" t="str">
        <f ca="1" t="shared" si="136"/>
        <v/>
      </c>
      <c r="X530" s="94" t="str">
        <f t="shared" si="140"/>
        <v>{61,165}</v>
      </c>
      <c r="Y530" s="94" t="str">
        <f t="shared" si="141"/>
        <v/>
      </c>
      <c r="Z530" s="94" t="str">
        <f ca="1" t="shared" si="142"/>
        <v/>
      </c>
      <c r="AA530" s="94" t="str">
        <f t="shared" si="143"/>
        <v>{6030002,2}</v>
      </c>
      <c r="AB530" s="94" t="str">
        <f ca="1" t="shared" si="144"/>
        <v/>
      </c>
      <c r="AE530" s="94" t="str">
        <f t="shared" si="145"/>
        <v>{2,750}</v>
      </c>
      <c r="AH530" t="str">
        <f ca="1" t="shared" si="137"/>
        <v>[{61,165},{6030002,2},{2,750}]</v>
      </c>
    </row>
    <row r="531" spans="4:34">
      <c r="D531" s="81" t="str">
        <f ca="1" t="shared" si="146"/>
        <v>珍惜Ⅰ</v>
      </c>
      <c r="E531" s="84">
        <f t="shared" si="147"/>
        <v>8</v>
      </c>
      <c r="F531" s="84">
        <f>CEILING(F530*1.5,5)</f>
        <v>250</v>
      </c>
      <c r="G531" s="84">
        <f>CEILING(G529*1.5,5)</f>
        <v>340</v>
      </c>
      <c r="H531" s="84">
        <f>1</f>
        <v>1</v>
      </c>
      <c r="I531" s="84">
        <f t="shared" si="148"/>
        <v>750</v>
      </c>
      <c r="J531" s="84" t="str" cm="1">
        <f ca="1" t="array" ref="J531">IF($E531&lt;7,_xlfn.XLOOKUP($D531&amp;$E531,$D$155:$D$395&amp;$E$155:$E$395,J$155:J$395),"")</f>
        <v/>
      </c>
      <c r="K531" s="84" t="str" cm="1">
        <f ca="1" t="array" ref="K531">IF($E531&lt;7,_xlfn.XLOOKUP($D531&amp;$E531,$D$155:$D$395&amp;$E$155:$E$395,K$155:K$395),"")</f>
        <v/>
      </c>
      <c r="L531" s="84" t="str" cm="1">
        <f ca="1" t="array" ref="L531">IF($E531&lt;7,_xlfn.XLOOKUP($D531&amp;$E531,$D$155:$D$395&amp;$E$155:$E$395,L$155:L$395),"")</f>
        <v/>
      </c>
      <c r="M531" s="84" t="str" cm="1">
        <f ca="1" t="array" ref="M531">IF($E531&lt;7,_xlfn.XLOOKUP($D531&amp;$E531,$D$155:$D$395&amp;$E$155:$E$395,M$155:M$395),"")</f>
        <v/>
      </c>
      <c r="N531" s="84">
        <v>8</v>
      </c>
      <c r="O531" s="84">
        <v>0</v>
      </c>
      <c r="P531" s="84">
        <v>0.79</v>
      </c>
      <c r="Q531" s="84">
        <v>0.21</v>
      </c>
      <c r="R531" s="84">
        <v>0</v>
      </c>
      <c r="S531" s="90">
        <f ca="1" t="shared" si="138"/>
        <v>145</v>
      </c>
      <c r="T531" s="90" cm="1">
        <f ca="1" t="array" ref="T531">IFERROR(SUMPRODUCT(F531:M531,$F$154:$M$154)+IFERROR(N531*SUMPRODUCT(O531:R531,$O$154:$R$154),0),"")</f>
        <v>5362</v>
      </c>
      <c r="U531" s="94"/>
      <c r="V531" s="94" t="str">
        <f t="shared" si="139"/>
        <v>{62,1}</v>
      </c>
      <c r="W531" t="str">
        <f ca="1" t="shared" si="136"/>
        <v>{6020011,8}</v>
      </c>
      <c r="X531" s="94" t="str">
        <f t="shared" si="140"/>
        <v>{61,250}</v>
      </c>
      <c r="Y531" s="94" t="str">
        <f t="shared" si="141"/>
        <v>{63,340}</v>
      </c>
      <c r="Z531" s="94" t="str">
        <f ca="1" t="shared" si="142"/>
        <v/>
      </c>
      <c r="AA531" s="94" t="str">
        <f ca="1" t="shared" si="143"/>
        <v/>
      </c>
      <c r="AB531" s="94" t="str">
        <f ca="1" t="shared" si="144"/>
        <v/>
      </c>
      <c r="AE531" s="94" t="str">
        <f t="shared" si="145"/>
        <v>{2,750}</v>
      </c>
      <c r="AH531" t="str">
        <f ca="1" t="shared" si="137"/>
        <v>[{62,1},{6020011,8},{61,250},{63,340},{2,750}]</v>
      </c>
    </row>
    <row r="532" spans="4:34">
      <c r="D532" s="81" t="str">
        <f ca="1" t="shared" si="146"/>
        <v>珍惜Ⅱ</v>
      </c>
      <c r="E532" s="84">
        <f t="shared" si="147"/>
        <v>1</v>
      </c>
      <c r="F532" s="84">
        <f>F524+5</f>
        <v>135</v>
      </c>
      <c r="G532" s="84"/>
      <c r="H532" s="84"/>
      <c r="I532" s="84">
        <f t="shared" si="148"/>
        <v>775</v>
      </c>
      <c r="J532" s="84">
        <v>4</v>
      </c>
      <c r="K532" s="84" cm="1">
        <f ca="1" t="array" ref="K532">IF($E532&lt;7,_xlfn.XLOOKUP($D532&amp;$E532,$D$155:$D$395&amp;$E$155:$E$395,K$155:K$395),"")</f>
        <v>0</v>
      </c>
      <c r="L532" s="84" cm="1">
        <f ca="1" t="array" ref="L532">IF($E532&lt;7,_xlfn.XLOOKUP($D532&amp;$E532,$D$155:$D$395&amp;$E$155:$E$395,L$155:L$395),"")</f>
        <v>0</v>
      </c>
      <c r="M532" s="84" cm="1">
        <f ca="1" t="array" ref="M532">IF($E532&lt;7,_xlfn.XLOOKUP($D532&amp;$E532,$D$155:$D$395&amp;$E$155:$E$395,M$155:M$395),"")</f>
        <v>0</v>
      </c>
      <c r="N532" s="84" t="s">
        <v>282</v>
      </c>
      <c r="O532" s="84" t="s">
        <v>282</v>
      </c>
      <c r="P532" s="84" t="s">
        <v>282</v>
      </c>
      <c r="Q532" s="84" t="s">
        <v>282</v>
      </c>
      <c r="R532" s="84" t="s">
        <v>282</v>
      </c>
      <c r="S532" s="90">
        <f ca="1" t="shared" si="138"/>
        <v>155</v>
      </c>
      <c r="T532" s="90" cm="1">
        <f ca="1" t="array" ref="T532">IFERROR(SUMPRODUCT(F532:M532,$F$154:$M$154)+IFERROR(N532*SUMPRODUCT(O532:R532,$O$154:$R$154),0),"")</f>
        <v>1710</v>
      </c>
      <c r="U532" s="94"/>
      <c r="V532" s="94" t="str">
        <f t="shared" si="139"/>
        <v/>
      </c>
      <c r="W532" t="str">
        <f ca="1" t="shared" si="136"/>
        <v/>
      </c>
      <c r="X532" s="94" t="str">
        <f t="shared" si="140"/>
        <v>{61,135}</v>
      </c>
      <c r="Y532" s="94" t="str">
        <f t="shared" si="141"/>
        <v/>
      </c>
      <c r="Z532" s="94" t="str">
        <f ca="1" t="shared" si="142"/>
        <v/>
      </c>
      <c r="AA532" s="94" t="str">
        <f ca="1" t="shared" si="143"/>
        <v/>
      </c>
      <c r="AB532" s="94" t="str">
        <f t="shared" si="144"/>
        <v>{6030001,4}</v>
      </c>
      <c r="AE532" s="94" t="str">
        <f t="shared" si="145"/>
        <v>{2,775}</v>
      </c>
      <c r="AH532" t="str">
        <f ca="1" t="shared" si="137"/>
        <v>[{61,135},{6030001,4},{2,775}]</v>
      </c>
    </row>
    <row r="533" spans="4:34">
      <c r="D533" s="81" t="str">
        <f ca="1" t="shared" si="146"/>
        <v>珍惜Ⅱ</v>
      </c>
      <c r="E533" s="84">
        <f t="shared" si="147"/>
        <v>2</v>
      </c>
      <c r="F533" s="84">
        <f>F525+5</f>
        <v>135</v>
      </c>
      <c r="G533" s="84">
        <f>G525+5</f>
        <v>155</v>
      </c>
      <c r="H533" s="84"/>
      <c r="I533" s="84">
        <f t="shared" si="148"/>
        <v>775</v>
      </c>
      <c r="J533" s="84" cm="1">
        <f ca="1" t="array" ref="J533">IF($E533&lt;7,_xlfn.XLOOKUP($D533&amp;$E533,$D$155:$D$395&amp;$E$155:$E$395,J$155:J$395),"")</f>
        <v>0</v>
      </c>
      <c r="K533" s="84" cm="1">
        <f ca="1" t="array" ref="K533">IF($E533&lt;7,_xlfn.XLOOKUP($D533&amp;$E533,$D$155:$D$395&amp;$E$155:$E$395,K$155:K$395),"")</f>
        <v>0</v>
      </c>
      <c r="L533" s="84" cm="1">
        <f ca="1" t="array" ref="L533">IF($E533&lt;7,_xlfn.XLOOKUP($D533&amp;$E533,$D$155:$D$395&amp;$E$155:$E$395,L$155:L$395),"")</f>
        <v>0</v>
      </c>
      <c r="M533" s="84" cm="1">
        <f ca="1" t="array" ref="M533">IF($E533&lt;7,_xlfn.XLOOKUP($D533&amp;$E533,$D$155:$D$395&amp;$E$155:$E$395,M$155:M$395),"")</f>
        <v>0</v>
      </c>
      <c r="N533" s="84" t="s">
        <v>282</v>
      </c>
      <c r="O533" s="84" t="s">
        <v>282</v>
      </c>
      <c r="P533" s="84" t="s">
        <v>282</v>
      </c>
      <c r="Q533" s="84" t="s">
        <v>282</v>
      </c>
      <c r="R533" s="84" t="s">
        <v>282</v>
      </c>
      <c r="S533" s="90">
        <f ca="1" t="shared" si="138"/>
        <v>155</v>
      </c>
      <c r="T533" s="90" cm="1">
        <f ca="1" t="array" ref="T533">IFERROR(SUMPRODUCT(F533:M533,$F$154:$M$154)+IFERROR(N533*SUMPRODUCT(O533:R533,$O$154:$R$154),0),"")</f>
        <v>1065</v>
      </c>
      <c r="U533" s="94"/>
      <c r="V533" s="94" t="str">
        <f t="shared" si="139"/>
        <v/>
      </c>
      <c r="W533" t="str">
        <f ca="1" t="shared" si="136"/>
        <v/>
      </c>
      <c r="X533" s="94" t="str">
        <f t="shared" si="140"/>
        <v>{61,135}</v>
      </c>
      <c r="Y533" s="94" t="str">
        <f t="shared" si="141"/>
        <v>{63,155}</v>
      </c>
      <c r="Z533" s="94" t="str">
        <f ca="1" t="shared" si="142"/>
        <v/>
      </c>
      <c r="AA533" s="94" t="str">
        <f ca="1" t="shared" si="143"/>
        <v/>
      </c>
      <c r="AB533" s="94" t="str">
        <f ca="1" t="shared" si="144"/>
        <v/>
      </c>
      <c r="AE533" s="94" t="str">
        <f t="shared" si="145"/>
        <v>{2,775}</v>
      </c>
      <c r="AH533" t="str">
        <f ca="1" t="shared" si="137"/>
        <v>[{61,135},{63,155},{2,775}]</v>
      </c>
    </row>
    <row r="534" spans="4:34">
      <c r="D534" s="81" t="str">
        <f ca="1" t="shared" si="146"/>
        <v>珍惜Ⅱ</v>
      </c>
      <c r="E534" s="84">
        <f t="shared" si="147"/>
        <v>3</v>
      </c>
      <c r="F534" s="84">
        <f>F526+5</f>
        <v>135</v>
      </c>
      <c r="G534" s="84"/>
      <c r="H534" s="84"/>
      <c r="I534" s="84">
        <f t="shared" si="148"/>
        <v>775</v>
      </c>
      <c r="J534" s="84">
        <v>5</v>
      </c>
      <c r="K534" s="84"/>
      <c r="L534" s="84" cm="1">
        <f ca="1" t="array" ref="L534">IF($E534&lt;7,_xlfn.XLOOKUP($D534&amp;$E534,$D$155:$D$395&amp;$E$155:$E$395,L$155:L$395),"")</f>
        <v>0</v>
      </c>
      <c r="M534" s="84" cm="1">
        <f ca="1" t="array" ref="M534">IF($E534&lt;7,_xlfn.XLOOKUP($D534&amp;$E534,$D$155:$D$395&amp;$E$155:$E$395,M$155:M$395),"")</f>
        <v>0</v>
      </c>
      <c r="N534" s="84" t="s">
        <v>282</v>
      </c>
      <c r="O534" s="84" t="s">
        <v>282</v>
      </c>
      <c r="P534" s="84" t="s">
        <v>282</v>
      </c>
      <c r="Q534" s="84" t="s">
        <v>282</v>
      </c>
      <c r="R534" s="84" t="s">
        <v>282</v>
      </c>
      <c r="S534" s="90">
        <f ca="1" t="shared" si="138"/>
        <v>155</v>
      </c>
      <c r="T534" s="90" cm="1">
        <f ca="1" t="array" ref="T534">IFERROR(SUMPRODUCT(F534:M534,$F$154:$M$154)+IFERROR(N534*SUMPRODUCT(O534:R534,$O$154:$R$154),0),"")</f>
        <v>1910</v>
      </c>
      <c r="U534" s="94"/>
      <c r="V534" s="94" t="str">
        <f t="shared" si="139"/>
        <v/>
      </c>
      <c r="W534" t="str">
        <f ca="1" t="shared" si="136"/>
        <v/>
      </c>
      <c r="X534" s="94" t="str">
        <f t="shared" si="140"/>
        <v>{61,135}</v>
      </c>
      <c r="Y534" s="94" t="str">
        <f t="shared" si="141"/>
        <v/>
      </c>
      <c r="Z534" s="94" t="str">
        <f ca="1" t="shared" si="142"/>
        <v/>
      </c>
      <c r="AA534" s="94" t="str">
        <f t="shared" si="143"/>
        <v/>
      </c>
      <c r="AB534" s="94" t="str">
        <f t="shared" si="144"/>
        <v>{6030001,5}</v>
      </c>
      <c r="AE534" s="94" t="str">
        <f t="shared" si="145"/>
        <v>{2,775}</v>
      </c>
      <c r="AH534" t="str">
        <f ca="1" t="shared" si="137"/>
        <v>[{61,135},{6030001,5},{2,775}]</v>
      </c>
    </row>
    <row r="535" spans="4:34">
      <c r="D535" s="81" t="str">
        <f ca="1" t="shared" si="146"/>
        <v>珍惜Ⅱ</v>
      </c>
      <c r="E535" s="84">
        <f t="shared" si="147"/>
        <v>4</v>
      </c>
      <c r="F535" s="84">
        <f>CEILING(F536*1.25,5)</f>
        <v>215</v>
      </c>
      <c r="G535" s="84">
        <f>CEILING(G533*1.5,5)</f>
        <v>235</v>
      </c>
      <c r="H535" s="84"/>
      <c r="I535" s="84">
        <f t="shared" si="148"/>
        <v>775</v>
      </c>
      <c r="J535" s="84" cm="1">
        <f ca="1" t="array" ref="J535">IF($E535&lt;7,_xlfn.XLOOKUP($D535&amp;$E535,$D$155:$D$395&amp;$E$155:$E$395,J$155:J$395),"")</f>
        <v>0</v>
      </c>
      <c r="K535" s="84" cm="1">
        <f ca="1" t="array" ref="K535">IF($E535&lt;7,_xlfn.XLOOKUP($D535&amp;$E535,$D$155:$D$395&amp;$E$155:$E$395,K$155:K$395),"")</f>
        <v>0</v>
      </c>
      <c r="L535" s="84" cm="1">
        <f ca="1" t="array" ref="L535">IF($E535&lt;7,_xlfn.XLOOKUP($D535&amp;$E535,$D$155:$D$395&amp;$E$155:$E$395,L$155:L$395),"")</f>
        <v>0</v>
      </c>
      <c r="M535" s="84" cm="1">
        <f ca="1" t="array" ref="M535">IF($E535&lt;7,_xlfn.XLOOKUP($D535&amp;$E535,$D$155:$D$395&amp;$E$155:$E$395,M$155:M$395),"")</f>
        <v>0</v>
      </c>
      <c r="N535" s="84" t="s">
        <v>282</v>
      </c>
      <c r="O535" s="84" t="s">
        <v>282</v>
      </c>
      <c r="P535" s="84" t="s">
        <v>282</v>
      </c>
      <c r="Q535" s="84" t="s">
        <v>282</v>
      </c>
      <c r="R535" s="84" t="s">
        <v>282</v>
      </c>
      <c r="S535" s="90">
        <f ca="1" t="shared" si="138"/>
        <v>155</v>
      </c>
      <c r="T535" s="90" cm="1">
        <f ca="1" t="array" ref="T535">IFERROR(SUMPRODUCT(F535:M535,$F$154:$M$154)+IFERROR(N535*SUMPRODUCT(O535:R535,$O$154:$R$154),0),"")</f>
        <v>1225</v>
      </c>
      <c r="U535" s="94"/>
      <c r="V535" s="94" t="str">
        <f t="shared" si="139"/>
        <v/>
      </c>
      <c r="W535" t="str">
        <f ca="1" t="shared" si="136"/>
        <v/>
      </c>
      <c r="X535" s="94" t="str">
        <f t="shared" si="140"/>
        <v>{61,215}</v>
      </c>
      <c r="Y535" s="94" t="str">
        <f t="shared" si="141"/>
        <v>{63,235}</v>
      </c>
      <c r="Z535" s="94" t="str">
        <f ca="1" t="shared" si="142"/>
        <v/>
      </c>
      <c r="AA535" s="94" t="str">
        <f ca="1" t="shared" si="143"/>
        <v/>
      </c>
      <c r="AB535" s="94" t="str">
        <f ca="1" t="shared" si="144"/>
        <v/>
      </c>
      <c r="AE535" s="94" t="str">
        <f t="shared" si="145"/>
        <v>{2,775}</v>
      </c>
      <c r="AH535" t="str">
        <f ca="1" t="shared" si="137"/>
        <v>[{61,215},{63,235},{2,775}]</v>
      </c>
    </row>
    <row r="536" spans="4:34">
      <c r="D536" s="81" t="str">
        <f ca="1" t="shared" si="146"/>
        <v>珍惜Ⅱ</v>
      </c>
      <c r="E536" s="84">
        <f t="shared" si="147"/>
        <v>5</v>
      </c>
      <c r="F536" s="84">
        <f>CEILING(F532*1.25,5)</f>
        <v>170</v>
      </c>
      <c r="G536" s="84"/>
      <c r="H536" s="84"/>
      <c r="I536" s="84">
        <f t="shared" si="148"/>
        <v>775</v>
      </c>
      <c r="J536" s="84" cm="1">
        <f ca="1" t="array" ref="J536">IF($E536&lt;7,_xlfn.XLOOKUP($D536&amp;$E536,$D$155:$D$395&amp;$E$155:$E$395,J$155:J$395),"")</f>
        <v>0</v>
      </c>
      <c r="K536" s="84">
        <v>4</v>
      </c>
      <c r="L536" s="84"/>
      <c r="M536" s="84" cm="1">
        <f ca="1" t="array" ref="M536">IF($E536&lt;7,_xlfn.XLOOKUP($D536&amp;$E536,$D$155:$D$395&amp;$E$155:$E$395,M$155:M$395),"")</f>
        <v>0</v>
      </c>
      <c r="N536" s="84" t="s">
        <v>282</v>
      </c>
      <c r="O536" s="84" t="s">
        <v>282</v>
      </c>
      <c r="P536" s="84" t="s">
        <v>282</v>
      </c>
      <c r="Q536" s="84" t="s">
        <v>282</v>
      </c>
      <c r="R536" s="84" t="s">
        <v>282</v>
      </c>
      <c r="S536" s="90">
        <f ca="1" t="shared" si="138"/>
        <v>155</v>
      </c>
      <c r="T536" s="90" cm="1">
        <f ca="1" t="array" ref="T536">IFERROR(SUMPRODUCT(F536:M536,$F$154:$M$154)+IFERROR(N536*SUMPRODUCT(O536:R536,$O$154:$R$154),0),"")</f>
        <v>2545</v>
      </c>
      <c r="U536" s="94"/>
      <c r="V536" s="94" t="str">
        <f t="shared" si="139"/>
        <v/>
      </c>
      <c r="W536" t="str">
        <f ca="1" t="shared" si="136"/>
        <v/>
      </c>
      <c r="X536" s="94" t="str">
        <f t="shared" si="140"/>
        <v>{61,170}</v>
      </c>
      <c r="Y536" s="94" t="str">
        <f t="shared" si="141"/>
        <v/>
      </c>
      <c r="Z536" s="94" t="str">
        <f t="shared" si="142"/>
        <v/>
      </c>
      <c r="AA536" s="94" t="str">
        <f t="shared" si="143"/>
        <v>{6030002,4}</v>
      </c>
      <c r="AB536" s="94" t="str">
        <f ca="1" t="shared" si="144"/>
        <v/>
      </c>
      <c r="AE536" s="94" t="str">
        <f t="shared" si="145"/>
        <v>{2,775}</v>
      </c>
      <c r="AH536" t="str">
        <f ca="1" t="shared" si="137"/>
        <v>[{61,170},{6030002,4},{2,775}]</v>
      </c>
    </row>
    <row r="537" spans="4:34">
      <c r="D537" s="81" t="str">
        <f ca="1" t="shared" si="146"/>
        <v>珍惜Ⅱ</v>
      </c>
      <c r="E537" s="84">
        <f t="shared" si="147"/>
        <v>6</v>
      </c>
      <c r="F537" s="84">
        <f>CEILING(F533*1.25,5)</f>
        <v>170</v>
      </c>
      <c r="G537" s="84">
        <f>G535</f>
        <v>235</v>
      </c>
      <c r="H537" s="84"/>
      <c r="I537" s="84">
        <f t="shared" si="148"/>
        <v>775</v>
      </c>
      <c r="J537" s="84" cm="1">
        <f ca="1" t="array" ref="J537">IF($E537&lt;7,_xlfn.XLOOKUP($D537&amp;$E537,$D$155:$D$395&amp;$E$155:$E$395,J$155:J$395),"")</f>
        <v>0</v>
      </c>
      <c r="K537" s="84" cm="1">
        <f ca="1" t="array" ref="K537">IF($E537&lt;7,_xlfn.XLOOKUP($D537&amp;$E537,$D$155:$D$395&amp;$E$155:$E$395,K$155:K$395),"")</f>
        <v>0</v>
      </c>
      <c r="L537" s="84" cm="1">
        <f ca="1" t="array" ref="L537">IF($E537&lt;7,_xlfn.XLOOKUP($D537&amp;$E537,$D$155:$D$395&amp;$E$155:$E$395,L$155:L$395),"")</f>
        <v>0</v>
      </c>
      <c r="M537" s="84" cm="1">
        <f ca="1" t="array" ref="M537">IF($E537&lt;7,_xlfn.XLOOKUP($D537&amp;$E537,$D$155:$D$395&amp;$E$155:$E$395,M$155:M$395),"")</f>
        <v>0</v>
      </c>
      <c r="N537" s="84" t="s">
        <v>282</v>
      </c>
      <c r="O537" s="84" t="s">
        <v>282</v>
      </c>
      <c r="P537" s="84" t="s">
        <v>282</v>
      </c>
      <c r="Q537" s="84" t="s">
        <v>282</v>
      </c>
      <c r="R537" s="84" t="s">
        <v>282</v>
      </c>
      <c r="S537" s="90">
        <f ca="1" t="shared" si="138"/>
        <v>155</v>
      </c>
      <c r="T537" s="90" cm="1">
        <f ca="1" t="array" ref="T537">IFERROR(SUMPRODUCT(F537:M537,$F$154:$M$154)+IFERROR(N537*SUMPRODUCT(O537:R537,$O$154:$R$154),0),"")</f>
        <v>1180</v>
      </c>
      <c r="U537" s="94"/>
      <c r="V537" s="94" t="str">
        <f t="shared" si="139"/>
        <v/>
      </c>
      <c r="W537" t="str">
        <f ca="1" t="shared" si="136"/>
        <v/>
      </c>
      <c r="X537" s="94" t="str">
        <f t="shared" si="140"/>
        <v>{61,170}</v>
      </c>
      <c r="Y537" s="94" t="str">
        <f t="shared" si="141"/>
        <v>{63,235}</v>
      </c>
      <c r="Z537" s="94" t="str">
        <f ca="1" t="shared" si="142"/>
        <v/>
      </c>
      <c r="AA537" s="94" t="str">
        <f ca="1" t="shared" si="143"/>
        <v/>
      </c>
      <c r="AB537" s="94" t="str">
        <f ca="1" t="shared" si="144"/>
        <v/>
      </c>
      <c r="AE537" s="94" t="str">
        <f t="shared" si="145"/>
        <v>{2,775}</v>
      </c>
      <c r="AH537" t="str">
        <f ca="1" t="shared" si="137"/>
        <v>[{61,170},{63,235},{2,775}]</v>
      </c>
    </row>
    <row r="538" spans="4:34">
      <c r="D538" s="81" t="str">
        <f ca="1" t="shared" si="146"/>
        <v>珍惜Ⅱ</v>
      </c>
      <c r="E538" s="84">
        <f t="shared" si="147"/>
        <v>7</v>
      </c>
      <c r="F538" s="84">
        <f>CEILING(F534*1.25,5)</f>
        <v>170</v>
      </c>
      <c r="G538" s="84"/>
      <c r="H538" s="84"/>
      <c r="I538" s="84">
        <f t="shared" si="148"/>
        <v>775</v>
      </c>
      <c r="J538" s="84" t="str" cm="1">
        <f ca="1" t="array" ref="J538">IF($E538&lt;7,_xlfn.XLOOKUP($D538&amp;$E538,$D$155:$D$395&amp;$E$155:$E$395,J$155:J$395),"")</f>
        <v/>
      </c>
      <c r="K538" s="84" t="str" cm="1">
        <f ca="1" t="array" ref="K538">IF($E538&lt;7,_xlfn.XLOOKUP($D538&amp;$E538,$D$155:$D$395&amp;$E$155:$E$395,K$155:K$395),"")</f>
        <v/>
      </c>
      <c r="L538" s="84">
        <v>2</v>
      </c>
      <c r="M538" s="84" t="str" cm="1">
        <f ca="1" t="array" ref="M538">IF($E538&lt;7,_xlfn.XLOOKUP($D538&amp;$E538,$D$155:$D$395&amp;$E$155:$E$395,M$155:M$395),"")</f>
        <v/>
      </c>
      <c r="N538" s="84" t="s">
        <v>282</v>
      </c>
      <c r="O538" s="84" t="s">
        <v>282</v>
      </c>
      <c r="P538" s="84" t="s">
        <v>282</v>
      </c>
      <c r="Q538" s="84" t="s">
        <v>282</v>
      </c>
      <c r="R538" s="84" t="s">
        <v>282</v>
      </c>
      <c r="S538" s="90">
        <f ca="1" t="shared" si="138"/>
        <v>155</v>
      </c>
      <c r="T538" s="90" cm="1">
        <f ca="1" t="array" ref="T538">IFERROR(SUMPRODUCT(F538:M538,$F$154:$M$154)+IFERROR(N538*SUMPRODUCT(O538:R538,$O$154:$R$154),0),"")</f>
        <v>2545</v>
      </c>
      <c r="U538" s="94"/>
      <c r="V538" s="94" t="str">
        <f t="shared" si="139"/>
        <v/>
      </c>
      <c r="W538" t="str">
        <f ca="1" t="shared" si="136"/>
        <v/>
      </c>
      <c r="X538" s="94" t="str">
        <f t="shared" si="140"/>
        <v>{61,170}</v>
      </c>
      <c r="Y538" s="94" t="str">
        <f t="shared" si="141"/>
        <v/>
      </c>
      <c r="Z538" s="94" t="str">
        <f t="shared" si="142"/>
        <v>{6030003,2}</v>
      </c>
      <c r="AA538" s="94" t="str">
        <f ca="1" t="shared" si="143"/>
        <v/>
      </c>
      <c r="AB538" s="94" t="str">
        <f ca="1" t="shared" si="144"/>
        <v/>
      </c>
      <c r="AE538" s="94" t="str">
        <f t="shared" si="145"/>
        <v>{2,775}</v>
      </c>
      <c r="AH538" t="str">
        <f ca="1" t="shared" si="137"/>
        <v>[{61,170},{6030003,2},{2,775}]</v>
      </c>
    </row>
    <row r="539" spans="4:34">
      <c r="D539" s="81" t="str">
        <f ca="1" t="shared" si="146"/>
        <v>珍惜Ⅱ</v>
      </c>
      <c r="E539" s="84">
        <f t="shared" si="147"/>
        <v>8</v>
      </c>
      <c r="F539" s="84">
        <f>CEILING(F538*1.5,5)</f>
        <v>255</v>
      </c>
      <c r="G539" s="84">
        <f>CEILING(G537*1.5,5)</f>
        <v>355</v>
      </c>
      <c r="H539" s="84">
        <f>1</f>
        <v>1</v>
      </c>
      <c r="I539" s="84">
        <f t="shared" si="148"/>
        <v>775</v>
      </c>
      <c r="J539" s="84" t="str" cm="1">
        <f ca="1" t="array" ref="J539">IF($E539&lt;7,_xlfn.XLOOKUP($D539&amp;$E539,$D$155:$D$395&amp;$E$155:$E$395,J$155:J$395),"")</f>
        <v/>
      </c>
      <c r="K539" s="84" t="str" cm="1">
        <f ca="1" t="array" ref="K539">IF($E539&lt;7,_xlfn.XLOOKUP($D539&amp;$E539,$D$155:$D$395&amp;$E$155:$E$395,K$155:K$395),"")</f>
        <v/>
      </c>
      <c r="L539" s="84" t="str" cm="1">
        <f ca="1" t="array" ref="L539">IF($E539&lt;7,_xlfn.XLOOKUP($D539&amp;$E539,$D$155:$D$395&amp;$E$155:$E$395,L$155:L$395),"")</f>
        <v/>
      </c>
      <c r="M539" s="84" t="str" cm="1">
        <f ca="1" t="array" ref="M539">IF($E539&lt;7,_xlfn.XLOOKUP($D539&amp;$E539,$D$155:$D$395&amp;$E$155:$E$395,M$155:M$395),"")</f>
        <v/>
      </c>
      <c r="N539" s="84">
        <v>8</v>
      </c>
      <c r="O539" s="84">
        <v>0</v>
      </c>
      <c r="P539" s="84">
        <v>0.76</v>
      </c>
      <c r="Q539" s="84">
        <v>0.24</v>
      </c>
      <c r="R539" s="84">
        <v>0</v>
      </c>
      <c r="S539" s="90">
        <f ca="1" t="shared" si="138"/>
        <v>155</v>
      </c>
      <c r="T539" s="90" cm="1">
        <f ca="1" t="array" ref="T539">IFERROR(SUMPRODUCT(F539:M539,$F$154:$M$154)+IFERROR(N539*SUMPRODUCT(O539:R539,$O$154:$R$154),0),"")</f>
        <v>5503</v>
      </c>
      <c r="U539" s="94"/>
      <c r="V539" s="94" t="str">
        <f t="shared" si="139"/>
        <v>{62,1}</v>
      </c>
      <c r="W539" t="str">
        <f ca="1" t="shared" si="136"/>
        <v>{6020012,8}</v>
      </c>
      <c r="X539" s="94" t="str">
        <f t="shared" si="140"/>
        <v>{61,255}</v>
      </c>
      <c r="Y539" s="94" t="str">
        <f t="shared" si="141"/>
        <v>{63,355}</v>
      </c>
      <c r="Z539" s="94" t="str">
        <f ca="1" t="shared" si="142"/>
        <v/>
      </c>
      <c r="AA539" s="94" t="str">
        <f ca="1" t="shared" si="143"/>
        <v/>
      </c>
      <c r="AB539" s="94" t="str">
        <f ca="1" t="shared" si="144"/>
        <v/>
      </c>
      <c r="AE539" s="94" t="str">
        <f t="shared" si="145"/>
        <v>{2,775}</v>
      </c>
      <c r="AH539" t="str">
        <f ca="1" t="shared" si="137"/>
        <v>[{62,1},{6020012,8},{61,255},{63,355},{2,775}]</v>
      </c>
    </row>
    <row r="540" spans="4:34">
      <c r="D540" s="81" t="str">
        <f ca="1" t="shared" si="146"/>
        <v>珍惜Ⅲ</v>
      </c>
      <c r="E540" s="84">
        <f t="shared" si="147"/>
        <v>1</v>
      </c>
      <c r="F540" s="84">
        <f>F532+5</f>
        <v>140</v>
      </c>
      <c r="G540" s="84"/>
      <c r="H540" s="84"/>
      <c r="I540" s="84">
        <f t="shared" si="148"/>
        <v>800</v>
      </c>
      <c r="J540" s="84">
        <v>4</v>
      </c>
      <c r="K540" s="84" cm="1">
        <f ca="1" t="array" ref="K540">IF($E540&lt;7,_xlfn.XLOOKUP($D540&amp;$E540,$D$155:$D$395&amp;$E$155:$E$395,K$155:K$395),"")</f>
        <v>0</v>
      </c>
      <c r="L540" s="84" cm="1">
        <f ca="1" t="array" ref="L540">IF($E540&lt;7,_xlfn.XLOOKUP($D540&amp;$E540,$D$155:$D$395&amp;$E$155:$E$395,L$155:L$395),"")</f>
        <v>0</v>
      </c>
      <c r="M540" s="84" cm="1">
        <f ca="1" t="array" ref="M540">IF($E540&lt;7,_xlfn.XLOOKUP($D540&amp;$E540,$D$155:$D$395&amp;$E$155:$E$395,M$155:M$395),"")</f>
        <v>0</v>
      </c>
      <c r="N540" s="84" t="s">
        <v>282</v>
      </c>
      <c r="O540" s="84" t="s">
        <v>282</v>
      </c>
      <c r="P540" s="84" t="s">
        <v>282</v>
      </c>
      <c r="Q540" s="84" t="s">
        <v>282</v>
      </c>
      <c r="R540" s="84" t="s">
        <v>282</v>
      </c>
      <c r="S540" s="90">
        <f ca="1" t="shared" si="138"/>
        <v>165</v>
      </c>
      <c r="T540" s="90" cm="1">
        <f ca="1" t="array" ref="T540">IFERROR(SUMPRODUCT(F540:M540,$F$154:$M$154)+IFERROR(N540*SUMPRODUCT(O540:R540,$O$154:$R$154),0),"")</f>
        <v>1740</v>
      </c>
      <c r="U540" s="94"/>
      <c r="V540" s="94" t="str">
        <f t="shared" si="139"/>
        <v/>
      </c>
      <c r="W540" t="str">
        <f ca="1" t="shared" si="136"/>
        <v/>
      </c>
      <c r="X540" s="94" t="str">
        <f t="shared" si="140"/>
        <v>{61,140}</v>
      </c>
      <c r="Y540" s="94" t="str">
        <f t="shared" si="141"/>
        <v/>
      </c>
      <c r="Z540" s="94" t="str">
        <f ca="1" t="shared" si="142"/>
        <v/>
      </c>
      <c r="AA540" s="94" t="str">
        <f ca="1" t="shared" si="143"/>
        <v/>
      </c>
      <c r="AB540" s="94" t="str">
        <f t="shared" si="144"/>
        <v>{6030001,4}</v>
      </c>
      <c r="AE540" s="94" t="str">
        <f t="shared" si="145"/>
        <v>{2,800}</v>
      </c>
      <c r="AH540" t="str">
        <f ca="1" t="shared" si="137"/>
        <v>[{61,140},{6030001,4},{2,800}]</v>
      </c>
    </row>
    <row r="541" spans="4:34">
      <c r="D541" s="81" t="str">
        <f ca="1" t="shared" si="146"/>
        <v>珍惜Ⅲ</v>
      </c>
      <c r="E541" s="84">
        <f t="shared" si="147"/>
        <v>2</v>
      </c>
      <c r="F541" s="84">
        <f>F533+5</f>
        <v>140</v>
      </c>
      <c r="G541" s="84">
        <f>G533+5</f>
        <v>160</v>
      </c>
      <c r="H541" s="84"/>
      <c r="I541" s="84">
        <f t="shared" si="148"/>
        <v>800</v>
      </c>
      <c r="J541" s="84" cm="1">
        <f ca="1" t="array" ref="J541">IF($E541&lt;7,_xlfn.XLOOKUP($D541&amp;$E541,$D$155:$D$395&amp;$E$155:$E$395,J$155:J$395),"")</f>
        <v>0</v>
      </c>
      <c r="K541" s="84" cm="1">
        <f ca="1" t="array" ref="K541">IF($E541&lt;7,_xlfn.XLOOKUP($D541&amp;$E541,$D$155:$D$395&amp;$E$155:$E$395,K$155:K$395),"")</f>
        <v>0</v>
      </c>
      <c r="L541" s="84" cm="1">
        <f ca="1" t="array" ref="L541">IF($E541&lt;7,_xlfn.XLOOKUP($D541&amp;$E541,$D$155:$D$395&amp;$E$155:$E$395,L$155:L$395),"")</f>
        <v>0</v>
      </c>
      <c r="M541" s="84" cm="1">
        <f ca="1" t="array" ref="M541">IF($E541&lt;7,_xlfn.XLOOKUP($D541&amp;$E541,$D$155:$D$395&amp;$E$155:$E$395,M$155:M$395),"")</f>
        <v>0</v>
      </c>
      <c r="N541" s="84" t="s">
        <v>282</v>
      </c>
      <c r="O541" s="84" t="s">
        <v>282</v>
      </c>
      <c r="P541" s="84" t="s">
        <v>282</v>
      </c>
      <c r="Q541" s="84" t="s">
        <v>282</v>
      </c>
      <c r="R541" s="84" t="s">
        <v>282</v>
      </c>
      <c r="S541" s="90">
        <f ca="1" t="shared" si="138"/>
        <v>165</v>
      </c>
      <c r="T541" s="90" cm="1">
        <f ca="1" t="array" ref="T541">IFERROR(SUMPRODUCT(F541:M541,$F$154:$M$154)+IFERROR(N541*SUMPRODUCT(O541:R541,$O$154:$R$154),0),"")</f>
        <v>1100</v>
      </c>
      <c r="U541" s="94"/>
      <c r="V541" s="94" t="str">
        <f t="shared" si="139"/>
        <v/>
      </c>
      <c r="W541" t="str">
        <f ca="1" t="shared" si="136"/>
        <v/>
      </c>
      <c r="X541" s="94" t="str">
        <f t="shared" si="140"/>
        <v>{61,140}</v>
      </c>
      <c r="Y541" s="94" t="str">
        <f t="shared" si="141"/>
        <v>{63,160}</v>
      </c>
      <c r="Z541" s="94" t="str">
        <f ca="1" t="shared" si="142"/>
        <v/>
      </c>
      <c r="AA541" s="94" t="str">
        <f ca="1" t="shared" si="143"/>
        <v/>
      </c>
      <c r="AB541" s="94" t="str">
        <f ca="1" t="shared" si="144"/>
        <v/>
      </c>
      <c r="AE541" s="94" t="str">
        <f t="shared" si="145"/>
        <v>{2,800}</v>
      </c>
      <c r="AH541" t="str">
        <f ca="1" t="shared" si="137"/>
        <v>[{61,140},{63,160},{2,800}]</v>
      </c>
    </row>
    <row r="542" spans="4:34">
      <c r="D542" s="81" t="str">
        <f ca="1" t="shared" si="146"/>
        <v>珍惜Ⅲ</v>
      </c>
      <c r="E542" s="84">
        <f t="shared" si="147"/>
        <v>3</v>
      </c>
      <c r="F542" s="84">
        <f>F534+5</f>
        <v>140</v>
      </c>
      <c r="G542" s="84"/>
      <c r="H542" s="84"/>
      <c r="I542" s="84">
        <f t="shared" si="148"/>
        <v>800</v>
      </c>
      <c r="J542" s="84">
        <v>5</v>
      </c>
      <c r="K542" s="84"/>
      <c r="L542" s="84" cm="1">
        <f ca="1" t="array" ref="L542">IF($E542&lt;7,_xlfn.XLOOKUP($D542&amp;$E542,$D$155:$D$395&amp;$E$155:$E$395,L$155:L$395),"")</f>
        <v>0</v>
      </c>
      <c r="M542" s="84" cm="1">
        <f ca="1" t="array" ref="M542">IF($E542&lt;7,_xlfn.XLOOKUP($D542&amp;$E542,$D$155:$D$395&amp;$E$155:$E$395,M$155:M$395),"")</f>
        <v>0</v>
      </c>
      <c r="N542" s="84" t="s">
        <v>282</v>
      </c>
      <c r="O542" s="84" t="s">
        <v>282</v>
      </c>
      <c r="P542" s="84" t="s">
        <v>282</v>
      </c>
      <c r="Q542" s="84" t="s">
        <v>282</v>
      </c>
      <c r="R542" s="84" t="s">
        <v>282</v>
      </c>
      <c r="S542" s="90">
        <f ca="1" t="shared" si="138"/>
        <v>165</v>
      </c>
      <c r="T542" s="90" cm="1">
        <f ca="1" t="array" ref="T542">IFERROR(SUMPRODUCT(F542:M542,$F$154:$M$154)+IFERROR(N542*SUMPRODUCT(O542:R542,$O$154:$R$154),0),"")</f>
        <v>1940</v>
      </c>
      <c r="U542" s="94"/>
      <c r="V542" s="94" t="str">
        <f t="shared" si="139"/>
        <v/>
      </c>
      <c r="W542" t="str">
        <f ca="1" t="shared" si="136"/>
        <v/>
      </c>
      <c r="X542" s="94" t="str">
        <f t="shared" si="140"/>
        <v>{61,140}</v>
      </c>
      <c r="Y542" s="94" t="str">
        <f t="shared" si="141"/>
        <v/>
      </c>
      <c r="Z542" s="94" t="str">
        <f ca="1" t="shared" si="142"/>
        <v/>
      </c>
      <c r="AA542" s="94" t="str">
        <f t="shared" si="143"/>
        <v/>
      </c>
      <c r="AB542" s="94" t="str">
        <f t="shared" si="144"/>
        <v>{6030001,5}</v>
      </c>
      <c r="AE542" s="94" t="str">
        <f t="shared" si="145"/>
        <v>{2,800}</v>
      </c>
      <c r="AH542" t="str">
        <f ca="1" t="shared" si="137"/>
        <v>[{61,140},{6030001,5},{2,800}]</v>
      </c>
    </row>
    <row r="543" spans="4:34">
      <c r="D543" s="81" t="str">
        <f ca="1" t="shared" si="146"/>
        <v>珍惜Ⅲ</v>
      </c>
      <c r="E543" s="84">
        <f t="shared" si="147"/>
        <v>4</v>
      </c>
      <c r="F543" s="84">
        <f>CEILING(F544*1.25,5)</f>
        <v>220</v>
      </c>
      <c r="G543" s="84">
        <f>CEILING(G541*1.5,5)</f>
        <v>240</v>
      </c>
      <c r="H543" s="84"/>
      <c r="I543" s="84">
        <f t="shared" si="148"/>
        <v>800</v>
      </c>
      <c r="J543" s="84" cm="1">
        <f ca="1" t="array" ref="J543">IF($E543&lt;7,_xlfn.XLOOKUP($D543&amp;$E543,$D$155:$D$395&amp;$E$155:$E$395,J$155:J$395),"")</f>
        <v>0</v>
      </c>
      <c r="K543" s="84" cm="1">
        <f ca="1" t="array" ref="K543">IF($E543&lt;7,_xlfn.XLOOKUP($D543&amp;$E543,$D$155:$D$395&amp;$E$155:$E$395,K$155:K$395),"")</f>
        <v>0</v>
      </c>
      <c r="L543" s="84" cm="1">
        <f ca="1" t="array" ref="L543">IF($E543&lt;7,_xlfn.XLOOKUP($D543&amp;$E543,$D$155:$D$395&amp;$E$155:$E$395,L$155:L$395),"")</f>
        <v>0</v>
      </c>
      <c r="M543" s="84" cm="1">
        <f ca="1" t="array" ref="M543">IF($E543&lt;7,_xlfn.XLOOKUP($D543&amp;$E543,$D$155:$D$395&amp;$E$155:$E$395,M$155:M$395),"")</f>
        <v>0</v>
      </c>
      <c r="N543" s="84" t="s">
        <v>282</v>
      </c>
      <c r="O543" s="84" t="s">
        <v>282</v>
      </c>
      <c r="P543" s="84" t="s">
        <v>282</v>
      </c>
      <c r="Q543" s="84" t="s">
        <v>282</v>
      </c>
      <c r="R543" s="84" t="s">
        <v>282</v>
      </c>
      <c r="S543" s="90">
        <f ca="1" t="shared" si="138"/>
        <v>165</v>
      </c>
      <c r="T543" s="90" cm="1">
        <f ca="1" t="array" ref="T543">IFERROR(SUMPRODUCT(F543:M543,$F$154:$M$154)+IFERROR(N543*SUMPRODUCT(O543:R543,$O$154:$R$154),0),"")</f>
        <v>1260</v>
      </c>
      <c r="U543" s="94"/>
      <c r="V543" s="94" t="str">
        <f t="shared" si="139"/>
        <v/>
      </c>
      <c r="W543" t="str">
        <f ca="1" t="shared" si="136"/>
        <v/>
      </c>
      <c r="X543" s="94" t="str">
        <f t="shared" si="140"/>
        <v>{61,220}</v>
      </c>
      <c r="Y543" s="94" t="str">
        <f t="shared" si="141"/>
        <v>{63,240}</v>
      </c>
      <c r="Z543" s="94" t="str">
        <f ca="1" t="shared" si="142"/>
        <v/>
      </c>
      <c r="AA543" s="94" t="str">
        <f ca="1" t="shared" si="143"/>
        <v/>
      </c>
      <c r="AB543" s="94" t="str">
        <f ca="1" t="shared" si="144"/>
        <v/>
      </c>
      <c r="AE543" s="94" t="str">
        <f t="shared" si="145"/>
        <v>{2,800}</v>
      </c>
      <c r="AH543" t="str">
        <f ca="1" t="shared" si="137"/>
        <v>[{61,220},{63,240},{2,800}]</v>
      </c>
    </row>
    <row r="544" spans="4:34">
      <c r="D544" s="81" t="str">
        <f ca="1" t="shared" si="146"/>
        <v>珍惜Ⅲ</v>
      </c>
      <c r="E544" s="84">
        <f t="shared" si="147"/>
        <v>5</v>
      </c>
      <c r="F544" s="84">
        <f>CEILING(F540*1.25,5)</f>
        <v>175</v>
      </c>
      <c r="G544" s="84"/>
      <c r="H544" s="84"/>
      <c r="I544" s="84">
        <f t="shared" si="148"/>
        <v>800</v>
      </c>
      <c r="J544" s="84" cm="1">
        <f ca="1" t="array" ref="J544">IF($E544&lt;7,_xlfn.XLOOKUP($D544&amp;$E544,$D$155:$D$395&amp;$E$155:$E$395,J$155:J$395),"")</f>
        <v>0</v>
      </c>
      <c r="K544" s="84">
        <v>4</v>
      </c>
      <c r="L544" s="84"/>
      <c r="M544" s="84" cm="1">
        <f ca="1" t="array" ref="M544">IF($E544&lt;7,_xlfn.XLOOKUP($D544&amp;$E544,$D$155:$D$395&amp;$E$155:$E$395,M$155:M$395),"")</f>
        <v>0</v>
      </c>
      <c r="N544" s="84" t="s">
        <v>282</v>
      </c>
      <c r="O544" s="84" t="s">
        <v>282</v>
      </c>
      <c r="P544" s="84" t="s">
        <v>282</v>
      </c>
      <c r="Q544" s="84" t="s">
        <v>282</v>
      </c>
      <c r="R544" s="84" t="s">
        <v>282</v>
      </c>
      <c r="S544" s="90">
        <f ca="1" t="shared" si="138"/>
        <v>165</v>
      </c>
      <c r="T544" s="90" cm="1">
        <f ca="1" t="array" ref="T544">IFERROR(SUMPRODUCT(F544:M544,$F$154:$M$154)+IFERROR(N544*SUMPRODUCT(O544:R544,$O$154:$R$154),0),"")</f>
        <v>2575</v>
      </c>
      <c r="U544" s="94"/>
      <c r="V544" s="94" t="str">
        <f t="shared" si="139"/>
        <v/>
      </c>
      <c r="W544" t="str">
        <f ca="1" t="shared" si="136"/>
        <v/>
      </c>
      <c r="X544" s="94" t="str">
        <f t="shared" si="140"/>
        <v>{61,175}</v>
      </c>
      <c r="Y544" s="94" t="str">
        <f t="shared" si="141"/>
        <v/>
      </c>
      <c r="Z544" s="94" t="str">
        <f t="shared" si="142"/>
        <v/>
      </c>
      <c r="AA544" s="94" t="str">
        <f t="shared" si="143"/>
        <v>{6030002,4}</v>
      </c>
      <c r="AB544" s="94" t="str">
        <f ca="1" t="shared" si="144"/>
        <v/>
      </c>
      <c r="AE544" s="94" t="str">
        <f t="shared" si="145"/>
        <v>{2,800}</v>
      </c>
      <c r="AH544" t="str">
        <f ca="1" t="shared" si="137"/>
        <v>[{61,175},{6030002,4},{2,800}]</v>
      </c>
    </row>
    <row r="545" spans="4:34">
      <c r="D545" s="81" t="str">
        <f ca="1" t="shared" si="146"/>
        <v>珍惜Ⅲ</v>
      </c>
      <c r="E545" s="84">
        <f t="shared" si="147"/>
        <v>6</v>
      </c>
      <c r="F545" s="84">
        <f>CEILING(F541*1.25,5)</f>
        <v>175</v>
      </c>
      <c r="G545" s="84">
        <f>G543</f>
        <v>240</v>
      </c>
      <c r="H545" s="84"/>
      <c r="I545" s="84">
        <f t="shared" si="148"/>
        <v>800</v>
      </c>
      <c r="J545" s="84" cm="1">
        <f ca="1" t="array" ref="J545">IF($E545&lt;7,_xlfn.XLOOKUP($D545&amp;$E545,$D$155:$D$395&amp;$E$155:$E$395,J$155:J$395),"")</f>
        <v>0</v>
      </c>
      <c r="K545" s="84" cm="1">
        <f ca="1" t="array" ref="K545">IF($E545&lt;7,_xlfn.XLOOKUP($D545&amp;$E545,$D$155:$D$395&amp;$E$155:$E$395,K$155:K$395),"")</f>
        <v>0</v>
      </c>
      <c r="L545" s="84" cm="1">
        <f ca="1" t="array" ref="L545">IF($E545&lt;7,_xlfn.XLOOKUP($D545&amp;$E545,$D$155:$D$395&amp;$E$155:$E$395,L$155:L$395),"")</f>
        <v>0</v>
      </c>
      <c r="M545" s="84" cm="1">
        <f ca="1" t="array" ref="M545">IF($E545&lt;7,_xlfn.XLOOKUP($D545&amp;$E545,$D$155:$D$395&amp;$E$155:$E$395,M$155:M$395),"")</f>
        <v>0</v>
      </c>
      <c r="N545" s="84" t="s">
        <v>282</v>
      </c>
      <c r="O545" s="84" t="s">
        <v>282</v>
      </c>
      <c r="P545" s="84" t="s">
        <v>282</v>
      </c>
      <c r="Q545" s="84" t="s">
        <v>282</v>
      </c>
      <c r="R545" s="84" t="s">
        <v>282</v>
      </c>
      <c r="S545" s="90">
        <f ca="1" t="shared" si="138"/>
        <v>165</v>
      </c>
      <c r="T545" s="90" cm="1">
        <f ca="1" t="array" ref="T545">IFERROR(SUMPRODUCT(F545:M545,$F$154:$M$154)+IFERROR(N545*SUMPRODUCT(O545:R545,$O$154:$R$154),0),"")</f>
        <v>1215</v>
      </c>
      <c r="U545" s="94"/>
      <c r="V545" s="94" t="str">
        <f t="shared" si="139"/>
        <v/>
      </c>
      <c r="W545" t="str">
        <f ca="1" t="shared" si="136"/>
        <v/>
      </c>
      <c r="X545" s="94" t="str">
        <f t="shared" si="140"/>
        <v>{61,175}</v>
      </c>
      <c r="Y545" s="94" t="str">
        <f t="shared" si="141"/>
        <v>{63,240}</v>
      </c>
      <c r="Z545" s="94" t="str">
        <f ca="1" t="shared" si="142"/>
        <v/>
      </c>
      <c r="AA545" s="94" t="str">
        <f ca="1" t="shared" si="143"/>
        <v/>
      </c>
      <c r="AB545" s="94" t="str">
        <f ca="1" t="shared" si="144"/>
        <v/>
      </c>
      <c r="AE545" s="94" t="str">
        <f t="shared" si="145"/>
        <v>{2,800}</v>
      </c>
      <c r="AH545" t="str">
        <f ca="1" t="shared" si="137"/>
        <v>[{61,175},{63,240},{2,800}]</v>
      </c>
    </row>
    <row r="546" spans="4:34">
      <c r="D546" s="81" t="str">
        <f ca="1" t="shared" si="146"/>
        <v>珍惜Ⅲ</v>
      </c>
      <c r="E546" s="84">
        <f t="shared" si="147"/>
        <v>7</v>
      </c>
      <c r="F546" s="84">
        <f>CEILING(F542*1.25,5)</f>
        <v>175</v>
      </c>
      <c r="G546" s="84"/>
      <c r="H546" s="84"/>
      <c r="I546" s="84">
        <f t="shared" si="148"/>
        <v>800</v>
      </c>
      <c r="J546" s="84" t="str" cm="1">
        <f ca="1" t="array" ref="J546">IF($E546&lt;7,_xlfn.XLOOKUP($D546&amp;$E546,$D$155:$D$395&amp;$E$155:$E$395,J$155:J$395),"")</f>
        <v/>
      </c>
      <c r="K546" s="84" t="str" cm="1">
        <f ca="1" t="array" ref="K546">IF($E546&lt;7,_xlfn.XLOOKUP($D546&amp;$E546,$D$155:$D$395&amp;$E$155:$E$395,K$155:K$395),"")</f>
        <v/>
      </c>
      <c r="L546" s="84">
        <v>3</v>
      </c>
      <c r="M546" s="84" t="str" cm="1">
        <f ca="1" t="array" ref="M546">IF($E546&lt;7,_xlfn.XLOOKUP($D546&amp;$E546,$D$155:$D$395&amp;$E$155:$E$395,M$155:M$395),"")</f>
        <v/>
      </c>
      <c r="N546" s="84" t="s">
        <v>282</v>
      </c>
      <c r="O546" s="84" t="s">
        <v>282</v>
      </c>
      <c r="P546" s="84" t="s">
        <v>282</v>
      </c>
      <c r="Q546" s="84" t="s">
        <v>282</v>
      </c>
      <c r="R546" s="84" t="s">
        <v>282</v>
      </c>
      <c r="S546" s="90">
        <f ca="1" t="shared" si="138"/>
        <v>165</v>
      </c>
      <c r="T546" s="90" cm="1">
        <f ca="1" t="array" ref="T546">IFERROR(SUMPRODUCT(F546:M546,$F$154:$M$154)+IFERROR(N546*SUMPRODUCT(O546:R546,$O$154:$R$154),0),"")</f>
        <v>3375</v>
      </c>
      <c r="U546" s="94"/>
      <c r="V546" s="94" t="str">
        <f t="shared" si="139"/>
        <v/>
      </c>
      <c r="W546" t="str">
        <f ca="1" t="shared" si="136"/>
        <v/>
      </c>
      <c r="X546" s="94" t="str">
        <f t="shared" si="140"/>
        <v>{61,175}</v>
      </c>
      <c r="Y546" s="94" t="str">
        <f t="shared" si="141"/>
        <v/>
      </c>
      <c r="Z546" s="94" t="str">
        <f t="shared" si="142"/>
        <v>{6030003,3}</v>
      </c>
      <c r="AA546" s="94" t="str">
        <f ca="1" t="shared" si="143"/>
        <v/>
      </c>
      <c r="AB546" s="94" t="str">
        <f ca="1" t="shared" si="144"/>
        <v/>
      </c>
      <c r="AE546" s="94" t="str">
        <f t="shared" si="145"/>
        <v>{2,800}</v>
      </c>
      <c r="AH546" t="str">
        <f ca="1" t="shared" si="137"/>
        <v>[{61,175},{6030003,3},{2,800}]</v>
      </c>
    </row>
    <row r="547" spans="4:34">
      <c r="D547" s="81" t="str">
        <f ca="1" t="shared" si="146"/>
        <v>珍惜Ⅲ</v>
      </c>
      <c r="E547" s="84">
        <f t="shared" si="147"/>
        <v>8</v>
      </c>
      <c r="F547" s="84">
        <f>CEILING(F546*1.5,5)</f>
        <v>265</v>
      </c>
      <c r="G547" s="84">
        <f>CEILING(G545*1.5,5)</f>
        <v>360</v>
      </c>
      <c r="H547" s="84">
        <f>1</f>
        <v>1</v>
      </c>
      <c r="I547" s="84">
        <f t="shared" si="148"/>
        <v>800</v>
      </c>
      <c r="J547" s="84" t="str" cm="1">
        <f ca="1" t="array" ref="J547">IF($E547&lt;7,_xlfn.XLOOKUP($D547&amp;$E547,$D$155:$D$395&amp;$E$155:$E$395,J$155:J$395),"")</f>
        <v/>
      </c>
      <c r="K547" s="84" t="str" cm="1">
        <f ca="1" t="array" ref="K547">IF($E547&lt;7,_xlfn.XLOOKUP($D547&amp;$E547,$D$155:$D$395&amp;$E$155:$E$395,K$155:K$395),"")</f>
        <v/>
      </c>
      <c r="L547" s="84" t="str" cm="1">
        <f ca="1" t="array" ref="L547">IF($E547&lt;7,_xlfn.XLOOKUP($D547&amp;$E547,$D$155:$D$395&amp;$E$155:$E$395,L$155:L$395),"")</f>
        <v/>
      </c>
      <c r="M547" s="84" t="str" cm="1">
        <f ca="1" t="array" ref="M547">IF($E547&lt;7,_xlfn.XLOOKUP($D547&amp;$E547,$D$155:$D$395&amp;$E$155:$E$395,M$155:M$395),"")</f>
        <v/>
      </c>
      <c r="N547" s="84">
        <v>8</v>
      </c>
      <c r="O547" s="84">
        <v>0</v>
      </c>
      <c r="P547" s="84">
        <v>0.73</v>
      </c>
      <c r="Q547" s="84">
        <v>0.27</v>
      </c>
      <c r="R547" s="84">
        <v>0</v>
      </c>
      <c r="S547" s="90">
        <f ca="1" t="shared" si="138"/>
        <v>165</v>
      </c>
      <c r="T547" s="90" cm="1">
        <f ca="1" t="array" ref="T547">IFERROR(SUMPRODUCT(F547:M547,$F$154:$M$154)+IFERROR(N547*SUMPRODUCT(O547:R547,$O$154:$R$154),0),"")</f>
        <v>5639</v>
      </c>
      <c r="U547" s="94"/>
      <c r="V547" s="94" t="str">
        <f t="shared" si="139"/>
        <v>{62,1}</v>
      </c>
      <c r="W547" t="str">
        <f ca="1" t="shared" si="136"/>
        <v>{6020013,8}</v>
      </c>
      <c r="X547" s="94" t="str">
        <f t="shared" si="140"/>
        <v>{61,265}</v>
      </c>
      <c r="Y547" s="94" t="str">
        <f t="shared" si="141"/>
        <v>{63,360}</v>
      </c>
      <c r="Z547" s="94" t="str">
        <f ca="1" t="shared" si="142"/>
        <v/>
      </c>
      <c r="AA547" s="94" t="str">
        <f ca="1" t="shared" si="143"/>
        <v/>
      </c>
      <c r="AB547" s="94" t="str">
        <f ca="1" t="shared" si="144"/>
        <v/>
      </c>
      <c r="AE547" s="94" t="str">
        <f t="shared" si="145"/>
        <v>{2,800}</v>
      </c>
      <c r="AH547" t="str">
        <f ca="1" t="shared" si="137"/>
        <v>[{62,1},{6020013,8},{61,265},{63,360},{2,800}]</v>
      </c>
    </row>
    <row r="548" spans="4:34">
      <c r="D548" s="81" t="str">
        <f ca="1" t="shared" si="146"/>
        <v>珍惜Ⅳ</v>
      </c>
      <c r="E548" s="84">
        <f t="shared" si="147"/>
        <v>1</v>
      </c>
      <c r="F548" s="84">
        <f>F540+5</f>
        <v>145</v>
      </c>
      <c r="G548" s="84"/>
      <c r="H548" s="84"/>
      <c r="I548" s="84">
        <f t="shared" si="148"/>
        <v>825</v>
      </c>
      <c r="J548" s="84">
        <v>4</v>
      </c>
      <c r="K548" s="84" cm="1">
        <f ca="1" t="array" ref="K548">IF($E548&lt;7,_xlfn.XLOOKUP($D548&amp;$E548,$D$155:$D$395&amp;$E$155:$E$395,K$155:K$395),"")</f>
        <v>0</v>
      </c>
      <c r="L548" s="84" cm="1">
        <f ca="1" t="array" ref="L548">IF($E548&lt;7,_xlfn.XLOOKUP($D548&amp;$E548,$D$155:$D$395&amp;$E$155:$E$395,L$155:L$395),"")</f>
        <v>0</v>
      </c>
      <c r="M548" s="84" cm="1">
        <f ca="1" t="array" ref="M548">IF($E548&lt;7,_xlfn.XLOOKUP($D548&amp;$E548,$D$155:$D$395&amp;$E$155:$E$395,M$155:M$395),"")</f>
        <v>0</v>
      </c>
      <c r="N548" s="84" t="s">
        <v>282</v>
      </c>
      <c r="O548" s="84" t="s">
        <v>282</v>
      </c>
      <c r="P548" s="84" t="s">
        <v>282</v>
      </c>
      <c r="Q548" s="84" t="s">
        <v>282</v>
      </c>
      <c r="R548" s="84" t="s">
        <v>282</v>
      </c>
      <c r="S548" s="90">
        <f ca="1" t="shared" si="138"/>
        <v>175</v>
      </c>
      <c r="T548" s="90" cm="1">
        <f ca="1" t="array" ref="T548">IFERROR(SUMPRODUCT(F548:M548,$F$154:$M$154)+IFERROR(N548*SUMPRODUCT(O548:R548,$O$154:$R$154),0),"")</f>
        <v>1770</v>
      </c>
      <c r="U548" s="94"/>
      <c r="V548" s="94" t="str">
        <f t="shared" si="139"/>
        <v/>
      </c>
      <c r="W548" t="str">
        <f ca="1" t="shared" si="136"/>
        <v/>
      </c>
      <c r="X548" s="94" t="str">
        <f t="shared" si="140"/>
        <v>{61,145}</v>
      </c>
      <c r="Y548" s="94" t="str">
        <f t="shared" si="141"/>
        <v/>
      </c>
      <c r="Z548" s="94" t="str">
        <f ca="1" t="shared" si="142"/>
        <v/>
      </c>
      <c r="AA548" s="94" t="str">
        <f ca="1" t="shared" si="143"/>
        <v/>
      </c>
      <c r="AB548" s="94" t="str">
        <f t="shared" si="144"/>
        <v>{6030001,4}</v>
      </c>
      <c r="AE548" s="94" t="str">
        <f t="shared" si="145"/>
        <v>{2,825}</v>
      </c>
      <c r="AH548" t="str">
        <f ca="1" t="shared" si="137"/>
        <v>[{61,145},{6030001,4},{2,825}]</v>
      </c>
    </row>
    <row r="549" spans="4:34">
      <c r="D549" s="81" t="str">
        <f ca="1" t="shared" si="146"/>
        <v>珍惜Ⅳ</v>
      </c>
      <c r="E549" s="84">
        <f t="shared" si="147"/>
        <v>2</v>
      </c>
      <c r="F549" s="84">
        <f>F541+5</f>
        <v>145</v>
      </c>
      <c r="G549" s="84">
        <f>G541+5</f>
        <v>165</v>
      </c>
      <c r="H549" s="84"/>
      <c r="I549" s="84">
        <f t="shared" si="148"/>
        <v>825</v>
      </c>
      <c r="J549" s="84" cm="1">
        <f ca="1" t="array" ref="J549">IF($E549&lt;7,_xlfn.XLOOKUP($D549&amp;$E549,$D$155:$D$395&amp;$E$155:$E$395,J$155:J$395),"")</f>
        <v>0</v>
      </c>
      <c r="K549" s="84" cm="1">
        <f ca="1" t="array" ref="K549">IF($E549&lt;7,_xlfn.XLOOKUP($D549&amp;$E549,$D$155:$D$395&amp;$E$155:$E$395,K$155:K$395),"")</f>
        <v>0</v>
      </c>
      <c r="L549" s="84" cm="1">
        <f ca="1" t="array" ref="L549">IF($E549&lt;7,_xlfn.XLOOKUP($D549&amp;$E549,$D$155:$D$395&amp;$E$155:$E$395,L$155:L$395),"")</f>
        <v>0</v>
      </c>
      <c r="M549" s="84" cm="1">
        <f ca="1" t="array" ref="M549">IF($E549&lt;7,_xlfn.XLOOKUP($D549&amp;$E549,$D$155:$D$395&amp;$E$155:$E$395,M$155:M$395),"")</f>
        <v>0</v>
      </c>
      <c r="N549" s="84" t="s">
        <v>282</v>
      </c>
      <c r="O549" s="84" t="s">
        <v>282</v>
      </c>
      <c r="P549" s="84" t="s">
        <v>282</v>
      </c>
      <c r="Q549" s="84" t="s">
        <v>282</v>
      </c>
      <c r="R549" s="84" t="s">
        <v>282</v>
      </c>
      <c r="S549" s="90">
        <f ca="1" t="shared" si="138"/>
        <v>175</v>
      </c>
      <c r="T549" s="90" cm="1">
        <f ca="1" t="array" ref="T549">IFERROR(SUMPRODUCT(F549:M549,$F$154:$M$154)+IFERROR(N549*SUMPRODUCT(O549:R549,$O$154:$R$154),0),"")</f>
        <v>1135</v>
      </c>
      <c r="U549" s="94"/>
      <c r="V549" s="94" t="str">
        <f t="shared" si="139"/>
        <v/>
      </c>
      <c r="W549" t="str">
        <f ca="1" t="shared" si="136"/>
        <v/>
      </c>
      <c r="X549" s="94" t="str">
        <f t="shared" si="140"/>
        <v>{61,145}</v>
      </c>
      <c r="Y549" s="94" t="str">
        <f t="shared" si="141"/>
        <v>{63,165}</v>
      </c>
      <c r="Z549" s="94" t="str">
        <f ca="1" t="shared" si="142"/>
        <v/>
      </c>
      <c r="AA549" s="94" t="str">
        <f ca="1" t="shared" si="143"/>
        <v/>
      </c>
      <c r="AB549" s="94" t="str">
        <f ca="1" t="shared" si="144"/>
        <v/>
      </c>
      <c r="AE549" s="94" t="str">
        <f t="shared" si="145"/>
        <v>{2,825}</v>
      </c>
      <c r="AH549" t="str">
        <f ca="1" t="shared" si="137"/>
        <v>[{61,145},{63,165},{2,825}]</v>
      </c>
    </row>
    <row r="550" spans="4:34">
      <c r="D550" s="81" t="str">
        <f ca="1" t="shared" si="146"/>
        <v>珍惜Ⅳ</v>
      </c>
      <c r="E550" s="84">
        <f t="shared" si="147"/>
        <v>3</v>
      </c>
      <c r="F550" s="84">
        <f>F542+5</f>
        <v>145</v>
      </c>
      <c r="G550" s="84"/>
      <c r="H550" s="84"/>
      <c r="I550" s="84">
        <f t="shared" si="148"/>
        <v>825</v>
      </c>
      <c r="J550" s="84">
        <v>5</v>
      </c>
      <c r="K550" s="84"/>
      <c r="L550" s="84" cm="1">
        <f ca="1" t="array" ref="L550">IF($E550&lt;7,_xlfn.XLOOKUP($D550&amp;$E550,$D$155:$D$395&amp;$E$155:$E$395,L$155:L$395),"")</f>
        <v>0</v>
      </c>
      <c r="M550" s="84" cm="1">
        <f ca="1" t="array" ref="M550">IF($E550&lt;7,_xlfn.XLOOKUP($D550&amp;$E550,$D$155:$D$395&amp;$E$155:$E$395,M$155:M$395),"")</f>
        <v>0</v>
      </c>
      <c r="N550" s="84" t="s">
        <v>282</v>
      </c>
      <c r="O550" s="84" t="s">
        <v>282</v>
      </c>
      <c r="P550" s="84" t="s">
        <v>282</v>
      </c>
      <c r="Q550" s="84" t="s">
        <v>282</v>
      </c>
      <c r="R550" s="84" t="s">
        <v>282</v>
      </c>
      <c r="S550" s="90">
        <f ca="1" t="shared" si="138"/>
        <v>175</v>
      </c>
      <c r="T550" s="90" cm="1">
        <f ca="1" t="array" ref="T550">IFERROR(SUMPRODUCT(F550:M550,$F$154:$M$154)+IFERROR(N550*SUMPRODUCT(O550:R550,$O$154:$R$154),0),"")</f>
        <v>1970</v>
      </c>
      <c r="U550" s="94"/>
      <c r="V550" s="94" t="str">
        <f t="shared" si="139"/>
        <v/>
      </c>
      <c r="W550" t="str">
        <f ca="1" t="shared" si="136"/>
        <v/>
      </c>
      <c r="X550" s="94" t="str">
        <f t="shared" si="140"/>
        <v>{61,145}</v>
      </c>
      <c r="Y550" s="94" t="str">
        <f t="shared" si="141"/>
        <v/>
      </c>
      <c r="Z550" s="94" t="str">
        <f ca="1" t="shared" si="142"/>
        <v/>
      </c>
      <c r="AA550" s="94" t="str">
        <f t="shared" si="143"/>
        <v/>
      </c>
      <c r="AB550" s="94" t="str">
        <f t="shared" si="144"/>
        <v>{6030001,5}</v>
      </c>
      <c r="AE550" s="94" t="str">
        <f t="shared" si="145"/>
        <v>{2,825}</v>
      </c>
      <c r="AH550" t="str">
        <f ca="1" t="shared" si="137"/>
        <v>[{61,145},{6030001,5},{2,825}]</v>
      </c>
    </row>
    <row r="551" spans="4:34">
      <c r="D551" s="81" t="str">
        <f ca="1" t="shared" si="146"/>
        <v>珍惜Ⅳ</v>
      </c>
      <c r="E551" s="84">
        <f t="shared" si="147"/>
        <v>4</v>
      </c>
      <c r="F551" s="84">
        <f>CEILING(F552*1.25,5)</f>
        <v>235</v>
      </c>
      <c r="G551" s="84">
        <f>CEILING(G549*1.5,5)</f>
        <v>250</v>
      </c>
      <c r="H551" s="84"/>
      <c r="I551" s="84">
        <f t="shared" si="148"/>
        <v>825</v>
      </c>
      <c r="J551" s="84" cm="1">
        <f ca="1" t="array" ref="J551">IF($E551&lt;7,_xlfn.XLOOKUP($D551&amp;$E551,$D$155:$D$395&amp;$E$155:$E$395,J$155:J$395),"")</f>
        <v>0</v>
      </c>
      <c r="K551" s="84" cm="1">
        <f ca="1" t="array" ref="K551">IF($E551&lt;7,_xlfn.XLOOKUP($D551&amp;$E551,$D$155:$D$395&amp;$E$155:$E$395,K$155:K$395),"")</f>
        <v>0</v>
      </c>
      <c r="L551" s="84" cm="1">
        <f ca="1" t="array" ref="L551">IF($E551&lt;7,_xlfn.XLOOKUP($D551&amp;$E551,$D$155:$D$395&amp;$E$155:$E$395,L$155:L$395),"")</f>
        <v>0</v>
      </c>
      <c r="M551" s="84" cm="1">
        <f ca="1" t="array" ref="M551">IF($E551&lt;7,_xlfn.XLOOKUP($D551&amp;$E551,$D$155:$D$395&amp;$E$155:$E$395,M$155:M$395),"")</f>
        <v>0</v>
      </c>
      <c r="N551" s="84" t="s">
        <v>282</v>
      </c>
      <c r="O551" s="84" t="s">
        <v>282</v>
      </c>
      <c r="P551" s="84" t="s">
        <v>282</v>
      </c>
      <c r="Q551" s="84" t="s">
        <v>282</v>
      </c>
      <c r="R551" s="84" t="s">
        <v>282</v>
      </c>
      <c r="S551" s="90">
        <f ca="1" t="shared" si="138"/>
        <v>175</v>
      </c>
      <c r="T551" s="90" cm="1">
        <f ca="1" t="array" ref="T551">IFERROR(SUMPRODUCT(F551:M551,$F$154:$M$154)+IFERROR(N551*SUMPRODUCT(O551:R551,$O$154:$R$154),0),"")</f>
        <v>1310</v>
      </c>
      <c r="U551" s="94"/>
      <c r="V551" s="94" t="str">
        <f t="shared" si="139"/>
        <v/>
      </c>
      <c r="W551" t="str">
        <f ca="1" t="shared" si="136"/>
        <v/>
      </c>
      <c r="X551" s="94" t="str">
        <f t="shared" si="140"/>
        <v>{61,235}</v>
      </c>
      <c r="Y551" s="94" t="str">
        <f t="shared" si="141"/>
        <v>{63,250}</v>
      </c>
      <c r="Z551" s="94" t="str">
        <f ca="1" t="shared" si="142"/>
        <v/>
      </c>
      <c r="AA551" s="94" t="str">
        <f ca="1" t="shared" si="143"/>
        <v/>
      </c>
      <c r="AB551" s="94" t="str">
        <f ca="1" t="shared" si="144"/>
        <v/>
      </c>
      <c r="AE551" s="94" t="str">
        <f t="shared" si="145"/>
        <v>{2,825}</v>
      </c>
      <c r="AH551" t="str">
        <f ca="1" t="shared" si="137"/>
        <v>[{61,235},{63,250},{2,825}]</v>
      </c>
    </row>
    <row r="552" spans="4:34">
      <c r="D552" s="81" t="str">
        <f ca="1" t="shared" si="146"/>
        <v>珍惜Ⅳ</v>
      </c>
      <c r="E552" s="84">
        <f t="shared" si="147"/>
        <v>5</v>
      </c>
      <c r="F552" s="84">
        <f>CEILING(F548*1.25,5)</f>
        <v>185</v>
      </c>
      <c r="G552" s="84"/>
      <c r="H552" s="84"/>
      <c r="I552" s="84">
        <f t="shared" si="148"/>
        <v>825</v>
      </c>
      <c r="J552" s="84" cm="1">
        <f ca="1" t="array" ref="J552">IF($E552&lt;7,_xlfn.XLOOKUP($D552&amp;$E552,$D$155:$D$395&amp;$E$155:$E$395,J$155:J$395),"")</f>
        <v>0</v>
      </c>
      <c r="K552" s="84">
        <v>5</v>
      </c>
      <c r="L552" s="84"/>
      <c r="M552" s="84" cm="1">
        <f ca="1" t="array" ref="M552">IF($E552&lt;7,_xlfn.XLOOKUP($D552&amp;$E552,$D$155:$D$395&amp;$E$155:$E$395,M$155:M$395),"")</f>
        <v>0</v>
      </c>
      <c r="N552" s="84" t="s">
        <v>282</v>
      </c>
      <c r="O552" s="84" t="s">
        <v>282</v>
      </c>
      <c r="P552" s="84" t="s">
        <v>282</v>
      </c>
      <c r="Q552" s="84" t="s">
        <v>282</v>
      </c>
      <c r="R552" s="84" t="s">
        <v>282</v>
      </c>
      <c r="S552" s="90">
        <f ca="1" t="shared" si="138"/>
        <v>175</v>
      </c>
      <c r="T552" s="90" cm="1">
        <f ca="1" t="array" ref="T552">IFERROR(SUMPRODUCT(F552:M552,$F$154:$M$154)+IFERROR(N552*SUMPRODUCT(O552:R552,$O$154:$R$154),0),"")</f>
        <v>3010</v>
      </c>
      <c r="U552" s="94"/>
      <c r="V552" s="94" t="str">
        <f t="shared" si="139"/>
        <v/>
      </c>
      <c r="W552" t="str">
        <f ca="1" t="shared" si="136"/>
        <v/>
      </c>
      <c r="X552" s="94" t="str">
        <f t="shared" si="140"/>
        <v>{61,185}</v>
      </c>
      <c r="Y552" s="94" t="str">
        <f t="shared" si="141"/>
        <v/>
      </c>
      <c r="Z552" s="94" t="str">
        <f t="shared" si="142"/>
        <v/>
      </c>
      <c r="AA552" s="94" t="str">
        <f t="shared" si="143"/>
        <v>{6030002,5}</v>
      </c>
      <c r="AB552" s="94" t="str">
        <f ca="1" t="shared" si="144"/>
        <v/>
      </c>
      <c r="AE552" s="94" t="str">
        <f t="shared" si="145"/>
        <v>{2,825}</v>
      </c>
      <c r="AH552" t="str">
        <f ca="1" t="shared" si="137"/>
        <v>[{61,185},{6030002,5},{2,825}]</v>
      </c>
    </row>
    <row r="553" spans="4:34">
      <c r="D553" s="81" t="str">
        <f ca="1" t="shared" si="146"/>
        <v>珍惜Ⅳ</v>
      </c>
      <c r="E553" s="84">
        <f t="shared" si="147"/>
        <v>6</v>
      </c>
      <c r="F553" s="84">
        <f>CEILING(F549*1.25,5)</f>
        <v>185</v>
      </c>
      <c r="G553" s="84">
        <f>G551</f>
        <v>250</v>
      </c>
      <c r="H553" s="84"/>
      <c r="I553" s="84">
        <f t="shared" si="148"/>
        <v>825</v>
      </c>
      <c r="J553" s="84" cm="1">
        <f ca="1" t="array" ref="J553">IF($E553&lt;7,_xlfn.XLOOKUP($D553&amp;$E553,$D$155:$D$395&amp;$E$155:$E$395,J$155:J$395),"")</f>
        <v>0</v>
      </c>
      <c r="K553" s="84" cm="1">
        <f ca="1" t="array" ref="K553">IF($E553&lt;7,_xlfn.XLOOKUP($D553&amp;$E553,$D$155:$D$395&amp;$E$155:$E$395,K$155:K$395),"")</f>
        <v>0</v>
      </c>
      <c r="L553" s="84" cm="1">
        <f ca="1" t="array" ref="L553">IF($E553&lt;7,_xlfn.XLOOKUP($D553&amp;$E553,$D$155:$D$395&amp;$E$155:$E$395,L$155:L$395),"")</f>
        <v>0</v>
      </c>
      <c r="M553" s="84" cm="1">
        <f ca="1" t="array" ref="M553">IF($E553&lt;7,_xlfn.XLOOKUP($D553&amp;$E553,$D$155:$D$395&amp;$E$155:$E$395,M$155:M$395),"")</f>
        <v>0</v>
      </c>
      <c r="N553" s="84" t="s">
        <v>282</v>
      </c>
      <c r="O553" s="84" t="s">
        <v>282</v>
      </c>
      <c r="P553" s="84" t="s">
        <v>282</v>
      </c>
      <c r="Q553" s="84" t="s">
        <v>282</v>
      </c>
      <c r="R553" s="84" t="s">
        <v>282</v>
      </c>
      <c r="S553" s="90">
        <f ca="1" t="shared" si="138"/>
        <v>175</v>
      </c>
      <c r="T553" s="90" cm="1">
        <f ca="1" t="array" ref="T553">IFERROR(SUMPRODUCT(F553:M553,$F$154:$M$154)+IFERROR(N553*SUMPRODUCT(O553:R553,$O$154:$R$154),0),"")</f>
        <v>1260</v>
      </c>
      <c r="U553" s="94"/>
      <c r="V553" s="94" t="str">
        <f t="shared" si="139"/>
        <v/>
      </c>
      <c r="W553" t="str">
        <f ca="1" t="shared" si="136"/>
        <v/>
      </c>
      <c r="X553" s="94" t="str">
        <f t="shared" si="140"/>
        <v>{61,185}</v>
      </c>
      <c r="Y553" s="94" t="str">
        <f t="shared" si="141"/>
        <v>{63,250}</v>
      </c>
      <c r="Z553" s="94" t="str">
        <f ca="1" t="shared" si="142"/>
        <v/>
      </c>
      <c r="AA553" s="94" t="str">
        <f ca="1" t="shared" si="143"/>
        <v/>
      </c>
      <c r="AB553" s="94" t="str">
        <f ca="1" t="shared" si="144"/>
        <v/>
      </c>
      <c r="AE553" s="94" t="str">
        <f t="shared" si="145"/>
        <v>{2,825}</v>
      </c>
      <c r="AH553" t="str">
        <f ca="1" t="shared" si="137"/>
        <v>[{61,185},{63,250},{2,825}]</v>
      </c>
    </row>
    <row r="554" spans="4:34">
      <c r="D554" s="81" t="str">
        <f ca="1" t="shared" si="146"/>
        <v>珍惜Ⅳ</v>
      </c>
      <c r="E554" s="84">
        <f t="shared" si="147"/>
        <v>7</v>
      </c>
      <c r="F554" s="84">
        <f>CEILING(F550*1.25,5)</f>
        <v>185</v>
      </c>
      <c r="G554" s="84"/>
      <c r="H554" s="84"/>
      <c r="I554" s="84">
        <f t="shared" si="148"/>
        <v>825</v>
      </c>
      <c r="J554" s="84" t="str" cm="1">
        <f ca="1" t="array" ref="J554">IF($E554&lt;7,_xlfn.XLOOKUP($D554&amp;$E554,$D$155:$D$395&amp;$E$155:$E$395,J$155:J$395),"")</f>
        <v/>
      </c>
      <c r="K554" s="84" t="str" cm="1">
        <f ca="1" t="array" ref="K554">IF($E554&lt;7,_xlfn.XLOOKUP($D554&amp;$E554,$D$155:$D$395&amp;$E$155:$E$395,K$155:K$395),"")</f>
        <v/>
      </c>
      <c r="L554" s="84">
        <v>3</v>
      </c>
      <c r="M554" s="84" t="str" cm="1">
        <f ca="1" t="array" ref="M554">IF($E554&lt;7,_xlfn.XLOOKUP($D554&amp;$E554,$D$155:$D$395&amp;$E$155:$E$395,M$155:M$395),"")</f>
        <v/>
      </c>
      <c r="N554" s="84" t="s">
        <v>282</v>
      </c>
      <c r="O554" s="84" t="s">
        <v>282</v>
      </c>
      <c r="P554" s="84" t="s">
        <v>282</v>
      </c>
      <c r="Q554" s="84" t="s">
        <v>282</v>
      </c>
      <c r="R554" s="84" t="s">
        <v>282</v>
      </c>
      <c r="S554" s="90">
        <f ca="1" t="shared" si="138"/>
        <v>175</v>
      </c>
      <c r="T554" s="90" cm="1">
        <f ca="1" t="array" ref="T554">IFERROR(SUMPRODUCT(F554:M554,$F$154:$M$154)+IFERROR(N554*SUMPRODUCT(O554:R554,$O$154:$R$154),0),"")</f>
        <v>3410</v>
      </c>
      <c r="U554" s="94"/>
      <c r="V554" s="94" t="str">
        <f t="shared" si="139"/>
        <v/>
      </c>
      <c r="W554" t="str">
        <f ca="1" t="shared" si="136"/>
        <v/>
      </c>
      <c r="X554" s="94" t="str">
        <f t="shared" si="140"/>
        <v>{61,185}</v>
      </c>
      <c r="Y554" s="94" t="str">
        <f t="shared" si="141"/>
        <v/>
      </c>
      <c r="Z554" s="94" t="str">
        <f t="shared" si="142"/>
        <v>{6030003,3}</v>
      </c>
      <c r="AA554" s="94" t="str">
        <f ca="1" t="shared" si="143"/>
        <v/>
      </c>
      <c r="AB554" s="94" t="str">
        <f ca="1" t="shared" si="144"/>
        <v/>
      </c>
      <c r="AE554" s="94" t="str">
        <f t="shared" si="145"/>
        <v>{2,825}</v>
      </c>
      <c r="AH554" t="str">
        <f ca="1" t="shared" si="137"/>
        <v>[{61,185},{6030003,3},{2,825}]</v>
      </c>
    </row>
    <row r="555" spans="4:34">
      <c r="D555" s="81" t="str">
        <f ca="1" t="shared" si="146"/>
        <v>珍惜Ⅳ</v>
      </c>
      <c r="E555" s="84">
        <f t="shared" si="147"/>
        <v>8</v>
      </c>
      <c r="F555" s="84">
        <f>CEILING(F554*1.5,5)</f>
        <v>280</v>
      </c>
      <c r="G555" s="84">
        <f>CEILING(G553*1.5,5)</f>
        <v>375</v>
      </c>
      <c r="H555" s="84">
        <f>1</f>
        <v>1</v>
      </c>
      <c r="I555" s="84">
        <f t="shared" si="148"/>
        <v>825</v>
      </c>
      <c r="J555" s="84" t="str" cm="1">
        <f ca="1" t="array" ref="J555">IF($E555&lt;7,_xlfn.XLOOKUP($D555&amp;$E555,$D$155:$D$395&amp;$E$155:$E$395,J$155:J$395),"")</f>
        <v/>
      </c>
      <c r="K555" s="84" t="str" cm="1">
        <f ca="1" t="array" ref="K555">IF($E555&lt;7,_xlfn.XLOOKUP($D555&amp;$E555,$D$155:$D$395&amp;$E$155:$E$395,K$155:K$395),"")</f>
        <v/>
      </c>
      <c r="L555" s="84" t="str" cm="1">
        <f ca="1" t="array" ref="L555">IF($E555&lt;7,_xlfn.XLOOKUP($D555&amp;$E555,$D$155:$D$395&amp;$E$155:$E$395,L$155:L$395),"")</f>
        <v/>
      </c>
      <c r="M555" s="84" t="str" cm="1">
        <f ca="1" t="array" ref="M555">IF($E555&lt;7,_xlfn.XLOOKUP($D555&amp;$E555,$D$155:$D$395&amp;$E$155:$E$395,M$155:M$395),"")</f>
        <v/>
      </c>
      <c r="N555" s="84">
        <v>8</v>
      </c>
      <c r="O555" s="84">
        <v>0</v>
      </c>
      <c r="P555" s="84">
        <v>0.7</v>
      </c>
      <c r="Q555" s="84">
        <v>0.3</v>
      </c>
      <c r="R555" s="84">
        <v>0</v>
      </c>
      <c r="S555" s="90">
        <f ca="1" t="shared" si="138"/>
        <v>175</v>
      </c>
      <c r="T555" s="90" cm="1">
        <f ca="1" t="array" ref="T555">IFERROR(SUMPRODUCT(F555:M555,$F$154:$M$154)+IFERROR(N555*SUMPRODUCT(O555:R555,$O$154:$R$154),0),"")</f>
        <v>5790</v>
      </c>
      <c r="U555" s="94"/>
      <c r="V555" s="94" t="str">
        <f t="shared" si="139"/>
        <v>{62,1}</v>
      </c>
      <c r="W555" t="str">
        <f ca="1" t="shared" si="136"/>
        <v>{6020014,8}</v>
      </c>
      <c r="X555" s="94" t="str">
        <f t="shared" si="140"/>
        <v>{61,280}</v>
      </c>
      <c r="Y555" s="94" t="str">
        <f t="shared" si="141"/>
        <v>{63,375}</v>
      </c>
      <c r="Z555" s="94" t="str">
        <f ca="1" t="shared" si="142"/>
        <v/>
      </c>
      <c r="AA555" s="94" t="str">
        <f ca="1" t="shared" si="143"/>
        <v/>
      </c>
      <c r="AB555" s="94" t="str">
        <f ca="1" t="shared" si="144"/>
        <v/>
      </c>
      <c r="AE555" s="94" t="str">
        <f t="shared" si="145"/>
        <v>{2,825}</v>
      </c>
      <c r="AH555" t="str">
        <f ca="1" t="shared" si="137"/>
        <v>[{62,1},{6020014,8},{61,280},{63,375},{2,825}]</v>
      </c>
    </row>
    <row r="556" spans="4:34">
      <c r="D556" s="81" t="str">
        <f ca="1" t="shared" si="146"/>
        <v>珍惜Ⅴ</v>
      </c>
      <c r="E556" s="84">
        <f t="shared" si="147"/>
        <v>1</v>
      </c>
      <c r="F556" s="84">
        <f>F548+5</f>
        <v>150</v>
      </c>
      <c r="G556" s="84"/>
      <c r="H556" s="84"/>
      <c r="I556" s="84">
        <f t="shared" si="148"/>
        <v>850</v>
      </c>
      <c r="J556" s="84">
        <v>4</v>
      </c>
      <c r="K556" s="84" cm="1">
        <f ca="1" t="array" ref="K556">IF($E556&lt;7,_xlfn.XLOOKUP($D556&amp;$E556,$D$155:$D$395&amp;$E$155:$E$395,K$155:K$395),"")</f>
        <v>0</v>
      </c>
      <c r="L556" s="84" cm="1">
        <f ca="1" t="array" ref="L556">IF($E556&lt;7,_xlfn.XLOOKUP($D556&amp;$E556,$D$155:$D$395&amp;$E$155:$E$395,L$155:L$395),"")</f>
        <v>0</v>
      </c>
      <c r="M556" s="84" cm="1">
        <f ca="1" t="array" ref="M556">IF($E556&lt;7,_xlfn.XLOOKUP($D556&amp;$E556,$D$155:$D$395&amp;$E$155:$E$395,M$155:M$395),"")</f>
        <v>0</v>
      </c>
      <c r="N556" s="84" t="s">
        <v>282</v>
      </c>
      <c r="O556" s="84" t="s">
        <v>282</v>
      </c>
      <c r="P556" s="84" t="s">
        <v>282</v>
      </c>
      <c r="Q556" s="84" t="s">
        <v>282</v>
      </c>
      <c r="R556" s="84" t="s">
        <v>282</v>
      </c>
      <c r="S556" s="90">
        <f ca="1" t="shared" si="138"/>
        <v>185</v>
      </c>
      <c r="T556" s="90" cm="1">
        <f ca="1" t="array" ref="T556">IFERROR(SUMPRODUCT(F556:M556,$F$154:$M$154)+IFERROR(N556*SUMPRODUCT(O556:R556,$O$154:$R$154),0),"")</f>
        <v>1800</v>
      </c>
      <c r="U556" s="94"/>
      <c r="V556" s="94" t="str">
        <f t="shared" si="139"/>
        <v/>
      </c>
      <c r="W556" t="str">
        <f ca="1" t="shared" si="136"/>
        <v/>
      </c>
      <c r="X556" s="94" t="str">
        <f t="shared" si="140"/>
        <v>{61,150}</v>
      </c>
      <c r="Y556" s="94" t="str">
        <f t="shared" si="141"/>
        <v/>
      </c>
      <c r="Z556" s="94" t="str">
        <f ca="1" t="shared" si="142"/>
        <v/>
      </c>
      <c r="AA556" s="94" t="str">
        <f ca="1" t="shared" si="143"/>
        <v/>
      </c>
      <c r="AB556" s="94" t="str">
        <f t="shared" si="144"/>
        <v>{6030001,4}</v>
      </c>
      <c r="AE556" s="94" t="str">
        <f t="shared" si="145"/>
        <v>{2,850}</v>
      </c>
      <c r="AH556" t="str">
        <f ca="1" t="shared" si="137"/>
        <v>[{61,150},{6030001,4},{2,850}]</v>
      </c>
    </row>
    <row r="557" spans="4:34">
      <c r="D557" s="81" t="str">
        <f ca="1" t="shared" si="146"/>
        <v>珍惜Ⅴ</v>
      </c>
      <c r="E557" s="84">
        <f t="shared" si="147"/>
        <v>2</v>
      </c>
      <c r="F557" s="84">
        <f>F549+5</f>
        <v>150</v>
      </c>
      <c r="G557" s="84">
        <f>G549+5</f>
        <v>170</v>
      </c>
      <c r="H557" s="84"/>
      <c r="I557" s="84">
        <f t="shared" si="148"/>
        <v>850</v>
      </c>
      <c r="J557" s="84" cm="1">
        <f ca="1" t="array" ref="J557">IF($E557&lt;7,_xlfn.XLOOKUP($D557&amp;$E557,$D$155:$D$395&amp;$E$155:$E$395,J$155:J$395),"")</f>
        <v>0</v>
      </c>
      <c r="K557" s="84" cm="1">
        <f ca="1" t="array" ref="K557">IF($E557&lt;7,_xlfn.XLOOKUP($D557&amp;$E557,$D$155:$D$395&amp;$E$155:$E$395,K$155:K$395),"")</f>
        <v>0</v>
      </c>
      <c r="L557" s="84" cm="1">
        <f ca="1" t="array" ref="L557">IF($E557&lt;7,_xlfn.XLOOKUP($D557&amp;$E557,$D$155:$D$395&amp;$E$155:$E$395,L$155:L$395),"")</f>
        <v>0</v>
      </c>
      <c r="M557" s="84" cm="1">
        <f ca="1" t="array" ref="M557">IF($E557&lt;7,_xlfn.XLOOKUP($D557&amp;$E557,$D$155:$D$395&amp;$E$155:$E$395,M$155:M$395),"")</f>
        <v>0</v>
      </c>
      <c r="N557" s="84" t="s">
        <v>282</v>
      </c>
      <c r="O557" s="84" t="s">
        <v>282</v>
      </c>
      <c r="P557" s="84" t="s">
        <v>282</v>
      </c>
      <c r="Q557" s="84" t="s">
        <v>282</v>
      </c>
      <c r="R557" s="84" t="s">
        <v>282</v>
      </c>
      <c r="S557" s="90">
        <f ca="1" t="shared" si="138"/>
        <v>185</v>
      </c>
      <c r="T557" s="90" cm="1">
        <f ca="1" t="array" ref="T557">IFERROR(SUMPRODUCT(F557:M557,$F$154:$M$154)+IFERROR(N557*SUMPRODUCT(O557:R557,$O$154:$R$154),0),"")</f>
        <v>1170</v>
      </c>
      <c r="U557" s="94"/>
      <c r="V557" s="94" t="str">
        <f t="shared" si="139"/>
        <v/>
      </c>
      <c r="W557" t="str">
        <f ca="1" t="shared" si="136"/>
        <v/>
      </c>
      <c r="X557" s="94" t="str">
        <f t="shared" si="140"/>
        <v>{61,150}</v>
      </c>
      <c r="Y557" s="94" t="str">
        <f t="shared" si="141"/>
        <v>{63,170}</v>
      </c>
      <c r="Z557" s="94" t="str">
        <f ca="1" t="shared" si="142"/>
        <v/>
      </c>
      <c r="AA557" s="94" t="str">
        <f ca="1" t="shared" si="143"/>
        <v/>
      </c>
      <c r="AB557" s="94" t="str">
        <f ca="1" t="shared" si="144"/>
        <v/>
      </c>
      <c r="AE557" s="94" t="str">
        <f t="shared" si="145"/>
        <v>{2,850}</v>
      </c>
      <c r="AH557" t="str">
        <f ca="1" t="shared" si="137"/>
        <v>[{61,150},{63,170},{2,850}]</v>
      </c>
    </row>
    <row r="558" spans="4:34">
      <c r="D558" s="81" t="str">
        <f ca="1" t="shared" si="146"/>
        <v>珍惜Ⅴ</v>
      </c>
      <c r="E558" s="84">
        <f t="shared" si="147"/>
        <v>3</v>
      </c>
      <c r="F558" s="84">
        <f>F550+5</f>
        <v>150</v>
      </c>
      <c r="G558" s="84"/>
      <c r="H558" s="84"/>
      <c r="I558" s="84">
        <f t="shared" si="148"/>
        <v>850</v>
      </c>
      <c r="J558" s="84">
        <v>5</v>
      </c>
      <c r="K558" s="84"/>
      <c r="L558" s="84" cm="1">
        <f ca="1" t="array" ref="L558">IF($E558&lt;7,_xlfn.XLOOKUP($D558&amp;$E558,$D$155:$D$395&amp;$E$155:$E$395,L$155:L$395),"")</f>
        <v>0</v>
      </c>
      <c r="M558" s="84" cm="1">
        <f ca="1" t="array" ref="M558">IF($E558&lt;7,_xlfn.XLOOKUP($D558&amp;$E558,$D$155:$D$395&amp;$E$155:$E$395,M$155:M$395),"")</f>
        <v>0</v>
      </c>
      <c r="N558" s="84" t="s">
        <v>282</v>
      </c>
      <c r="O558" s="84" t="s">
        <v>282</v>
      </c>
      <c r="P558" s="84" t="s">
        <v>282</v>
      </c>
      <c r="Q558" s="84" t="s">
        <v>282</v>
      </c>
      <c r="R558" s="84" t="s">
        <v>282</v>
      </c>
      <c r="S558" s="90">
        <f ca="1" t="shared" si="138"/>
        <v>185</v>
      </c>
      <c r="T558" s="90" cm="1">
        <f ca="1" t="array" ref="T558">IFERROR(SUMPRODUCT(F558:M558,$F$154:$M$154)+IFERROR(N558*SUMPRODUCT(O558:R558,$O$154:$R$154),0),"")</f>
        <v>2000</v>
      </c>
      <c r="U558" s="94"/>
      <c r="V558" s="94" t="str">
        <f t="shared" si="139"/>
        <v/>
      </c>
      <c r="W558" t="str">
        <f ca="1" t="shared" si="136"/>
        <v/>
      </c>
      <c r="X558" s="94" t="str">
        <f t="shared" si="140"/>
        <v>{61,150}</v>
      </c>
      <c r="Y558" s="94" t="str">
        <f t="shared" si="141"/>
        <v/>
      </c>
      <c r="Z558" s="94" t="str">
        <f ca="1" t="shared" si="142"/>
        <v/>
      </c>
      <c r="AA558" s="94" t="str">
        <f t="shared" si="143"/>
        <v/>
      </c>
      <c r="AB558" s="94" t="str">
        <f t="shared" si="144"/>
        <v>{6030001,5}</v>
      </c>
      <c r="AE558" s="94" t="str">
        <f t="shared" si="145"/>
        <v>{2,850}</v>
      </c>
      <c r="AH558" t="str">
        <f ca="1" t="shared" si="137"/>
        <v>[{61,150},{6030001,5},{2,850}]</v>
      </c>
    </row>
    <row r="559" spans="4:34">
      <c r="D559" s="81" t="str">
        <f ca="1" t="shared" si="146"/>
        <v>珍惜Ⅴ</v>
      </c>
      <c r="E559" s="84">
        <f t="shared" si="147"/>
        <v>4</v>
      </c>
      <c r="F559" s="84">
        <f>CEILING(F560*1.25,5)</f>
        <v>240</v>
      </c>
      <c r="G559" s="84">
        <f>CEILING(G557*1.5,5)</f>
        <v>255</v>
      </c>
      <c r="H559" s="84"/>
      <c r="I559" s="84">
        <f t="shared" si="148"/>
        <v>850</v>
      </c>
      <c r="J559" s="84" cm="1">
        <f ca="1" t="array" ref="J559">IF($E559&lt;7,_xlfn.XLOOKUP($D559&amp;$E559,$D$155:$D$395&amp;$E$155:$E$395,J$155:J$395),"")</f>
        <v>0</v>
      </c>
      <c r="K559" s="84" cm="1">
        <f ca="1" t="array" ref="K559">IF($E559&lt;7,_xlfn.XLOOKUP($D559&amp;$E559,$D$155:$D$395&amp;$E$155:$E$395,K$155:K$395),"")</f>
        <v>0</v>
      </c>
      <c r="L559" s="84" cm="1">
        <f ca="1" t="array" ref="L559">IF($E559&lt;7,_xlfn.XLOOKUP($D559&amp;$E559,$D$155:$D$395&amp;$E$155:$E$395,L$155:L$395),"")</f>
        <v>0</v>
      </c>
      <c r="M559" s="84" cm="1">
        <f ca="1" t="array" ref="M559">IF($E559&lt;7,_xlfn.XLOOKUP($D559&amp;$E559,$D$155:$D$395&amp;$E$155:$E$395,M$155:M$395),"")</f>
        <v>0</v>
      </c>
      <c r="N559" s="84" t="s">
        <v>282</v>
      </c>
      <c r="O559" s="84" t="s">
        <v>282</v>
      </c>
      <c r="P559" s="84" t="s">
        <v>282</v>
      </c>
      <c r="Q559" s="84" t="s">
        <v>282</v>
      </c>
      <c r="R559" s="84" t="s">
        <v>282</v>
      </c>
      <c r="S559" s="90">
        <f ca="1" t="shared" si="138"/>
        <v>185</v>
      </c>
      <c r="T559" s="90" cm="1">
        <f ca="1" t="array" ref="T559">IFERROR(SUMPRODUCT(F559:M559,$F$154:$M$154)+IFERROR(N559*SUMPRODUCT(O559:R559,$O$154:$R$154),0),"")</f>
        <v>1345</v>
      </c>
      <c r="U559" s="94"/>
      <c r="V559" s="94" t="str">
        <f t="shared" si="139"/>
        <v/>
      </c>
      <c r="W559" t="str">
        <f ca="1" t="shared" si="136"/>
        <v/>
      </c>
      <c r="X559" s="94" t="str">
        <f t="shared" si="140"/>
        <v>{61,240}</v>
      </c>
      <c r="Y559" s="94" t="str">
        <f t="shared" si="141"/>
        <v>{63,255}</v>
      </c>
      <c r="Z559" s="94" t="str">
        <f ca="1" t="shared" si="142"/>
        <v/>
      </c>
      <c r="AA559" s="94" t="str">
        <f ca="1" t="shared" si="143"/>
        <v/>
      </c>
      <c r="AB559" s="94" t="str">
        <f ca="1" t="shared" si="144"/>
        <v/>
      </c>
      <c r="AE559" s="94" t="str">
        <f t="shared" si="145"/>
        <v>{2,850}</v>
      </c>
      <c r="AH559" t="str">
        <f ca="1" t="shared" si="137"/>
        <v>[{61,240},{63,255},{2,850}]</v>
      </c>
    </row>
    <row r="560" spans="4:34">
      <c r="D560" s="81" t="str">
        <f ca="1" t="shared" si="146"/>
        <v>珍惜Ⅴ</v>
      </c>
      <c r="E560" s="84">
        <f t="shared" si="147"/>
        <v>5</v>
      </c>
      <c r="F560" s="84">
        <f>CEILING(F556*1.25,5)</f>
        <v>190</v>
      </c>
      <c r="G560" s="84"/>
      <c r="H560" s="84"/>
      <c r="I560" s="84">
        <f t="shared" si="148"/>
        <v>850</v>
      </c>
      <c r="J560" s="84" cm="1">
        <f ca="1" t="array" ref="J560">IF($E560&lt;7,_xlfn.XLOOKUP($D560&amp;$E560,$D$155:$D$395&amp;$E$155:$E$395,J$155:J$395),"")</f>
        <v>0</v>
      </c>
      <c r="K560" s="84">
        <v>5</v>
      </c>
      <c r="L560" s="84"/>
      <c r="M560" s="84" cm="1">
        <f ca="1" t="array" ref="M560">IF($E560&lt;7,_xlfn.XLOOKUP($D560&amp;$E560,$D$155:$D$395&amp;$E$155:$E$395,M$155:M$395),"")</f>
        <v>0</v>
      </c>
      <c r="N560" s="84" t="s">
        <v>282</v>
      </c>
      <c r="O560" s="84" t="s">
        <v>282</v>
      </c>
      <c r="P560" s="84" t="s">
        <v>282</v>
      </c>
      <c r="Q560" s="84" t="s">
        <v>282</v>
      </c>
      <c r="R560" s="84" t="s">
        <v>282</v>
      </c>
      <c r="S560" s="90">
        <f ca="1" t="shared" si="138"/>
        <v>185</v>
      </c>
      <c r="T560" s="90" cm="1">
        <f ca="1" t="array" ref="T560">IFERROR(SUMPRODUCT(F560:M560,$F$154:$M$154)+IFERROR(N560*SUMPRODUCT(O560:R560,$O$154:$R$154),0),"")</f>
        <v>3040</v>
      </c>
      <c r="U560" s="94"/>
      <c r="V560" s="94" t="str">
        <f t="shared" si="139"/>
        <v/>
      </c>
      <c r="W560" t="str">
        <f ca="1" t="shared" si="136"/>
        <v/>
      </c>
      <c r="X560" s="94" t="str">
        <f t="shared" si="140"/>
        <v>{61,190}</v>
      </c>
      <c r="Y560" s="94" t="str">
        <f t="shared" si="141"/>
        <v/>
      </c>
      <c r="Z560" s="94" t="str">
        <f t="shared" si="142"/>
        <v/>
      </c>
      <c r="AA560" s="94" t="str">
        <f t="shared" si="143"/>
        <v>{6030002,5}</v>
      </c>
      <c r="AB560" s="94" t="str">
        <f ca="1" t="shared" si="144"/>
        <v/>
      </c>
      <c r="AE560" s="94" t="str">
        <f t="shared" si="145"/>
        <v>{2,850}</v>
      </c>
      <c r="AH560" t="str">
        <f ca="1" t="shared" si="137"/>
        <v>[{61,190},{6030002,5},{2,850}]</v>
      </c>
    </row>
    <row r="561" spans="4:34">
      <c r="D561" s="81" t="str">
        <f ca="1" t="shared" si="146"/>
        <v>珍惜Ⅴ</v>
      </c>
      <c r="E561" s="84">
        <f t="shared" si="147"/>
        <v>6</v>
      </c>
      <c r="F561" s="84">
        <f>CEILING(F557*1.25,5)</f>
        <v>190</v>
      </c>
      <c r="G561" s="84">
        <f>G559</f>
        <v>255</v>
      </c>
      <c r="H561" s="84"/>
      <c r="I561" s="84">
        <f t="shared" si="148"/>
        <v>850</v>
      </c>
      <c r="J561" s="84" cm="1">
        <f ca="1" t="array" ref="J561">IF($E561&lt;7,_xlfn.XLOOKUP($D561&amp;$E561,$D$155:$D$395&amp;$E$155:$E$395,J$155:J$395),"")</f>
        <v>0</v>
      </c>
      <c r="K561" s="84" cm="1">
        <f ca="1" t="array" ref="K561">IF($E561&lt;7,_xlfn.XLOOKUP($D561&amp;$E561,$D$155:$D$395&amp;$E$155:$E$395,K$155:K$395),"")</f>
        <v>0</v>
      </c>
      <c r="L561" s="84" cm="1">
        <f ca="1" t="array" ref="L561">IF($E561&lt;7,_xlfn.XLOOKUP($D561&amp;$E561,$D$155:$D$395&amp;$E$155:$E$395,L$155:L$395),"")</f>
        <v>0</v>
      </c>
      <c r="M561" s="84" cm="1">
        <f ca="1" t="array" ref="M561">IF($E561&lt;7,_xlfn.XLOOKUP($D561&amp;$E561,$D$155:$D$395&amp;$E$155:$E$395,M$155:M$395),"")</f>
        <v>0</v>
      </c>
      <c r="N561" s="84" t="s">
        <v>282</v>
      </c>
      <c r="O561" s="84" t="s">
        <v>282</v>
      </c>
      <c r="P561" s="84" t="s">
        <v>282</v>
      </c>
      <c r="Q561" s="84" t="s">
        <v>282</v>
      </c>
      <c r="R561" s="84" t="s">
        <v>282</v>
      </c>
      <c r="S561" s="90">
        <f ca="1" t="shared" si="138"/>
        <v>185</v>
      </c>
      <c r="T561" s="90" cm="1">
        <f ca="1" t="array" ref="T561">IFERROR(SUMPRODUCT(F561:M561,$F$154:$M$154)+IFERROR(N561*SUMPRODUCT(O561:R561,$O$154:$R$154),0),"")</f>
        <v>1295</v>
      </c>
      <c r="U561" s="94"/>
      <c r="V561" s="94" t="str">
        <f t="shared" si="139"/>
        <v/>
      </c>
      <c r="W561" t="str">
        <f ca="1" t="shared" si="136"/>
        <v/>
      </c>
      <c r="X561" s="94" t="str">
        <f t="shared" si="140"/>
        <v>{61,190}</v>
      </c>
      <c r="Y561" s="94" t="str">
        <f t="shared" si="141"/>
        <v>{63,255}</v>
      </c>
      <c r="Z561" s="94" t="str">
        <f ca="1" t="shared" si="142"/>
        <v/>
      </c>
      <c r="AA561" s="94" t="str">
        <f ca="1" t="shared" si="143"/>
        <v/>
      </c>
      <c r="AB561" s="94" t="str">
        <f ca="1" t="shared" si="144"/>
        <v/>
      </c>
      <c r="AE561" s="94" t="str">
        <f t="shared" si="145"/>
        <v>{2,850}</v>
      </c>
      <c r="AH561" t="str">
        <f ca="1" t="shared" si="137"/>
        <v>[{61,190},{63,255},{2,850}]</v>
      </c>
    </row>
    <row r="562" spans="4:34">
      <c r="D562" s="81" t="str">
        <f ca="1" t="shared" si="146"/>
        <v>珍惜Ⅴ</v>
      </c>
      <c r="E562" s="84">
        <f t="shared" si="147"/>
        <v>7</v>
      </c>
      <c r="F562" s="84">
        <f>CEILING(F558*1.25,5)</f>
        <v>190</v>
      </c>
      <c r="G562" s="84"/>
      <c r="H562" s="84"/>
      <c r="I562" s="84">
        <f t="shared" si="148"/>
        <v>850</v>
      </c>
      <c r="J562" s="84" t="str" cm="1">
        <f ca="1" t="array" ref="J562">IF($E562&lt;7,_xlfn.XLOOKUP($D562&amp;$E562,$D$155:$D$395&amp;$E$155:$E$395,J$155:J$395),"")</f>
        <v/>
      </c>
      <c r="K562" s="84" t="str" cm="1">
        <f ca="1" t="array" ref="K562">IF($E562&lt;7,_xlfn.XLOOKUP($D562&amp;$E562,$D$155:$D$395&amp;$E$155:$E$395,K$155:K$395),"")</f>
        <v/>
      </c>
      <c r="L562" s="84">
        <v>4</v>
      </c>
      <c r="M562" s="84" t="str" cm="1">
        <f ca="1" t="array" ref="M562">IF($E562&lt;7,_xlfn.XLOOKUP($D562&amp;$E562,$D$155:$D$395&amp;$E$155:$E$395,M$155:M$395),"")</f>
        <v/>
      </c>
      <c r="N562" s="84" t="s">
        <v>282</v>
      </c>
      <c r="O562" s="84" t="s">
        <v>282</v>
      </c>
      <c r="P562" s="84" t="s">
        <v>282</v>
      </c>
      <c r="Q562" s="84" t="s">
        <v>282</v>
      </c>
      <c r="R562" s="84" t="s">
        <v>282</v>
      </c>
      <c r="S562" s="90">
        <f ca="1" t="shared" si="138"/>
        <v>185</v>
      </c>
      <c r="T562" s="90" cm="1">
        <f ca="1" t="array" ref="T562">IFERROR(SUMPRODUCT(F562:M562,$F$154:$M$154)+IFERROR(N562*SUMPRODUCT(O562:R562,$O$154:$R$154),0),"")</f>
        <v>4240</v>
      </c>
      <c r="U562" s="94"/>
      <c r="V562" s="94" t="str">
        <f t="shared" si="139"/>
        <v/>
      </c>
      <c r="W562" t="str">
        <f ca="1" t="shared" si="136"/>
        <v/>
      </c>
      <c r="X562" s="94" t="str">
        <f t="shared" si="140"/>
        <v>{61,190}</v>
      </c>
      <c r="Y562" s="94" t="str">
        <f t="shared" si="141"/>
        <v/>
      </c>
      <c r="Z562" s="94" t="str">
        <f t="shared" si="142"/>
        <v>{6030003,4}</v>
      </c>
      <c r="AA562" s="94" t="str">
        <f ca="1" t="shared" si="143"/>
        <v/>
      </c>
      <c r="AB562" s="94" t="str">
        <f ca="1" t="shared" si="144"/>
        <v/>
      </c>
      <c r="AE562" s="94" t="str">
        <f t="shared" si="145"/>
        <v>{2,850}</v>
      </c>
      <c r="AH562" t="str">
        <f ca="1" t="shared" si="137"/>
        <v>[{61,190},{6030003,4},{2,850}]</v>
      </c>
    </row>
    <row r="563" spans="4:34">
      <c r="D563" s="81" t="str">
        <f ca="1" t="shared" si="146"/>
        <v>珍惜Ⅴ</v>
      </c>
      <c r="E563" s="84">
        <f t="shared" si="147"/>
        <v>8</v>
      </c>
      <c r="F563" s="84">
        <f>CEILING(F562*1.5,5)</f>
        <v>285</v>
      </c>
      <c r="G563" s="84">
        <f>CEILING(G561*1.5,5)</f>
        <v>385</v>
      </c>
      <c r="H563" s="84">
        <f>1</f>
        <v>1</v>
      </c>
      <c r="I563" s="84">
        <f t="shared" si="148"/>
        <v>850</v>
      </c>
      <c r="J563" s="84" t="str" cm="1">
        <f ca="1" t="array" ref="J563">IF($E563&lt;7,_xlfn.XLOOKUP($D563&amp;$E563,$D$155:$D$395&amp;$E$155:$E$395,J$155:J$395),"")</f>
        <v/>
      </c>
      <c r="K563" s="84" t="str" cm="1">
        <f ca="1" t="array" ref="K563">IF($E563&lt;7,_xlfn.XLOOKUP($D563&amp;$E563,$D$155:$D$395&amp;$E$155:$E$395,K$155:K$395),"")</f>
        <v/>
      </c>
      <c r="L563" s="84" t="str" cm="1">
        <f ca="1" t="array" ref="L563">IF($E563&lt;7,_xlfn.XLOOKUP($D563&amp;$E563,$D$155:$D$395&amp;$E$155:$E$395,L$155:L$395),"")</f>
        <v/>
      </c>
      <c r="M563" s="84" t="str" cm="1">
        <f ca="1" t="array" ref="M563">IF($E563&lt;7,_xlfn.XLOOKUP($D563&amp;$E563,$D$155:$D$395&amp;$E$155:$E$395,M$155:M$395),"")</f>
        <v/>
      </c>
      <c r="N563" s="84">
        <v>8</v>
      </c>
      <c r="O563" s="84">
        <v>0</v>
      </c>
      <c r="P563" s="84">
        <v>0.67</v>
      </c>
      <c r="Q563" s="84">
        <v>0.33</v>
      </c>
      <c r="R563" s="84">
        <v>0</v>
      </c>
      <c r="S563" s="90">
        <f ca="1" t="shared" si="138"/>
        <v>185</v>
      </c>
      <c r="T563" s="90" cm="1">
        <f ca="1" t="array" ref="T563">IFERROR(SUMPRODUCT(F563:M563,$F$154:$M$154)+IFERROR(N563*SUMPRODUCT(O563:R563,$O$154:$R$154),0),"")</f>
        <v>5926</v>
      </c>
      <c r="U563" s="94"/>
      <c r="V563" s="94" t="str">
        <f t="shared" si="139"/>
        <v>{62,1}</v>
      </c>
      <c r="W563" t="str">
        <f ca="1" t="shared" si="136"/>
        <v>{6020015,8}</v>
      </c>
      <c r="X563" s="94" t="str">
        <f t="shared" si="140"/>
        <v>{61,285}</v>
      </c>
      <c r="Y563" s="94" t="str">
        <f t="shared" si="141"/>
        <v>{63,385}</v>
      </c>
      <c r="Z563" s="94" t="str">
        <f ca="1" t="shared" si="142"/>
        <v/>
      </c>
      <c r="AA563" s="94" t="str">
        <f ca="1" t="shared" si="143"/>
        <v/>
      </c>
      <c r="AB563" s="94" t="str">
        <f ca="1" t="shared" si="144"/>
        <v/>
      </c>
      <c r="AE563" s="94" t="str">
        <f t="shared" si="145"/>
        <v>{2,850}</v>
      </c>
      <c r="AH563" t="str">
        <f ca="1" t="shared" si="137"/>
        <v>[{62,1},{6020015,8},{61,285},{63,385},{2,850}]</v>
      </c>
    </row>
    <row r="564" spans="4:34">
      <c r="D564" s="81" t="str">
        <f ca="1" t="shared" si="146"/>
        <v>卓越Ⅰ</v>
      </c>
      <c r="E564" s="84">
        <f t="shared" si="147"/>
        <v>1</v>
      </c>
      <c r="F564" s="84">
        <f>F556+5</f>
        <v>155</v>
      </c>
      <c r="G564" s="84"/>
      <c r="H564" s="84"/>
      <c r="I564" s="84">
        <f t="shared" si="148"/>
        <v>875</v>
      </c>
      <c r="J564" s="84">
        <v>4</v>
      </c>
      <c r="K564" s="84" cm="1">
        <f ca="1" t="array" ref="K564">IF($E564&lt;7,_xlfn.XLOOKUP($D564&amp;$E564,$D$155:$D$395&amp;$E$155:$E$395,K$155:K$395),"")</f>
        <v>0</v>
      </c>
      <c r="L564" s="84" cm="1">
        <f ca="1" t="array" ref="L564">IF($E564&lt;7,_xlfn.XLOOKUP($D564&amp;$E564,$D$155:$D$395&amp;$E$155:$E$395,L$155:L$395),"")</f>
        <v>0</v>
      </c>
      <c r="M564" s="84" cm="1">
        <f ca="1" t="array" ref="M564">IF($E564&lt;7,_xlfn.XLOOKUP($D564&amp;$E564,$D$155:$D$395&amp;$E$155:$E$395,M$155:M$395),"")</f>
        <v>0</v>
      </c>
      <c r="N564" s="84" t="s">
        <v>282</v>
      </c>
      <c r="O564" s="84" t="s">
        <v>282</v>
      </c>
      <c r="P564" s="84" t="s">
        <v>282</v>
      </c>
      <c r="Q564" s="84" t="s">
        <v>282</v>
      </c>
      <c r="R564" s="84" t="s">
        <v>282</v>
      </c>
      <c r="S564" s="90">
        <f ca="1" t="shared" si="138"/>
        <v>195</v>
      </c>
      <c r="T564" s="90" cm="1">
        <f ca="1" t="array" ref="T564">IFERROR(SUMPRODUCT(F564:M564,$F$154:$M$154)+IFERROR(N564*SUMPRODUCT(O564:R564,$O$154:$R$154),0),"")</f>
        <v>1830</v>
      </c>
      <c r="U564" s="94"/>
      <c r="V564" s="94" t="str">
        <f t="shared" si="139"/>
        <v/>
      </c>
      <c r="W564" t="str">
        <f ca="1" t="shared" si="136"/>
        <v/>
      </c>
      <c r="X564" s="94" t="str">
        <f t="shared" si="140"/>
        <v>{61,155}</v>
      </c>
      <c r="Y564" s="94" t="str">
        <f t="shared" si="141"/>
        <v/>
      </c>
      <c r="Z564" s="94" t="str">
        <f ca="1" t="shared" si="142"/>
        <v/>
      </c>
      <c r="AA564" s="94" t="str">
        <f ca="1" t="shared" si="143"/>
        <v/>
      </c>
      <c r="AB564" s="94" t="str">
        <f t="shared" si="144"/>
        <v>{6030001,4}</v>
      </c>
      <c r="AE564" s="94" t="str">
        <f t="shared" si="145"/>
        <v>{2,875}</v>
      </c>
      <c r="AH564" t="str">
        <f ca="1" t="shared" si="137"/>
        <v>[{61,155},{6030001,4},{2,875}]</v>
      </c>
    </row>
    <row r="565" spans="4:34">
      <c r="D565" s="81" t="str">
        <f ca="1" t="shared" si="146"/>
        <v>卓越Ⅰ</v>
      </c>
      <c r="E565" s="84">
        <f t="shared" si="147"/>
        <v>2</v>
      </c>
      <c r="F565" s="84">
        <f>F557+5</f>
        <v>155</v>
      </c>
      <c r="G565" s="84">
        <f>G557+5</f>
        <v>175</v>
      </c>
      <c r="H565" s="84"/>
      <c r="I565" s="84">
        <f t="shared" si="148"/>
        <v>875</v>
      </c>
      <c r="J565" s="84" cm="1">
        <f ca="1" t="array" ref="J565">IF($E565&lt;7,_xlfn.XLOOKUP($D565&amp;$E565,$D$155:$D$395&amp;$E$155:$E$395,J$155:J$395),"")</f>
        <v>0</v>
      </c>
      <c r="K565" s="84" cm="1">
        <f ca="1" t="array" ref="K565">IF($E565&lt;7,_xlfn.XLOOKUP($D565&amp;$E565,$D$155:$D$395&amp;$E$155:$E$395,K$155:K$395),"")</f>
        <v>0</v>
      </c>
      <c r="L565" s="84" cm="1">
        <f ca="1" t="array" ref="L565">IF($E565&lt;7,_xlfn.XLOOKUP($D565&amp;$E565,$D$155:$D$395&amp;$E$155:$E$395,L$155:L$395),"")</f>
        <v>0</v>
      </c>
      <c r="M565" s="84" cm="1">
        <f ca="1" t="array" ref="M565">IF($E565&lt;7,_xlfn.XLOOKUP($D565&amp;$E565,$D$155:$D$395&amp;$E$155:$E$395,M$155:M$395),"")</f>
        <v>0</v>
      </c>
      <c r="N565" s="84" t="s">
        <v>282</v>
      </c>
      <c r="O565" s="84" t="s">
        <v>282</v>
      </c>
      <c r="P565" s="84" t="s">
        <v>282</v>
      </c>
      <c r="Q565" s="84" t="s">
        <v>282</v>
      </c>
      <c r="R565" s="84" t="s">
        <v>282</v>
      </c>
      <c r="S565" s="90">
        <f ca="1" t="shared" si="138"/>
        <v>195</v>
      </c>
      <c r="T565" s="90" cm="1">
        <f ca="1" t="array" ref="T565">IFERROR(SUMPRODUCT(F565:M565,$F$154:$M$154)+IFERROR(N565*SUMPRODUCT(O565:R565,$O$154:$R$154),0),"")</f>
        <v>1205</v>
      </c>
      <c r="U565" s="94"/>
      <c r="V565" s="94" t="str">
        <f t="shared" si="139"/>
        <v/>
      </c>
      <c r="W565" t="str">
        <f ca="1" t="shared" si="136"/>
        <v/>
      </c>
      <c r="X565" s="94" t="str">
        <f t="shared" si="140"/>
        <v>{61,155}</v>
      </c>
      <c r="Y565" s="94" t="str">
        <f t="shared" si="141"/>
        <v>{63,175}</v>
      </c>
      <c r="Z565" s="94" t="str">
        <f ca="1" t="shared" si="142"/>
        <v/>
      </c>
      <c r="AA565" s="94" t="str">
        <f ca="1" t="shared" si="143"/>
        <v/>
      </c>
      <c r="AB565" s="94" t="str">
        <f ca="1" t="shared" si="144"/>
        <v/>
      </c>
      <c r="AE565" s="94" t="str">
        <f t="shared" si="145"/>
        <v>{2,875}</v>
      </c>
      <c r="AH565" t="str">
        <f ca="1" t="shared" si="137"/>
        <v>[{61,155},{63,175},{2,875}]</v>
      </c>
    </row>
    <row r="566" spans="4:34">
      <c r="D566" s="81" t="str">
        <f ca="1" t="shared" si="146"/>
        <v>卓越Ⅰ</v>
      </c>
      <c r="E566" s="84">
        <f t="shared" si="147"/>
        <v>3</v>
      </c>
      <c r="F566" s="84">
        <f>F558+5</f>
        <v>155</v>
      </c>
      <c r="G566" s="84"/>
      <c r="H566" s="84"/>
      <c r="I566" s="84">
        <f t="shared" si="148"/>
        <v>875</v>
      </c>
      <c r="J566" s="84">
        <v>5</v>
      </c>
      <c r="K566" s="84"/>
      <c r="L566" s="84" cm="1">
        <f ca="1" t="array" ref="L566">IF($E566&lt;7,_xlfn.XLOOKUP($D566&amp;$E566,$D$155:$D$395&amp;$E$155:$E$395,L$155:L$395),"")</f>
        <v>0</v>
      </c>
      <c r="M566" s="84" cm="1">
        <f ca="1" t="array" ref="M566">IF($E566&lt;7,_xlfn.XLOOKUP($D566&amp;$E566,$D$155:$D$395&amp;$E$155:$E$395,M$155:M$395),"")</f>
        <v>0</v>
      </c>
      <c r="N566" s="84" t="s">
        <v>282</v>
      </c>
      <c r="O566" s="84" t="s">
        <v>282</v>
      </c>
      <c r="P566" s="84" t="s">
        <v>282</v>
      </c>
      <c r="Q566" s="84" t="s">
        <v>282</v>
      </c>
      <c r="R566" s="84" t="s">
        <v>282</v>
      </c>
      <c r="S566" s="90">
        <f ca="1" t="shared" si="138"/>
        <v>195</v>
      </c>
      <c r="T566" s="90" cm="1">
        <f ca="1" t="array" ref="T566">IFERROR(SUMPRODUCT(F566:M566,$F$154:$M$154)+IFERROR(N566*SUMPRODUCT(O566:R566,$O$154:$R$154),0),"")</f>
        <v>2030</v>
      </c>
      <c r="U566" s="94"/>
      <c r="V566" s="94" t="str">
        <f t="shared" si="139"/>
        <v/>
      </c>
      <c r="W566" t="str">
        <f ca="1" t="shared" si="136"/>
        <v/>
      </c>
      <c r="X566" s="94" t="str">
        <f t="shared" si="140"/>
        <v>{61,155}</v>
      </c>
      <c r="Y566" s="94" t="str">
        <f t="shared" si="141"/>
        <v/>
      </c>
      <c r="Z566" s="94" t="str">
        <f ca="1" t="shared" si="142"/>
        <v/>
      </c>
      <c r="AA566" s="94" t="str">
        <f t="shared" si="143"/>
        <v/>
      </c>
      <c r="AB566" s="94" t="str">
        <f t="shared" si="144"/>
        <v>{6030001,5}</v>
      </c>
      <c r="AE566" s="94" t="str">
        <f t="shared" si="145"/>
        <v>{2,875}</v>
      </c>
      <c r="AH566" t="str">
        <f ca="1" t="shared" si="137"/>
        <v>[{61,155},{6030001,5},{2,875}]</v>
      </c>
    </row>
    <row r="567" spans="4:34">
      <c r="D567" s="81" t="str">
        <f ca="1" t="shared" si="146"/>
        <v>卓越Ⅰ</v>
      </c>
      <c r="E567" s="84">
        <f t="shared" si="147"/>
        <v>4</v>
      </c>
      <c r="F567" s="84">
        <f>CEILING(F568*1.25,5)</f>
        <v>245</v>
      </c>
      <c r="G567" s="84">
        <f>CEILING(G565*1.5,5)</f>
        <v>265</v>
      </c>
      <c r="H567" s="84"/>
      <c r="I567" s="84">
        <f t="shared" si="148"/>
        <v>875</v>
      </c>
      <c r="J567" s="84" cm="1">
        <f ca="1" t="array" ref="J567">IF($E567&lt;7,_xlfn.XLOOKUP($D567&amp;$E567,$D$155:$D$395&amp;$E$155:$E$395,J$155:J$395),"")</f>
        <v>0</v>
      </c>
      <c r="K567" s="84" cm="1">
        <f ca="1" t="array" ref="K567">IF($E567&lt;7,_xlfn.XLOOKUP($D567&amp;$E567,$D$155:$D$395&amp;$E$155:$E$395,K$155:K$395),"")</f>
        <v>0</v>
      </c>
      <c r="L567" s="84" cm="1">
        <f ca="1" t="array" ref="L567">IF($E567&lt;7,_xlfn.XLOOKUP($D567&amp;$E567,$D$155:$D$395&amp;$E$155:$E$395,L$155:L$395),"")</f>
        <v>0</v>
      </c>
      <c r="M567" s="84" cm="1">
        <f ca="1" t="array" ref="M567">IF($E567&lt;7,_xlfn.XLOOKUP($D567&amp;$E567,$D$155:$D$395&amp;$E$155:$E$395,M$155:M$395),"")</f>
        <v>0</v>
      </c>
      <c r="N567" s="84" t="s">
        <v>282</v>
      </c>
      <c r="O567" s="84" t="s">
        <v>282</v>
      </c>
      <c r="P567" s="84" t="s">
        <v>282</v>
      </c>
      <c r="Q567" s="84" t="s">
        <v>282</v>
      </c>
      <c r="R567" s="84" t="s">
        <v>282</v>
      </c>
      <c r="S567" s="90">
        <f ca="1" t="shared" si="138"/>
        <v>195</v>
      </c>
      <c r="T567" s="90" cm="1">
        <f ca="1" t="array" ref="T567">IFERROR(SUMPRODUCT(F567:M567,$F$154:$M$154)+IFERROR(N567*SUMPRODUCT(O567:R567,$O$154:$R$154),0),"")</f>
        <v>1385</v>
      </c>
      <c r="U567" s="94"/>
      <c r="V567" s="94" t="str">
        <f t="shared" si="139"/>
        <v/>
      </c>
      <c r="W567" t="str">
        <f ca="1" t="shared" si="136"/>
        <v/>
      </c>
      <c r="X567" s="94" t="str">
        <f t="shared" si="140"/>
        <v>{61,245}</v>
      </c>
      <c r="Y567" s="94" t="str">
        <f t="shared" si="141"/>
        <v>{63,265}</v>
      </c>
      <c r="Z567" s="94" t="str">
        <f ca="1" t="shared" si="142"/>
        <v/>
      </c>
      <c r="AA567" s="94" t="str">
        <f ca="1" t="shared" si="143"/>
        <v/>
      </c>
      <c r="AB567" s="94" t="str">
        <f ca="1" t="shared" si="144"/>
        <v/>
      </c>
      <c r="AE567" s="94" t="str">
        <f t="shared" si="145"/>
        <v>{2,875}</v>
      </c>
      <c r="AH567" t="str">
        <f ca="1" t="shared" si="137"/>
        <v>[{61,245},{63,265},{2,875}]</v>
      </c>
    </row>
    <row r="568" spans="4:34">
      <c r="D568" s="81" t="str">
        <f ca="1" t="shared" si="146"/>
        <v>卓越Ⅰ</v>
      </c>
      <c r="E568" s="84">
        <f t="shared" si="147"/>
        <v>5</v>
      </c>
      <c r="F568" s="84">
        <f>CEILING(F564*1.25,5)</f>
        <v>195</v>
      </c>
      <c r="G568" s="84"/>
      <c r="H568" s="84"/>
      <c r="I568" s="84">
        <f t="shared" si="148"/>
        <v>875</v>
      </c>
      <c r="J568" s="84" cm="1">
        <f ca="1" t="array" ref="J568">IF($E568&lt;7,_xlfn.XLOOKUP($D568&amp;$E568,$D$155:$D$395&amp;$E$155:$E$395,J$155:J$395),"")</f>
        <v>0</v>
      </c>
      <c r="K568" s="84">
        <v>6</v>
      </c>
      <c r="L568" s="84"/>
      <c r="M568" s="84" cm="1">
        <f ca="1" t="array" ref="M568">IF($E568&lt;7,_xlfn.XLOOKUP($D568&amp;$E568,$D$155:$D$395&amp;$E$155:$E$395,M$155:M$395),"")</f>
        <v>0</v>
      </c>
      <c r="N568" s="84" t="s">
        <v>282</v>
      </c>
      <c r="O568" s="84" t="s">
        <v>282</v>
      </c>
      <c r="P568" s="84" t="s">
        <v>282</v>
      </c>
      <c r="Q568" s="84" t="s">
        <v>282</v>
      </c>
      <c r="R568" s="84" t="s">
        <v>282</v>
      </c>
      <c r="S568" s="90">
        <f ca="1" t="shared" si="138"/>
        <v>195</v>
      </c>
      <c r="T568" s="90" cm="1">
        <f ca="1" t="array" ref="T568">IFERROR(SUMPRODUCT(F568:M568,$F$154:$M$154)+IFERROR(N568*SUMPRODUCT(O568:R568,$O$154:$R$154),0),"")</f>
        <v>3470</v>
      </c>
      <c r="U568" s="94"/>
      <c r="V568" s="94" t="str">
        <f t="shared" si="139"/>
        <v/>
      </c>
      <c r="W568" t="str">
        <f ca="1" t="shared" si="136"/>
        <v/>
      </c>
      <c r="X568" s="94" t="str">
        <f t="shared" si="140"/>
        <v>{61,195}</v>
      </c>
      <c r="Y568" s="94" t="str">
        <f t="shared" si="141"/>
        <v/>
      </c>
      <c r="Z568" s="94" t="str">
        <f t="shared" si="142"/>
        <v/>
      </c>
      <c r="AA568" s="94" t="str">
        <f t="shared" si="143"/>
        <v>{6030002,6}</v>
      </c>
      <c r="AB568" s="94" t="str">
        <f ca="1" t="shared" si="144"/>
        <v/>
      </c>
      <c r="AE568" s="94" t="str">
        <f t="shared" si="145"/>
        <v>{2,875}</v>
      </c>
      <c r="AH568" t="str">
        <f ca="1" t="shared" si="137"/>
        <v>[{61,195},{6030002,6},{2,875}]</v>
      </c>
    </row>
    <row r="569" spans="4:34">
      <c r="D569" s="81" t="str">
        <f ca="1" t="shared" si="146"/>
        <v>卓越Ⅰ</v>
      </c>
      <c r="E569" s="84">
        <f t="shared" si="147"/>
        <v>6</v>
      </c>
      <c r="F569" s="84">
        <f>CEILING(F565*1.25,5)</f>
        <v>195</v>
      </c>
      <c r="G569" s="84">
        <f>G567</f>
        <v>265</v>
      </c>
      <c r="H569" s="84"/>
      <c r="I569" s="84">
        <f t="shared" si="148"/>
        <v>875</v>
      </c>
      <c r="J569" s="84" cm="1">
        <f ca="1" t="array" ref="J569">IF($E569&lt;7,_xlfn.XLOOKUP($D569&amp;$E569,$D$155:$D$395&amp;$E$155:$E$395,J$155:J$395),"")</f>
        <v>0</v>
      </c>
      <c r="K569" s="84" cm="1">
        <f ca="1" t="array" ref="K569">IF($E569&lt;7,_xlfn.XLOOKUP($D569&amp;$E569,$D$155:$D$395&amp;$E$155:$E$395,K$155:K$395),"")</f>
        <v>0</v>
      </c>
      <c r="L569" s="84" cm="1">
        <f ca="1" t="array" ref="L569">IF($E569&lt;7,_xlfn.XLOOKUP($D569&amp;$E569,$D$155:$D$395&amp;$E$155:$E$395,L$155:L$395),"")</f>
        <v>0</v>
      </c>
      <c r="M569" s="84" cm="1">
        <f ca="1" t="array" ref="M569">IF($E569&lt;7,_xlfn.XLOOKUP($D569&amp;$E569,$D$155:$D$395&amp;$E$155:$E$395,M$155:M$395),"")</f>
        <v>0</v>
      </c>
      <c r="N569" s="84" t="s">
        <v>282</v>
      </c>
      <c r="O569" s="84" t="s">
        <v>282</v>
      </c>
      <c r="P569" s="84" t="s">
        <v>282</v>
      </c>
      <c r="Q569" s="84" t="s">
        <v>282</v>
      </c>
      <c r="R569" s="84" t="s">
        <v>282</v>
      </c>
      <c r="S569" s="90">
        <f ca="1" t="shared" si="138"/>
        <v>195</v>
      </c>
      <c r="T569" s="90" cm="1">
        <f ca="1" t="array" ref="T569">IFERROR(SUMPRODUCT(F569:M569,$F$154:$M$154)+IFERROR(N569*SUMPRODUCT(O569:R569,$O$154:$R$154),0),"")</f>
        <v>1335</v>
      </c>
      <c r="U569" s="94"/>
      <c r="V569" s="94" t="str">
        <f t="shared" si="139"/>
        <v/>
      </c>
      <c r="W569" t="str">
        <f ca="1" t="shared" si="136"/>
        <v/>
      </c>
      <c r="X569" s="94" t="str">
        <f t="shared" si="140"/>
        <v>{61,195}</v>
      </c>
      <c r="Y569" s="94" t="str">
        <f t="shared" si="141"/>
        <v>{63,265}</v>
      </c>
      <c r="Z569" s="94" t="str">
        <f ca="1" t="shared" si="142"/>
        <v/>
      </c>
      <c r="AA569" s="94" t="str">
        <f ca="1" t="shared" si="143"/>
        <v/>
      </c>
      <c r="AB569" s="94" t="str">
        <f ca="1" t="shared" si="144"/>
        <v/>
      </c>
      <c r="AE569" s="94" t="str">
        <f t="shared" si="145"/>
        <v>{2,875}</v>
      </c>
      <c r="AH569" t="str">
        <f ca="1" t="shared" si="137"/>
        <v>[{61,195},{63,265},{2,875}]</v>
      </c>
    </row>
    <row r="570" spans="4:34">
      <c r="D570" s="81" t="str">
        <f ca="1" t="shared" si="146"/>
        <v>卓越Ⅰ</v>
      </c>
      <c r="E570" s="84">
        <f t="shared" si="147"/>
        <v>7</v>
      </c>
      <c r="F570" s="84">
        <f>CEILING(F566*1.25,5)</f>
        <v>195</v>
      </c>
      <c r="G570" s="84"/>
      <c r="H570" s="84"/>
      <c r="I570" s="84">
        <f t="shared" si="148"/>
        <v>875</v>
      </c>
      <c r="J570" s="84" t="str" cm="1">
        <f ca="1" t="array" ref="J570">IF($E570&lt;7,_xlfn.XLOOKUP($D570&amp;$E570,$D$155:$D$395&amp;$E$155:$E$395,J$155:J$395),"")</f>
        <v/>
      </c>
      <c r="K570" s="84" t="str" cm="1">
        <f ca="1" t="array" ref="K570">IF($E570&lt;7,_xlfn.XLOOKUP($D570&amp;$E570,$D$155:$D$395&amp;$E$155:$E$395,K$155:K$395),"")</f>
        <v/>
      </c>
      <c r="L570" s="84">
        <v>4</v>
      </c>
      <c r="M570" s="84" t="str" cm="1">
        <f ca="1" t="array" ref="M570">IF($E570&lt;7,_xlfn.XLOOKUP($D570&amp;$E570,$D$155:$D$395&amp;$E$155:$E$395,M$155:M$395),"")</f>
        <v/>
      </c>
      <c r="N570" s="84" t="s">
        <v>282</v>
      </c>
      <c r="O570" s="84" t="s">
        <v>282</v>
      </c>
      <c r="P570" s="84" t="s">
        <v>282</v>
      </c>
      <c r="Q570" s="84" t="s">
        <v>282</v>
      </c>
      <c r="R570" s="84" t="s">
        <v>282</v>
      </c>
      <c r="S570" s="90">
        <f ca="1" t="shared" si="138"/>
        <v>195</v>
      </c>
      <c r="T570" s="90" cm="1">
        <f ca="1" t="array" ref="T570">IFERROR(SUMPRODUCT(F570:M570,$F$154:$M$154)+IFERROR(N570*SUMPRODUCT(O570:R570,$O$154:$R$154),0),"")</f>
        <v>4270</v>
      </c>
      <c r="U570" s="94"/>
      <c r="V570" s="94" t="str">
        <f t="shared" si="139"/>
        <v/>
      </c>
      <c r="W570" t="str">
        <f ca="1" t="shared" si="136"/>
        <v/>
      </c>
      <c r="X570" s="94" t="str">
        <f t="shared" si="140"/>
        <v>{61,195}</v>
      </c>
      <c r="Y570" s="94" t="str">
        <f t="shared" si="141"/>
        <v/>
      </c>
      <c r="Z570" s="94" t="str">
        <f t="shared" si="142"/>
        <v>{6030003,4}</v>
      </c>
      <c r="AA570" s="94" t="str">
        <f ca="1" t="shared" si="143"/>
        <v/>
      </c>
      <c r="AB570" s="94" t="str">
        <f ca="1" t="shared" si="144"/>
        <v/>
      </c>
      <c r="AE570" s="94" t="str">
        <f t="shared" si="145"/>
        <v>{2,875}</v>
      </c>
      <c r="AH570" t="str">
        <f ca="1" t="shared" si="137"/>
        <v>[{61,195},{6030003,4},{2,875}]</v>
      </c>
    </row>
    <row r="571" spans="4:34">
      <c r="D571" s="81" t="str">
        <f ca="1" t="shared" si="146"/>
        <v>卓越Ⅰ</v>
      </c>
      <c r="E571" s="84">
        <f t="shared" si="147"/>
        <v>8</v>
      </c>
      <c r="F571" s="84">
        <f>CEILING(F570*1.5,5)</f>
        <v>295</v>
      </c>
      <c r="G571" s="84">
        <f>CEILING(G569*1.5,5)</f>
        <v>400</v>
      </c>
      <c r="H571" s="84">
        <f>1</f>
        <v>1</v>
      </c>
      <c r="I571" s="84">
        <f t="shared" si="148"/>
        <v>875</v>
      </c>
      <c r="J571" s="84" t="str" cm="1">
        <f ca="1" t="array" ref="J571">IF($E571&lt;7,_xlfn.XLOOKUP($D571&amp;$E571,$D$155:$D$395&amp;$E$155:$E$395,J$155:J$395),"")</f>
        <v/>
      </c>
      <c r="K571" s="84" t="str" cm="1">
        <f ca="1" t="array" ref="K571">IF($E571&lt;7,_xlfn.XLOOKUP($D571&amp;$E571,$D$155:$D$395&amp;$E$155:$E$395,K$155:K$395),"")</f>
        <v/>
      </c>
      <c r="L571" s="84" t="str" cm="1">
        <f ca="1" t="array" ref="L571">IF($E571&lt;7,_xlfn.XLOOKUP($D571&amp;$E571,$D$155:$D$395&amp;$E$155:$E$395,L$155:L$395),"")</f>
        <v/>
      </c>
      <c r="M571" s="84" t="str" cm="1">
        <f ca="1" t="array" ref="M571">IF($E571&lt;7,_xlfn.XLOOKUP($D571&amp;$E571,$D$155:$D$395&amp;$E$155:$E$395,M$155:M$395),"")</f>
        <v/>
      </c>
      <c r="N571" s="84">
        <v>8</v>
      </c>
      <c r="O571" s="84">
        <v>0</v>
      </c>
      <c r="P571" s="84">
        <v>0.64</v>
      </c>
      <c r="Q571" s="84">
        <v>0.33</v>
      </c>
      <c r="R571" s="84">
        <v>0.03</v>
      </c>
      <c r="S571" s="90">
        <f ca="1" t="shared" si="138"/>
        <v>195</v>
      </c>
      <c r="T571" s="90" cm="1">
        <f ca="1" t="array" ref="T571">IFERROR(SUMPRODUCT(F571:M571,$F$154:$M$154)+IFERROR(N571*SUMPRODUCT(O571:R571,$O$154:$R$154),0),"")</f>
        <v>6264</v>
      </c>
      <c r="U571" s="94"/>
      <c r="V571" s="94" t="str">
        <f t="shared" si="139"/>
        <v>{62,1}</v>
      </c>
      <c r="W571" t="str">
        <f ca="1" t="shared" si="136"/>
        <v>{6020016,8}</v>
      </c>
      <c r="X571" s="94" t="str">
        <f t="shared" si="140"/>
        <v>{61,295}</v>
      </c>
      <c r="Y571" s="94" t="str">
        <f t="shared" si="141"/>
        <v>{63,400}</v>
      </c>
      <c r="Z571" s="94" t="str">
        <f ca="1" t="shared" si="142"/>
        <v/>
      </c>
      <c r="AA571" s="94" t="str">
        <f ca="1" t="shared" si="143"/>
        <v/>
      </c>
      <c r="AB571" s="94" t="str">
        <f ca="1" t="shared" si="144"/>
        <v/>
      </c>
      <c r="AE571" s="94" t="str">
        <f t="shared" si="145"/>
        <v>{2,875}</v>
      </c>
      <c r="AH571" t="str">
        <f ca="1" t="shared" si="137"/>
        <v>[{62,1},{6020016,8},{61,295},{63,400},{2,875}]</v>
      </c>
    </row>
    <row r="572" spans="4:34">
      <c r="D572" s="81" t="str">
        <f ca="1" t="shared" si="146"/>
        <v>卓越Ⅱ</v>
      </c>
      <c r="E572" s="84">
        <f t="shared" si="147"/>
        <v>1</v>
      </c>
      <c r="F572" s="84">
        <f>F564+5</f>
        <v>160</v>
      </c>
      <c r="G572" s="84"/>
      <c r="H572" s="84"/>
      <c r="I572" s="84">
        <f t="shared" si="148"/>
        <v>900</v>
      </c>
      <c r="J572" s="84">
        <v>4</v>
      </c>
      <c r="K572" s="84" cm="1">
        <f ca="1" t="array" ref="K572">IF($E572&lt;7,_xlfn.XLOOKUP($D572&amp;$E572,$D$155:$D$395&amp;$E$155:$E$395,K$155:K$395),"")</f>
        <v>0</v>
      </c>
      <c r="L572" s="84" cm="1">
        <f ca="1" t="array" ref="L572">IF($E572&lt;7,_xlfn.XLOOKUP($D572&amp;$E572,$D$155:$D$395&amp;$E$155:$E$395,L$155:L$395),"")</f>
        <v>0</v>
      </c>
      <c r="M572" s="84" cm="1">
        <f ca="1" t="array" ref="M572">IF($E572&lt;7,_xlfn.XLOOKUP($D572&amp;$E572,$D$155:$D$395&amp;$E$155:$E$395,M$155:M$395),"")</f>
        <v>0</v>
      </c>
      <c r="N572" s="84" t="s">
        <v>282</v>
      </c>
      <c r="O572" s="84" t="s">
        <v>282</v>
      </c>
      <c r="P572" s="84" t="s">
        <v>282</v>
      </c>
      <c r="Q572" s="84" t="s">
        <v>282</v>
      </c>
      <c r="R572" s="84" t="s">
        <v>282</v>
      </c>
      <c r="S572" s="90">
        <f ca="1" t="shared" si="138"/>
        <v>205</v>
      </c>
      <c r="T572" s="90" cm="1">
        <f ca="1" t="array" ref="T572">IFERROR(SUMPRODUCT(F572:M572,$F$154:$M$154)+IFERROR(N572*SUMPRODUCT(O572:R572,$O$154:$R$154),0),"")</f>
        <v>1860</v>
      </c>
      <c r="U572" s="94"/>
      <c r="V572" s="94" t="str">
        <f t="shared" si="139"/>
        <v/>
      </c>
      <c r="W572" t="str">
        <f ca="1" t="shared" si="136"/>
        <v/>
      </c>
      <c r="X572" s="94" t="str">
        <f t="shared" si="140"/>
        <v>{61,160}</v>
      </c>
      <c r="Y572" s="94" t="str">
        <f t="shared" si="141"/>
        <v/>
      </c>
      <c r="Z572" s="94" t="str">
        <f ca="1" t="shared" si="142"/>
        <v/>
      </c>
      <c r="AA572" s="94" t="str">
        <f ca="1" t="shared" si="143"/>
        <v/>
      </c>
      <c r="AB572" s="94" t="str">
        <f t="shared" si="144"/>
        <v>{6030001,4}</v>
      </c>
      <c r="AE572" s="94" t="str">
        <f t="shared" si="145"/>
        <v>{2,900}</v>
      </c>
      <c r="AH572" t="str">
        <f ca="1" t="shared" si="137"/>
        <v>[{61,160},{6030001,4},{2,900}]</v>
      </c>
    </row>
    <row r="573" spans="4:34">
      <c r="D573" s="81" t="str">
        <f ca="1" t="shared" si="146"/>
        <v>卓越Ⅱ</v>
      </c>
      <c r="E573" s="84">
        <f t="shared" si="147"/>
        <v>2</v>
      </c>
      <c r="F573" s="84">
        <f>F565+5</f>
        <v>160</v>
      </c>
      <c r="G573" s="84">
        <f>G565+5</f>
        <v>180</v>
      </c>
      <c r="H573" s="84"/>
      <c r="I573" s="84">
        <f t="shared" si="148"/>
        <v>900</v>
      </c>
      <c r="J573" s="84" cm="1">
        <f ca="1" t="array" ref="J573">IF($E573&lt;7,_xlfn.XLOOKUP($D573&amp;$E573,$D$155:$D$395&amp;$E$155:$E$395,J$155:J$395),"")</f>
        <v>0</v>
      </c>
      <c r="K573" s="84" cm="1">
        <f ca="1" t="array" ref="K573">IF($E573&lt;7,_xlfn.XLOOKUP($D573&amp;$E573,$D$155:$D$395&amp;$E$155:$E$395,K$155:K$395),"")</f>
        <v>0</v>
      </c>
      <c r="L573" s="84" cm="1">
        <f ca="1" t="array" ref="L573">IF($E573&lt;7,_xlfn.XLOOKUP($D573&amp;$E573,$D$155:$D$395&amp;$E$155:$E$395,L$155:L$395),"")</f>
        <v>0</v>
      </c>
      <c r="M573" s="84" cm="1">
        <f ca="1" t="array" ref="M573">IF($E573&lt;7,_xlfn.XLOOKUP($D573&amp;$E573,$D$155:$D$395&amp;$E$155:$E$395,M$155:M$395),"")</f>
        <v>0</v>
      </c>
      <c r="N573" s="84" t="s">
        <v>282</v>
      </c>
      <c r="O573" s="84" t="s">
        <v>282</v>
      </c>
      <c r="P573" s="84" t="s">
        <v>282</v>
      </c>
      <c r="Q573" s="84" t="s">
        <v>282</v>
      </c>
      <c r="R573" s="84" t="s">
        <v>282</v>
      </c>
      <c r="S573" s="90">
        <f ca="1" t="shared" si="138"/>
        <v>205</v>
      </c>
      <c r="T573" s="90" cm="1">
        <f ca="1" t="array" ref="T573">IFERROR(SUMPRODUCT(F573:M573,$F$154:$M$154)+IFERROR(N573*SUMPRODUCT(O573:R573,$O$154:$R$154),0),"")</f>
        <v>1240</v>
      </c>
      <c r="U573" s="94"/>
      <c r="V573" s="94" t="str">
        <f t="shared" si="139"/>
        <v/>
      </c>
      <c r="W573" t="str">
        <f ca="1" t="shared" ref="W573:W636" si="149">IF(OR(E573=8),"{"&amp;6020000+MATCH(D573,$D$400:$D$439,0)&amp;",8}","")</f>
        <v/>
      </c>
      <c r="X573" s="94" t="str">
        <f t="shared" si="140"/>
        <v>{61,160}</v>
      </c>
      <c r="Y573" s="94" t="str">
        <f t="shared" si="141"/>
        <v>{63,180}</v>
      </c>
      <c r="Z573" s="94" t="str">
        <f ca="1" t="shared" si="142"/>
        <v/>
      </c>
      <c r="AA573" s="94" t="str">
        <f ca="1" t="shared" si="143"/>
        <v/>
      </c>
      <c r="AB573" s="94" t="str">
        <f ca="1" t="shared" si="144"/>
        <v/>
      </c>
      <c r="AE573" s="94" t="str">
        <f t="shared" si="145"/>
        <v>{2,900}</v>
      </c>
      <c r="AH573" t="str">
        <f ca="1" t="shared" ref="AH573:AH636" si="150">"["&amp;_xlfn.TEXTJOIN(",",1,V573:AF573)&amp;"]"</f>
        <v>[{61,160},{63,180},{2,900}]</v>
      </c>
    </row>
    <row r="574" spans="4:34">
      <c r="D574" s="81" t="str">
        <f ca="1" t="shared" si="146"/>
        <v>卓越Ⅱ</v>
      </c>
      <c r="E574" s="84">
        <f t="shared" si="147"/>
        <v>3</v>
      </c>
      <c r="F574" s="84">
        <f>F566+5</f>
        <v>160</v>
      </c>
      <c r="G574" s="84"/>
      <c r="H574" s="84"/>
      <c r="I574" s="84">
        <f t="shared" si="148"/>
        <v>900</v>
      </c>
      <c r="J574" s="84">
        <v>5</v>
      </c>
      <c r="K574" s="84"/>
      <c r="L574" s="84" cm="1">
        <f ca="1" t="array" ref="L574">IF($E574&lt;7,_xlfn.XLOOKUP($D574&amp;$E574,$D$155:$D$395&amp;$E$155:$E$395,L$155:L$395),"")</f>
        <v>0</v>
      </c>
      <c r="M574" s="84" cm="1">
        <f ca="1" t="array" ref="M574">IF($E574&lt;7,_xlfn.XLOOKUP($D574&amp;$E574,$D$155:$D$395&amp;$E$155:$E$395,M$155:M$395),"")</f>
        <v>0</v>
      </c>
      <c r="N574" s="84" t="s">
        <v>282</v>
      </c>
      <c r="O574" s="84" t="s">
        <v>282</v>
      </c>
      <c r="P574" s="84" t="s">
        <v>282</v>
      </c>
      <c r="Q574" s="84" t="s">
        <v>282</v>
      </c>
      <c r="R574" s="84" t="s">
        <v>282</v>
      </c>
      <c r="S574" s="90">
        <f ca="1" t="shared" ref="S574:S637" si="151">_xlfn.XLOOKUP(D574,$D$111:$D$151,$E$111:$E$151)</f>
        <v>205</v>
      </c>
      <c r="T574" s="90" cm="1">
        <f ca="1" t="array" ref="T574">IFERROR(SUMPRODUCT(F574:M574,$F$154:$M$154)+IFERROR(N574*SUMPRODUCT(O574:R574,$O$154:$R$154),0),"")</f>
        <v>2060</v>
      </c>
      <c r="U574" s="94"/>
      <c r="V574" s="94" t="str">
        <f t="shared" si="139"/>
        <v/>
      </c>
      <c r="W574" t="str">
        <f ca="1" t="shared" si="149"/>
        <v/>
      </c>
      <c r="X574" s="94" t="str">
        <f t="shared" si="140"/>
        <v>{61,160}</v>
      </c>
      <c r="Y574" s="94" t="str">
        <f t="shared" si="141"/>
        <v/>
      </c>
      <c r="Z574" s="94" t="str">
        <f ca="1" t="shared" si="142"/>
        <v/>
      </c>
      <c r="AA574" s="94" t="str">
        <f t="shared" si="143"/>
        <v/>
      </c>
      <c r="AB574" s="94" t="str">
        <f t="shared" si="144"/>
        <v>{6030001,5}</v>
      </c>
      <c r="AE574" s="94" t="str">
        <f t="shared" si="145"/>
        <v>{2,900}</v>
      </c>
      <c r="AH574" t="str">
        <f ca="1" t="shared" si="150"/>
        <v>[{61,160},{6030001,5},{2,900}]</v>
      </c>
    </row>
    <row r="575" spans="4:34">
      <c r="D575" s="81" t="str">
        <f ca="1" t="shared" si="146"/>
        <v>卓越Ⅱ</v>
      </c>
      <c r="E575" s="84">
        <f t="shared" si="147"/>
        <v>4</v>
      </c>
      <c r="F575" s="84">
        <f>CEILING(F576*1.25,5)</f>
        <v>250</v>
      </c>
      <c r="G575" s="84">
        <f>CEILING(G573*1.5,5)</f>
        <v>270</v>
      </c>
      <c r="H575" s="84"/>
      <c r="I575" s="84">
        <f t="shared" si="148"/>
        <v>900</v>
      </c>
      <c r="J575" s="84" cm="1">
        <f ca="1" t="array" ref="J575">IF($E575&lt;7,_xlfn.XLOOKUP($D575&amp;$E575,$D$155:$D$395&amp;$E$155:$E$395,J$155:J$395),"")</f>
        <v>0</v>
      </c>
      <c r="K575" s="84" cm="1">
        <f ca="1" t="array" ref="K575">IF($E575&lt;7,_xlfn.XLOOKUP($D575&amp;$E575,$D$155:$D$395&amp;$E$155:$E$395,K$155:K$395),"")</f>
        <v>0</v>
      </c>
      <c r="L575" s="84" cm="1">
        <f ca="1" t="array" ref="L575">IF($E575&lt;7,_xlfn.XLOOKUP($D575&amp;$E575,$D$155:$D$395&amp;$E$155:$E$395,L$155:L$395),"")</f>
        <v>0</v>
      </c>
      <c r="M575" s="84" cm="1">
        <f ca="1" t="array" ref="M575">IF($E575&lt;7,_xlfn.XLOOKUP($D575&amp;$E575,$D$155:$D$395&amp;$E$155:$E$395,M$155:M$395),"")</f>
        <v>0</v>
      </c>
      <c r="N575" s="84" t="s">
        <v>282</v>
      </c>
      <c r="O575" s="84" t="s">
        <v>282</v>
      </c>
      <c r="P575" s="84" t="s">
        <v>282</v>
      </c>
      <c r="Q575" s="84" t="s">
        <v>282</v>
      </c>
      <c r="R575" s="84" t="s">
        <v>282</v>
      </c>
      <c r="S575" s="90">
        <f ca="1" t="shared" si="151"/>
        <v>205</v>
      </c>
      <c r="T575" s="90" cm="1">
        <f ca="1" t="array" ref="T575">IFERROR(SUMPRODUCT(F575:M575,$F$154:$M$154)+IFERROR(N575*SUMPRODUCT(O575:R575,$O$154:$R$154),0),"")</f>
        <v>1420</v>
      </c>
      <c r="U575" s="94"/>
      <c r="V575" s="94" t="str">
        <f t="shared" si="139"/>
        <v/>
      </c>
      <c r="W575" t="str">
        <f ca="1" t="shared" si="149"/>
        <v/>
      </c>
      <c r="X575" s="94" t="str">
        <f t="shared" si="140"/>
        <v>{61,250}</v>
      </c>
      <c r="Y575" s="94" t="str">
        <f t="shared" si="141"/>
        <v>{63,270}</v>
      </c>
      <c r="Z575" s="94" t="str">
        <f ca="1" t="shared" si="142"/>
        <v/>
      </c>
      <c r="AA575" s="94" t="str">
        <f ca="1" t="shared" si="143"/>
        <v/>
      </c>
      <c r="AB575" s="94" t="str">
        <f ca="1" t="shared" si="144"/>
        <v/>
      </c>
      <c r="AE575" s="94" t="str">
        <f t="shared" si="145"/>
        <v>{2,900}</v>
      </c>
      <c r="AH575" t="str">
        <f ca="1" t="shared" si="150"/>
        <v>[{61,250},{63,270},{2,900}]</v>
      </c>
    </row>
    <row r="576" spans="4:34">
      <c r="D576" s="81" t="str">
        <f ca="1" t="shared" si="146"/>
        <v>卓越Ⅱ</v>
      </c>
      <c r="E576" s="84">
        <f t="shared" si="147"/>
        <v>5</v>
      </c>
      <c r="F576" s="84">
        <f>CEILING(F572*1.25,5)</f>
        <v>200</v>
      </c>
      <c r="G576" s="84"/>
      <c r="H576" s="84"/>
      <c r="I576" s="84">
        <f t="shared" si="148"/>
        <v>900</v>
      </c>
      <c r="J576" s="84" cm="1">
        <f ca="1" t="array" ref="J576">IF($E576&lt;7,_xlfn.XLOOKUP($D576&amp;$E576,$D$155:$D$395&amp;$E$155:$E$395,J$155:J$395),"")</f>
        <v>0</v>
      </c>
      <c r="K576" s="84">
        <v>6</v>
      </c>
      <c r="L576" s="84"/>
      <c r="M576" s="84" cm="1">
        <f ca="1" t="array" ref="M576">IF($E576&lt;7,_xlfn.XLOOKUP($D576&amp;$E576,$D$155:$D$395&amp;$E$155:$E$395,M$155:M$395),"")</f>
        <v>0</v>
      </c>
      <c r="N576" s="84" t="s">
        <v>282</v>
      </c>
      <c r="O576" s="84" t="s">
        <v>282</v>
      </c>
      <c r="P576" s="84" t="s">
        <v>282</v>
      </c>
      <c r="Q576" s="84" t="s">
        <v>282</v>
      </c>
      <c r="R576" s="84" t="s">
        <v>282</v>
      </c>
      <c r="S576" s="90">
        <f ca="1" t="shared" si="151"/>
        <v>205</v>
      </c>
      <c r="T576" s="90" cm="1">
        <f ca="1" t="array" ref="T576">IFERROR(SUMPRODUCT(F576:M576,$F$154:$M$154)+IFERROR(N576*SUMPRODUCT(O576:R576,$O$154:$R$154),0),"")</f>
        <v>3500</v>
      </c>
      <c r="U576" s="94"/>
      <c r="V576" s="94" t="str">
        <f t="shared" si="139"/>
        <v/>
      </c>
      <c r="W576" t="str">
        <f ca="1" t="shared" si="149"/>
        <v/>
      </c>
      <c r="X576" s="94" t="str">
        <f t="shared" si="140"/>
        <v>{61,200}</v>
      </c>
      <c r="Y576" s="94" t="str">
        <f t="shared" si="141"/>
        <v/>
      </c>
      <c r="Z576" s="94" t="str">
        <f t="shared" si="142"/>
        <v/>
      </c>
      <c r="AA576" s="94" t="str">
        <f t="shared" si="143"/>
        <v>{6030002,6}</v>
      </c>
      <c r="AB576" s="94" t="str">
        <f ca="1" t="shared" si="144"/>
        <v/>
      </c>
      <c r="AE576" s="94" t="str">
        <f t="shared" si="145"/>
        <v>{2,900}</v>
      </c>
      <c r="AH576" t="str">
        <f ca="1" t="shared" si="150"/>
        <v>[{61,200},{6030002,6},{2,900}]</v>
      </c>
    </row>
    <row r="577" spans="4:34">
      <c r="D577" s="81" t="str">
        <f ca="1" t="shared" si="146"/>
        <v>卓越Ⅱ</v>
      </c>
      <c r="E577" s="84">
        <f t="shared" si="147"/>
        <v>6</v>
      </c>
      <c r="F577" s="84">
        <f>CEILING(F573*1.25,5)</f>
        <v>200</v>
      </c>
      <c r="G577" s="84">
        <f>G575</f>
        <v>270</v>
      </c>
      <c r="H577" s="84"/>
      <c r="I577" s="84">
        <f t="shared" si="148"/>
        <v>900</v>
      </c>
      <c r="J577" s="84" cm="1">
        <f ca="1" t="array" ref="J577">IF($E577&lt;7,_xlfn.XLOOKUP($D577&amp;$E577,$D$155:$D$395&amp;$E$155:$E$395,J$155:J$395),"")</f>
        <v>0</v>
      </c>
      <c r="K577" s="84" cm="1">
        <f ca="1" t="array" ref="K577">IF($E577&lt;7,_xlfn.XLOOKUP($D577&amp;$E577,$D$155:$D$395&amp;$E$155:$E$395,K$155:K$395),"")</f>
        <v>0</v>
      </c>
      <c r="L577" s="84" cm="1">
        <f ca="1" t="array" ref="L577">IF($E577&lt;7,_xlfn.XLOOKUP($D577&amp;$E577,$D$155:$D$395&amp;$E$155:$E$395,L$155:L$395),"")</f>
        <v>0</v>
      </c>
      <c r="M577" s="84" cm="1">
        <f ca="1" t="array" ref="M577">IF($E577&lt;7,_xlfn.XLOOKUP($D577&amp;$E577,$D$155:$D$395&amp;$E$155:$E$395,M$155:M$395),"")</f>
        <v>0</v>
      </c>
      <c r="N577" s="84" t="s">
        <v>282</v>
      </c>
      <c r="O577" s="84" t="s">
        <v>282</v>
      </c>
      <c r="P577" s="84" t="s">
        <v>282</v>
      </c>
      <c r="Q577" s="84" t="s">
        <v>282</v>
      </c>
      <c r="R577" s="84" t="s">
        <v>282</v>
      </c>
      <c r="S577" s="90">
        <f ca="1" t="shared" si="151"/>
        <v>205</v>
      </c>
      <c r="T577" s="90" cm="1">
        <f ca="1" t="array" ref="T577">IFERROR(SUMPRODUCT(F577:M577,$F$154:$M$154)+IFERROR(N577*SUMPRODUCT(O577:R577,$O$154:$R$154),0),"")</f>
        <v>1370</v>
      </c>
      <c r="U577" s="94"/>
      <c r="V577" s="94" t="str">
        <f t="shared" si="139"/>
        <v/>
      </c>
      <c r="W577" t="str">
        <f ca="1" t="shared" si="149"/>
        <v/>
      </c>
      <c r="X577" s="94" t="str">
        <f t="shared" si="140"/>
        <v>{61,200}</v>
      </c>
      <c r="Y577" s="94" t="str">
        <f t="shared" si="141"/>
        <v>{63,270}</v>
      </c>
      <c r="Z577" s="94" t="str">
        <f ca="1" t="shared" si="142"/>
        <v/>
      </c>
      <c r="AA577" s="94" t="str">
        <f ca="1" t="shared" si="143"/>
        <v/>
      </c>
      <c r="AB577" s="94" t="str">
        <f ca="1" t="shared" si="144"/>
        <v/>
      </c>
      <c r="AE577" s="94" t="str">
        <f t="shared" si="145"/>
        <v>{2,900}</v>
      </c>
      <c r="AH577" t="str">
        <f ca="1" t="shared" si="150"/>
        <v>[{61,200},{63,270},{2,900}]</v>
      </c>
    </row>
    <row r="578" spans="4:34">
      <c r="D578" s="81" t="str">
        <f ca="1" t="shared" si="146"/>
        <v>卓越Ⅱ</v>
      </c>
      <c r="E578" s="84">
        <f t="shared" si="147"/>
        <v>7</v>
      </c>
      <c r="F578" s="84">
        <f>CEILING(F574*1.25,5)</f>
        <v>200</v>
      </c>
      <c r="G578" s="84"/>
      <c r="H578" s="84"/>
      <c r="I578" s="84">
        <f t="shared" si="148"/>
        <v>900</v>
      </c>
      <c r="J578" s="84" t="str" cm="1">
        <f ca="1" t="array" ref="J578">IF($E578&lt;7,_xlfn.XLOOKUP($D578&amp;$E578,$D$155:$D$395&amp;$E$155:$E$395,J$155:J$395),"")</f>
        <v/>
      </c>
      <c r="K578" s="84" t="str" cm="1">
        <f ca="1" t="array" ref="K578">IF($E578&lt;7,_xlfn.XLOOKUP($D578&amp;$E578,$D$155:$D$395&amp;$E$155:$E$395,K$155:K$395),"")</f>
        <v/>
      </c>
      <c r="L578" s="84">
        <v>5</v>
      </c>
      <c r="M578" s="84" t="str" cm="1">
        <f ca="1" t="array" ref="M578">IF($E578&lt;7,_xlfn.XLOOKUP($D578&amp;$E578,$D$155:$D$395&amp;$E$155:$E$395,M$155:M$395),"")</f>
        <v/>
      </c>
      <c r="N578" s="84" t="s">
        <v>282</v>
      </c>
      <c r="O578" s="84" t="s">
        <v>282</v>
      </c>
      <c r="P578" s="84" t="s">
        <v>282</v>
      </c>
      <c r="Q578" s="84" t="s">
        <v>282</v>
      </c>
      <c r="R578" s="84" t="s">
        <v>282</v>
      </c>
      <c r="S578" s="90">
        <f ca="1" t="shared" si="151"/>
        <v>205</v>
      </c>
      <c r="T578" s="90" cm="1">
        <f ca="1" t="array" ref="T578">IFERROR(SUMPRODUCT(F578:M578,$F$154:$M$154)+IFERROR(N578*SUMPRODUCT(O578:R578,$O$154:$R$154),0),"")</f>
        <v>5100</v>
      </c>
      <c r="U578" s="94"/>
      <c r="V578" s="94" t="str">
        <f t="shared" si="139"/>
        <v/>
      </c>
      <c r="W578" t="str">
        <f ca="1" t="shared" si="149"/>
        <v/>
      </c>
      <c r="X578" s="94" t="str">
        <f t="shared" si="140"/>
        <v>{61,200}</v>
      </c>
      <c r="Y578" s="94" t="str">
        <f t="shared" si="141"/>
        <v/>
      </c>
      <c r="Z578" s="94" t="str">
        <f t="shared" si="142"/>
        <v>{6030003,5}</v>
      </c>
      <c r="AA578" s="94" t="str">
        <f ca="1" t="shared" si="143"/>
        <v/>
      </c>
      <c r="AB578" s="94" t="str">
        <f ca="1" t="shared" si="144"/>
        <v/>
      </c>
      <c r="AE578" s="94" t="str">
        <f t="shared" si="145"/>
        <v>{2,900}</v>
      </c>
      <c r="AH578" t="str">
        <f ca="1" t="shared" si="150"/>
        <v>[{61,200},{6030003,5},{2,900}]</v>
      </c>
    </row>
    <row r="579" spans="4:34">
      <c r="D579" s="81" t="str">
        <f ca="1" t="shared" si="146"/>
        <v>卓越Ⅱ</v>
      </c>
      <c r="E579" s="84">
        <f t="shared" si="147"/>
        <v>8</v>
      </c>
      <c r="F579" s="84">
        <f>CEILING(F578*1.5,5)</f>
        <v>300</v>
      </c>
      <c r="G579" s="84">
        <f>CEILING(G577*1.5,5)</f>
        <v>405</v>
      </c>
      <c r="H579" s="84">
        <f>1</f>
        <v>1</v>
      </c>
      <c r="I579" s="84">
        <f t="shared" si="148"/>
        <v>900</v>
      </c>
      <c r="J579" s="84" t="str" cm="1">
        <f ca="1" t="array" ref="J579">IF($E579&lt;7,_xlfn.XLOOKUP($D579&amp;$E579,$D$155:$D$395&amp;$E$155:$E$395,J$155:J$395),"")</f>
        <v/>
      </c>
      <c r="K579" s="84" t="str" cm="1">
        <f ca="1" t="array" ref="K579">IF($E579&lt;7,_xlfn.XLOOKUP($D579&amp;$E579,$D$155:$D$395&amp;$E$155:$E$395,K$155:K$395),"")</f>
        <v/>
      </c>
      <c r="L579" s="84" t="str" cm="1">
        <f ca="1" t="array" ref="L579">IF($E579&lt;7,_xlfn.XLOOKUP($D579&amp;$E579,$D$155:$D$395&amp;$E$155:$E$395,L$155:L$395),"")</f>
        <v/>
      </c>
      <c r="M579" s="84" t="str" cm="1">
        <f ca="1" t="array" ref="M579">IF($E579&lt;7,_xlfn.XLOOKUP($D579&amp;$E579,$D$155:$D$395&amp;$E$155:$E$395,M$155:M$395),"")</f>
        <v/>
      </c>
      <c r="N579" s="84">
        <v>8</v>
      </c>
      <c r="O579" s="84">
        <v>0</v>
      </c>
      <c r="P579" s="84">
        <v>0.58</v>
      </c>
      <c r="Q579" s="84">
        <v>0.36</v>
      </c>
      <c r="R579" s="84">
        <v>0.06</v>
      </c>
      <c r="S579" s="90">
        <f ca="1" t="shared" si="151"/>
        <v>205</v>
      </c>
      <c r="T579" s="90" cm="1">
        <f ca="1" t="array" ref="T579">IFERROR(SUMPRODUCT(F579:M579,$F$154:$M$154)+IFERROR(N579*SUMPRODUCT(O579:R579,$O$154:$R$154),0),"")</f>
        <v>6683</v>
      </c>
      <c r="U579" s="94"/>
      <c r="V579" s="94" t="str">
        <f t="shared" ref="V579:V642" si="152">IF(OR(H579="",H579=0),"","{"&amp;H$441&amp;","&amp;H579&amp;"}")</f>
        <v>{62,1}</v>
      </c>
      <c r="W579" t="str">
        <f ca="1" t="shared" si="149"/>
        <v>{6020017,8}</v>
      </c>
      <c r="X579" s="94" t="str">
        <f t="shared" ref="X579:X642" si="153">IF(OR(F579="",F579=0),"","{"&amp;F$441&amp;","&amp;F579&amp;"}")</f>
        <v>{61,300}</v>
      </c>
      <c r="Y579" s="94" t="str">
        <f t="shared" ref="Y579:Y642" si="154">IF(OR(G579="",G579=0),"","{"&amp;G$441&amp;","&amp;G579&amp;"}")</f>
        <v>{63,405}</v>
      </c>
      <c r="Z579" s="94" t="str">
        <f ca="1" t="shared" ref="Z579:Z642" si="155">IF(OR(L579="",L579=0),"","{"&amp;L$441&amp;","&amp;L579&amp;"}")</f>
        <v/>
      </c>
      <c r="AA579" s="94" t="str">
        <f ca="1" t="shared" ref="AA579:AA642" si="156">IF(OR(K579="",K579=0),"","{"&amp;K$441&amp;","&amp;K579&amp;"}")</f>
        <v/>
      </c>
      <c r="AB579" s="94" t="str">
        <f ca="1" t="shared" ref="AB579:AB642" si="157">IF(OR(J579="",J579=0),"","{"&amp;J$441&amp;","&amp;J579&amp;"}")</f>
        <v/>
      </c>
      <c r="AE579" s="94" t="str">
        <f t="shared" ref="AE579:AE642" si="158">IF(OR(I579="",I579=0),"","{"&amp;I$441&amp;","&amp;I579&amp;"}")</f>
        <v>{2,900}</v>
      </c>
      <c r="AH579" t="str">
        <f ca="1" t="shared" si="150"/>
        <v>[{62,1},{6020017,8},{61,300},{63,405},{2,900}]</v>
      </c>
    </row>
    <row r="580" spans="4:34">
      <c r="D580" s="81" t="str">
        <f ca="1" t="shared" si="146"/>
        <v>卓越Ⅲ</v>
      </c>
      <c r="E580" s="84">
        <f t="shared" si="147"/>
        <v>1</v>
      </c>
      <c r="F580" s="84">
        <f>F572+5</f>
        <v>165</v>
      </c>
      <c r="G580" s="84"/>
      <c r="H580" s="84"/>
      <c r="I580" s="84">
        <f t="shared" si="148"/>
        <v>925</v>
      </c>
      <c r="J580" s="84">
        <v>4</v>
      </c>
      <c r="K580" s="84" cm="1">
        <f ca="1" t="array" ref="K580">IF($E580&lt;7,_xlfn.XLOOKUP($D580&amp;$E580,$D$155:$D$395&amp;$E$155:$E$395,K$155:K$395),"")</f>
        <v>0</v>
      </c>
      <c r="L580" s="84" cm="1">
        <f ca="1" t="array" ref="L580">IF($E580&lt;7,_xlfn.XLOOKUP($D580&amp;$E580,$D$155:$D$395&amp;$E$155:$E$395,L$155:L$395),"")</f>
        <v>0</v>
      </c>
      <c r="M580" s="84" cm="1">
        <f ca="1" t="array" ref="M580">IF($E580&lt;7,_xlfn.XLOOKUP($D580&amp;$E580,$D$155:$D$395&amp;$E$155:$E$395,M$155:M$395),"")</f>
        <v>0</v>
      </c>
      <c r="N580" s="84" t="s">
        <v>282</v>
      </c>
      <c r="O580" s="84" t="s">
        <v>282</v>
      </c>
      <c r="P580" s="84" t="s">
        <v>282</v>
      </c>
      <c r="Q580" s="84" t="s">
        <v>282</v>
      </c>
      <c r="R580" s="84" t="s">
        <v>282</v>
      </c>
      <c r="S580" s="90">
        <f ca="1" t="shared" si="151"/>
        <v>215</v>
      </c>
      <c r="T580" s="90" cm="1">
        <f ca="1" t="array" ref="T580">IFERROR(SUMPRODUCT(F580:M580,$F$154:$M$154)+IFERROR(N580*SUMPRODUCT(O580:R580,$O$154:$R$154),0),"")</f>
        <v>1890</v>
      </c>
      <c r="U580" s="94"/>
      <c r="V580" s="94" t="str">
        <f t="shared" si="152"/>
        <v/>
      </c>
      <c r="W580" t="str">
        <f ca="1" t="shared" si="149"/>
        <v/>
      </c>
      <c r="X580" s="94" t="str">
        <f t="shared" si="153"/>
        <v>{61,165}</v>
      </c>
      <c r="Y580" s="94" t="str">
        <f t="shared" si="154"/>
        <v/>
      </c>
      <c r="Z580" s="94" t="str">
        <f ca="1" t="shared" si="155"/>
        <v/>
      </c>
      <c r="AA580" s="94" t="str">
        <f ca="1" t="shared" si="156"/>
        <v/>
      </c>
      <c r="AB580" s="94" t="str">
        <f t="shared" si="157"/>
        <v>{6030001,4}</v>
      </c>
      <c r="AE580" s="94" t="str">
        <f t="shared" si="158"/>
        <v>{2,925}</v>
      </c>
      <c r="AH580" t="str">
        <f ca="1" t="shared" si="150"/>
        <v>[{61,165},{6030001,4},{2,925}]</v>
      </c>
    </row>
    <row r="581" spans="4:34">
      <c r="D581" s="81" t="str">
        <f ca="1" t="shared" ref="D581:D644" si="159">IF(E580=8,OFFSET($D$111,MATCH(D580,$D$112:$D$151,0)+1,0),D580)</f>
        <v>卓越Ⅲ</v>
      </c>
      <c r="E581" s="84">
        <f t="shared" ref="E581:E644" si="160">IF(E580=8,1,E580+1)</f>
        <v>2</v>
      </c>
      <c r="F581" s="84">
        <f>F573+5</f>
        <v>165</v>
      </c>
      <c r="G581" s="84">
        <f>G573+5</f>
        <v>185</v>
      </c>
      <c r="H581" s="84"/>
      <c r="I581" s="84">
        <f t="shared" ref="I581:I644" si="161">I573+25</f>
        <v>925</v>
      </c>
      <c r="J581" s="84" cm="1">
        <f ca="1" t="array" ref="J581">IF($E581&lt;7,_xlfn.XLOOKUP($D581&amp;$E581,$D$155:$D$395&amp;$E$155:$E$395,J$155:J$395),"")</f>
        <v>0</v>
      </c>
      <c r="K581" s="84" cm="1">
        <f ca="1" t="array" ref="K581">IF($E581&lt;7,_xlfn.XLOOKUP($D581&amp;$E581,$D$155:$D$395&amp;$E$155:$E$395,K$155:K$395),"")</f>
        <v>0</v>
      </c>
      <c r="L581" s="84" cm="1">
        <f ca="1" t="array" ref="L581">IF($E581&lt;7,_xlfn.XLOOKUP($D581&amp;$E581,$D$155:$D$395&amp;$E$155:$E$395,L$155:L$395),"")</f>
        <v>0</v>
      </c>
      <c r="M581" s="84" cm="1">
        <f ca="1" t="array" ref="M581">IF($E581&lt;7,_xlfn.XLOOKUP($D581&amp;$E581,$D$155:$D$395&amp;$E$155:$E$395,M$155:M$395),"")</f>
        <v>0</v>
      </c>
      <c r="N581" s="84" t="s">
        <v>282</v>
      </c>
      <c r="O581" s="84" t="s">
        <v>282</v>
      </c>
      <c r="P581" s="84" t="s">
        <v>282</v>
      </c>
      <c r="Q581" s="84" t="s">
        <v>282</v>
      </c>
      <c r="R581" s="84" t="s">
        <v>282</v>
      </c>
      <c r="S581" s="90">
        <f ca="1" t="shared" si="151"/>
        <v>215</v>
      </c>
      <c r="T581" s="90" cm="1">
        <f ca="1" t="array" ref="T581">IFERROR(SUMPRODUCT(F581:M581,$F$154:$M$154)+IFERROR(N581*SUMPRODUCT(O581:R581,$O$154:$R$154),0),"")</f>
        <v>1275</v>
      </c>
      <c r="U581" s="94"/>
      <c r="V581" s="94" t="str">
        <f t="shared" si="152"/>
        <v/>
      </c>
      <c r="W581" t="str">
        <f ca="1" t="shared" si="149"/>
        <v/>
      </c>
      <c r="X581" s="94" t="str">
        <f t="shared" si="153"/>
        <v>{61,165}</v>
      </c>
      <c r="Y581" s="94" t="str">
        <f t="shared" si="154"/>
        <v>{63,185}</v>
      </c>
      <c r="Z581" s="94" t="str">
        <f ca="1" t="shared" si="155"/>
        <v/>
      </c>
      <c r="AA581" s="94" t="str">
        <f ca="1" t="shared" si="156"/>
        <v/>
      </c>
      <c r="AB581" s="94" t="str">
        <f ca="1" t="shared" si="157"/>
        <v/>
      </c>
      <c r="AE581" s="94" t="str">
        <f t="shared" si="158"/>
        <v>{2,925}</v>
      </c>
      <c r="AH581" t="str">
        <f ca="1" t="shared" si="150"/>
        <v>[{61,165},{63,185},{2,925}]</v>
      </c>
    </row>
    <row r="582" spans="4:34">
      <c r="D582" s="81" t="str">
        <f ca="1" t="shared" si="159"/>
        <v>卓越Ⅲ</v>
      </c>
      <c r="E582" s="84">
        <f t="shared" si="160"/>
        <v>3</v>
      </c>
      <c r="F582" s="84">
        <f>F574+5</f>
        <v>165</v>
      </c>
      <c r="G582" s="84"/>
      <c r="H582" s="84"/>
      <c r="I582" s="84">
        <f t="shared" si="161"/>
        <v>925</v>
      </c>
      <c r="J582" s="84">
        <v>5</v>
      </c>
      <c r="K582" s="84"/>
      <c r="L582" s="84" cm="1">
        <f ca="1" t="array" ref="L582">IF($E582&lt;7,_xlfn.XLOOKUP($D582&amp;$E582,$D$155:$D$395&amp;$E$155:$E$395,L$155:L$395),"")</f>
        <v>0</v>
      </c>
      <c r="M582" s="84" cm="1">
        <f ca="1" t="array" ref="M582">IF($E582&lt;7,_xlfn.XLOOKUP($D582&amp;$E582,$D$155:$D$395&amp;$E$155:$E$395,M$155:M$395),"")</f>
        <v>0</v>
      </c>
      <c r="N582" s="84" t="s">
        <v>282</v>
      </c>
      <c r="O582" s="84" t="s">
        <v>282</v>
      </c>
      <c r="P582" s="84" t="s">
        <v>282</v>
      </c>
      <c r="Q582" s="84" t="s">
        <v>282</v>
      </c>
      <c r="R582" s="84" t="s">
        <v>282</v>
      </c>
      <c r="S582" s="90">
        <f ca="1" t="shared" si="151"/>
        <v>215</v>
      </c>
      <c r="T582" s="90" cm="1">
        <f ca="1" t="array" ref="T582">IFERROR(SUMPRODUCT(F582:M582,$F$154:$M$154)+IFERROR(N582*SUMPRODUCT(O582:R582,$O$154:$R$154),0),"")</f>
        <v>2090</v>
      </c>
      <c r="U582" s="94"/>
      <c r="V582" s="94" t="str">
        <f t="shared" si="152"/>
        <v/>
      </c>
      <c r="W582" t="str">
        <f ca="1" t="shared" si="149"/>
        <v/>
      </c>
      <c r="X582" s="94" t="str">
        <f t="shared" si="153"/>
        <v>{61,165}</v>
      </c>
      <c r="Y582" s="94" t="str">
        <f t="shared" si="154"/>
        <v/>
      </c>
      <c r="Z582" s="94" t="str">
        <f ca="1" t="shared" si="155"/>
        <v/>
      </c>
      <c r="AA582" s="94" t="str">
        <f t="shared" si="156"/>
        <v/>
      </c>
      <c r="AB582" s="94" t="str">
        <f t="shared" si="157"/>
        <v>{6030001,5}</v>
      </c>
      <c r="AE582" s="94" t="str">
        <f t="shared" si="158"/>
        <v>{2,925}</v>
      </c>
      <c r="AH582" t="str">
        <f ca="1" t="shared" si="150"/>
        <v>[{61,165},{6030001,5},{2,925}]</v>
      </c>
    </row>
    <row r="583" spans="4:34">
      <c r="D583" s="81" t="str">
        <f ca="1" t="shared" si="159"/>
        <v>卓越Ⅲ</v>
      </c>
      <c r="E583" s="84">
        <f t="shared" si="160"/>
        <v>4</v>
      </c>
      <c r="F583" s="84">
        <f>CEILING(F584*1.25,5)</f>
        <v>265</v>
      </c>
      <c r="G583" s="84">
        <f>CEILING(G581*1.5,5)</f>
        <v>280</v>
      </c>
      <c r="H583" s="84"/>
      <c r="I583" s="84">
        <f t="shared" si="161"/>
        <v>925</v>
      </c>
      <c r="J583" s="84" cm="1">
        <f ca="1" t="array" ref="J583">IF($E583&lt;7,_xlfn.XLOOKUP($D583&amp;$E583,$D$155:$D$395&amp;$E$155:$E$395,J$155:J$395),"")</f>
        <v>0</v>
      </c>
      <c r="K583" s="84" cm="1">
        <f ca="1" t="array" ref="K583">IF($E583&lt;7,_xlfn.XLOOKUP($D583&amp;$E583,$D$155:$D$395&amp;$E$155:$E$395,K$155:K$395),"")</f>
        <v>0</v>
      </c>
      <c r="L583" s="84" cm="1">
        <f ca="1" t="array" ref="L583">IF($E583&lt;7,_xlfn.XLOOKUP($D583&amp;$E583,$D$155:$D$395&amp;$E$155:$E$395,L$155:L$395),"")</f>
        <v>0</v>
      </c>
      <c r="M583" s="84" cm="1">
        <f ca="1" t="array" ref="M583">IF($E583&lt;7,_xlfn.XLOOKUP($D583&amp;$E583,$D$155:$D$395&amp;$E$155:$E$395,M$155:M$395),"")</f>
        <v>0</v>
      </c>
      <c r="N583" s="84" t="s">
        <v>282</v>
      </c>
      <c r="O583" s="84" t="s">
        <v>282</v>
      </c>
      <c r="P583" s="84" t="s">
        <v>282</v>
      </c>
      <c r="Q583" s="84" t="s">
        <v>282</v>
      </c>
      <c r="R583" s="84" t="s">
        <v>282</v>
      </c>
      <c r="S583" s="90">
        <f ca="1" t="shared" si="151"/>
        <v>215</v>
      </c>
      <c r="T583" s="90" cm="1">
        <f ca="1" t="array" ref="T583">IFERROR(SUMPRODUCT(F583:M583,$F$154:$M$154)+IFERROR(N583*SUMPRODUCT(O583:R583,$O$154:$R$154),0),"")</f>
        <v>1470</v>
      </c>
      <c r="U583" s="94"/>
      <c r="V583" s="94" t="str">
        <f t="shared" si="152"/>
        <v/>
      </c>
      <c r="W583" t="str">
        <f ca="1" t="shared" si="149"/>
        <v/>
      </c>
      <c r="X583" s="94" t="str">
        <f t="shared" si="153"/>
        <v>{61,265}</v>
      </c>
      <c r="Y583" s="94" t="str">
        <f t="shared" si="154"/>
        <v>{63,280}</v>
      </c>
      <c r="Z583" s="94" t="str">
        <f ca="1" t="shared" si="155"/>
        <v/>
      </c>
      <c r="AA583" s="94" t="str">
        <f ca="1" t="shared" si="156"/>
        <v/>
      </c>
      <c r="AB583" s="94" t="str">
        <f ca="1" t="shared" si="157"/>
        <v/>
      </c>
      <c r="AE583" s="94" t="str">
        <f t="shared" si="158"/>
        <v>{2,925}</v>
      </c>
      <c r="AH583" t="str">
        <f ca="1" t="shared" si="150"/>
        <v>[{61,265},{63,280},{2,925}]</v>
      </c>
    </row>
    <row r="584" spans="4:34">
      <c r="D584" s="81" t="str">
        <f ca="1" t="shared" si="159"/>
        <v>卓越Ⅲ</v>
      </c>
      <c r="E584" s="84">
        <f t="shared" si="160"/>
        <v>5</v>
      </c>
      <c r="F584" s="84">
        <f>CEILING(F580*1.25,5)</f>
        <v>210</v>
      </c>
      <c r="G584" s="84"/>
      <c r="H584" s="84"/>
      <c r="I584" s="84">
        <f t="shared" si="161"/>
        <v>925</v>
      </c>
      <c r="J584" s="84" cm="1">
        <f ca="1" t="array" ref="J584">IF($E584&lt;7,_xlfn.XLOOKUP($D584&amp;$E584,$D$155:$D$395&amp;$E$155:$E$395,J$155:J$395),"")</f>
        <v>0</v>
      </c>
      <c r="K584" s="84">
        <v>6</v>
      </c>
      <c r="L584" s="84"/>
      <c r="M584" s="84" cm="1">
        <f ca="1" t="array" ref="M584">IF($E584&lt;7,_xlfn.XLOOKUP($D584&amp;$E584,$D$155:$D$395&amp;$E$155:$E$395,M$155:M$395),"")</f>
        <v>0</v>
      </c>
      <c r="N584" s="84" t="s">
        <v>282</v>
      </c>
      <c r="O584" s="84" t="s">
        <v>282</v>
      </c>
      <c r="P584" s="84" t="s">
        <v>282</v>
      </c>
      <c r="Q584" s="84" t="s">
        <v>282</v>
      </c>
      <c r="R584" s="84" t="s">
        <v>282</v>
      </c>
      <c r="S584" s="90">
        <f ca="1" t="shared" si="151"/>
        <v>215</v>
      </c>
      <c r="T584" s="90" cm="1">
        <f ca="1" t="array" ref="T584">IFERROR(SUMPRODUCT(F584:M584,$F$154:$M$154)+IFERROR(N584*SUMPRODUCT(O584:R584,$O$154:$R$154),0),"")</f>
        <v>3535</v>
      </c>
      <c r="U584" s="94"/>
      <c r="V584" s="94" t="str">
        <f t="shared" si="152"/>
        <v/>
      </c>
      <c r="W584" t="str">
        <f ca="1" t="shared" si="149"/>
        <v/>
      </c>
      <c r="X584" s="94" t="str">
        <f t="shared" si="153"/>
        <v>{61,210}</v>
      </c>
      <c r="Y584" s="94" t="str">
        <f t="shared" si="154"/>
        <v/>
      </c>
      <c r="Z584" s="94" t="str">
        <f t="shared" si="155"/>
        <v/>
      </c>
      <c r="AA584" s="94" t="str">
        <f t="shared" si="156"/>
        <v>{6030002,6}</v>
      </c>
      <c r="AB584" s="94" t="str">
        <f ca="1" t="shared" si="157"/>
        <v/>
      </c>
      <c r="AE584" s="94" t="str">
        <f t="shared" si="158"/>
        <v>{2,925}</v>
      </c>
      <c r="AH584" t="str">
        <f ca="1" t="shared" si="150"/>
        <v>[{61,210},{6030002,6},{2,925}]</v>
      </c>
    </row>
    <row r="585" spans="4:34">
      <c r="D585" s="81" t="str">
        <f ca="1" t="shared" si="159"/>
        <v>卓越Ⅲ</v>
      </c>
      <c r="E585" s="84">
        <f t="shared" si="160"/>
        <v>6</v>
      </c>
      <c r="F585" s="84">
        <f>CEILING(F581*1.25,5)</f>
        <v>210</v>
      </c>
      <c r="G585" s="84">
        <f>G583</f>
        <v>280</v>
      </c>
      <c r="H585" s="84"/>
      <c r="I585" s="84">
        <f t="shared" si="161"/>
        <v>925</v>
      </c>
      <c r="J585" s="84" cm="1">
        <f ca="1" t="array" ref="J585">IF($E585&lt;7,_xlfn.XLOOKUP($D585&amp;$E585,$D$155:$D$395&amp;$E$155:$E$395,J$155:J$395),"")</f>
        <v>0</v>
      </c>
      <c r="K585" s="84" cm="1">
        <f ca="1" t="array" ref="K585">IF($E585&lt;7,_xlfn.XLOOKUP($D585&amp;$E585,$D$155:$D$395&amp;$E$155:$E$395,K$155:K$395),"")</f>
        <v>0</v>
      </c>
      <c r="L585" s="84" cm="1">
        <f ca="1" t="array" ref="L585">IF($E585&lt;7,_xlfn.XLOOKUP($D585&amp;$E585,$D$155:$D$395&amp;$E$155:$E$395,L$155:L$395),"")</f>
        <v>0</v>
      </c>
      <c r="M585" s="84" cm="1">
        <f ca="1" t="array" ref="M585">IF($E585&lt;7,_xlfn.XLOOKUP($D585&amp;$E585,$D$155:$D$395&amp;$E$155:$E$395,M$155:M$395),"")</f>
        <v>0</v>
      </c>
      <c r="N585" s="84" t="s">
        <v>282</v>
      </c>
      <c r="O585" s="84" t="s">
        <v>282</v>
      </c>
      <c r="P585" s="84" t="s">
        <v>282</v>
      </c>
      <c r="Q585" s="84" t="s">
        <v>282</v>
      </c>
      <c r="R585" s="84" t="s">
        <v>282</v>
      </c>
      <c r="S585" s="90">
        <f ca="1" t="shared" si="151"/>
        <v>215</v>
      </c>
      <c r="T585" s="90" cm="1">
        <f ca="1" t="array" ref="T585">IFERROR(SUMPRODUCT(F585:M585,$F$154:$M$154)+IFERROR(N585*SUMPRODUCT(O585:R585,$O$154:$R$154),0),"")</f>
        <v>1415</v>
      </c>
      <c r="U585" s="94"/>
      <c r="V585" s="94" t="str">
        <f t="shared" si="152"/>
        <v/>
      </c>
      <c r="W585" t="str">
        <f ca="1" t="shared" si="149"/>
        <v/>
      </c>
      <c r="X585" s="94" t="str">
        <f t="shared" si="153"/>
        <v>{61,210}</v>
      </c>
      <c r="Y585" s="94" t="str">
        <f t="shared" si="154"/>
        <v>{63,280}</v>
      </c>
      <c r="Z585" s="94" t="str">
        <f ca="1" t="shared" si="155"/>
        <v/>
      </c>
      <c r="AA585" s="94" t="str">
        <f ca="1" t="shared" si="156"/>
        <v/>
      </c>
      <c r="AB585" s="94" t="str">
        <f ca="1" t="shared" si="157"/>
        <v/>
      </c>
      <c r="AE585" s="94" t="str">
        <f t="shared" si="158"/>
        <v>{2,925}</v>
      </c>
      <c r="AH585" t="str">
        <f ca="1" t="shared" si="150"/>
        <v>[{61,210},{63,280},{2,925}]</v>
      </c>
    </row>
    <row r="586" spans="4:34">
      <c r="D586" s="81" t="str">
        <f ca="1" t="shared" si="159"/>
        <v>卓越Ⅲ</v>
      </c>
      <c r="E586" s="84">
        <f t="shared" si="160"/>
        <v>7</v>
      </c>
      <c r="F586" s="84">
        <f>CEILING(F582*1.25,5)</f>
        <v>210</v>
      </c>
      <c r="G586" s="84"/>
      <c r="H586" s="84"/>
      <c r="I586" s="84">
        <f t="shared" si="161"/>
        <v>925</v>
      </c>
      <c r="J586" s="84" t="str" cm="1">
        <f ca="1" t="array" ref="J586">IF($E586&lt;7,_xlfn.XLOOKUP($D586&amp;$E586,$D$155:$D$395&amp;$E$155:$E$395,J$155:J$395),"")</f>
        <v/>
      </c>
      <c r="K586" s="84" t="str" cm="1">
        <f ca="1" t="array" ref="K586">IF($E586&lt;7,_xlfn.XLOOKUP($D586&amp;$E586,$D$155:$D$395&amp;$E$155:$E$395,K$155:K$395),"")</f>
        <v/>
      </c>
      <c r="L586" s="84">
        <v>5</v>
      </c>
      <c r="M586" s="84" t="str" cm="1">
        <f ca="1" t="array" ref="M586">IF($E586&lt;7,_xlfn.XLOOKUP($D586&amp;$E586,$D$155:$D$395&amp;$E$155:$E$395,M$155:M$395),"")</f>
        <v/>
      </c>
      <c r="N586" s="84" t="s">
        <v>282</v>
      </c>
      <c r="O586" s="84" t="s">
        <v>282</v>
      </c>
      <c r="P586" s="84" t="s">
        <v>282</v>
      </c>
      <c r="Q586" s="84" t="s">
        <v>282</v>
      </c>
      <c r="R586" s="84" t="s">
        <v>282</v>
      </c>
      <c r="S586" s="90">
        <f ca="1" t="shared" si="151"/>
        <v>215</v>
      </c>
      <c r="T586" s="90" cm="1">
        <f ca="1" t="array" ref="T586">IFERROR(SUMPRODUCT(F586:M586,$F$154:$M$154)+IFERROR(N586*SUMPRODUCT(O586:R586,$O$154:$R$154),0),"")</f>
        <v>5135</v>
      </c>
      <c r="U586" s="94"/>
      <c r="V586" s="94" t="str">
        <f t="shared" si="152"/>
        <v/>
      </c>
      <c r="W586" t="str">
        <f ca="1" t="shared" si="149"/>
        <v/>
      </c>
      <c r="X586" s="94" t="str">
        <f t="shared" si="153"/>
        <v>{61,210}</v>
      </c>
      <c r="Y586" s="94" t="str">
        <f t="shared" si="154"/>
        <v/>
      </c>
      <c r="Z586" s="94" t="str">
        <f t="shared" si="155"/>
        <v>{6030003,5}</v>
      </c>
      <c r="AA586" s="94" t="str">
        <f ca="1" t="shared" si="156"/>
        <v/>
      </c>
      <c r="AB586" s="94" t="str">
        <f ca="1" t="shared" si="157"/>
        <v/>
      </c>
      <c r="AE586" s="94" t="str">
        <f t="shared" si="158"/>
        <v>{2,925}</v>
      </c>
      <c r="AH586" t="str">
        <f ca="1" t="shared" si="150"/>
        <v>[{61,210},{6030003,5},{2,925}]</v>
      </c>
    </row>
    <row r="587" spans="4:34">
      <c r="D587" s="81" t="str">
        <f ca="1" t="shared" si="159"/>
        <v>卓越Ⅲ</v>
      </c>
      <c r="E587" s="84">
        <f t="shared" si="160"/>
        <v>8</v>
      </c>
      <c r="F587" s="84">
        <f>CEILING(F586*1.5,5)</f>
        <v>315</v>
      </c>
      <c r="G587" s="84">
        <f>CEILING(G585*1.5,5)</f>
        <v>420</v>
      </c>
      <c r="H587" s="84">
        <f>1</f>
        <v>1</v>
      </c>
      <c r="I587" s="84">
        <f t="shared" si="161"/>
        <v>925</v>
      </c>
      <c r="J587" s="84" t="str" cm="1">
        <f ca="1" t="array" ref="J587">IF($E587&lt;7,_xlfn.XLOOKUP($D587&amp;$E587,$D$155:$D$395&amp;$E$155:$E$395,J$155:J$395),"")</f>
        <v/>
      </c>
      <c r="K587" s="84" t="str" cm="1">
        <f ca="1" t="array" ref="K587">IF($E587&lt;7,_xlfn.XLOOKUP($D587&amp;$E587,$D$155:$D$395&amp;$E$155:$E$395,K$155:K$395),"")</f>
        <v/>
      </c>
      <c r="L587" s="84" t="str" cm="1">
        <f ca="1" t="array" ref="L587">IF($E587&lt;7,_xlfn.XLOOKUP($D587&amp;$E587,$D$155:$D$395&amp;$E$155:$E$395,L$155:L$395),"")</f>
        <v/>
      </c>
      <c r="M587" s="84" t="str" cm="1">
        <f ca="1" t="array" ref="M587">IF($E587&lt;7,_xlfn.XLOOKUP($D587&amp;$E587,$D$155:$D$395&amp;$E$155:$E$395,M$155:M$395),"")</f>
        <v/>
      </c>
      <c r="N587" s="84">
        <v>8</v>
      </c>
      <c r="O587" s="84">
        <v>0</v>
      </c>
      <c r="P587" s="84">
        <v>0.52</v>
      </c>
      <c r="Q587" s="84">
        <v>0.39</v>
      </c>
      <c r="R587" s="84">
        <v>0.09</v>
      </c>
      <c r="S587" s="90">
        <f ca="1" t="shared" si="151"/>
        <v>215</v>
      </c>
      <c r="T587" s="90" cm="1">
        <f ca="1" t="array" ref="T587">IFERROR(SUMPRODUCT(F587:M587,$F$154:$M$154)+IFERROR(N587*SUMPRODUCT(O587:R587,$O$154:$R$154),0),"")</f>
        <v>7122</v>
      </c>
      <c r="U587" s="94"/>
      <c r="V587" s="94" t="str">
        <f t="shared" si="152"/>
        <v>{62,1}</v>
      </c>
      <c r="W587" t="str">
        <f ca="1" t="shared" si="149"/>
        <v>{6020018,8}</v>
      </c>
      <c r="X587" s="94" t="str">
        <f t="shared" si="153"/>
        <v>{61,315}</v>
      </c>
      <c r="Y587" s="94" t="str">
        <f t="shared" si="154"/>
        <v>{63,420}</v>
      </c>
      <c r="Z587" s="94" t="str">
        <f ca="1" t="shared" si="155"/>
        <v/>
      </c>
      <c r="AA587" s="94" t="str">
        <f ca="1" t="shared" si="156"/>
        <v/>
      </c>
      <c r="AB587" s="94" t="str">
        <f ca="1" t="shared" si="157"/>
        <v/>
      </c>
      <c r="AE587" s="94" t="str">
        <f t="shared" si="158"/>
        <v>{2,925}</v>
      </c>
      <c r="AH587" t="str">
        <f ca="1" t="shared" si="150"/>
        <v>[{62,1},{6020018,8},{61,315},{63,420},{2,925}]</v>
      </c>
    </row>
    <row r="588" spans="4:34">
      <c r="D588" s="81" t="str">
        <f ca="1" t="shared" si="159"/>
        <v>卓越Ⅳ</v>
      </c>
      <c r="E588" s="84">
        <f t="shared" si="160"/>
        <v>1</v>
      </c>
      <c r="F588" s="84">
        <f>F580+5</f>
        <v>170</v>
      </c>
      <c r="G588" s="84"/>
      <c r="H588" s="84"/>
      <c r="I588" s="84">
        <f t="shared" si="161"/>
        <v>950</v>
      </c>
      <c r="J588" s="84">
        <v>4</v>
      </c>
      <c r="K588" s="84" cm="1">
        <f ca="1" t="array" ref="K588">IF($E588&lt;7,_xlfn.XLOOKUP($D588&amp;$E588,$D$155:$D$395&amp;$E$155:$E$395,K$155:K$395),"")</f>
        <v>0</v>
      </c>
      <c r="L588" s="84" cm="1">
        <f ca="1" t="array" ref="L588">IF($E588&lt;7,_xlfn.XLOOKUP($D588&amp;$E588,$D$155:$D$395&amp;$E$155:$E$395,L$155:L$395),"")</f>
        <v>0</v>
      </c>
      <c r="M588" s="84" cm="1">
        <f ca="1" t="array" ref="M588">IF($E588&lt;7,_xlfn.XLOOKUP($D588&amp;$E588,$D$155:$D$395&amp;$E$155:$E$395,M$155:M$395),"")</f>
        <v>0</v>
      </c>
      <c r="N588" s="84" t="s">
        <v>282</v>
      </c>
      <c r="O588" s="84" t="s">
        <v>282</v>
      </c>
      <c r="P588" s="84" t="s">
        <v>282</v>
      </c>
      <c r="Q588" s="84" t="s">
        <v>282</v>
      </c>
      <c r="R588" s="84" t="s">
        <v>282</v>
      </c>
      <c r="S588" s="90">
        <f ca="1" t="shared" si="151"/>
        <v>225</v>
      </c>
      <c r="T588" s="90" cm="1">
        <f ca="1" t="array" ref="T588">IFERROR(SUMPRODUCT(F588:M588,$F$154:$M$154)+IFERROR(N588*SUMPRODUCT(O588:R588,$O$154:$R$154),0),"")</f>
        <v>1920</v>
      </c>
      <c r="U588" s="94"/>
      <c r="V588" s="94" t="str">
        <f t="shared" si="152"/>
        <v/>
      </c>
      <c r="W588" t="str">
        <f ca="1" t="shared" si="149"/>
        <v/>
      </c>
      <c r="X588" s="94" t="str">
        <f t="shared" si="153"/>
        <v>{61,170}</v>
      </c>
      <c r="Y588" s="94" t="str">
        <f t="shared" si="154"/>
        <v/>
      </c>
      <c r="Z588" s="94" t="str">
        <f ca="1" t="shared" si="155"/>
        <v/>
      </c>
      <c r="AA588" s="94" t="str">
        <f ca="1" t="shared" si="156"/>
        <v/>
      </c>
      <c r="AB588" s="94" t="str">
        <f t="shared" si="157"/>
        <v>{6030001,4}</v>
      </c>
      <c r="AE588" s="94" t="str">
        <f t="shared" si="158"/>
        <v>{2,950}</v>
      </c>
      <c r="AH588" t="str">
        <f ca="1" t="shared" si="150"/>
        <v>[{61,170},{6030001,4},{2,950}]</v>
      </c>
    </row>
    <row r="589" spans="4:34">
      <c r="D589" s="81" t="str">
        <f ca="1" t="shared" si="159"/>
        <v>卓越Ⅳ</v>
      </c>
      <c r="E589" s="84">
        <f t="shared" si="160"/>
        <v>2</v>
      </c>
      <c r="F589" s="84">
        <f>F581+5</f>
        <v>170</v>
      </c>
      <c r="G589" s="84">
        <f>G581+5</f>
        <v>190</v>
      </c>
      <c r="H589" s="84"/>
      <c r="I589" s="84">
        <f t="shared" si="161"/>
        <v>950</v>
      </c>
      <c r="J589" s="84" cm="1">
        <f ca="1" t="array" ref="J589">IF($E589&lt;7,_xlfn.XLOOKUP($D589&amp;$E589,$D$155:$D$395&amp;$E$155:$E$395,J$155:J$395),"")</f>
        <v>0</v>
      </c>
      <c r="K589" s="84" cm="1">
        <f ca="1" t="array" ref="K589">IF($E589&lt;7,_xlfn.XLOOKUP($D589&amp;$E589,$D$155:$D$395&amp;$E$155:$E$395,K$155:K$395),"")</f>
        <v>0</v>
      </c>
      <c r="L589" s="84" cm="1">
        <f ca="1" t="array" ref="L589">IF($E589&lt;7,_xlfn.XLOOKUP($D589&amp;$E589,$D$155:$D$395&amp;$E$155:$E$395,L$155:L$395),"")</f>
        <v>0</v>
      </c>
      <c r="M589" s="84" cm="1">
        <f ca="1" t="array" ref="M589">IF($E589&lt;7,_xlfn.XLOOKUP($D589&amp;$E589,$D$155:$D$395&amp;$E$155:$E$395,M$155:M$395),"")</f>
        <v>0</v>
      </c>
      <c r="N589" s="84" t="s">
        <v>282</v>
      </c>
      <c r="O589" s="84" t="s">
        <v>282</v>
      </c>
      <c r="P589" s="84" t="s">
        <v>282</v>
      </c>
      <c r="Q589" s="84" t="s">
        <v>282</v>
      </c>
      <c r="R589" s="84" t="s">
        <v>282</v>
      </c>
      <c r="S589" s="90">
        <f ca="1" t="shared" si="151"/>
        <v>225</v>
      </c>
      <c r="T589" s="90" cm="1">
        <f ca="1" t="array" ref="T589">IFERROR(SUMPRODUCT(F589:M589,$F$154:$M$154)+IFERROR(N589*SUMPRODUCT(O589:R589,$O$154:$R$154),0),"")</f>
        <v>1310</v>
      </c>
      <c r="U589" s="94"/>
      <c r="V589" s="94" t="str">
        <f t="shared" si="152"/>
        <v/>
      </c>
      <c r="W589" t="str">
        <f ca="1" t="shared" si="149"/>
        <v/>
      </c>
      <c r="X589" s="94" t="str">
        <f t="shared" si="153"/>
        <v>{61,170}</v>
      </c>
      <c r="Y589" s="94" t="str">
        <f t="shared" si="154"/>
        <v>{63,190}</v>
      </c>
      <c r="Z589" s="94" t="str">
        <f ca="1" t="shared" si="155"/>
        <v/>
      </c>
      <c r="AA589" s="94" t="str">
        <f ca="1" t="shared" si="156"/>
        <v/>
      </c>
      <c r="AB589" s="94" t="str">
        <f ca="1" t="shared" si="157"/>
        <v/>
      </c>
      <c r="AE589" s="94" t="str">
        <f t="shared" si="158"/>
        <v>{2,950}</v>
      </c>
      <c r="AH589" t="str">
        <f ca="1" t="shared" si="150"/>
        <v>[{61,170},{63,190},{2,950}]</v>
      </c>
    </row>
    <row r="590" spans="4:34">
      <c r="D590" s="81" t="str">
        <f ca="1" t="shared" si="159"/>
        <v>卓越Ⅳ</v>
      </c>
      <c r="E590" s="84">
        <f t="shared" si="160"/>
        <v>3</v>
      </c>
      <c r="F590" s="84">
        <f>F582+5</f>
        <v>170</v>
      </c>
      <c r="G590" s="84"/>
      <c r="H590" s="84"/>
      <c r="I590" s="84">
        <f t="shared" si="161"/>
        <v>950</v>
      </c>
      <c r="J590" s="84">
        <v>5</v>
      </c>
      <c r="K590" s="84"/>
      <c r="L590" s="84" cm="1">
        <f ca="1" t="array" ref="L590">IF($E590&lt;7,_xlfn.XLOOKUP($D590&amp;$E590,$D$155:$D$395&amp;$E$155:$E$395,L$155:L$395),"")</f>
        <v>0</v>
      </c>
      <c r="M590" s="84" cm="1">
        <f ca="1" t="array" ref="M590">IF($E590&lt;7,_xlfn.XLOOKUP($D590&amp;$E590,$D$155:$D$395&amp;$E$155:$E$395,M$155:M$395),"")</f>
        <v>0</v>
      </c>
      <c r="N590" s="84" t="s">
        <v>282</v>
      </c>
      <c r="O590" s="84" t="s">
        <v>282</v>
      </c>
      <c r="P590" s="84" t="s">
        <v>282</v>
      </c>
      <c r="Q590" s="84" t="s">
        <v>282</v>
      </c>
      <c r="R590" s="84" t="s">
        <v>282</v>
      </c>
      <c r="S590" s="90">
        <f ca="1" t="shared" si="151"/>
        <v>225</v>
      </c>
      <c r="T590" s="90" cm="1">
        <f ca="1" t="array" ref="T590">IFERROR(SUMPRODUCT(F590:M590,$F$154:$M$154)+IFERROR(N590*SUMPRODUCT(O590:R590,$O$154:$R$154),0),"")</f>
        <v>2120</v>
      </c>
      <c r="U590" s="94"/>
      <c r="V590" s="94" t="str">
        <f t="shared" si="152"/>
        <v/>
      </c>
      <c r="W590" t="str">
        <f ca="1" t="shared" si="149"/>
        <v/>
      </c>
      <c r="X590" s="94" t="str">
        <f t="shared" si="153"/>
        <v>{61,170}</v>
      </c>
      <c r="Y590" s="94" t="str">
        <f t="shared" si="154"/>
        <v/>
      </c>
      <c r="Z590" s="94" t="str">
        <f ca="1" t="shared" si="155"/>
        <v/>
      </c>
      <c r="AA590" s="94" t="str">
        <f t="shared" si="156"/>
        <v/>
      </c>
      <c r="AB590" s="94" t="str">
        <f t="shared" si="157"/>
        <v>{6030001,5}</v>
      </c>
      <c r="AE590" s="94" t="str">
        <f t="shared" si="158"/>
        <v>{2,950}</v>
      </c>
      <c r="AH590" t="str">
        <f ca="1" t="shared" si="150"/>
        <v>[{61,170},{6030001,5},{2,950}]</v>
      </c>
    </row>
    <row r="591" spans="4:34">
      <c r="D591" s="81" t="str">
        <f ca="1" t="shared" si="159"/>
        <v>卓越Ⅳ</v>
      </c>
      <c r="E591" s="84">
        <f t="shared" si="160"/>
        <v>4</v>
      </c>
      <c r="F591" s="84">
        <f>CEILING(F592*1.25,5)</f>
        <v>270</v>
      </c>
      <c r="G591" s="84">
        <f>CEILING(G589*1.5,5)</f>
        <v>285</v>
      </c>
      <c r="H591" s="84"/>
      <c r="I591" s="84">
        <f t="shared" si="161"/>
        <v>950</v>
      </c>
      <c r="J591" s="84" cm="1">
        <f ca="1" t="array" ref="J591">IF($E591&lt;7,_xlfn.XLOOKUP($D591&amp;$E591,$D$155:$D$395&amp;$E$155:$E$395,J$155:J$395),"")</f>
        <v>0</v>
      </c>
      <c r="K591" s="84" cm="1">
        <f ca="1" t="array" ref="K591">IF($E591&lt;7,_xlfn.XLOOKUP($D591&amp;$E591,$D$155:$D$395&amp;$E$155:$E$395,K$155:K$395),"")</f>
        <v>0</v>
      </c>
      <c r="L591" s="84" cm="1">
        <f ca="1" t="array" ref="L591">IF($E591&lt;7,_xlfn.XLOOKUP($D591&amp;$E591,$D$155:$D$395&amp;$E$155:$E$395,L$155:L$395),"")</f>
        <v>0</v>
      </c>
      <c r="M591" s="84" cm="1">
        <f ca="1" t="array" ref="M591">IF($E591&lt;7,_xlfn.XLOOKUP($D591&amp;$E591,$D$155:$D$395&amp;$E$155:$E$395,M$155:M$395),"")</f>
        <v>0</v>
      </c>
      <c r="N591" s="84" t="s">
        <v>282</v>
      </c>
      <c r="O591" s="84" t="s">
        <v>282</v>
      </c>
      <c r="P591" s="84" t="s">
        <v>282</v>
      </c>
      <c r="Q591" s="84" t="s">
        <v>282</v>
      </c>
      <c r="R591" s="84" t="s">
        <v>282</v>
      </c>
      <c r="S591" s="90">
        <f ca="1" t="shared" si="151"/>
        <v>225</v>
      </c>
      <c r="T591" s="90" cm="1">
        <f ca="1" t="array" ref="T591">IFERROR(SUMPRODUCT(F591:M591,$F$154:$M$154)+IFERROR(N591*SUMPRODUCT(O591:R591,$O$154:$R$154),0),"")</f>
        <v>1505</v>
      </c>
      <c r="U591" s="94"/>
      <c r="V591" s="94" t="str">
        <f t="shared" si="152"/>
        <v/>
      </c>
      <c r="W591" t="str">
        <f ca="1" t="shared" si="149"/>
        <v/>
      </c>
      <c r="X591" s="94" t="str">
        <f t="shared" si="153"/>
        <v>{61,270}</v>
      </c>
      <c r="Y591" s="94" t="str">
        <f t="shared" si="154"/>
        <v>{63,285}</v>
      </c>
      <c r="Z591" s="94" t="str">
        <f ca="1" t="shared" si="155"/>
        <v/>
      </c>
      <c r="AA591" s="94" t="str">
        <f ca="1" t="shared" si="156"/>
        <v/>
      </c>
      <c r="AB591" s="94" t="str">
        <f ca="1" t="shared" si="157"/>
        <v/>
      </c>
      <c r="AE591" s="94" t="str">
        <f t="shared" si="158"/>
        <v>{2,950}</v>
      </c>
      <c r="AH591" t="str">
        <f ca="1" t="shared" si="150"/>
        <v>[{61,270},{63,285},{2,950}]</v>
      </c>
    </row>
    <row r="592" spans="4:34">
      <c r="D592" s="81" t="str">
        <f ca="1" t="shared" si="159"/>
        <v>卓越Ⅳ</v>
      </c>
      <c r="E592" s="84">
        <f t="shared" si="160"/>
        <v>5</v>
      </c>
      <c r="F592" s="84">
        <f>CEILING(F588*1.25,5)</f>
        <v>215</v>
      </c>
      <c r="G592" s="84"/>
      <c r="H592" s="84"/>
      <c r="I592" s="84">
        <f t="shared" si="161"/>
        <v>950</v>
      </c>
      <c r="J592" s="84" cm="1">
        <f ca="1" t="array" ref="J592">IF($E592&lt;7,_xlfn.XLOOKUP($D592&amp;$E592,$D$155:$D$395&amp;$E$155:$E$395,J$155:J$395),"")</f>
        <v>0</v>
      </c>
      <c r="K592" s="84">
        <v>6</v>
      </c>
      <c r="L592" s="84"/>
      <c r="M592" s="84" cm="1">
        <f ca="1" t="array" ref="M592">IF($E592&lt;7,_xlfn.XLOOKUP($D592&amp;$E592,$D$155:$D$395&amp;$E$155:$E$395,M$155:M$395),"")</f>
        <v>0</v>
      </c>
      <c r="N592" s="84" t="s">
        <v>282</v>
      </c>
      <c r="O592" s="84" t="s">
        <v>282</v>
      </c>
      <c r="P592" s="84" t="s">
        <v>282</v>
      </c>
      <c r="Q592" s="84" t="s">
        <v>282</v>
      </c>
      <c r="R592" s="84" t="s">
        <v>282</v>
      </c>
      <c r="S592" s="90">
        <f ca="1" t="shared" si="151"/>
        <v>225</v>
      </c>
      <c r="T592" s="90" cm="1">
        <f ca="1" t="array" ref="T592">IFERROR(SUMPRODUCT(F592:M592,$F$154:$M$154)+IFERROR(N592*SUMPRODUCT(O592:R592,$O$154:$R$154),0),"")</f>
        <v>3565</v>
      </c>
      <c r="U592" s="94"/>
      <c r="V592" s="94" t="str">
        <f t="shared" si="152"/>
        <v/>
      </c>
      <c r="W592" t="str">
        <f ca="1" t="shared" si="149"/>
        <v/>
      </c>
      <c r="X592" s="94" t="str">
        <f t="shared" si="153"/>
        <v>{61,215}</v>
      </c>
      <c r="Y592" s="94" t="str">
        <f t="shared" si="154"/>
        <v/>
      </c>
      <c r="Z592" s="94" t="str">
        <f t="shared" si="155"/>
        <v/>
      </c>
      <c r="AA592" s="94" t="str">
        <f t="shared" si="156"/>
        <v>{6030002,6}</v>
      </c>
      <c r="AB592" s="94" t="str">
        <f ca="1" t="shared" si="157"/>
        <v/>
      </c>
      <c r="AE592" s="94" t="str">
        <f t="shared" si="158"/>
        <v>{2,950}</v>
      </c>
      <c r="AH592" t="str">
        <f ca="1" t="shared" si="150"/>
        <v>[{61,215},{6030002,6},{2,950}]</v>
      </c>
    </row>
    <row r="593" spans="4:34">
      <c r="D593" s="81" t="str">
        <f ca="1" t="shared" si="159"/>
        <v>卓越Ⅳ</v>
      </c>
      <c r="E593" s="84">
        <f t="shared" si="160"/>
        <v>6</v>
      </c>
      <c r="F593" s="84">
        <f>CEILING(F589*1.25,5)</f>
        <v>215</v>
      </c>
      <c r="G593" s="84">
        <f>G591</f>
        <v>285</v>
      </c>
      <c r="H593" s="84"/>
      <c r="I593" s="84">
        <f t="shared" si="161"/>
        <v>950</v>
      </c>
      <c r="J593" s="84" cm="1">
        <f ca="1" t="array" ref="J593">IF($E593&lt;7,_xlfn.XLOOKUP($D593&amp;$E593,$D$155:$D$395&amp;$E$155:$E$395,J$155:J$395),"")</f>
        <v>0</v>
      </c>
      <c r="K593" s="84" cm="1">
        <f ca="1" t="array" ref="K593">IF($E593&lt;7,_xlfn.XLOOKUP($D593&amp;$E593,$D$155:$D$395&amp;$E$155:$E$395,K$155:K$395),"")</f>
        <v>0</v>
      </c>
      <c r="L593" s="84" cm="1">
        <f ca="1" t="array" ref="L593">IF($E593&lt;7,_xlfn.XLOOKUP($D593&amp;$E593,$D$155:$D$395&amp;$E$155:$E$395,L$155:L$395),"")</f>
        <v>0</v>
      </c>
      <c r="M593" s="84" cm="1">
        <f ca="1" t="array" ref="M593">IF($E593&lt;7,_xlfn.XLOOKUP($D593&amp;$E593,$D$155:$D$395&amp;$E$155:$E$395,M$155:M$395),"")</f>
        <v>0</v>
      </c>
      <c r="N593" s="84" t="s">
        <v>282</v>
      </c>
      <c r="O593" s="84" t="s">
        <v>282</v>
      </c>
      <c r="P593" s="84" t="s">
        <v>282</v>
      </c>
      <c r="Q593" s="84" t="s">
        <v>282</v>
      </c>
      <c r="R593" s="84" t="s">
        <v>282</v>
      </c>
      <c r="S593" s="90">
        <f ca="1" t="shared" si="151"/>
        <v>225</v>
      </c>
      <c r="T593" s="90" cm="1">
        <f ca="1" t="array" ref="T593">IFERROR(SUMPRODUCT(F593:M593,$F$154:$M$154)+IFERROR(N593*SUMPRODUCT(O593:R593,$O$154:$R$154),0),"")</f>
        <v>1450</v>
      </c>
      <c r="U593" s="94"/>
      <c r="V593" s="94" t="str">
        <f t="shared" si="152"/>
        <v/>
      </c>
      <c r="W593" t="str">
        <f ca="1" t="shared" si="149"/>
        <v/>
      </c>
      <c r="X593" s="94" t="str">
        <f t="shared" si="153"/>
        <v>{61,215}</v>
      </c>
      <c r="Y593" s="94" t="str">
        <f t="shared" si="154"/>
        <v>{63,285}</v>
      </c>
      <c r="Z593" s="94" t="str">
        <f ca="1" t="shared" si="155"/>
        <v/>
      </c>
      <c r="AA593" s="94" t="str">
        <f ca="1" t="shared" si="156"/>
        <v/>
      </c>
      <c r="AB593" s="94" t="str">
        <f ca="1" t="shared" si="157"/>
        <v/>
      </c>
      <c r="AE593" s="94" t="str">
        <f t="shared" si="158"/>
        <v>{2,950}</v>
      </c>
      <c r="AH593" t="str">
        <f ca="1" t="shared" si="150"/>
        <v>[{61,215},{63,285},{2,950}]</v>
      </c>
    </row>
    <row r="594" spans="4:34">
      <c r="D594" s="81" t="str">
        <f ca="1" t="shared" si="159"/>
        <v>卓越Ⅳ</v>
      </c>
      <c r="E594" s="84">
        <f t="shared" si="160"/>
        <v>7</v>
      </c>
      <c r="F594" s="84">
        <f>CEILING(F590*1.25,5)</f>
        <v>215</v>
      </c>
      <c r="G594" s="84"/>
      <c r="H594" s="84"/>
      <c r="I594" s="84">
        <f t="shared" si="161"/>
        <v>950</v>
      </c>
      <c r="J594" s="84" t="str" cm="1">
        <f ca="1" t="array" ref="J594">IF($E594&lt;7,_xlfn.XLOOKUP($D594&amp;$E594,$D$155:$D$395&amp;$E$155:$E$395,J$155:J$395),"")</f>
        <v/>
      </c>
      <c r="K594" s="84" t="str" cm="1">
        <f ca="1" t="array" ref="K594">IF($E594&lt;7,_xlfn.XLOOKUP($D594&amp;$E594,$D$155:$D$395&amp;$E$155:$E$395,K$155:K$395),"")</f>
        <v/>
      </c>
      <c r="L594" s="84">
        <v>5</v>
      </c>
      <c r="M594" s="84" t="str" cm="1">
        <f ca="1" t="array" ref="M594">IF($E594&lt;7,_xlfn.XLOOKUP($D594&amp;$E594,$D$155:$D$395&amp;$E$155:$E$395,M$155:M$395),"")</f>
        <v/>
      </c>
      <c r="N594" s="84" t="s">
        <v>282</v>
      </c>
      <c r="O594" s="84" t="s">
        <v>282</v>
      </c>
      <c r="P594" s="84" t="s">
        <v>282</v>
      </c>
      <c r="Q594" s="84" t="s">
        <v>282</v>
      </c>
      <c r="R594" s="84" t="s">
        <v>282</v>
      </c>
      <c r="S594" s="90">
        <f ca="1" t="shared" si="151"/>
        <v>225</v>
      </c>
      <c r="T594" s="90" cm="1">
        <f ca="1" t="array" ref="T594">IFERROR(SUMPRODUCT(F594:M594,$F$154:$M$154)+IFERROR(N594*SUMPRODUCT(O594:R594,$O$154:$R$154),0),"")</f>
        <v>5165</v>
      </c>
      <c r="U594" s="94"/>
      <c r="V594" s="94" t="str">
        <f t="shared" si="152"/>
        <v/>
      </c>
      <c r="W594" t="str">
        <f ca="1" t="shared" si="149"/>
        <v/>
      </c>
      <c r="X594" s="94" t="str">
        <f t="shared" si="153"/>
        <v>{61,215}</v>
      </c>
      <c r="Y594" s="94" t="str">
        <f t="shared" si="154"/>
        <v/>
      </c>
      <c r="Z594" s="94" t="str">
        <f t="shared" si="155"/>
        <v>{6030003,5}</v>
      </c>
      <c r="AA594" s="94" t="str">
        <f ca="1" t="shared" si="156"/>
        <v/>
      </c>
      <c r="AB594" s="94" t="str">
        <f ca="1" t="shared" si="157"/>
        <v/>
      </c>
      <c r="AE594" s="94" t="str">
        <f t="shared" si="158"/>
        <v>{2,950}</v>
      </c>
      <c r="AH594" t="str">
        <f ca="1" t="shared" si="150"/>
        <v>[{61,215},{6030003,5},{2,950}]</v>
      </c>
    </row>
    <row r="595" spans="4:34">
      <c r="D595" s="81" t="str">
        <f ca="1" t="shared" si="159"/>
        <v>卓越Ⅳ</v>
      </c>
      <c r="E595" s="84">
        <f t="shared" si="160"/>
        <v>8</v>
      </c>
      <c r="F595" s="84">
        <f>CEILING(F594*1.5,5)</f>
        <v>325</v>
      </c>
      <c r="G595" s="84">
        <f>CEILING(G593*1.5,5)</f>
        <v>430</v>
      </c>
      <c r="H595" s="84">
        <f>1</f>
        <v>1</v>
      </c>
      <c r="I595" s="84">
        <f t="shared" si="161"/>
        <v>950</v>
      </c>
      <c r="J595" s="84" t="str" cm="1">
        <f ca="1" t="array" ref="J595">IF($E595&lt;7,_xlfn.XLOOKUP($D595&amp;$E595,$D$155:$D$395&amp;$E$155:$E$395,J$155:J$395),"")</f>
        <v/>
      </c>
      <c r="K595" s="84" t="str" cm="1">
        <f ca="1" t="array" ref="K595">IF($E595&lt;7,_xlfn.XLOOKUP($D595&amp;$E595,$D$155:$D$395&amp;$E$155:$E$395,K$155:K$395),"")</f>
        <v/>
      </c>
      <c r="L595" s="84" t="str" cm="1">
        <f ca="1" t="array" ref="L595">IF($E595&lt;7,_xlfn.XLOOKUP($D595&amp;$E595,$D$155:$D$395&amp;$E$155:$E$395,L$155:L$395),"")</f>
        <v/>
      </c>
      <c r="M595" s="84" t="str" cm="1">
        <f ca="1" t="array" ref="M595">IF($E595&lt;7,_xlfn.XLOOKUP($D595&amp;$E595,$D$155:$D$395&amp;$E$155:$E$395,M$155:M$395),"")</f>
        <v/>
      </c>
      <c r="N595" s="84">
        <v>8</v>
      </c>
      <c r="O595" s="84">
        <v>0</v>
      </c>
      <c r="P595" s="84">
        <v>0.46</v>
      </c>
      <c r="Q595" s="84">
        <v>0.42</v>
      </c>
      <c r="R595" s="84">
        <v>0.12</v>
      </c>
      <c r="S595" s="90">
        <f ca="1" t="shared" si="151"/>
        <v>225</v>
      </c>
      <c r="T595" s="90" cm="1">
        <f ca="1" t="array" ref="T595">IFERROR(SUMPRODUCT(F595:M595,$F$154:$M$154)+IFERROR(N595*SUMPRODUCT(O595:R595,$O$154:$R$154),0),"")</f>
        <v>7551</v>
      </c>
      <c r="U595" s="94"/>
      <c r="V595" s="94" t="str">
        <f t="shared" si="152"/>
        <v>{62,1}</v>
      </c>
      <c r="W595" t="str">
        <f ca="1" t="shared" si="149"/>
        <v>{6020019,8}</v>
      </c>
      <c r="X595" s="94" t="str">
        <f t="shared" si="153"/>
        <v>{61,325}</v>
      </c>
      <c r="Y595" s="94" t="str">
        <f t="shared" si="154"/>
        <v>{63,430}</v>
      </c>
      <c r="Z595" s="94" t="str">
        <f ca="1" t="shared" si="155"/>
        <v/>
      </c>
      <c r="AA595" s="94" t="str">
        <f ca="1" t="shared" si="156"/>
        <v/>
      </c>
      <c r="AB595" s="94" t="str">
        <f ca="1" t="shared" si="157"/>
        <v/>
      </c>
      <c r="AE595" s="94" t="str">
        <f t="shared" si="158"/>
        <v>{2,950}</v>
      </c>
      <c r="AH595" t="str">
        <f ca="1" t="shared" si="150"/>
        <v>[{62,1},{6020019,8},{61,325},{63,430},{2,950}]</v>
      </c>
    </row>
    <row r="596" spans="4:34">
      <c r="D596" s="81" t="str">
        <f ca="1" t="shared" si="159"/>
        <v>卓越Ⅴ</v>
      </c>
      <c r="E596" s="84">
        <f t="shared" si="160"/>
        <v>1</v>
      </c>
      <c r="F596" s="84">
        <f>F588+5</f>
        <v>175</v>
      </c>
      <c r="G596" s="84"/>
      <c r="H596" s="84"/>
      <c r="I596" s="84">
        <f t="shared" si="161"/>
        <v>975</v>
      </c>
      <c r="J596" s="84">
        <v>4</v>
      </c>
      <c r="K596" s="84" cm="1">
        <f ca="1" t="array" ref="K596">IF($E596&lt;7,_xlfn.XLOOKUP($D596&amp;$E596,$D$155:$D$395&amp;$E$155:$E$395,K$155:K$395),"")</f>
        <v>0</v>
      </c>
      <c r="L596" s="84" cm="1">
        <f ca="1" t="array" ref="L596">IF($E596&lt;7,_xlfn.XLOOKUP($D596&amp;$E596,$D$155:$D$395&amp;$E$155:$E$395,L$155:L$395),"")</f>
        <v>0</v>
      </c>
      <c r="M596" s="84" cm="1">
        <f ca="1" t="array" ref="M596">IF($E596&lt;7,_xlfn.XLOOKUP($D596&amp;$E596,$D$155:$D$395&amp;$E$155:$E$395,M$155:M$395),"")</f>
        <v>0</v>
      </c>
      <c r="N596" s="84" t="s">
        <v>282</v>
      </c>
      <c r="O596" s="84" t="s">
        <v>282</v>
      </c>
      <c r="P596" s="84" t="s">
        <v>282</v>
      </c>
      <c r="Q596" s="84" t="s">
        <v>282</v>
      </c>
      <c r="R596" s="84" t="s">
        <v>282</v>
      </c>
      <c r="S596" s="90">
        <f ca="1" t="shared" si="151"/>
        <v>235</v>
      </c>
      <c r="T596" s="90" cm="1">
        <f ca="1" t="array" ref="T596">IFERROR(SUMPRODUCT(F596:M596,$F$154:$M$154)+IFERROR(N596*SUMPRODUCT(O596:R596,$O$154:$R$154),0),"")</f>
        <v>1950</v>
      </c>
      <c r="U596" s="94"/>
      <c r="V596" s="94" t="str">
        <f t="shared" si="152"/>
        <v/>
      </c>
      <c r="W596" t="str">
        <f ca="1" t="shared" si="149"/>
        <v/>
      </c>
      <c r="X596" s="94" t="str">
        <f t="shared" si="153"/>
        <v>{61,175}</v>
      </c>
      <c r="Y596" s="94" t="str">
        <f t="shared" si="154"/>
        <v/>
      </c>
      <c r="Z596" s="94" t="str">
        <f ca="1" t="shared" si="155"/>
        <v/>
      </c>
      <c r="AA596" s="94" t="str">
        <f ca="1" t="shared" si="156"/>
        <v/>
      </c>
      <c r="AB596" s="94" t="str">
        <f t="shared" si="157"/>
        <v>{6030001,4}</v>
      </c>
      <c r="AE596" s="94" t="str">
        <f t="shared" si="158"/>
        <v>{2,975}</v>
      </c>
      <c r="AH596" t="str">
        <f ca="1" t="shared" si="150"/>
        <v>[{61,175},{6030001,4},{2,975}]</v>
      </c>
    </row>
    <row r="597" spans="4:34">
      <c r="D597" s="81" t="str">
        <f ca="1" t="shared" si="159"/>
        <v>卓越Ⅴ</v>
      </c>
      <c r="E597" s="84">
        <f t="shared" si="160"/>
        <v>2</v>
      </c>
      <c r="F597" s="84">
        <f>F589+5</f>
        <v>175</v>
      </c>
      <c r="G597" s="84">
        <f>G589+5</f>
        <v>195</v>
      </c>
      <c r="H597" s="84"/>
      <c r="I597" s="84">
        <f t="shared" si="161"/>
        <v>975</v>
      </c>
      <c r="J597" s="84" cm="1">
        <f ca="1" t="array" ref="J597">IF($E597&lt;7,_xlfn.XLOOKUP($D597&amp;$E597,$D$155:$D$395&amp;$E$155:$E$395,J$155:J$395),"")</f>
        <v>0</v>
      </c>
      <c r="K597" s="84" cm="1">
        <f ca="1" t="array" ref="K597">IF($E597&lt;7,_xlfn.XLOOKUP($D597&amp;$E597,$D$155:$D$395&amp;$E$155:$E$395,K$155:K$395),"")</f>
        <v>0</v>
      </c>
      <c r="L597" s="84" cm="1">
        <f ca="1" t="array" ref="L597">IF($E597&lt;7,_xlfn.XLOOKUP($D597&amp;$E597,$D$155:$D$395&amp;$E$155:$E$395,L$155:L$395),"")</f>
        <v>0</v>
      </c>
      <c r="M597" s="84" cm="1">
        <f ca="1" t="array" ref="M597">IF($E597&lt;7,_xlfn.XLOOKUP($D597&amp;$E597,$D$155:$D$395&amp;$E$155:$E$395,M$155:M$395),"")</f>
        <v>0</v>
      </c>
      <c r="N597" s="84" t="s">
        <v>282</v>
      </c>
      <c r="O597" s="84" t="s">
        <v>282</v>
      </c>
      <c r="P597" s="84" t="s">
        <v>282</v>
      </c>
      <c r="Q597" s="84" t="s">
        <v>282</v>
      </c>
      <c r="R597" s="84" t="s">
        <v>282</v>
      </c>
      <c r="S597" s="90">
        <f ca="1" t="shared" si="151"/>
        <v>235</v>
      </c>
      <c r="T597" s="90" cm="1">
        <f ca="1" t="array" ref="T597">IFERROR(SUMPRODUCT(F597:M597,$F$154:$M$154)+IFERROR(N597*SUMPRODUCT(O597:R597,$O$154:$R$154),0),"")</f>
        <v>1345</v>
      </c>
      <c r="U597" s="94"/>
      <c r="V597" s="94" t="str">
        <f t="shared" si="152"/>
        <v/>
      </c>
      <c r="W597" t="str">
        <f ca="1" t="shared" si="149"/>
        <v/>
      </c>
      <c r="X597" s="94" t="str">
        <f t="shared" si="153"/>
        <v>{61,175}</v>
      </c>
      <c r="Y597" s="94" t="str">
        <f t="shared" si="154"/>
        <v>{63,195}</v>
      </c>
      <c r="Z597" s="94" t="str">
        <f ca="1" t="shared" si="155"/>
        <v/>
      </c>
      <c r="AA597" s="94" t="str">
        <f ca="1" t="shared" si="156"/>
        <v/>
      </c>
      <c r="AB597" s="94" t="str">
        <f ca="1" t="shared" si="157"/>
        <v/>
      </c>
      <c r="AE597" s="94" t="str">
        <f t="shared" si="158"/>
        <v>{2,975}</v>
      </c>
      <c r="AH597" t="str">
        <f ca="1" t="shared" si="150"/>
        <v>[{61,175},{63,195},{2,975}]</v>
      </c>
    </row>
    <row r="598" spans="4:34">
      <c r="D598" s="81" t="str">
        <f ca="1" t="shared" si="159"/>
        <v>卓越Ⅴ</v>
      </c>
      <c r="E598" s="84">
        <f t="shared" si="160"/>
        <v>3</v>
      </c>
      <c r="F598" s="84">
        <f>F590+5</f>
        <v>175</v>
      </c>
      <c r="G598" s="84"/>
      <c r="H598" s="84"/>
      <c r="I598" s="84">
        <f t="shared" si="161"/>
        <v>975</v>
      </c>
      <c r="J598" s="84">
        <v>5</v>
      </c>
      <c r="K598" s="84"/>
      <c r="L598" s="84" cm="1">
        <f ca="1" t="array" ref="L598">IF($E598&lt;7,_xlfn.XLOOKUP($D598&amp;$E598,$D$155:$D$395&amp;$E$155:$E$395,L$155:L$395),"")</f>
        <v>0</v>
      </c>
      <c r="M598" s="84" cm="1">
        <f ca="1" t="array" ref="M598">IF($E598&lt;7,_xlfn.XLOOKUP($D598&amp;$E598,$D$155:$D$395&amp;$E$155:$E$395,M$155:M$395),"")</f>
        <v>0</v>
      </c>
      <c r="N598" s="84" t="s">
        <v>282</v>
      </c>
      <c r="O598" s="84" t="s">
        <v>282</v>
      </c>
      <c r="P598" s="84" t="s">
        <v>282</v>
      </c>
      <c r="Q598" s="84" t="s">
        <v>282</v>
      </c>
      <c r="R598" s="84" t="s">
        <v>282</v>
      </c>
      <c r="S598" s="90">
        <f ca="1" t="shared" si="151"/>
        <v>235</v>
      </c>
      <c r="T598" s="90" cm="1">
        <f ca="1" t="array" ref="T598">IFERROR(SUMPRODUCT(F598:M598,$F$154:$M$154)+IFERROR(N598*SUMPRODUCT(O598:R598,$O$154:$R$154),0),"")</f>
        <v>2150</v>
      </c>
      <c r="U598" s="94"/>
      <c r="V598" s="94" t="str">
        <f t="shared" si="152"/>
        <v/>
      </c>
      <c r="W598" t="str">
        <f ca="1" t="shared" si="149"/>
        <v/>
      </c>
      <c r="X598" s="94" t="str">
        <f t="shared" si="153"/>
        <v>{61,175}</v>
      </c>
      <c r="Y598" s="94" t="str">
        <f t="shared" si="154"/>
        <v/>
      </c>
      <c r="Z598" s="94" t="str">
        <f ca="1" t="shared" si="155"/>
        <v/>
      </c>
      <c r="AA598" s="94" t="str">
        <f t="shared" si="156"/>
        <v/>
      </c>
      <c r="AB598" s="94" t="str">
        <f t="shared" si="157"/>
        <v>{6030001,5}</v>
      </c>
      <c r="AE598" s="94" t="str">
        <f t="shared" si="158"/>
        <v>{2,975}</v>
      </c>
      <c r="AH598" t="str">
        <f ca="1" t="shared" si="150"/>
        <v>[{61,175},{6030001,5},{2,975}]</v>
      </c>
    </row>
    <row r="599" spans="4:34">
      <c r="D599" s="81" t="str">
        <f ca="1" t="shared" si="159"/>
        <v>卓越Ⅴ</v>
      </c>
      <c r="E599" s="84">
        <f t="shared" si="160"/>
        <v>4</v>
      </c>
      <c r="F599" s="84">
        <f>CEILING(F600*1.25,5)</f>
        <v>275</v>
      </c>
      <c r="G599" s="84">
        <f>CEILING(G597*1.5,5)</f>
        <v>295</v>
      </c>
      <c r="H599" s="84"/>
      <c r="I599" s="84">
        <f t="shared" si="161"/>
        <v>975</v>
      </c>
      <c r="J599" s="84" cm="1">
        <f ca="1" t="array" ref="J599">IF($E599&lt;7,_xlfn.XLOOKUP($D599&amp;$E599,$D$155:$D$395&amp;$E$155:$E$395,J$155:J$395),"")</f>
        <v>0</v>
      </c>
      <c r="K599" s="84" cm="1">
        <f ca="1" t="array" ref="K599">IF($E599&lt;7,_xlfn.XLOOKUP($D599&amp;$E599,$D$155:$D$395&amp;$E$155:$E$395,K$155:K$395),"")</f>
        <v>0</v>
      </c>
      <c r="L599" s="84" cm="1">
        <f ca="1" t="array" ref="L599">IF($E599&lt;7,_xlfn.XLOOKUP($D599&amp;$E599,$D$155:$D$395&amp;$E$155:$E$395,L$155:L$395),"")</f>
        <v>0</v>
      </c>
      <c r="M599" s="84" cm="1">
        <f ca="1" t="array" ref="M599">IF($E599&lt;7,_xlfn.XLOOKUP($D599&amp;$E599,$D$155:$D$395&amp;$E$155:$E$395,M$155:M$395),"")</f>
        <v>0</v>
      </c>
      <c r="N599" s="84" t="s">
        <v>282</v>
      </c>
      <c r="O599" s="84" t="s">
        <v>282</v>
      </c>
      <c r="P599" s="84" t="s">
        <v>282</v>
      </c>
      <c r="Q599" s="84" t="s">
        <v>282</v>
      </c>
      <c r="R599" s="84" t="s">
        <v>282</v>
      </c>
      <c r="S599" s="90">
        <f ca="1" t="shared" si="151"/>
        <v>235</v>
      </c>
      <c r="T599" s="90" cm="1">
        <f ca="1" t="array" ref="T599">IFERROR(SUMPRODUCT(F599:M599,$F$154:$M$154)+IFERROR(N599*SUMPRODUCT(O599:R599,$O$154:$R$154),0),"")</f>
        <v>1545</v>
      </c>
      <c r="U599" s="94"/>
      <c r="V599" s="94" t="str">
        <f t="shared" si="152"/>
        <v/>
      </c>
      <c r="W599" t="str">
        <f ca="1" t="shared" si="149"/>
        <v/>
      </c>
      <c r="X599" s="94" t="str">
        <f t="shared" si="153"/>
        <v>{61,275}</v>
      </c>
      <c r="Y599" s="94" t="str">
        <f t="shared" si="154"/>
        <v>{63,295}</v>
      </c>
      <c r="Z599" s="94" t="str">
        <f ca="1" t="shared" si="155"/>
        <v/>
      </c>
      <c r="AA599" s="94" t="str">
        <f ca="1" t="shared" si="156"/>
        <v/>
      </c>
      <c r="AB599" s="94" t="str">
        <f ca="1" t="shared" si="157"/>
        <v/>
      </c>
      <c r="AE599" s="94" t="str">
        <f t="shared" si="158"/>
        <v>{2,975}</v>
      </c>
      <c r="AH599" t="str">
        <f ca="1" t="shared" si="150"/>
        <v>[{61,275},{63,295},{2,975}]</v>
      </c>
    </row>
    <row r="600" spans="4:34">
      <c r="D600" s="81" t="str">
        <f ca="1" t="shared" si="159"/>
        <v>卓越Ⅴ</v>
      </c>
      <c r="E600" s="84">
        <f t="shared" si="160"/>
        <v>5</v>
      </c>
      <c r="F600" s="84">
        <f>CEILING(F596*1.25,5)</f>
        <v>220</v>
      </c>
      <c r="G600" s="84"/>
      <c r="H600" s="84"/>
      <c r="I600" s="84">
        <f t="shared" si="161"/>
        <v>975</v>
      </c>
      <c r="J600" s="84" cm="1">
        <f ca="1" t="array" ref="J600">IF($E600&lt;7,_xlfn.XLOOKUP($D600&amp;$E600,$D$155:$D$395&amp;$E$155:$E$395,J$155:J$395),"")</f>
        <v>0</v>
      </c>
      <c r="K600" s="84">
        <v>6</v>
      </c>
      <c r="L600" s="84"/>
      <c r="M600" s="84" cm="1">
        <f ca="1" t="array" ref="M600">IF($E600&lt;7,_xlfn.XLOOKUP($D600&amp;$E600,$D$155:$D$395&amp;$E$155:$E$395,M$155:M$395),"")</f>
        <v>0</v>
      </c>
      <c r="N600" s="84" t="s">
        <v>282</v>
      </c>
      <c r="O600" s="84" t="s">
        <v>282</v>
      </c>
      <c r="P600" s="84" t="s">
        <v>282</v>
      </c>
      <c r="Q600" s="84" t="s">
        <v>282</v>
      </c>
      <c r="R600" s="84" t="s">
        <v>282</v>
      </c>
      <c r="S600" s="90">
        <f ca="1" t="shared" si="151"/>
        <v>235</v>
      </c>
      <c r="T600" s="90" cm="1">
        <f ca="1" t="array" ref="T600">IFERROR(SUMPRODUCT(F600:M600,$F$154:$M$154)+IFERROR(N600*SUMPRODUCT(O600:R600,$O$154:$R$154),0),"")</f>
        <v>3595</v>
      </c>
      <c r="U600" s="94"/>
      <c r="V600" s="94" t="str">
        <f t="shared" si="152"/>
        <v/>
      </c>
      <c r="W600" t="str">
        <f ca="1" t="shared" si="149"/>
        <v/>
      </c>
      <c r="X600" s="94" t="str">
        <f t="shared" si="153"/>
        <v>{61,220}</v>
      </c>
      <c r="Y600" s="94" t="str">
        <f t="shared" si="154"/>
        <v/>
      </c>
      <c r="Z600" s="94" t="str">
        <f t="shared" si="155"/>
        <v/>
      </c>
      <c r="AA600" s="94" t="str">
        <f t="shared" si="156"/>
        <v>{6030002,6}</v>
      </c>
      <c r="AB600" s="94" t="str">
        <f ca="1" t="shared" si="157"/>
        <v/>
      </c>
      <c r="AE600" s="94" t="str">
        <f t="shared" si="158"/>
        <v>{2,975}</v>
      </c>
      <c r="AH600" t="str">
        <f ca="1" t="shared" si="150"/>
        <v>[{61,220},{6030002,6},{2,975}]</v>
      </c>
    </row>
    <row r="601" spans="4:34">
      <c r="D601" s="81" t="str">
        <f ca="1" t="shared" si="159"/>
        <v>卓越Ⅴ</v>
      </c>
      <c r="E601" s="84">
        <f t="shared" si="160"/>
        <v>6</v>
      </c>
      <c r="F601" s="84">
        <f>CEILING(F597*1.25,5)</f>
        <v>220</v>
      </c>
      <c r="G601" s="84">
        <f>G599</f>
        <v>295</v>
      </c>
      <c r="H601" s="84"/>
      <c r="I601" s="84">
        <f t="shared" si="161"/>
        <v>975</v>
      </c>
      <c r="J601" s="84" cm="1">
        <f ca="1" t="array" ref="J601">IF($E601&lt;7,_xlfn.XLOOKUP($D601&amp;$E601,$D$155:$D$395&amp;$E$155:$E$395,J$155:J$395),"")</f>
        <v>0</v>
      </c>
      <c r="K601" s="84" cm="1">
        <f ca="1" t="array" ref="K601">IF($E601&lt;7,_xlfn.XLOOKUP($D601&amp;$E601,$D$155:$D$395&amp;$E$155:$E$395,K$155:K$395),"")</f>
        <v>0</v>
      </c>
      <c r="L601" s="84" cm="1">
        <f ca="1" t="array" ref="L601">IF($E601&lt;7,_xlfn.XLOOKUP($D601&amp;$E601,$D$155:$D$395&amp;$E$155:$E$395,L$155:L$395),"")</f>
        <v>0</v>
      </c>
      <c r="M601" s="84" cm="1">
        <f ca="1" t="array" ref="M601">IF($E601&lt;7,_xlfn.XLOOKUP($D601&amp;$E601,$D$155:$D$395&amp;$E$155:$E$395,M$155:M$395),"")</f>
        <v>0</v>
      </c>
      <c r="N601" s="84" t="s">
        <v>282</v>
      </c>
      <c r="O601" s="84" t="s">
        <v>282</v>
      </c>
      <c r="P601" s="84" t="s">
        <v>282</v>
      </c>
      <c r="Q601" s="84" t="s">
        <v>282</v>
      </c>
      <c r="R601" s="84" t="s">
        <v>282</v>
      </c>
      <c r="S601" s="90">
        <f ca="1" t="shared" si="151"/>
        <v>235</v>
      </c>
      <c r="T601" s="90" cm="1">
        <f ca="1" t="array" ref="T601">IFERROR(SUMPRODUCT(F601:M601,$F$154:$M$154)+IFERROR(N601*SUMPRODUCT(O601:R601,$O$154:$R$154),0),"")</f>
        <v>1490</v>
      </c>
      <c r="U601" s="94"/>
      <c r="V601" s="94" t="str">
        <f t="shared" si="152"/>
        <v/>
      </c>
      <c r="W601" t="str">
        <f ca="1" t="shared" si="149"/>
        <v/>
      </c>
      <c r="X601" s="94" t="str">
        <f t="shared" si="153"/>
        <v>{61,220}</v>
      </c>
      <c r="Y601" s="94" t="str">
        <f t="shared" si="154"/>
        <v>{63,295}</v>
      </c>
      <c r="Z601" s="94" t="str">
        <f ca="1" t="shared" si="155"/>
        <v/>
      </c>
      <c r="AA601" s="94" t="str">
        <f ca="1" t="shared" si="156"/>
        <v/>
      </c>
      <c r="AB601" s="94" t="str">
        <f ca="1" t="shared" si="157"/>
        <v/>
      </c>
      <c r="AE601" s="94" t="str">
        <f t="shared" si="158"/>
        <v>{2,975}</v>
      </c>
      <c r="AH601" t="str">
        <f ca="1" t="shared" si="150"/>
        <v>[{61,220},{63,295},{2,975}]</v>
      </c>
    </row>
    <row r="602" spans="4:34">
      <c r="D602" s="81" t="str">
        <f ca="1" t="shared" si="159"/>
        <v>卓越Ⅴ</v>
      </c>
      <c r="E602" s="84">
        <f t="shared" si="160"/>
        <v>7</v>
      </c>
      <c r="F602" s="84">
        <f>CEILING(F598*1.25,5)</f>
        <v>220</v>
      </c>
      <c r="G602" s="84"/>
      <c r="H602" s="84"/>
      <c r="I602" s="84">
        <f t="shared" si="161"/>
        <v>975</v>
      </c>
      <c r="J602" s="84" t="str" cm="1">
        <f ca="1" t="array" ref="J602">IF($E602&lt;7,_xlfn.XLOOKUP($D602&amp;$E602,$D$155:$D$395&amp;$E$155:$E$395,J$155:J$395),"")</f>
        <v/>
      </c>
      <c r="K602" s="84" t="str" cm="1">
        <f ca="1" t="array" ref="K602">IF($E602&lt;7,_xlfn.XLOOKUP($D602&amp;$E602,$D$155:$D$395&amp;$E$155:$E$395,K$155:K$395),"")</f>
        <v/>
      </c>
      <c r="L602" s="84">
        <v>5</v>
      </c>
      <c r="M602" s="84" t="str" cm="1">
        <f ca="1" t="array" ref="M602">IF($E602&lt;7,_xlfn.XLOOKUP($D602&amp;$E602,$D$155:$D$395&amp;$E$155:$E$395,M$155:M$395),"")</f>
        <v/>
      </c>
      <c r="N602" s="84" t="s">
        <v>282</v>
      </c>
      <c r="O602" s="84" t="s">
        <v>282</v>
      </c>
      <c r="P602" s="84" t="s">
        <v>282</v>
      </c>
      <c r="Q602" s="84" t="s">
        <v>282</v>
      </c>
      <c r="R602" s="84" t="s">
        <v>282</v>
      </c>
      <c r="S602" s="90">
        <f ca="1" t="shared" si="151"/>
        <v>235</v>
      </c>
      <c r="T602" s="90" cm="1">
        <f ca="1" t="array" ref="T602">IFERROR(SUMPRODUCT(F602:M602,$F$154:$M$154)+IFERROR(N602*SUMPRODUCT(O602:R602,$O$154:$R$154),0),"")</f>
        <v>5195</v>
      </c>
      <c r="U602" s="94"/>
      <c r="V602" s="94" t="str">
        <f t="shared" si="152"/>
        <v/>
      </c>
      <c r="W602" t="str">
        <f ca="1" t="shared" si="149"/>
        <v/>
      </c>
      <c r="X602" s="94" t="str">
        <f t="shared" si="153"/>
        <v>{61,220}</v>
      </c>
      <c r="Y602" s="94" t="str">
        <f t="shared" si="154"/>
        <v/>
      </c>
      <c r="Z602" s="94" t="str">
        <f t="shared" si="155"/>
        <v>{6030003,5}</v>
      </c>
      <c r="AA602" s="94" t="str">
        <f ca="1" t="shared" si="156"/>
        <v/>
      </c>
      <c r="AB602" s="94" t="str">
        <f ca="1" t="shared" si="157"/>
        <v/>
      </c>
      <c r="AE602" s="94" t="str">
        <f t="shared" si="158"/>
        <v>{2,975}</v>
      </c>
      <c r="AH602" t="str">
        <f ca="1" t="shared" si="150"/>
        <v>[{61,220},{6030003,5},{2,975}]</v>
      </c>
    </row>
    <row r="603" spans="4:34">
      <c r="D603" s="81" t="str">
        <f ca="1" t="shared" si="159"/>
        <v>卓越Ⅴ</v>
      </c>
      <c r="E603" s="84">
        <f t="shared" si="160"/>
        <v>8</v>
      </c>
      <c r="F603" s="84">
        <f>CEILING(F602*1.5,5)</f>
        <v>330</v>
      </c>
      <c r="G603" s="84">
        <f>CEILING(G601*1.5,5)</f>
        <v>445</v>
      </c>
      <c r="H603" s="84">
        <f>1</f>
        <v>1</v>
      </c>
      <c r="I603" s="84">
        <f t="shared" si="161"/>
        <v>975</v>
      </c>
      <c r="J603" s="84" t="str" cm="1">
        <f ca="1" t="array" ref="J603">IF($E603&lt;7,_xlfn.XLOOKUP($D603&amp;$E603,$D$155:$D$395&amp;$E$155:$E$395,J$155:J$395),"")</f>
        <v/>
      </c>
      <c r="K603" s="84" t="str" cm="1">
        <f ca="1" t="array" ref="K603">IF($E603&lt;7,_xlfn.XLOOKUP($D603&amp;$E603,$D$155:$D$395&amp;$E$155:$E$395,K$155:K$395),"")</f>
        <v/>
      </c>
      <c r="L603" s="84" t="str" cm="1">
        <f ca="1" t="array" ref="L603">IF($E603&lt;7,_xlfn.XLOOKUP($D603&amp;$E603,$D$155:$D$395&amp;$E$155:$E$395,L$155:L$395),"")</f>
        <v/>
      </c>
      <c r="M603" s="84" t="str" cm="1">
        <f ca="1" t="array" ref="M603">IF($E603&lt;7,_xlfn.XLOOKUP($D603&amp;$E603,$D$155:$D$395&amp;$E$155:$E$395,M$155:M$395),"")</f>
        <v/>
      </c>
      <c r="N603" s="84">
        <v>8</v>
      </c>
      <c r="O603" s="84">
        <v>0</v>
      </c>
      <c r="P603" s="84">
        <v>0.4</v>
      </c>
      <c r="Q603" s="84">
        <v>0.45</v>
      </c>
      <c r="R603" s="84">
        <v>0.15</v>
      </c>
      <c r="S603" s="90">
        <f ca="1" t="shared" si="151"/>
        <v>235</v>
      </c>
      <c r="T603" s="90" cm="1">
        <f ca="1" t="array" ref="T603">IFERROR(SUMPRODUCT(F603:M603,$F$154:$M$154)+IFERROR(N603*SUMPRODUCT(O603:R603,$O$154:$R$154),0),"")</f>
        <v>7980</v>
      </c>
      <c r="U603" s="94"/>
      <c r="V603" s="94" t="str">
        <f t="shared" si="152"/>
        <v>{62,1}</v>
      </c>
      <c r="W603" t="str">
        <f ca="1" t="shared" si="149"/>
        <v>{6020020,8}</v>
      </c>
      <c r="X603" s="94" t="str">
        <f t="shared" si="153"/>
        <v>{61,330}</v>
      </c>
      <c r="Y603" s="94" t="str">
        <f t="shared" si="154"/>
        <v>{63,445}</v>
      </c>
      <c r="Z603" s="94" t="str">
        <f ca="1" t="shared" si="155"/>
        <v/>
      </c>
      <c r="AA603" s="94" t="str">
        <f ca="1" t="shared" si="156"/>
        <v/>
      </c>
      <c r="AB603" s="94" t="str">
        <f ca="1" t="shared" si="157"/>
        <v/>
      </c>
      <c r="AE603" s="94" t="str">
        <f t="shared" si="158"/>
        <v>{2,975}</v>
      </c>
      <c r="AH603" t="str">
        <f ca="1" t="shared" si="150"/>
        <v>[{62,1},{6020020,8},{61,330},{63,445},{2,975}]</v>
      </c>
    </row>
    <row r="604" spans="4:34">
      <c r="D604" s="81" t="str">
        <f ca="1" t="shared" si="159"/>
        <v>传世Ⅰ</v>
      </c>
      <c r="E604" s="84">
        <f t="shared" si="160"/>
        <v>1</v>
      </c>
      <c r="F604" s="84">
        <f>F596+5</f>
        <v>180</v>
      </c>
      <c r="G604" s="84"/>
      <c r="H604" s="84"/>
      <c r="I604" s="84">
        <f t="shared" si="161"/>
        <v>1000</v>
      </c>
      <c r="J604" s="84">
        <v>4</v>
      </c>
      <c r="K604" s="84" cm="1">
        <f ca="1" t="array" ref="K604">IF($E604&lt;7,_xlfn.XLOOKUP($D604&amp;$E604,$D$155:$D$395&amp;$E$155:$E$395,K$155:K$395),"")</f>
        <v>0</v>
      </c>
      <c r="L604" s="84" cm="1">
        <f ca="1" t="array" ref="L604">IF($E604&lt;7,_xlfn.XLOOKUP($D604&amp;$E604,$D$155:$D$395&amp;$E$155:$E$395,L$155:L$395),"")</f>
        <v>0</v>
      </c>
      <c r="M604" s="84" cm="1">
        <f ca="1" t="array" ref="M604">IF($E604&lt;7,_xlfn.XLOOKUP($D604&amp;$E604,$D$155:$D$395&amp;$E$155:$E$395,M$155:M$395),"")</f>
        <v>0</v>
      </c>
      <c r="N604" s="84" t="s">
        <v>282</v>
      </c>
      <c r="O604" s="84" t="s">
        <v>282</v>
      </c>
      <c r="P604" s="84" t="s">
        <v>282</v>
      </c>
      <c r="Q604" s="84" t="s">
        <v>282</v>
      </c>
      <c r="R604" s="84" t="s">
        <v>282</v>
      </c>
      <c r="S604" s="90">
        <f ca="1" t="shared" si="151"/>
        <v>245</v>
      </c>
      <c r="T604" s="90" cm="1">
        <f ca="1" t="array" ref="T604">IFERROR(SUMPRODUCT(F604:M604,$F$154:$M$154)+IFERROR(N604*SUMPRODUCT(O604:R604,$O$154:$R$154),0),"")</f>
        <v>1980</v>
      </c>
      <c r="U604" s="94"/>
      <c r="V604" s="94" t="str">
        <f t="shared" si="152"/>
        <v/>
      </c>
      <c r="W604" t="str">
        <f ca="1" t="shared" si="149"/>
        <v/>
      </c>
      <c r="X604" s="94" t="str">
        <f t="shared" si="153"/>
        <v>{61,180}</v>
      </c>
      <c r="Y604" s="94" t="str">
        <f t="shared" si="154"/>
        <v/>
      </c>
      <c r="Z604" s="94" t="str">
        <f ca="1" t="shared" si="155"/>
        <v/>
      </c>
      <c r="AA604" s="94" t="str">
        <f ca="1" t="shared" si="156"/>
        <v/>
      </c>
      <c r="AB604" s="94" t="str">
        <f t="shared" si="157"/>
        <v>{6030001,4}</v>
      </c>
      <c r="AE604" s="94" t="str">
        <f t="shared" si="158"/>
        <v>{2,1000}</v>
      </c>
      <c r="AH604" t="str">
        <f ca="1" t="shared" si="150"/>
        <v>[{61,180},{6030001,4},{2,1000}]</v>
      </c>
    </row>
    <row r="605" spans="4:34">
      <c r="D605" s="81" t="str">
        <f ca="1" t="shared" si="159"/>
        <v>传世Ⅰ</v>
      </c>
      <c r="E605" s="84">
        <f t="shared" si="160"/>
        <v>2</v>
      </c>
      <c r="F605" s="84">
        <f>F597+5</f>
        <v>180</v>
      </c>
      <c r="G605" s="84">
        <f>G597+5</f>
        <v>200</v>
      </c>
      <c r="H605" s="84"/>
      <c r="I605" s="84">
        <f t="shared" si="161"/>
        <v>1000</v>
      </c>
      <c r="J605" s="84" cm="1">
        <f ca="1" t="array" ref="J605">IF($E605&lt;7,_xlfn.XLOOKUP($D605&amp;$E605,$D$155:$D$395&amp;$E$155:$E$395,J$155:J$395),"")</f>
        <v>0</v>
      </c>
      <c r="K605" s="84" cm="1">
        <f ca="1" t="array" ref="K605">IF($E605&lt;7,_xlfn.XLOOKUP($D605&amp;$E605,$D$155:$D$395&amp;$E$155:$E$395,K$155:K$395),"")</f>
        <v>0</v>
      </c>
      <c r="L605" s="84" cm="1">
        <f ca="1" t="array" ref="L605">IF($E605&lt;7,_xlfn.XLOOKUP($D605&amp;$E605,$D$155:$D$395&amp;$E$155:$E$395,L$155:L$395),"")</f>
        <v>0</v>
      </c>
      <c r="M605" s="84" cm="1">
        <f ca="1" t="array" ref="M605">IF($E605&lt;7,_xlfn.XLOOKUP($D605&amp;$E605,$D$155:$D$395&amp;$E$155:$E$395,M$155:M$395),"")</f>
        <v>0</v>
      </c>
      <c r="N605" s="84" t="s">
        <v>282</v>
      </c>
      <c r="O605" s="84" t="s">
        <v>282</v>
      </c>
      <c r="P605" s="84" t="s">
        <v>282</v>
      </c>
      <c r="Q605" s="84" t="s">
        <v>282</v>
      </c>
      <c r="R605" s="84" t="s">
        <v>282</v>
      </c>
      <c r="S605" s="90">
        <f ca="1" t="shared" si="151"/>
        <v>245</v>
      </c>
      <c r="T605" s="90" cm="1">
        <f ca="1" t="array" ref="T605">IFERROR(SUMPRODUCT(F605:M605,$F$154:$M$154)+IFERROR(N605*SUMPRODUCT(O605:R605,$O$154:$R$154),0),"")</f>
        <v>1380</v>
      </c>
      <c r="U605" s="94"/>
      <c r="V605" s="94" t="str">
        <f t="shared" si="152"/>
        <v/>
      </c>
      <c r="W605" t="str">
        <f ca="1" t="shared" si="149"/>
        <v/>
      </c>
      <c r="X605" s="94" t="str">
        <f t="shared" si="153"/>
        <v>{61,180}</v>
      </c>
      <c r="Y605" s="94" t="str">
        <f t="shared" si="154"/>
        <v>{63,200}</v>
      </c>
      <c r="Z605" s="94" t="str">
        <f ca="1" t="shared" si="155"/>
        <v/>
      </c>
      <c r="AA605" s="94" t="str">
        <f ca="1" t="shared" si="156"/>
        <v/>
      </c>
      <c r="AB605" s="94" t="str">
        <f ca="1" t="shared" si="157"/>
        <v/>
      </c>
      <c r="AE605" s="94" t="str">
        <f t="shared" si="158"/>
        <v>{2,1000}</v>
      </c>
      <c r="AH605" t="str">
        <f ca="1" t="shared" si="150"/>
        <v>[{61,180},{63,200},{2,1000}]</v>
      </c>
    </row>
    <row r="606" spans="4:34">
      <c r="D606" s="81" t="str">
        <f ca="1" t="shared" si="159"/>
        <v>传世Ⅰ</v>
      </c>
      <c r="E606" s="84">
        <f t="shared" si="160"/>
        <v>3</v>
      </c>
      <c r="F606" s="84">
        <f>F598+5</f>
        <v>180</v>
      </c>
      <c r="G606" s="84"/>
      <c r="H606" s="84"/>
      <c r="I606" s="84">
        <f t="shared" si="161"/>
        <v>1000</v>
      </c>
      <c r="J606" s="84">
        <v>5</v>
      </c>
      <c r="K606" s="84"/>
      <c r="L606" s="84" cm="1">
        <f ca="1" t="array" ref="L606">IF($E606&lt;7,_xlfn.XLOOKUP($D606&amp;$E606,$D$155:$D$395&amp;$E$155:$E$395,L$155:L$395),"")</f>
        <v>0</v>
      </c>
      <c r="M606" s="84" cm="1">
        <f ca="1" t="array" ref="M606">IF($E606&lt;7,_xlfn.XLOOKUP($D606&amp;$E606,$D$155:$D$395&amp;$E$155:$E$395,M$155:M$395),"")</f>
        <v>0</v>
      </c>
      <c r="N606" s="84" t="s">
        <v>282</v>
      </c>
      <c r="O606" s="84" t="s">
        <v>282</v>
      </c>
      <c r="P606" s="84" t="s">
        <v>282</v>
      </c>
      <c r="Q606" s="84" t="s">
        <v>282</v>
      </c>
      <c r="R606" s="84" t="s">
        <v>282</v>
      </c>
      <c r="S606" s="90">
        <f ca="1" t="shared" si="151"/>
        <v>245</v>
      </c>
      <c r="T606" s="90" cm="1">
        <f ca="1" t="array" ref="T606">IFERROR(SUMPRODUCT(F606:M606,$F$154:$M$154)+IFERROR(N606*SUMPRODUCT(O606:R606,$O$154:$R$154),0),"")</f>
        <v>2180</v>
      </c>
      <c r="U606" s="94"/>
      <c r="V606" s="94" t="str">
        <f t="shared" si="152"/>
        <v/>
      </c>
      <c r="W606" t="str">
        <f ca="1" t="shared" si="149"/>
        <v/>
      </c>
      <c r="X606" s="94" t="str">
        <f t="shared" si="153"/>
        <v>{61,180}</v>
      </c>
      <c r="Y606" s="94" t="str">
        <f t="shared" si="154"/>
        <v/>
      </c>
      <c r="Z606" s="94" t="str">
        <f ca="1" t="shared" si="155"/>
        <v/>
      </c>
      <c r="AA606" s="94" t="str">
        <f t="shared" si="156"/>
        <v/>
      </c>
      <c r="AB606" s="94" t="str">
        <f t="shared" si="157"/>
        <v>{6030001,5}</v>
      </c>
      <c r="AE606" s="94" t="str">
        <f t="shared" si="158"/>
        <v>{2,1000}</v>
      </c>
      <c r="AH606" t="str">
        <f ca="1" t="shared" si="150"/>
        <v>[{61,180},{6030001,5},{2,1000}]</v>
      </c>
    </row>
    <row r="607" spans="4:34">
      <c r="D607" s="81" t="str">
        <f ca="1" t="shared" si="159"/>
        <v>传世Ⅰ</v>
      </c>
      <c r="E607" s="84">
        <f t="shared" si="160"/>
        <v>4</v>
      </c>
      <c r="F607" s="84">
        <f>CEILING(F608*1.25,5)</f>
        <v>285</v>
      </c>
      <c r="G607" s="84">
        <f>CEILING(G605*1.5,5)</f>
        <v>300</v>
      </c>
      <c r="H607" s="84"/>
      <c r="I607" s="84">
        <f t="shared" si="161"/>
        <v>1000</v>
      </c>
      <c r="J607" s="84" cm="1">
        <f ca="1" t="array" ref="J607">IF($E607&lt;7,_xlfn.XLOOKUP($D607&amp;$E607,$D$155:$D$395&amp;$E$155:$E$395,J$155:J$395),"")</f>
        <v>0</v>
      </c>
      <c r="K607" s="84" cm="1">
        <f ca="1" t="array" ref="K607">IF($E607&lt;7,_xlfn.XLOOKUP($D607&amp;$E607,$D$155:$D$395&amp;$E$155:$E$395,K$155:K$395),"")</f>
        <v>0</v>
      </c>
      <c r="L607" s="84" cm="1">
        <f ca="1" t="array" ref="L607">IF($E607&lt;7,_xlfn.XLOOKUP($D607&amp;$E607,$D$155:$D$395&amp;$E$155:$E$395,L$155:L$395),"")</f>
        <v>0</v>
      </c>
      <c r="M607" s="84" cm="1">
        <f ca="1" t="array" ref="M607">IF($E607&lt;7,_xlfn.XLOOKUP($D607&amp;$E607,$D$155:$D$395&amp;$E$155:$E$395,M$155:M$395),"")</f>
        <v>0</v>
      </c>
      <c r="N607" s="84" t="s">
        <v>282</v>
      </c>
      <c r="O607" s="84" t="s">
        <v>282</v>
      </c>
      <c r="P607" s="84" t="s">
        <v>282</v>
      </c>
      <c r="Q607" s="84" t="s">
        <v>282</v>
      </c>
      <c r="R607" s="84" t="s">
        <v>282</v>
      </c>
      <c r="S607" s="90">
        <f ca="1" t="shared" si="151"/>
        <v>245</v>
      </c>
      <c r="T607" s="90" cm="1">
        <f ca="1" t="array" ref="T607">IFERROR(SUMPRODUCT(F607:M607,$F$154:$M$154)+IFERROR(N607*SUMPRODUCT(O607:R607,$O$154:$R$154),0),"")</f>
        <v>1585</v>
      </c>
      <c r="U607" s="94"/>
      <c r="V607" s="94" t="str">
        <f t="shared" si="152"/>
        <v/>
      </c>
      <c r="W607" t="str">
        <f ca="1" t="shared" si="149"/>
        <v/>
      </c>
      <c r="X607" s="94" t="str">
        <f t="shared" si="153"/>
        <v>{61,285}</v>
      </c>
      <c r="Y607" s="94" t="str">
        <f t="shared" si="154"/>
        <v>{63,300}</v>
      </c>
      <c r="Z607" s="94" t="str">
        <f ca="1" t="shared" si="155"/>
        <v/>
      </c>
      <c r="AA607" s="94" t="str">
        <f ca="1" t="shared" si="156"/>
        <v/>
      </c>
      <c r="AB607" s="94" t="str">
        <f ca="1" t="shared" si="157"/>
        <v/>
      </c>
      <c r="AE607" s="94" t="str">
        <f t="shared" si="158"/>
        <v>{2,1000}</v>
      </c>
      <c r="AH607" t="str">
        <f ca="1" t="shared" si="150"/>
        <v>[{61,285},{63,300},{2,1000}]</v>
      </c>
    </row>
    <row r="608" spans="4:34">
      <c r="D608" s="81" t="str">
        <f ca="1" t="shared" si="159"/>
        <v>传世Ⅰ</v>
      </c>
      <c r="E608" s="84">
        <f t="shared" si="160"/>
        <v>5</v>
      </c>
      <c r="F608" s="84">
        <f>CEILING(F604*1.25,5)</f>
        <v>225</v>
      </c>
      <c r="G608" s="84"/>
      <c r="H608" s="84"/>
      <c r="I608" s="84">
        <f t="shared" si="161"/>
        <v>1000</v>
      </c>
      <c r="J608" s="84" cm="1">
        <f ca="1" t="array" ref="J608">IF($E608&lt;7,_xlfn.XLOOKUP($D608&amp;$E608,$D$155:$D$395&amp;$E$155:$E$395,J$155:J$395),"")</f>
        <v>0</v>
      </c>
      <c r="K608" s="84">
        <v>6</v>
      </c>
      <c r="L608" s="84"/>
      <c r="M608" s="84" cm="1">
        <f ca="1" t="array" ref="M608">IF($E608&lt;7,_xlfn.XLOOKUP($D608&amp;$E608,$D$155:$D$395&amp;$E$155:$E$395,M$155:M$395),"")</f>
        <v>0</v>
      </c>
      <c r="N608" s="84" t="s">
        <v>282</v>
      </c>
      <c r="O608" s="84" t="s">
        <v>282</v>
      </c>
      <c r="P608" s="84" t="s">
        <v>282</v>
      </c>
      <c r="Q608" s="84" t="s">
        <v>282</v>
      </c>
      <c r="R608" s="84" t="s">
        <v>282</v>
      </c>
      <c r="S608" s="90">
        <f ca="1" t="shared" si="151"/>
        <v>245</v>
      </c>
      <c r="T608" s="90" cm="1">
        <f ca="1" t="array" ref="T608">IFERROR(SUMPRODUCT(F608:M608,$F$154:$M$154)+IFERROR(N608*SUMPRODUCT(O608:R608,$O$154:$R$154),0),"")</f>
        <v>3625</v>
      </c>
      <c r="U608" s="94"/>
      <c r="V608" s="94" t="str">
        <f t="shared" si="152"/>
        <v/>
      </c>
      <c r="W608" t="str">
        <f ca="1" t="shared" si="149"/>
        <v/>
      </c>
      <c r="X608" s="94" t="str">
        <f t="shared" si="153"/>
        <v>{61,225}</v>
      </c>
      <c r="Y608" s="94" t="str">
        <f t="shared" si="154"/>
        <v/>
      </c>
      <c r="Z608" s="94" t="str">
        <f t="shared" si="155"/>
        <v/>
      </c>
      <c r="AA608" s="94" t="str">
        <f t="shared" si="156"/>
        <v>{6030002,6}</v>
      </c>
      <c r="AB608" s="94" t="str">
        <f ca="1" t="shared" si="157"/>
        <v/>
      </c>
      <c r="AE608" s="94" t="str">
        <f t="shared" si="158"/>
        <v>{2,1000}</v>
      </c>
      <c r="AH608" t="str">
        <f ca="1" t="shared" si="150"/>
        <v>[{61,225},{6030002,6},{2,1000}]</v>
      </c>
    </row>
    <row r="609" spans="4:34">
      <c r="D609" s="81" t="str">
        <f ca="1" t="shared" si="159"/>
        <v>传世Ⅰ</v>
      </c>
      <c r="E609" s="84">
        <f t="shared" si="160"/>
        <v>6</v>
      </c>
      <c r="F609" s="84">
        <f>CEILING(F605*1.25,5)</f>
        <v>225</v>
      </c>
      <c r="G609" s="84">
        <f>G607</f>
        <v>300</v>
      </c>
      <c r="H609" s="84"/>
      <c r="I609" s="84">
        <f t="shared" si="161"/>
        <v>1000</v>
      </c>
      <c r="J609" s="84" cm="1">
        <f ca="1" t="array" ref="J609">IF($E609&lt;7,_xlfn.XLOOKUP($D609&amp;$E609,$D$155:$D$395&amp;$E$155:$E$395,J$155:J$395),"")</f>
        <v>0</v>
      </c>
      <c r="K609" s="84" cm="1">
        <f ca="1" t="array" ref="K609">IF($E609&lt;7,_xlfn.XLOOKUP($D609&amp;$E609,$D$155:$D$395&amp;$E$155:$E$395,K$155:K$395),"")</f>
        <v>0</v>
      </c>
      <c r="L609" s="84" cm="1">
        <f ca="1" t="array" ref="L609">IF($E609&lt;7,_xlfn.XLOOKUP($D609&amp;$E609,$D$155:$D$395&amp;$E$155:$E$395,L$155:L$395),"")</f>
        <v>0</v>
      </c>
      <c r="M609" s="84" cm="1">
        <f ca="1" t="array" ref="M609">IF($E609&lt;7,_xlfn.XLOOKUP($D609&amp;$E609,$D$155:$D$395&amp;$E$155:$E$395,M$155:M$395),"")</f>
        <v>0</v>
      </c>
      <c r="N609" s="84" t="s">
        <v>282</v>
      </c>
      <c r="O609" s="84" t="s">
        <v>282</v>
      </c>
      <c r="P609" s="84" t="s">
        <v>282</v>
      </c>
      <c r="Q609" s="84" t="s">
        <v>282</v>
      </c>
      <c r="R609" s="84" t="s">
        <v>282</v>
      </c>
      <c r="S609" s="90">
        <f ca="1" t="shared" si="151"/>
        <v>245</v>
      </c>
      <c r="T609" s="90" cm="1">
        <f ca="1" t="array" ref="T609">IFERROR(SUMPRODUCT(F609:M609,$F$154:$M$154)+IFERROR(N609*SUMPRODUCT(O609:R609,$O$154:$R$154),0),"")</f>
        <v>1525</v>
      </c>
      <c r="U609" s="94"/>
      <c r="V609" s="94" t="str">
        <f t="shared" si="152"/>
        <v/>
      </c>
      <c r="W609" t="str">
        <f ca="1" t="shared" si="149"/>
        <v/>
      </c>
      <c r="X609" s="94" t="str">
        <f t="shared" si="153"/>
        <v>{61,225}</v>
      </c>
      <c r="Y609" s="94" t="str">
        <f t="shared" si="154"/>
        <v>{63,300}</v>
      </c>
      <c r="Z609" s="94" t="str">
        <f ca="1" t="shared" si="155"/>
        <v/>
      </c>
      <c r="AA609" s="94" t="str">
        <f ca="1" t="shared" si="156"/>
        <v/>
      </c>
      <c r="AB609" s="94" t="str">
        <f ca="1" t="shared" si="157"/>
        <v/>
      </c>
      <c r="AE609" s="94" t="str">
        <f t="shared" si="158"/>
        <v>{2,1000}</v>
      </c>
      <c r="AH609" t="str">
        <f ca="1" t="shared" si="150"/>
        <v>[{61,225},{63,300},{2,1000}]</v>
      </c>
    </row>
    <row r="610" spans="4:34">
      <c r="D610" s="81" t="str">
        <f ca="1" t="shared" si="159"/>
        <v>传世Ⅰ</v>
      </c>
      <c r="E610" s="84">
        <f t="shared" si="160"/>
        <v>7</v>
      </c>
      <c r="F610" s="84">
        <f>CEILING(F606*1.25,5)</f>
        <v>225</v>
      </c>
      <c r="G610" s="84"/>
      <c r="H610" s="84"/>
      <c r="I610" s="84">
        <f t="shared" si="161"/>
        <v>1000</v>
      </c>
      <c r="J610" s="84" t="str" cm="1">
        <f ca="1" t="array" ref="J610">IF($E610&lt;7,_xlfn.XLOOKUP($D610&amp;$E610,$D$155:$D$395&amp;$E$155:$E$395,J$155:J$395),"")</f>
        <v/>
      </c>
      <c r="K610" s="84" t="str" cm="1">
        <f ca="1" t="array" ref="K610">IF($E610&lt;7,_xlfn.XLOOKUP($D610&amp;$E610,$D$155:$D$395&amp;$E$155:$E$395,K$155:K$395),"")</f>
        <v/>
      </c>
      <c r="L610" s="84">
        <v>5</v>
      </c>
      <c r="M610" s="84" t="str" cm="1">
        <f ca="1" t="array" ref="M610">IF($E610&lt;7,_xlfn.XLOOKUP($D610&amp;$E610,$D$155:$D$395&amp;$E$155:$E$395,M$155:M$395),"")</f>
        <v/>
      </c>
      <c r="N610" s="84" t="s">
        <v>282</v>
      </c>
      <c r="O610" s="84" t="s">
        <v>282</v>
      </c>
      <c r="P610" s="84" t="s">
        <v>282</v>
      </c>
      <c r="Q610" s="84" t="s">
        <v>282</v>
      </c>
      <c r="R610" s="84" t="s">
        <v>282</v>
      </c>
      <c r="S610" s="90">
        <f ca="1" t="shared" si="151"/>
        <v>245</v>
      </c>
      <c r="T610" s="90" cm="1">
        <f ca="1" t="array" ref="T610">IFERROR(SUMPRODUCT(F610:M610,$F$154:$M$154)+IFERROR(N610*SUMPRODUCT(O610:R610,$O$154:$R$154),0),"")</f>
        <v>5225</v>
      </c>
      <c r="U610" s="94"/>
      <c r="V610" s="94" t="str">
        <f t="shared" si="152"/>
        <v/>
      </c>
      <c r="W610" t="str">
        <f ca="1" t="shared" si="149"/>
        <v/>
      </c>
      <c r="X610" s="94" t="str">
        <f t="shared" si="153"/>
        <v>{61,225}</v>
      </c>
      <c r="Y610" s="94" t="str">
        <f t="shared" si="154"/>
        <v/>
      </c>
      <c r="Z610" s="94" t="str">
        <f t="shared" si="155"/>
        <v>{6030003,5}</v>
      </c>
      <c r="AA610" s="94" t="str">
        <f ca="1" t="shared" si="156"/>
        <v/>
      </c>
      <c r="AB610" s="94" t="str">
        <f ca="1" t="shared" si="157"/>
        <v/>
      </c>
      <c r="AE610" s="94" t="str">
        <f t="shared" si="158"/>
        <v>{2,1000}</v>
      </c>
      <c r="AH610" t="str">
        <f ca="1" t="shared" si="150"/>
        <v>[{61,225},{6030003,5},{2,1000}]</v>
      </c>
    </row>
    <row r="611" spans="4:34">
      <c r="D611" s="81" t="str">
        <f ca="1" t="shared" si="159"/>
        <v>传世Ⅰ</v>
      </c>
      <c r="E611" s="84">
        <f t="shared" si="160"/>
        <v>8</v>
      </c>
      <c r="F611" s="84">
        <f>CEILING(F610*1.5,5)</f>
        <v>340</v>
      </c>
      <c r="G611" s="84">
        <f>CEILING(G609*1.5,5)</f>
        <v>450</v>
      </c>
      <c r="H611" s="84">
        <f>1</f>
        <v>1</v>
      </c>
      <c r="I611" s="84">
        <f t="shared" si="161"/>
        <v>1000</v>
      </c>
      <c r="J611" s="84" t="str" cm="1">
        <f ca="1" t="array" ref="J611">IF($E611&lt;7,_xlfn.XLOOKUP($D611&amp;$E611,$D$155:$D$395&amp;$E$155:$E$395,J$155:J$395),"")</f>
        <v/>
      </c>
      <c r="K611" s="84" t="str" cm="1">
        <f ca="1" t="array" ref="K611">IF($E611&lt;7,_xlfn.XLOOKUP($D611&amp;$E611,$D$155:$D$395&amp;$E$155:$E$395,K$155:K$395),"")</f>
        <v/>
      </c>
      <c r="L611" s="84" t="str" cm="1">
        <f ca="1" t="array" ref="L611">IF($E611&lt;7,_xlfn.XLOOKUP($D611&amp;$E611,$D$155:$D$395&amp;$E$155:$E$395,L$155:L$395),"")</f>
        <v/>
      </c>
      <c r="M611" s="84" t="str" cm="1">
        <f ca="1" t="array" ref="M611">IF($E611&lt;7,_xlfn.XLOOKUP($D611&amp;$E611,$D$155:$D$395&amp;$E$155:$E$395,M$155:M$395),"")</f>
        <v/>
      </c>
      <c r="N611" s="84">
        <v>8</v>
      </c>
      <c r="O611" s="84">
        <v>0</v>
      </c>
      <c r="P611" s="84">
        <v>0.34</v>
      </c>
      <c r="Q611" s="84">
        <v>0.48</v>
      </c>
      <c r="R611" s="84">
        <v>0.18</v>
      </c>
      <c r="S611" s="90">
        <f ca="1" t="shared" si="151"/>
        <v>245</v>
      </c>
      <c r="T611" s="90" cm="1">
        <f ca="1" t="array" ref="T611">IFERROR(SUMPRODUCT(F611:M611,$F$154:$M$154)+IFERROR(N611*SUMPRODUCT(O611:R611,$O$154:$R$154),0),"")</f>
        <v>8404</v>
      </c>
      <c r="U611" s="94"/>
      <c r="V611" s="94" t="str">
        <f t="shared" si="152"/>
        <v>{62,1}</v>
      </c>
      <c r="W611" t="str">
        <f ca="1" t="shared" si="149"/>
        <v>{6020021,8}</v>
      </c>
      <c r="X611" s="94" t="str">
        <f t="shared" si="153"/>
        <v>{61,340}</v>
      </c>
      <c r="Y611" s="94" t="str">
        <f t="shared" si="154"/>
        <v>{63,450}</v>
      </c>
      <c r="Z611" s="94" t="str">
        <f ca="1" t="shared" si="155"/>
        <v/>
      </c>
      <c r="AA611" s="94" t="str">
        <f ca="1" t="shared" si="156"/>
        <v/>
      </c>
      <c r="AB611" s="94" t="str">
        <f ca="1" t="shared" si="157"/>
        <v/>
      </c>
      <c r="AE611" s="94" t="str">
        <f t="shared" si="158"/>
        <v>{2,1000}</v>
      </c>
      <c r="AH611" t="str">
        <f ca="1" t="shared" si="150"/>
        <v>[{62,1},{6020021,8},{61,340},{63,450},{2,1000}]</v>
      </c>
    </row>
    <row r="612" spans="4:34">
      <c r="D612" s="81" t="str">
        <f ca="1" t="shared" si="159"/>
        <v>传世Ⅱ</v>
      </c>
      <c r="E612" s="84">
        <f t="shared" si="160"/>
        <v>1</v>
      </c>
      <c r="F612" s="84">
        <f>F604+5</f>
        <v>185</v>
      </c>
      <c r="G612" s="84"/>
      <c r="H612" s="84"/>
      <c r="I612" s="84">
        <f t="shared" si="161"/>
        <v>1025</v>
      </c>
      <c r="J612" s="84">
        <v>4</v>
      </c>
      <c r="K612" s="84" cm="1">
        <f ca="1" t="array" ref="K612">IF($E612&lt;7,_xlfn.XLOOKUP($D612&amp;$E612,$D$155:$D$395&amp;$E$155:$E$395,K$155:K$395),"")</f>
        <v>0</v>
      </c>
      <c r="L612" s="84" cm="1">
        <f ca="1" t="array" ref="L612">IF($E612&lt;7,_xlfn.XLOOKUP($D612&amp;$E612,$D$155:$D$395&amp;$E$155:$E$395,L$155:L$395),"")</f>
        <v>0</v>
      </c>
      <c r="M612" s="84" cm="1">
        <f ca="1" t="array" ref="M612">IF($E612&lt;7,_xlfn.XLOOKUP($D612&amp;$E612,$D$155:$D$395&amp;$E$155:$E$395,M$155:M$395),"")</f>
        <v>0</v>
      </c>
      <c r="N612" s="84" t="s">
        <v>282</v>
      </c>
      <c r="O612" s="84" t="s">
        <v>282</v>
      </c>
      <c r="P612" s="84" t="s">
        <v>282</v>
      </c>
      <c r="Q612" s="84" t="s">
        <v>282</v>
      </c>
      <c r="R612" s="84" t="s">
        <v>282</v>
      </c>
      <c r="S612" s="90">
        <f ca="1" t="shared" si="151"/>
        <v>255</v>
      </c>
      <c r="T612" s="90" cm="1">
        <f ca="1" t="array" ref="T612">IFERROR(SUMPRODUCT(F612:M612,$F$154:$M$154)+IFERROR(N612*SUMPRODUCT(O612:R612,$O$154:$R$154),0),"")</f>
        <v>2010</v>
      </c>
      <c r="U612" s="94"/>
      <c r="V612" s="94" t="str">
        <f t="shared" si="152"/>
        <v/>
      </c>
      <c r="W612" t="str">
        <f ca="1" t="shared" si="149"/>
        <v/>
      </c>
      <c r="X612" s="94" t="str">
        <f t="shared" si="153"/>
        <v>{61,185}</v>
      </c>
      <c r="Y612" s="94" t="str">
        <f t="shared" si="154"/>
        <v/>
      </c>
      <c r="Z612" s="94" t="str">
        <f ca="1" t="shared" si="155"/>
        <v/>
      </c>
      <c r="AA612" s="94" t="str">
        <f ca="1" t="shared" si="156"/>
        <v/>
      </c>
      <c r="AB612" s="94" t="str">
        <f t="shared" si="157"/>
        <v>{6030001,4}</v>
      </c>
      <c r="AE612" s="94" t="str">
        <f t="shared" si="158"/>
        <v>{2,1025}</v>
      </c>
      <c r="AH612" t="str">
        <f ca="1" t="shared" si="150"/>
        <v>[{61,185},{6030001,4},{2,1025}]</v>
      </c>
    </row>
    <row r="613" spans="4:34">
      <c r="D613" s="81" t="str">
        <f ca="1" t="shared" si="159"/>
        <v>传世Ⅱ</v>
      </c>
      <c r="E613" s="84">
        <f t="shared" si="160"/>
        <v>2</v>
      </c>
      <c r="F613" s="84">
        <f>F605+5</f>
        <v>185</v>
      </c>
      <c r="G613" s="84">
        <f>G605+5</f>
        <v>205</v>
      </c>
      <c r="H613" s="84"/>
      <c r="I613" s="84">
        <f t="shared" si="161"/>
        <v>1025</v>
      </c>
      <c r="J613" s="84" cm="1">
        <f ca="1" t="array" ref="J613">IF($E613&lt;7,_xlfn.XLOOKUP($D613&amp;$E613,$D$155:$D$395&amp;$E$155:$E$395,J$155:J$395),"")</f>
        <v>0</v>
      </c>
      <c r="K613" s="84" cm="1">
        <f ca="1" t="array" ref="K613">IF($E613&lt;7,_xlfn.XLOOKUP($D613&amp;$E613,$D$155:$D$395&amp;$E$155:$E$395,K$155:K$395),"")</f>
        <v>0</v>
      </c>
      <c r="L613" s="84" cm="1">
        <f ca="1" t="array" ref="L613">IF($E613&lt;7,_xlfn.XLOOKUP($D613&amp;$E613,$D$155:$D$395&amp;$E$155:$E$395,L$155:L$395),"")</f>
        <v>0</v>
      </c>
      <c r="M613" s="84" cm="1">
        <f ca="1" t="array" ref="M613">IF($E613&lt;7,_xlfn.XLOOKUP($D613&amp;$E613,$D$155:$D$395&amp;$E$155:$E$395,M$155:M$395),"")</f>
        <v>0</v>
      </c>
      <c r="N613" s="84" t="s">
        <v>282</v>
      </c>
      <c r="O613" s="84" t="s">
        <v>282</v>
      </c>
      <c r="P613" s="84" t="s">
        <v>282</v>
      </c>
      <c r="Q613" s="84" t="s">
        <v>282</v>
      </c>
      <c r="R613" s="84" t="s">
        <v>282</v>
      </c>
      <c r="S613" s="90">
        <f ca="1" t="shared" si="151"/>
        <v>255</v>
      </c>
      <c r="T613" s="90" cm="1">
        <f ca="1" t="array" ref="T613">IFERROR(SUMPRODUCT(F613:M613,$F$154:$M$154)+IFERROR(N613*SUMPRODUCT(O613:R613,$O$154:$R$154),0),"")</f>
        <v>1415</v>
      </c>
      <c r="U613" s="94"/>
      <c r="V613" s="94" t="str">
        <f t="shared" si="152"/>
        <v/>
      </c>
      <c r="W613" t="str">
        <f ca="1" t="shared" si="149"/>
        <v/>
      </c>
      <c r="X613" s="94" t="str">
        <f t="shared" si="153"/>
        <v>{61,185}</v>
      </c>
      <c r="Y613" s="94" t="str">
        <f t="shared" si="154"/>
        <v>{63,205}</v>
      </c>
      <c r="Z613" s="94" t="str">
        <f ca="1" t="shared" si="155"/>
        <v/>
      </c>
      <c r="AA613" s="94" t="str">
        <f ca="1" t="shared" si="156"/>
        <v/>
      </c>
      <c r="AB613" s="94" t="str">
        <f ca="1" t="shared" si="157"/>
        <v/>
      </c>
      <c r="AE613" s="94" t="str">
        <f t="shared" si="158"/>
        <v>{2,1025}</v>
      </c>
      <c r="AH613" t="str">
        <f ca="1" t="shared" si="150"/>
        <v>[{61,185},{63,205},{2,1025}]</v>
      </c>
    </row>
    <row r="614" spans="4:34">
      <c r="D614" s="81" t="str">
        <f ca="1" t="shared" si="159"/>
        <v>传世Ⅱ</v>
      </c>
      <c r="E614" s="84">
        <f t="shared" si="160"/>
        <v>3</v>
      </c>
      <c r="F614" s="84">
        <f>F606+5</f>
        <v>185</v>
      </c>
      <c r="G614" s="84"/>
      <c r="H614" s="84"/>
      <c r="I614" s="84">
        <f t="shared" si="161"/>
        <v>1025</v>
      </c>
      <c r="J614" s="84">
        <v>5</v>
      </c>
      <c r="K614" s="84"/>
      <c r="L614" s="84" cm="1">
        <f ca="1" t="array" ref="L614">IF($E614&lt;7,_xlfn.XLOOKUP($D614&amp;$E614,$D$155:$D$395&amp;$E$155:$E$395,L$155:L$395),"")</f>
        <v>0</v>
      </c>
      <c r="M614" s="84" cm="1">
        <f ca="1" t="array" ref="M614">IF($E614&lt;7,_xlfn.XLOOKUP($D614&amp;$E614,$D$155:$D$395&amp;$E$155:$E$395,M$155:M$395),"")</f>
        <v>0</v>
      </c>
      <c r="N614" s="84" t="s">
        <v>282</v>
      </c>
      <c r="O614" s="84" t="s">
        <v>282</v>
      </c>
      <c r="P614" s="84" t="s">
        <v>282</v>
      </c>
      <c r="Q614" s="84" t="s">
        <v>282</v>
      </c>
      <c r="R614" s="84" t="s">
        <v>282</v>
      </c>
      <c r="S614" s="90">
        <f ca="1" t="shared" si="151"/>
        <v>255</v>
      </c>
      <c r="T614" s="90" cm="1">
        <f ca="1" t="array" ref="T614">IFERROR(SUMPRODUCT(F614:M614,$F$154:$M$154)+IFERROR(N614*SUMPRODUCT(O614:R614,$O$154:$R$154),0),"")</f>
        <v>2210</v>
      </c>
      <c r="U614" s="94"/>
      <c r="V614" s="94" t="str">
        <f t="shared" si="152"/>
        <v/>
      </c>
      <c r="W614" t="str">
        <f ca="1" t="shared" si="149"/>
        <v/>
      </c>
      <c r="X614" s="94" t="str">
        <f t="shared" si="153"/>
        <v>{61,185}</v>
      </c>
      <c r="Y614" s="94" t="str">
        <f t="shared" si="154"/>
        <v/>
      </c>
      <c r="Z614" s="94" t="str">
        <f ca="1" t="shared" si="155"/>
        <v/>
      </c>
      <c r="AA614" s="94" t="str">
        <f t="shared" si="156"/>
        <v/>
      </c>
      <c r="AB614" s="94" t="str">
        <f t="shared" si="157"/>
        <v>{6030001,5}</v>
      </c>
      <c r="AE614" s="94" t="str">
        <f t="shared" si="158"/>
        <v>{2,1025}</v>
      </c>
      <c r="AH614" t="str">
        <f ca="1" t="shared" si="150"/>
        <v>[{61,185},{6030001,5},{2,1025}]</v>
      </c>
    </row>
    <row r="615" spans="4:34">
      <c r="D615" s="81" t="str">
        <f ca="1" t="shared" si="159"/>
        <v>传世Ⅱ</v>
      </c>
      <c r="E615" s="84">
        <f t="shared" si="160"/>
        <v>4</v>
      </c>
      <c r="F615" s="84">
        <f>CEILING(F616*1.25,5)</f>
        <v>295</v>
      </c>
      <c r="G615" s="84">
        <f>CEILING(G613*1.5,5)</f>
        <v>310</v>
      </c>
      <c r="H615" s="84"/>
      <c r="I615" s="84">
        <f t="shared" si="161"/>
        <v>1025</v>
      </c>
      <c r="J615" s="84" cm="1">
        <f ca="1" t="array" ref="J615">IF($E615&lt;7,_xlfn.XLOOKUP($D615&amp;$E615,$D$155:$D$395&amp;$E$155:$E$395,J$155:J$395),"")</f>
        <v>0</v>
      </c>
      <c r="K615" s="84" cm="1">
        <f ca="1" t="array" ref="K615">IF($E615&lt;7,_xlfn.XLOOKUP($D615&amp;$E615,$D$155:$D$395&amp;$E$155:$E$395,K$155:K$395),"")</f>
        <v>0</v>
      </c>
      <c r="L615" s="84" cm="1">
        <f ca="1" t="array" ref="L615">IF($E615&lt;7,_xlfn.XLOOKUP($D615&amp;$E615,$D$155:$D$395&amp;$E$155:$E$395,L$155:L$395),"")</f>
        <v>0</v>
      </c>
      <c r="M615" s="84" cm="1">
        <f ca="1" t="array" ref="M615">IF($E615&lt;7,_xlfn.XLOOKUP($D615&amp;$E615,$D$155:$D$395&amp;$E$155:$E$395,M$155:M$395),"")</f>
        <v>0</v>
      </c>
      <c r="N615" s="84" t="s">
        <v>282</v>
      </c>
      <c r="O615" s="84" t="s">
        <v>282</v>
      </c>
      <c r="P615" s="84" t="s">
        <v>282</v>
      </c>
      <c r="Q615" s="84" t="s">
        <v>282</v>
      </c>
      <c r="R615" s="84" t="s">
        <v>282</v>
      </c>
      <c r="S615" s="90">
        <f ca="1" t="shared" si="151"/>
        <v>255</v>
      </c>
      <c r="T615" s="90" cm="1">
        <f ca="1" t="array" ref="T615">IFERROR(SUMPRODUCT(F615:M615,$F$154:$M$154)+IFERROR(N615*SUMPRODUCT(O615:R615,$O$154:$R$154),0),"")</f>
        <v>1630</v>
      </c>
      <c r="U615" s="94"/>
      <c r="V615" s="94" t="str">
        <f t="shared" si="152"/>
        <v/>
      </c>
      <c r="W615" t="str">
        <f ca="1" t="shared" si="149"/>
        <v/>
      </c>
      <c r="X615" s="94" t="str">
        <f t="shared" si="153"/>
        <v>{61,295}</v>
      </c>
      <c r="Y615" s="94" t="str">
        <f t="shared" si="154"/>
        <v>{63,310}</v>
      </c>
      <c r="Z615" s="94" t="str">
        <f ca="1" t="shared" si="155"/>
        <v/>
      </c>
      <c r="AA615" s="94" t="str">
        <f ca="1" t="shared" si="156"/>
        <v/>
      </c>
      <c r="AB615" s="94" t="str">
        <f ca="1" t="shared" si="157"/>
        <v/>
      </c>
      <c r="AE615" s="94" t="str">
        <f t="shared" si="158"/>
        <v>{2,1025}</v>
      </c>
      <c r="AH615" t="str">
        <f ca="1" t="shared" si="150"/>
        <v>[{61,295},{63,310},{2,1025}]</v>
      </c>
    </row>
    <row r="616" spans="4:34">
      <c r="D616" s="81" t="str">
        <f ca="1" t="shared" si="159"/>
        <v>传世Ⅱ</v>
      </c>
      <c r="E616" s="84">
        <f t="shared" si="160"/>
        <v>5</v>
      </c>
      <c r="F616" s="84">
        <f>CEILING(F612*1.25,5)</f>
        <v>235</v>
      </c>
      <c r="G616" s="84"/>
      <c r="H616" s="84"/>
      <c r="I616" s="84">
        <f t="shared" si="161"/>
        <v>1025</v>
      </c>
      <c r="J616" s="84" cm="1">
        <f ca="1" t="array" ref="J616">IF($E616&lt;7,_xlfn.XLOOKUP($D616&amp;$E616,$D$155:$D$395&amp;$E$155:$E$395,J$155:J$395),"")</f>
        <v>0</v>
      </c>
      <c r="K616" s="84">
        <v>6</v>
      </c>
      <c r="L616" s="84"/>
      <c r="M616" s="84" cm="1">
        <f ca="1" t="array" ref="M616">IF($E616&lt;7,_xlfn.XLOOKUP($D616&amp;$E616,$D$155:$D$395&amp;$E$155:$E$395,M$155:M$395),"")</f>
        <v>0</v>
      </c>
      <c r="N616" s="84" t="s">
        <v>282</v>
      </c>
      <c r="O616" s="84" t="s">
        <v>282</v>
      </c>
      <c r="P616" s="84" t="s">
        <v>282</v>
      </c>
      <c r="Q616" s="84" t="s">
        <v>282</v>
      </c>
      <c r="R616" s="84" t="s">
        <v>282</v>
      </c>
      <c r="S616" s="90">
        <f ca="1" t="shared" si="151"/>
        <v>255</v>
      </c>
      <c r="T616" s="90" cm="1">
        <f ca="1" t="array" ref="T616">IFERROR(SUMPRODUCT(F616:M616,$F$154:$M$154)+IFERROR(N616*SUMPRODUCT(O616:R616,$O$154:$R$154),0),"")</f>
        <v>3660</v>
      </c>
      <c r="U616" s="94"/>
      <c r="V616" s="94" t="str">
        <f t="shared" si="152"/>
        <v/>
      </c>
      <c r="W616" t="str">
        <f ca="1" t="shared" si="149"/>
        <v/>
      </c>
      <c r="X616" s="94" t="str">
        <f t="shared" si="153"/>
        <v>{61,235}</v>
      </c>
      <c r="Y616" s="94" t="str">
        <f t="shared" si="154"/>
        <v/>
      </c>
      <c r="Z616" s="94" t="str">
        <f t="shared" si="155"/>
        <v/>
      </c>
      <c r="AA616" s="94" t="str">
        <f t="shared" si="156"/>
        <v>{6030002,6}</v>
      </c>
      <c r="AB616" s="94" t="str">
        <f ca="1" t="shared" si="157"/>
        <v/>
      </c>
      <c r="AE616" s="94" t="str">
        <f t="shared" si="158"/>
        <v>{2,1025}</v>
      </c>
      <c r="AH616" t="str">
        <f ca="1" t="shared" si="150"/>
        <v>[{61,235},{6030002,6},{2,1025}]</v>
      </c>
    </row>
    <row r="617" spans="4:34">
      <c r="D617" s="81" t="str">
        <f ca="1" t="shared" si="159"/>
        <v>传世Ⅱ</v>
      </c>
      <c r="E617" s="84">
        <f t="shared" si="160"/>
        <v>6</v>
      </c>
      <c r="F617" s="84">
        <f>CEILING(F613*1.25,5)</f>
        <v>235</v>
      </c>
      <c r="G617" s="84">
        <f>G615</f>
        <v>310</v>
      </c>
      <c r="H617" s="84"/>
      <c r="I617" s="84">
        <f t="shared" si="161"/>
        <v>1025</v>
      </c>
      <c r="J617" s="84" cm="1">
        <f ca="1" t="array" ref="J617">IF($E617&lt;7,_xlfn.XLOOKUP($D617&amp;$E617,$D$155:$D$395&amp;$E$155:$E$395,J$155:J$395),"")</f>
        <v>0</v>
      </c>
      <c r="K617" s="84" cm="1">
        <f ca="1" t="array" ref="K617">IF($E617&lt;7,_xlfn.XLOOKUP($D617&amp;$E617,$D$155:$D$395&amp;$E$155:$E$395,K$155:K$395),"")</f>
        <v>0</v>
      </c>
      <c r="L617" s="84" cm="1">
        <f ca="1" t="array" ref="L617">IF($E617&lt;7,_xlfn.XLOOKUP($D617&amp;$E617,$D$155:$D$395&amp;$E$155:$E$395,L$155:L$395),"")</f>
        <v>0</v>
      </c>
      <c r="M617" s="84" cm="1">
        <f ca="1" t="array" ref="M617">IF($E617&lt;7,_xlfn.XLOOKUP($D617&amp;$E617,$D$155:$D$395&amp;$E$155:$E$395,M$155:M$395),"")</f>
        <v>0</v>
      </c>
      <c r="N617" s="84" t="s">
        <v>282</v>
      </c>
      <c r="O617" s="84" t="s">
        <v>282</v>
      </c>
      <c r="P617" s="84" t="s">
        <v>282</v>
      </c>
      <c r="Q617" s="84" t="s">
        <v>282</v>
      </c>
      <c r="R617" s="84" t="s">
        <v>282</v>
      </c>
      <c r="S617" s="90">
        <f ca="1" t="shared" si="151"/>
        <v>255</v>
      </c>
      <c r="T617" s="90" cm="1">
        <f ca="1" t="array" ref="T617">IFERROR(SUMPRODUCT(F617:M617,$F$154:$M$154)+IFERROR(N617*SUMPRODUCT(O617:R617,$O$154:$R$154),0),"")</f>
        <v>1570</v>
      </c>
      <c r="U617" s="94"/>
      <c r="V617" s="94" t="str">
        <f t="shared" si="152"/>
        <v/>
      </c>
      <c r="W617" t="str">
        <f ca="1" t="shared" si="149"/>
        <v/>
      </c>
      <c r="X617" s="94" t="str">
        <f t="shared" si="153"/>
        <v>{61,235}</v>
      </c>
      <c r="Y617" s="94" t="str">
        <f t="shared" si="154"/>
        <v>{63,310}</v>
      </c>
      <c r="Z617" s="94" t="str">
        <f ca="1" t="shared" si="155"/>
        <v/>
      </c>
      <c r="AA617" s="94" t="str">
        <f ca="1" t="shared" si="156"/>
        <v/>
      </c>
      <c r="AB617" s="94" t="str">
        <f ca="1" t="shared" si="157"/>
        <v/>
      </c>
      <c r="AE617" s="94" t="str">
        <f t="shared" si="158"/>
        <v>{2,1025}</v>
      </c>
      <c r="AH617" t="str">
        <f ca="1" t="shared" si="150"/>
        <v>[{61,235},{63,310},{2,1025}]</v>
      </c>
    </row>
    <row r="618" spans="4:34">
      <c r="D618" s="81" t="str">
        <f ca="1" t="shared" si="159"/>
        <v>传世Ⅱ</v>
      </c>
      <c r="E618" s="84">
        <f t="shared" si="160"/>
        <v>7</v>
      </c>
      <c r="F618" s="84">
        <f>CEILING(F614*1.25,5)</f>
        <v>235</v>
      </c>
      <c r="G618" s="84"/>
      <c r="H618" s="84"/>
      <c r="I618" s="84">
        <f t="shared" si="161"/>
        <v>1025</v>
      </c>
      <c r="J618" s="84" t="str" cm="1">
        <f ca="1" t="array" ref="J618">IF($E618&lt;7,_xlfn.XLOOKUP($D618&amp;$E618,$D$155:$D$395&amp;$E$155:$E$395,J$155:J$395),"")</f>
        <v/>
      </c>
      <c r="K618" s="84" t="str" cm="1">
        <f ca="1" t="array" ref="K618">IF($E618&lt;7,_xlfn.XLOOKUP($D618&amp;$E618,$D$155:$D$395&amp;$E$155:$E$395,K$155:K$395),"")</f>
        <v/>
      </c>
      <c r="L618" s="84">
        <v>5</v>
      </c>
      <c r="M618" s="84" t="str" cm="1">
        <f ca="1" t="array" ref="M618">IF($E618&lt;7,_xlfn.XLOOKUP($D618&amp;$E618,$D$155:$D$395&amp;$E$155:$E$395,M$155:M$395),"")</f>
        <v/>
      </c>
      <c r="N618" s="84" t="s">
        <v>282</v>
      </c>
      <c r="O618" s="84" t="s">
        <v>282</v>
      </c>
      <c r="P618" s="84" t="s">
        <v>282</v>
      </c>
      <c r="Q618" s="84" t="s">
        <v>282</v>
      </c>
      <c r="R618" s="84" t="s">
        <v>282</v>
      </c>
      <c r="S618" s="90">
        <f ca="1" t="shared" si="151"/>
        <v>255</v>
      </c>
      <c r="T618" s="90" cm="1">
        <f ca="1" t="array" ref="T618">IFERROR(SUMPRODUCT(F618:M618,$F$154:$M$154)+IFERROR(N618*SUMPRODUCT(O618:R618,$O$154:$R$154),0),"")</f>
        <v>5260</v>
      </c>
      <c r="U618" s="94"/>
      <c r="V618" s="94" t="str">
        <f t="shared" si="152"/>
        <v/>
      </c>
      <c r="W618" t="str">
        <f ca="1" t="shared" si="149"/>
        <v/>
      </c>
      <c r="X618" s="94" t="str">
        <f t="shared" si="153"/>
        <v>{61,235}</v>
      </c>
      <c r="Y618" s="94" t="str">
        <f t="shared" si="154"/>
        <v/>
      </c>
      <c r="Z618" s="94" t="str">
        <f t="shared" si="155"/>
        <v>{6030003,5}</v>
      </c>
      <c r="AA618" s="94" t="str">
        <f ca="1" t="shared" si="156"/>
        <v/>
      </c>
      <c r="AB618" s="94" t="str">
        <f ca="1" t="shared" si="157"/>
        <v/>
      </c>
      <c r="AE618" s="94" t="str">
        <f t="shared" si="158"/>
        <v>{2,1025}</v>
      </c>
      <c r="AH618" t="str">
        <f ca="1" t="shared" si="150"/>
        <v>[{61,235},{6030003,5},{2,1025}]</v>
      </c>
    </row>
    <row r="619" spans="4:34">
      <c r="D619" s="81" t="str">
        <f ca="1" t="shared" si="159"/>
        <v>传世Ⅱ</v>
      </c>
      <c r="E619" s="84">
        <f t="shared" si="160"/>
        <v>8</v>
      </c>
      <c r="F619" s="84">
        <f>CEILING(F618*1.5,5)</f>
        <v>355</v>
      </c>
      <c r="G619" s="84">
        <f>CEILING(G617*1.5,5)</f>
        <v>465</v>
      </c>
      <c r="H619" s="84">
        <f>1</f>
        <v>1</v>
      </c>
      <c r="I619" s="84">
        <f t="shared" si="161"/>
        <v>1025</v>
      </c>
      <c r="J619" s="84" t="str" cm="1">
        <f ca="1" t="array" ref="J619">IF($E619&lt;7,_xlfn.XLOOKUP($D619&amp;$E619,$D$155:$D$395&amp;$E$155:$E$395,J$155:J$395),"")</f>
        <v/>
      </c>
      <c r="K619" s="84" t="str" cm="1">
        <f ca="1" t="array" ref="K619">IF($E619&lt;7,_xlfn.XLOOKUP($D619&amp;$E619,$D$155:$D$395&amp;$E$155:$E$395,K$155:K$395),"")</f>
        <v/>
      </c>
      <c r="L619" s="84" t="str" cm="1">
        <f ca="1" t="array" ref="L619">IF($E619&lt;7,_xlfn.XLOOKUP($D619&amp;$E619,$D$155:$D$395&amp;$E$155:$E$395,L$155:L$395),"")</f>
        <v/>
      </c>
      <c r="M619" s="84" t="str" cm="1">
        <f ca="1" t="array" ref="M619">IF($E619&lt;7,_xlfn.XLOOKUP($D619&amp;$E619,$D$155:$D$395&amp;$E$155:$E$395,M$155:M$395),"")</f>
        <v/>
      </c>
      <c r="N619" s="84">
        <v>8</v>
      </c>
      <c r="O619" s="84">
        <v>0</v>
      </c>
      <c r="P619" s="84">
        <v>0.29</v>
      </c>
      <c r="Q619" s="84">
        <v>0.5</v>
      </c>
      <c r="R619" s="84">
        <v>0.21</v>
      </c>
      <c r="S619" s="90">
        <f ca="1" t="shared" si="151"/>
        <v>255</v>
      </c>
      <c r="T619" s="90" cm="1">
        <f ca="1" t="array" ref="T619">IFERROR(SUMPRODUCT(F619:M619,$F$154:$M$154)+IFERROR(N619*SUMPRODUCT(O619:R619,$O$154:$R$154),0),"")</f>
        <v>8811</v>
      </c>
      <c r="U619" s="94"/>
      <c r="V619" s="94" t="str">
        <f t="shared" si="152"/>
        <v>{62,1}</v>
      </c>
      <c r="W619" t="str">
        <f ca="1" t="shared" si="149"/>
        <v>{6020022,8}</v>
      </c>
      <c r="X619" s="94" t="str">
        <f t="shared" si="153"/>
        <v>{61,355}</v>
      </c>
      <c r="Y619" s="94" t="str">
        <f t="shared" si="154"/>
        <v>{63,465}</v>
      </c>
      <c r="Z619" s="94" t="str">
        <f ca="1" t="shared" si="155"/>
        <v/>
      </c>
      <c r="AA619" s="94" t="str">
        <f ca="1" t="shared" si="156"/>
        <v/>
      </c>
      <c r="AB619" s="94" t="str">
        <f ca="1" t="shared" si="157"/>
        <v/>
      </c>
      <c r="AE619" s="94" t="str">
        <f t="shared" si="158"/>
        <v>{2,1025}</v>
      </c>
      <c r="AH619" t="str">
        <f ca="1" t="shared" si="150"/>
        <v>[{62,1},{6020022,8},{61,355},{63,465},{2,1025}]</v>
      </c>
    </row>
    <row r="620" spans="4:34">
      <c r="D620" s="81" t="str">
        <f ca="1" t="shared" si="159"/>
        <v>传世Ⅲ</v>
      </c>
      <c r="E620" s="84">
        <f t="shared" si="160"/>
        <v>1</v>
      </c>
      <c r="F620" s="84">
        <f>F612+5</f>
        <v>190</v>
      </c>
      <c r="G620" s="84"/>
      <c r="H620" s="84"/>
      <c r="I620" s="84">
        <f t="shared" si="161"/>
        <v>1050</v>
      </c>
      <c r="J620" s="84">
        <v>4</v>
      </c>
      <c r="K620" s="84" cm="1">
        <f ca="1" t="array" ref="K620">IF($E620&lt;7,_xlfn.XLOOKUP($D620&amp;$E620,$D$155:$D$395&amp;$E$155:$E$395,K$155:K$395),"")</f>
        <v>0</v>
      </c>
      <c r="L620" s="84" cm="1">
        <f ca="1" t="array" ref="L620">IF($E620&lt;7,_xlfn.XLOOKUP($D620&amp;$E620,$D$155:$D$395&amp;$E$155:$E$395,L$155:L$395),"")</f>
        <v>0</v>
      </c>
      <c r="M620" s="84" cm="1">
        <f ca="1" t="array" ref="M620">IF($E620&lt;7,_xlfn.XLOOKUP($D620&amp;$E620,$D$155:$D$395&amp;$E$155:$E$395,M$155:M$395),"")</f>
        <v>0</v>
      </c>
      <c r="N620" s="84" t="s">
        <v>282</v>
      </c>
      <c r="O620" s="84" t="s">
        <v>282</v>
      </c>
      <c r="P620" s="84" t="s">
        <v>282</v>
      </c>
      <c r="Q620" s="84" t="s">
        <v>282</v>
      </c>
      <c r="R620" s="84" t="s">
        <v>282</v>
      </c>
      <c r="S620" s="90">
        <f ca="1" t="shared" si="151"/>
        <v>265</v>
      </c>
      <c r="T620" s="90" cm="1">
        <f ca="1" t="array" ref="T620">IFERROR(SUMPRODUCT(F620:M620,$F$154:$M$154)+IFERROR(N620*SUMPRODUCT(O620:R620,$O$154:$R$154),0),"")</f>
        <v>2040</v>
      </c>
      <c r="U620" s="94"/>
      <c r="V620" s="94" t="str">
        <f t="shared" si="152"/>
        <v/>
      </c>
      <c r="W620" t="str">
        <f ca="1" t="shared" si="149"/>
        <v/>
      </c>
      <c r="X620" s="94" t="str">
        <f t="shared" si="153"/>
        <v>{61,190}</v>
      </c>
      <c r="Y620" s="94" t="str">
        <f t="shared" si="154"/>
        <v/>
      </c>
      <c r="Z620" s="94" t="str">
        <f ca="1" t="shared" si="155"/>
        <v/>
      </c>
      <c r="AA620" s="94" t="str">
        <f ca="1" t="shared" si="156"/>
        <v/>
      </c>
      <c r="AB620" s="94" t="str">
        <f t="shared" si="157"/>
        <v>{6030001,4}</v>
      </c>
      <c r="AE620" s="94" t="str">
        <f t="shared" si="158"/>
        <v>{2,1050}</v>
      </c>
      <c r="AH620" t="str">
        <f ca="1" t="shared" si="150"/>
        <v>[{61,190},{6030001,4},{2,1050}]</v>
      </c>
    </row>
    <row r="621" spans="4:34">
      <c r="D621" s="81" t="str">
        <f ca="1" t="shared" si="159"/>
        <v>传世Ⅲ</v>
      </c>
      <c r="E621" s="84">
        <f t="shared" si="160"/>
        <v>2</v>
      </c>
      <c r="F621" s="84">
        <f>F613+5</f>
        <v>190</v>
      </c>
      <c r="G621" s="84">
        <f>G613+5</f>
        <v>210</v>
      </c>
      <c r="H621" s="84"/>
      <c r="I621" s="84">
        <f t="shared" si="161"/>
        <v>1050</v>
      </c>
      <c r="J621" s="84" cm="1">
        <f ca="1" t="array" ref="J621">IF($E621&lt;7,_xlfn.XLOOKUP($D621&amp;$E621,$D$155:$D$395&amp;$E$155:$E$395,J$155:J$395),"")</f>
        <v>0</v>
      </c>
      <c r="K621" s="84" cm="1">
        <f ca="1" t="array" ref="K621">IF($E621&lt;7,_xlfn.XLOOKUP($D621&amp;$E621,$D$155:$D$395&amp;$E$155:$E$395,K$155:K$395),"")</f>
        <v>0</v>
      </c>
      <c r="L621" s="84" cm="1">
        <f ca="1" t="array" ref="L621">IF($E621&lt;7,_xlfn.XLOOKUP($D621&amp;$E621,$D$155:$D$395&amp;$E$155:$E$395,L$155:L$395),"")</f>
        <v>0</v>
      </c>
      <c r="M621" s="84" cm="1">
        <f ca="1" t="array" ref="M621">IF($E621&lt;7,_xlfn.XLOOKUP($D621&amp;$E621,$D$155:$D$395&amp;$E$155:$E$395,M$155:M$395),"")</f>
        <v>0</v>
      </c>
      <c r="N621" s="84" t="s">
        <v>282</v>
      </c>
      <c r="O621" s="84" t="s">
        <v>282</v>
      </c>
      <c r="P621" s="84" t="s">
        <v>282</v>
      </c>
      <c r="Q621" s="84" t="s">
        <v>282</v>
      </c>
      <c r="R621" s="84" t="s">
        <v>282</v>
      </c>
      <c r="S621" s="90">
        <f ca="1" t="shared" si="151"/>
        <v>265</v>
      </c>
      <c r="T621" s="90" cm="1">
        <f ca="1" t="array" ref="T621">IFERROR(SUMPRODUCT(F621:M621,$F$154:$M$154)+IFERROR(N621*SUMPRODUCT(O621:R621,$O$154:$R$154),0),"")</f>
        <v>1450</v>
      </c>
      <c r="U621" s="94"/>
      <c r="V621" s="94" t="str">
        <f t="shared" si="152"/>
        <v/>
      </c>
      <c r="W621" t="str">
        <f ca="1" t="shared" si="149"/>
        <v/>
      </c>
      <c r="X621" s="94" t="str">
        <f t="shared" si="153"/>
        <v>{61,190}</v>
      </c>
      <c r="Y621" s="94" t="str">
        <f t="shared" si="154"/>
        <v>{63,210}</v>
      </c>
      <c r="Z621" s="94" t="str">
        <f ca="1" t="shared" si="155"/>
        <v/>
      </c>
      <c r="AA621" s="94" t="str">
        <f ca="1" t="shared" si="156"/>
        <v/>
      </c>
      <c r="AB621" s="94" t="str">
        <f ca="1" t="shared" si="157"/>
        <v/>
      </c>
      <c r="AE621" s="94" t="str">
        <f t="shared" si="158"/>
        <v>{2,1050}</v>
      </c>
      <c r="AH621" t="str">
        <f ca="1" t="shared" si="150"/>
        <v>[{61,190},{63,210},{2,1050}]</v>
      </c>
    </row>
    <row r="622" spans="4:34">
      <c r="D622" s="81" t="str">
        <f ca="1" t="shared" si="159"/>
        <v>传世Ⅲ</v>
      </c>
      <c r="E622" s="84">
        <f t="shared" si="160"/>
        <v>3</v>
      </c>
      <c r="F622" s="84">
        <f>F614+5</f>
        <v>190</v>
      </c>
      <c r="G622" s="84"/>
      <c r="H622" s="84"/>
      <c r="I622" s="84">
        <f t="shared" si="161"/>
        <v>1050</v>
      </c>
      <c r="J622" s="84">
        <v>5</v>
      </c>
      <c r="K622" s="84"/>
      <c r="L622" s="84" cm="1">
        <f ca="1" t="array" ref="L622">IF($E622&lt;7,_xlfn.XLOOKUP($D622&amp;$E622,$D$155:$D$395&amp;$E$155:$E$395,L$155:L$395),"")</f>
        <v>0</v>
      </c>
      <c r="M622" s="84" cm="1">
        <f ca="1" t="array" ref="M622">IF($E622&lt;7,_xlfn.XLOOKUP($D622&amp;$E622,$D$155:$D$395&amp;$E$155:$E$395,M$155:M$395),"")</f>
        <v>0</v>
      </c>
      <c r="N622" s="84" t="s">
        <v>282</v>
      </c>
      <c r="O622" s="84" t="s">
        <v>282</v>
      </c>
      <c r="P622" s="84" t="s">
        <v>282</v>
      </c>
      <c r="Q622" s="84" t="s">
        <v>282</v>
      </c>
      <c r="R622" s="84" t="s">
        <v>282</v>
      </c>
      <c r="S622" s="90">
        <f ca="1" t="shared" si="151"/>
        <v>265</v>
      </c>
      <c r="T622" s="90" cm="1">
        <f ca="1" t="array" ref="T622">IFERROR(SUMPRODUCT(F622:M622,$F$154:$M$154)+IFERROR(N622*SUMPRODUCT(O622:R622,$O$154:$R$154),0),"")</f>
        <v>2240</v>
      </c>
      <c r="U622" s="94"/>
      <c r="V622" s="94" t="str">
        <f t="shared" si="152"/>
        <v/>
      </c>
      <c r="W622" t="str">
        <f ca="1" t="shared" si="149"/>
        <v/>
      </c>
      <c r="X622" s="94" t="str">
        <f t="shared" si="153"/>
        <v>{61,190}</v>
      </c>
      <c r="Y622" s="94" t="str">
        <f t="shared" si="154"/>
        <v/>
      </c>
      <c r="Z622" s="94" t="str">
        <f ca="1" t="shared" si="155"/>
        <v/>
      </c>
      <c r="AA622" s="94" t="str">
        <f t="shared" si="156"/>
        <v/>
      </c>
      <c r="AB622" s="94" t="str">
        <f t="shared" si="157"/>
        <v>{6030001,5}</v>
      </c>
      <c r="AE622" s="94" t="str">
        <f t="shared" si="158"/>
        <v>{2,1050}</v>
      </c>
      <c r="AH622" t="str">
        <f ca="1" t="shared" si="150"/>
        <v>[{61,190},{6030001,5},{2,1050}]</v>
      </c>
    </row>
    <row r="623" spans="4:34">
      <c r="D623" s="81" t="str">
        <f ca="1" t="shared" si="159"/>
        <v>传世Ⅲ</v>
      </c>
      <c r="E623" s="84">
        <f t="shared" si="160"/>
        <v>4</v>
      </c>
      <c r="F623" s="84">
        <f>CEILING(F624*1.25,5)</f>
        <v>300</v>
      </c>
      <c r="G623" s="84">
        <f>CEILING(G621*1.5,5)</f>
        <v>315</v>
      </c>
      <c r="H623" s="84"/>
      <c r="I623" s="84">
        <f t="shared" si="161"/>
        <v>1050</v>
      </c>
      <c r="J623" s="84" cm="1">
        <f ca="1" t="array" ref="J623">IF($E623&lt;7,_xlfn.XLOOKUP($D623&amp;$E623,$D$155:$D$395&amp;$E$155:$E$395,J$155:J$395),"")</f>
        <v>0</v>
      </c>
      <c r="K623" s="84" cm="1">
        <f ca="1" t="array" ref="K623">IF($E623&lt;7,_xlfn.XLOOKUP($D623&amp;$E623,$D$155:$D$395&amp;$E$155:$E$395,K$155:K$395),"")</f>
        <v>0</v>
      </c>
      <c r="L623" s="84" cm="1">
        <f ca="1" t="array" ref="L623">IF($E623&lt;7,_xlfn.XLOOKUP($D623&amp;$E623,$D$155:$D$395&amp;$E$155:$E$395,L$155:L$395),"")</f>
        <v>0</v>
      </c>
      <c r="M623" s="84" cm="1">
        <f ca="1" t="array" ref="M623">IF($E623&lt;7,_xlfn.XLOOKUP($D623&amp;$E623,$D$155:$D$395&amp;$E$155:$E$395,M$155:M$395),"")</f>
        <v>0</v>
      </c>
      <c r="N623" s="84" t="s">
        <v>282</v>
      </c>
      <c r="O623" s="84" t="s">
        <v>282</v>
      </c>
      <c r="P623" s="84" t="s">
        <v>282</v>
      </c>
      <c r="Q623" s="84" t="s">
        <v>282</v>
      </c>
      <c r="R623" s="84" t="s">
        <v>282</v>
      </c>
      <c r="S623" s="90">
        <f ca="1" t="shared" si="151"/>
        <v>265</v>
      </c>
      <c r="T623" s="90" cm="1">
        <f ca="1" t="array" ref="T623">IFERROR(SUMPRODUCT(F623:M623,$F$154:$M$154)+IFERROR(N623*SUMPRODUCT(O623:R623,$O$154:$R$154),0),"")</f>
        <v>1665</v>
      </c>
      <c r="U623" s="94"/>
      <c r="V623" s="94" t="str">
        <f t="shared" si="152"/>
        <v/>
      </c>
      <c r="W623" t="str">
        <f ca="1" t="shared" si="149"/>
        <v/>
      </c>
      <c r="X623" s="94" t="str">
        <f t="shared" si="153"/>
        <v>{61,300}</v>
      </c>
      <c r="Y623" s="94" t="str">
        <f t="shared" si="154"/>
        <v>{63,315}</v>
      </c>
      <c r="Z623" s="94" t="str">
        <f ca="1" t="shared" si="155"/>
        <v/>
      </c>
      <c r="AA623" s="94" t="str">
        <f ca="1" t="shared" si="156"/>
        <v/>
      </c>
      <c r="AB623" s="94" t="str">
        <f ca="1" t="shared" si="157"/>
        <v/>
      </c>
      <c r="AE623" s="94" t="str">
        <f t="shared" si="158"/>
        <v>{2,1050}</v>
      </c>
      <c r="AH623" t="str">
        <f ca="1" t="shared" si="150"/>
        <v>[{61,300},{63,315},{2,1050}]</v>
      </c>
    </row>
    <row r="624" spans="4:34">
      <c r="D624" s="81" t="str">
        <f ca="1" t="shared" si="159"/>
        <v>传世Ⅲ</v>
      </c>
      <c r="E624" s="84">
        <f t="shared" si="160"/>
        <v>5</v>
      </c>
      <c r="F624" s="84">
        <f>CEILING(F620*1.25,5)</f>
        <v>240</v>
      </c>
      <c r="G624" s="84"/>
      <c r="H624" s="84"/>
      <c r="I624" s="84">
        <f t="shared" si="161"/>
        <v>1050</v>
      </c>
      <c r="J624" s="84" cm="1">
        <f ca="1" t="array" ref="J624">IF($E624&lt;7,_xlfn.XLOOKUP($D624&amp;$E624,$D$155:$D$395&amp;$E$155:$E$395,J$155:J$395),"")</f>
        <v>0</v>
      </c>
      <c r="K624" s="84">
        <v>6</v>
      </c>
      <c r="L624" s="84"/>
      <c r="M624" s="84" cm="1">
        <f ca="1" t="array" ref="M624">IF($E624&lt;7,_xlfn.XLOOKUP($D624&amp;$E624,$D$155:$D$395&amp;$E$155:$E$395,M$155:M$395),"")</f>
        <v>0</v>
      </c>
      <c r="N624" s="84" t="s">
        <v>282</v>
      </c>
      <c r="O624" s="84" t="s">
        <v>282</v>
      </c>
      <c r="P624" s="84" t="s">
        <v>282</v>
      </c>
      <c r="Q624" s="84" t="s">
        <v>282</v>
      </c>
      <c r="R624" s="84" t="s">
        <v>282</v>
      </c>
      <c r="S624" s="90">
        <f ca="1" t="shared" si="151"/>
        <v>265</v>
      </c>
      <c r="T624" s="90" cm="1">
        <f ca="1" t="array" ref="T624">IFERROR(SUMPRODUCT(F624:M624,$F$154:$M$154)+IFERROR(N624*SUMPRODUCT(O624:R624,$O$154:$R$154),0),"")</f>
        <v>3690</v>
      </c>
      <c r="U624" s="94"/>
      <c r="V624" s="94" t="str">
        <f t="shared" si="152"/>
        <v/>
      </c>
      <c r="W624" t="str">
        <f ca="1" t="shared" si="149"/>
        <v/>
      </c>
      <c r="X624" s="94" t="str">
        <f t="shared" si="153"/>
        <v>{61,240}</v>
      </c>
      <c r="Y624" s="94" t="str">
        <f t="shared" si="154"/>
        <v/>
      </c>
      <c r="Z624" s="94" t="str">
        <f t="shared" si="155"/>
        <v/>
      </c>
      <c r="AA624" s="94" t="str">
        <f t="shared" si="156"/>
        <v>{6030002,6}</v>
      </c>
      <c r="AB624" s="94" t="str">
        <f ca="1" t="shared" si="157"/>
        <v/>
      </c>
      <c r="AE624" s="94" t="str">
        <f t="shared" si="158"/>
        <v>{2,1050}</v>
      </c>
      <c r="AH624" t="str">
        <f ca="1" t="shared" si="150"/>
        <v>[{61,240},{6030002,6},{2,1050}]</v>
      </c>
    </row>
    <row r="625" spans="4:34">
      <c r="D625" s="81" t="str">
        <f ca="1" t="shared" si="159"/>
        <v>传世Ⅲ</v>
      </c>
      <c r="E625" s="84">
        <f t="shared" si="160"/>
        <v>6</v>
      </c>
      <c r="F625" s="84">
        <f>CEILING(F621*1.25,5)</f>
        <v>240</v>
      </c>
      <c r="G625" s="84">
        <f>G623</f>
        <v>315</v>
      </c>
      <c r="H625" s="84"/>
      <c r="I625" s="84">
        <f t="shared" si="161"/>
        <v>1050</v>
      </c>
      <c r="J625" s="84" cm="1">
        <f ca="1" t="array" ref="J625">IF($E625&lt;7,_xlfn.XLOOKUP($D625&amp;$E625,$D$155:$D$395&amp;$E$155:$E$395,J$155:J$395),"")</f>
        <v>0</v>
      </c>
      <c r="K625" s="84" cm="1">
        <f ca="1" t="array" ref="K625">IF($E625&lt;7,_xlfn.XLOOKUP($D625&amp;$E625,$D$155:$D$395&amp;$E$155:$E$395,K$155:K$395),"")</f>
        <v>0</v>
      </c>
      <c r="L625" s="84" cm="1">
        <f ca="1" t="array" ref="L625">IF($E625&lt;7,_xlfn.XLOOKUP($D625&amp;$E625,$D$155:$D$395&amp;$E$155:$E$395,L$155:L$395),"")</f>
        <v>0</v>
      </c>
      <c r="M625" s="84" cm="1">
        <f ca="1" t="array" ref="M625">IF($E625&lt;7,_xlfn.XLOOKUP($D625&amp;$E625,$D$155:$D$395&amp;$E$155:$E$395,M$155:M$395),"")</f>
        <v>0</v>
      </c>
      <c r="N625" s="84" t="s">
        <v>282</v>
      </c>
      <c r="O625" s="84" t="s">
        <v>282</v>
      </c>
      <c r="P625" s="84" t="s">
        <v>282</v>
      </c>
      <c r="Q625" s="84" t="s">
        <v>282</v>
      </c>
      <c r="R625" s="84" t="s">
        <v>282</v>
      </c>
      <c r="S625" s="90">
        <f ca="1" t="shared" si="151"/>
        <v>265</v>
      </c>
      <c r="T625" s="90" cm="1">
        <f ca="1" t="array" ref="T625">IFERROR(SUMPRODUCT(F625:M625,$F$154:$M$154)+IFERROR(N625*SUMPRODUCT(O625:R625,$O$154:$R$154),0),"")</f>
        <v>1605</v>
      </c>
      <c r="U625" s="94"/>
      <c r="V625" s="94" t="str">
        <f t="shared" si="152"/>
        <v/>
      </c>
      <c r="W625" t="str">
        <f ca="1" t="shared" si="149"/>
        <v/>
      </c>
      <c r="X625" s="94" t="str">
        <f t="shared" si="153"/>
        <v>{61,240}</v>
      </c>
      <c r="Y625" s="94" t="str">
        <f t="shared" si="154"/>
        <v>{63,315}</v>
      </c>
      <c r="Z625" s="94" t="str">
        <f ca="1" t="shared" si="155"/>
        <v/>
      </c>
      <c r="AA625" s="94" t="str">
        <f ca="1" t="shared" si="156"/>
        <v/>
      </c>
      <c r="AB625" s="94" t="str">
        <f ca="1" t="shared" si="157"/>
        <v/>
      </c>
      <c r="AE625" s="94" t="str">
        <f t="shared" si="158"/>
        <v>{2,1050}</v>
      </c>
      <c r="AH625" t="str">
        <f ca="1" t="shared" si="150"/>
        <v>[{61,240},{63,315},{2,1050}]</v>
      </c>
    </row>
    <row r="626" spans="4:34">
      <c r="D626" s="81" t="str">
        <f ca="1" t="shared" si="159"/>
        <v>传世Ⅲ</v>
      </c>
      <c r="E626" s="84">
        <f t="shared" si="160"/>
        <v>7</v>
      </c>
      <c r="F626" s="84">
        <f>CEILING(F622*1.25,5)</f>
        <v>240</v>
      </c>
      <c r="G626" s="84"/>
      <c r="H626" s="84"/>
      <c r="I626" s="84">
        <f t="shared" si="161"/>
        <v>1050</v>
      </c>
      <c r="J626" s="84" t="str" cm="1">
        <f ca="1" t="array" ref="J626">IF($E626&lt;7,_xlfn.XLOOKUP($D626&amp;$E626,$D$155:$D$395&amp;$E$155:$E$395,J$155:J$395),"")</f>
        <v/>
      </c>
      <c r="K626" s="84" t="str" cm="1">
        <f ca="1" t="array" ref="K626">IF($E626&lt;7,_xlfn.XLOOKUP($D626&amp;$E626,$D$155:$D$395&amp;$E$155:$E$395,K$155:K$395),"")</f>
        <v/>
      </c>
      <c r="L626" s="84">
        <v>5</v>
      </c>
      <c r="M626" s="84" t="str" cm="1">
        <f ca="1" t="array" ref="M626">IF($E626&lt;7,_xlfn.XLOOKUP($D626&amp;$E626,$D$155:$D$395&amp;$E$155:$E$395,M$155:M$395),"")</f>
        <v/>
      </c>
      <c r="N626" s="84" t="s">
        <v>282</v>
      </c>
      <c r="O626" s="84" t="s">
        <v>282</v>
      </c>
      <c r="P626" s="84" t="s">
        <v>282</v>
      </c>
      <c r="Q626" s="84" t="s">
        <v>282</v>
      </c>
      <c r="R626" s="84" t="s">
        <v>282</v>
      </c>
      <c r="S626" s="90">
        <f ca="1" t="shared" si="151"/>
        <v>265</v>
      </c>
      <c r="T626" s="90" cm="1">
        <f ca="1" t="array" ref="T626">IFERROR(SUMPRODUCT(F626:M626,$F$154:$M$154)+IFERROR(N626*SUMPRODUCT(O626:R626,$O$154:$R$154),0),"")</f>
        <v>5290</v>
      </c>
      <c r="U626" s="94"/>
      <c r="V626" s="94" t="str">
        <f t="shared" si="152"/>
        <v/>
      </c>
      <c r="W626" t="str">
        <f ca="1" t="shared" si="149"/>
        <v/>
      </c>
      <c r="X626" s="94" t="str">
        <f t="shared" si="153"/>
        <v>{61,240}</v>
      </c>
      <c r="Y626" s="94" t="str">
        <f t="shared" si="154"/>
        <v/>
      </c>
      <c r="Z626" s="94" t="str">
        <f t="shared" si="155"/>
        <v>{6030003,5}</v>
      </c>
      <c r="AA626" s="94" t="str">
        <f ca="1" t="shared" si="156"/>
        <v/>
      </c>
      <c r="AB626" s="94" t="str">
        <f ca="1" t="shared" si="157"/>
        <v/>
      </c>
      <c r="AE626" s="94" t="str">
        <f t="shared" si="158"/>
        <v>{2,1050}</v>
      </c>
      <c r="AH626" t="str">
        <f ca="1" t="shared" si="150"/>
        <v>[{61,240},{6030003,5},{2,1050}]</v>
      </c>
    </row>
    <row r="627" spans="4:34">
      <c r="D627" s="81" t="str">
        <f ca="1" t="shared" si="159"/>
        <v>传世Ⅲ</v>
      </c>
      <c r="E627" s="84">
        <f t="shared" si="160"/>
        <v>8</v>
      </c>
      <c r="F627" s="84">
        <f>CEILING(F626*1.5,5)</f>
        <v>360</v>
      </c>
      <c r="G627" s="84">
        <f>CEILING(G625*1.5,5)</f>
        <v>475</v>
      </c>
      <c r="H627" s="84">
        <f>1</f>
        <v>1</v>
      </c>
      <c r="I627" s="84">
        <f t="shared" si="161"/>
        <v>1050</v>
      </c>
      <c r="J627" s="84" t="str" cm="1">
        <f ca="1" t="array" ref="J627">IF($E627&lt;7,_xlfn.XLOOKUP($D627&amp;$E627,$D$155:$D$395&amp;$E$155:$E$395,J$155:J$395),"")</f>
        <v/>
      </c>
      <c r="K627" s="84" t="str" cm="1">
        <f ca="1" t="array" ref="K627">IF($E627&lt;7,_xlfn.XLOOKUP($D627&amp;$E627,$D$155:$D$395&amp;$E$155:$E$395,K$155:K$395),"")</f>
        <v/>
      </c>
      <c r="L627" s="84" t="str" cm="1">
        <f ca="1" t="array" ref="L627">IF($E627&lt;7,_xlfn.XLOOKUP($D627&amp;$E627,$D$155:$D$395&amp;$E$155:$E$395,L$155:L$395),"")</f>
        <v/>
      </c>
      <c r="M627" s="84" t="str" cm="1">
        <f ca="1" t="array" ref="M627">IF($E627&lt;7,_xlfn.XLOOKUP($D627&amp;$E627,$D$155:$D$395&amp;$E$155:$E$395,M$155:M$395),"")</f>
        <v/>
      </c>
      <c r="N627" s="84">
        <v>8</v>
      </c>
      <c r="O627" s="84">
        <v>0</v>
      </c>
      <c r="P627" s="84">
        <v>0.26</v>
      </c>
      <c r="Q627" s="84">
        <v>0.5</v>
      </c>
      <c r="R627" s="84">
        <v>0.24</v>
      </c>
      <c r="S627" s="90">
        <f ca="1" t="shared" si="151"/>
        <v>265</v>
      </c>
      <c r="T627" s="90" cm="1">
        <f ca="1" t="array" ref="T627">IFERROR(SUMPRODUCT(F627:M627,$F$154:$M$154)+IFERROR(N627*SUMPRODUCT(O627:R627,$O$154:$R$154),0),"")</f>
        <v>9139</v>
      </c>
      <c r="U627" s="94"/>
      <c r="V627" s="94" t="str">
        <f t="shared" si="152"/>
        <v>{62,1}</v>
      </c>
      <c r="W627" t="str">
        <f ca="1" t="shared" si="149"/>
        <v>{6020023,8}</v>
      </c>
      <c r="X627" s="94" t="str">
        <f t="shared" si="153"/>
        <v>{61,360}</v>
      </c>
      <c r="Y627" s="94" t="str">
        <f t="shared" si="154"/>
        <v>{63,475}</v>
      </c>
      <c r="Z627" s="94" t="str">
        <f ca="1" t="shared" si="155"/>
        <v/>
      </c>
      <c r="AA627" s="94" t="str">
        <f ca="1" t="shared" si="156"/>
        <v/>
      </c>
      <c r="AB627" s="94" t="str">
        <f ca="1" t="shared" si="157"/>
        <v/>
      </c>
      <c r="AE627" s="94" t="str">
        <f t="shared" si="158"/>
        <v>{2,1050}</v>
      </c>
      <c r="AH627" t="str">
        <f ca="1" t="shared" si="150"/>
        <v>[{62,1},{6020023,8},{61,360},{63,475},{2,1050}]</v>
      </c>
    </row>
    <row r="628" spans="4:34">
      <c r="D628" s="81" t="str">
        <f ca="1" t="shared" si="159"/>
        <v>传世Ⅳ</v>
      </c>
      <c r="E628" s="84">
        <f t="shared" si="160"/>
        <v>1</v>
      </c>
      <c r="F628" s="84">
        <f>F620+5</f>
        <v>195</v>
      </c>
      <c r="G628" s="84"/>
      <c r="H628" s="84"/>
      <c r="I628" s="84">
        <f t="shared" si="161"/>
        <v>1075</v>
      </c>
      <c r="J628" s="84">
        <v>4</v>
      </c>
      <c r="K628" s="84" cm="1">
        <f ca="1" t="array" ref="K628">IF($E628&lt;7,_xlfn.XLOOKUP($D628&amp;$E628,$D$155:$D$395&amp;$E$155:$E$395,K$155:K$395),"")</f>
        <v>0</v>
      </c>
      <c r="L628" s="84" cm="1">
        <f ca="1" t="array" ref="L628">IF($E628&lt;7,_xlfn.XLOOKUP($D628&amp;$E628,$D$155:$D$395&amp;$E$155:$E$395,L$155:L$395),"")</f>
        <v>0</v>
      </c>
      <c r="M628" s="84" cm="1">
        <f ca="1" t="array" ref="M628">IF($E628&lt;7,_xlfn.XLOOKUP($D628&amp;$E628,$D$155:$D$395&amp;$E$155:$E$395,M$155:M$395),"")</f>
        <v>0</v>
      </c>
      <c r="N628" s="84" t="s">
        <v>282</v>
      </c>
      <c r="O628" s="84" t="s">
        <v>282</v>
      </c>
      <c r="P628" s="84" t="s">
        <v>282</v>
      </c>
      <c r="Q628" s="84" t="s">
        <v>282</v>
      </c>
      <c r="R628" s="84" t="s">
        <v>282</v>
      </c>
      <c r="S628" s="90">
        <f ca="1" t="shared" si="151"/>
        <v>275</v>
      </c>
      <c r="T628" s="90" cm="1">
        <f ca="1" t="array" ref="T628">IFERROR(SUMPRODUCT(F628:M628,$F$154:$M$154)+IFERROR(N628*SUMPRODUCT(O628:R628,$O$154:$R$154),0),"")</f>
        <v>2070</v>
      </c>
      <c r="U628" s="94"/>
      <c r="V628" s="94" t="str">
        <f t="shared" si="152"/>
        <v/>
      </c>
      <c r="W628" t="str">
        <f ca="1" t="shared" si="149"/>
        <v/>
      </c>
      <c r="X628" s="94" t="str">
        <f t="shared" si="153"/>
        <v>{61,195}</v>
      </c>
      <c r="Y628" s="94" t="str">
        <f t="shared" si="154"/>
        <v/>
      </c>
      <c r="Z628" s="94" t="str">
        <f ca="1" t="shared" si="155"/>
        <v/>
      </c>
      <c r="AA628" s="94" t="str">
        <f ca="1" t="shared" si="156"/>
        <v/>
      </c>
      <c r="AB628" s="94" t="str">
        <f t="shared" si="157"/>
        <v>{6030001,4}</v>
      </c>
      <c r="AE628" s="94" t="str">
        <f t="shared" si="158"/>
        <v>{2,1075}</v>
      </c>
      <c r="AH628" t="str">
        <f ca="1" t="shared" si="150"/>
        <v>[{61,195},{6030001,4},{2,1075}]</v>
      </c>
    </row>
    <row r="629" spans="4:34">
      <c r="D629" s="81" t="str">
        <f ca="1" t="shared" si="159"/>
        <v>传世Ⅳ</v>
      </c>
      <c r="E629" s="84">
        <f t="shared" si="160"/>
        <v>2</v>
      </c>
      <c r="F629" s="84">
        <f>F621+5</f>
        <v>195</v>
      </c>
      <c r="G629" s="84">
        <f>G621+5</f>
        <v>215</v>
      </c>
      <c r="H629" s="84"/>
      <c r="I629" s="84">
        <f t="shared" si="161"/>
        <v>1075</v>
      </c>
      <c r="J629" s="84" cm="1">
        <f ca="1" t="array" ref="J629">IF($E629&lt;7,_xlfn.XLOOKUP($D629&amp;$E629,$D$155:$D$395&amp;$E$155:$E$395,J$155:J$395),"")</f>
        <v>0</v>
      </c>
      <c r="K629" s="84" cm="1">
        <f ca="1" t="array" ref="K629">IF($E629&lt;7,_xlfn.XLOOKUP($D629&amp;$E629,$D$155:$D$395&amp;$E$155:$E$395,K$155:K$395),"")</f>
        <v>0</v>
      </c>
      <c r="L629" s="84" cm="1">
        <f ca="1" t="array" ref="L629">IF($E629&lt;7,_xlfn.XLOOKUP($D629&amp;$E629,$D$155:$D$395&amp;$E$155:$E$395,L$155:L$395),"")</f>
        <v>0</v>
      </c>
      <c r="M629" s="84" cm="1">
        <f ca="1" t="array" ref="M629">IF($E629&lt;7,_xlfn.XLOOKUP($D629&amp;$E629,$D$155:$D$395&amp;$E$155:$E$395,M$155:M$395),"")</f>
        <v>0</v>
      </c>
      <c r="N629" s="84" t="s">
        <v>282</v>
      </c>
      <c r="O629" s="84" t="s">
        <v>282</v>
      </c>
      <c r="P629" s="84" t="s">
        <v>282</v>
      </c>
      <c r="Q629" s="84" t="s">
        <v>282</v>
      </c>
      <c r="R629" s="84" t="s">
        <v>282</v>
      </c>
      <c r="S629" s="90">
        <f ca="1" t="shared" si="151"/>
        <v>275</v>
      </c>
      <c r="T629" s="90" cm="1">
        <f ca="1" t="array" ref="T629">IFERROR(SUMPRODUCT(F629:M629,$F$154:$M$154)+IFERROR(N629*SUMPRODUCT(O629:R629,$O$154:$R$154),0),"")</f>
        <v>1485</v>
      </c>
      <c r="U629" s="94"/>
      <c r="V629" s="94" t="str">
        <f t="shared" si="152"/>
        <v/>
      </c>
      <c r="W629" t="str">
        <f ca="1" t="shared" si="149"/>
        <v/>
      </c>
      <c r="X629" s="94" t="str">
        <f t="shared" si="153"/>
        <v>{61,195}</v>
      </c>
      <c r="Y629" s="94" t="str">
        <f t="shared" si="154"/>
        <v>{63,215}</v>
      </c>
      <c r="Z629" s="94" t="str">
        <f ca="1" t="shared" si="155"/>
        <v/>
      </c>
      <c r="AA629" s="94" t="str">
        <f ca="1" t="shared" si="156"/>
        <v/>
      </c>
      <c r="AB629" s="94" t="str">
        <f ca="1" t="shared" si="157"/>
        <v/>
      </c>
      <c r="AE629" s="94" t="str">
        <f t="shared" si="158"/>
        <v>{2,1075}</v>
      </c>
      <c r="AH629" t="str">
        <f ca="1" t="shared" si="150"/>
        <v>[{61,195},{63,215},{2,1075}]</v>
      </c>
    </row>
    <row r="630" spans="4:34">
      <c r="D630" s="81" t="str">
        <f ca="1" t="shared" si="159"/>
        <v>传世Ⅳ</v>
      </c>
      <c r="E630" s="84">
        <f t="shared" si="160"/>
        <v>3</v>
      </c>
      <c r="F630" s="84">
        <f>F622+5</f>
        <v>195</v>
      </c>
      <c r="G630" s="84"/>
      <c r="H630" s="84"/>
      <c r="I630" s="84">
        <f t="shared" si="161"/>
        <v>1075</v>
      </c>
      <c r="J630" s="84">
        <v>5</v>
      </c>
      <c r="K630" s="84"/>
      <c r="L630" s="84" cm="1">
        <f ca="1" t="array" ref="L630">IF($E630&lt;7,_xlfn.XLOOKUP($D630&amp;$E630,$D$155:$D$395&amp;$E$155:$E$395,L$155:L$395),"")</f>
        <v>0</v>
      </c>
      <c r="M630" s="84" cm="1">
        <f ca="1" t="array" ref="M630">IF($E630&lt;7,_xlfn.XLOOKUP($D630&amp;$E630,$D$155:$D$395&amp;$E$155:$E$395,M$155:M$395),"")</f>
        <v>0</v>
      </c>
      <c r="N630" s="84" t="s">
        <v>282</v>
      </c>
      <c r="O630" s="84" t="s">
        <v>282</v>
      </c>
      <c r="P630" s="84" t="s">
        <v>282</v>
      </c>
      <c r="Q630" s="84" t="s">
        <v>282</v>
      </c>
      <c r="R630" s="84" t="s">
        <v>282</v>
      </c>
      <c r="S630" s="90">
        <f ca="1" t="shared" si="151"/>
        <v>275</v>
      </c>
      <c r="T630" s="90" cm="1">
        <f ca="1" t="array" ref="T630">IFERROR(SUMPRODUCT(F630:M630,$F$154:$M$154)+IFERROR(N630*SUMPRODUCT(O630:R630,$O$154:$R$154),0),"")</f>
        <v>2270</v>
      </c>
      <c r="U630" s="94"/>
      <c r="V630" s="94" t="str">
        <f t="shared" si="152"/>
        <v/>
      </c>
      <c r="W630" t="str">
        <f ca="1" t="shared" si="149"/>
        <v/>
      </c>
      <c r="X630" s="94" t="str">
        <f t="shared" si="153"/>
        <v>{61,195}</v>
      </c>
      <c r="Y630" s="94" t="str">
        <f t="shared" si="154"/>
        <v/>
      </c>
      <c r="Z630" s="94" t="str">
        <f ca="1" t="shared" si="155"/>
        <v/>
      </c>
      <c r="AA630" s="94" t="str">
        <f t="shared" si="156"/>
        <v/>
      </c>
      <c r="AB630" s="94" t="str">
        <f t="shared" si="157"/>
        <v>{6030001,5}</v>
      </c>
      <c r="AE630" s="94" t="str">
        <f t="shared" si="158"/>
        <v>{2,1075}</v>
      </c>
      <c r="AH630" t="str">
        <f ca="1" t="shared" si="150"/>
        <v>[{61,195},{6030001,5},{2,1075}]</v>
      </c>
    </row>
    <row r="631" spans="4:34">
      <c r="D631" s="81" t="str">
        <f ca="1" t="shared" si="159"/>
        <v>传世Ⅳ</v>
      </c>
      <c r="E631" s="84">
        <f t="shared" si="160"/>
        <v>4</v>
      </c>
      <c r="F631" s="84">
        <f>CEILING(F632*1.25,5)</f>
        <v>310</v>
      </c>
      <c r="G631" s="84">
        <f>CEILING(G629*1.5,5)</f>
        <v>325</v>
      </c>
      <c r="H631" s="84"/>
      <c r="I631" s="84">
        <f t="shared" si="161"/>
        <v>1075</v>
      </c>
      <c r="J631" s="84" cm="1">
        <f ca="1" t="array" ref="J631">IF($E631&lt;7,_xlfn.XLOOKUP($D631&amp;$E631,$D$155:$D$395&amp;$E$155:$E$395,J$155:J$395),"")</f>
        <v>0</v>
      </c>
      <c r="K631" s="84" cm="1">
        <f ca="1" t="array" ref="K631">IF($E631&lt;7,_xlfn.XLOOKUP($D631&amp;$E631,$D$155:$D$395&amp;$E$155:$E$395,K$155:K$395),"")</f>
        <v>0</v>
      </c>
      <c r="L631" s="84" cm="1">
        <f ca="1" t="array" ref="L631">IF($E631&lt;7,_xlfn.XLOOKUP($D631&amp;$E631,$D$155:$D$395&amp;$E$155:$E$395,L$155:L$395),"")</f>
        <v>0</v>
      </c>
      <c r="M631" s="84" cm="1">
        <f ca="1" t="array" ref="M631">IF($E631&lt;7,_xlfn.XLOOKUP($D631&amp;$E631,$D$155:$D$395&amp;$E$155:$E$395,M$155:M$395),"")</f>
        <v>0</v>
      </c>
      <c r="N631" s="84" t="s">
        <v>282</v>
      </c>
      <c r="O631" s="84" t="s">
        <v>282</v>
      </c>
      <c r="P631" s="84" t="s">
        <v>282</v>
      </c>
      <c r="Q631" s="84" t="s">
        <v>282</v>
      </c>
      <c r="R631" s="84" t="s">
        <v>282</v>
      </c>
      <c r="S631" s="90">
        <f ca="1" t="shared" si="151"/>
        <v>275</v>
      </c>
      <c r="T631" s="90" cm="1">
        <f ca="1" t="array" ref="T631">IFERROR(SUMPRODUCT(F631:M631,$F$154:$M$154)+IFERROR(N631*SUMPRODUCT(O631:R631,$O$154:$R$154),0),"")</f>
        <v>1710</v>
      </c>
      <c r="U631" s="94"/>
      <c r="V631" s="94" t="str">
        <f t="shared" si="152"/>
        <v/>
      </c>
      <c r="W631" t="str">
        <f ca="1" t="shared" si="149"/>
        <v/>
      </c>
      <c r="X631" s="94" t="str">
        <f t="shared" si="153"/>
        <v>{61,310}</v>
      </c>
      <c r="Y631" s="94" t="str">
        <f t="shared" si="154"/>
        <v>{63,325}</v>
      </c>
      <c r="Z631" s="94" t="str">
        <f ca="1" t="shared" si="155"/>
        <v/>
      </c>
      <c r="AA631" s="94" t="str">
        <f ca="1" t="shared" si="156"/>
        <v/>
      </c>
      <c r="AB631" s="94" t="str">
        <f ca="1" t="shared" si="157"/>
        <v/>
      </c>
      <c r="AE631" s="94" t="str">
        <f t="shared" si="158"/>
        <v>{2,1075}</v>
      </c>
      <c r="AH631" t="str">
        <f ca="1" t="shared" si="150"/>
        <v>[{61,310},{63,325},{2,1075}]</v>
      </c>
    </row>
    <row r="632" spans="4:34">
      <c r="D632" s="81" t="str">
        <f ca="1" t="shared" si="159"/>
        <v>传世Ⅳ</v>
      </c>
      <c r="E632" s="84">
        <f t="shared" si="160"/>
        <v>5</v>
      </c>
      <c r="F632" s="84">
        <f>CEILING(F628*1.25,5)</f>
        <v>245</v>
      </c>
      <c r="G632" s="84"/>
      <c r="H632" s="84"/>
      <c r="I632" s="84">
        <f t="shared" si="161"/>
        <v>1075</v>
      </c>
      <c r="J632" s="84" cm="1">
        <f ca="1" t="array" ref="J632">IF($E632&lt;7,_xlfn.XLOOKUP($D632&amp;$E632,$D$155:$D$395&amp;$E$155:$E$395,J$155:J$395),"")</f>
        <v>0</v>
      </c>
      <c r="K632" s="84">
        <v>6</v>
      </c>
      <c r="L632" s="84"/>
      <c r="M632" s="84" cm="1">
        <f ca="1" t="array" ref="M632">IF($E632&lt;7,_xlfn.XLOOKUP($D632&amp;$E632,$D$155:$D$395&amp;$E$155:$E$395,M$155:M$395),"")</f>
        <v>0</v>
      </c>
      <c r="N632" s="84" t="s">
        <v>282</v>
      </c>
      <c r="O632" s="84" t="s">
        <v>282</v>
      </c>
      <c r="P632" s="84" t="s">
        <v>282</v>
      </c>
      <c r="Q632" s="84" t="s">
        <v>282</v>
      </c>
      <c r="R632" s="84" t="s">
        <v>282</v>
      </c>
      <c r="S632" s="90">
        <f ca="1" t="shared" si="151"/>
        <v>275</v>
      </c>
      <c r="T632" s="90" cm="1">
        <f ca="1" t="array" ref="T632">IFERROR(SUMPRODUCT(F632:M632,$F$154:$M$154)+IFERROR(N632*SUMPRODUCT(O632:R632,$O$154:$R$154),0),"")</f>
        <v>3720</v>
      </c>
      <c r="U632" s="94"/>
      <c r="V632" s="94" t="str">
        <f t="shared" si="152"/>
        <v/>
      </c>
      <c r="W632" t="str">
        <f ca="1" t="shared" si="149"/>
        <v/>
      </c>
      <c r="X632" s="94" t="str">
        <f t="shared" si="153"/>
        <v>{61,245}</v>
      </c>
      <c r="Y632" s="94" t="str">
        <f t="shared" si="154"/>
        <v/>
      </c>
      <c r="Z632" s="94" t="str">
        <f t="shared" si="155"/>
        <v/>
      </c>
      <c r="AA632" s="94" t="str">
        <f t="shared" si="156"/>
        <v>{6030002,6}</v>
      </c>
      <c r="AB632" s="94" t="str">
        <f ca="1" t="shared" si="157"/>
        <v/>
      </c>
      <c r="AE632" s="94" t="str">
        <f t="shared" si="158"/>
        <v>{2,1075}</v>
      </c>
      <c r="AH632" t="str">
        <f ca="1" t="shared" si="150"/>
        <v>[{61,245},{6030002,6},{2,1075}]</v>
      </c>
    </row>
    <row r="633" spans="4:34">
      <c r="D633" s="81" t="str">
        <f ca="1" t="shared" si="159"/>
        <v>传世Ⅳ</v>
      </c>
      <c r="E633" s="84">
        <f t="shared" si="160"/>
        <v>6</v>
      </c>
      <c r="F633" s="84">
        <f>CEILING(F629*1.25,5)</f>
        <v>245</v>
      </c>
      <c r="G633" s="84">
        <f>G631</f>
        <v>325</v>
      </c>
      <c r="H633" s="84"/>
      <c r="I633" s="84">
        <f t="shared" si="161"/>
        <v>1075</v>
      </c>
      <c r="J633" s="84" cm="1">
        <f ca="1" t="array" ref="J633">IF($E633&lt;7,_xlfn.XLOOKUP($D633&amp;$E633,$D$155:$D$395&amp;$E$155:$E$395,J$155:J$395),"")</f>
        <v>0</v>
      </c>
      <c r="K633" s="84" cm="1">
        <f ca="1" t="array" ref="K633">IF($E633&lt;7,_xlfn.XLOOKUP($D633&amp;$E633,$D$155:$D$395&amp;$E$155:$E$395,K$155:K$395),"")</f>
        <v>0</v>
      </c>
      <c r="L633" s="84" cm="1">
        <f ca="1" t="array" ref="L633">IF($E633&lt;7,_xlfn.XLOOKUP($D633&amp;$E633,$D$155:$D$395&amp;$E$155:$E$395,L$155:L$395),"")</f>
        <v>0</v>
      </c>
      <c r="M633" s="84" cm="1">
        <f ca="1" t="array" ref="M633">IF($E633&lt;7,_xlfn.XLOOKUP($D633&amp;$E633,$D$155:$D$395&amp;$E$155:$E$395,M$155:M$395),"")</f>
        <v>0</v>
      </c>
      <c r="N633" s="84" t="s">
        <v>282</v>
      </c>
      <c r="O633" s="84" t="s">
        <v>282</v>
      </c>
      <c r="P633" s="84" t="s">
        <v>282</v>
      </c>
      <c r="Q633" s="84" t="s">
        <v>282</v>
      </c>
      <c r="R633" s="84" t="s">
        <v>282</v>
      </c>
      <c r="S633" s="90">
        <f ca="1" t="shared" si="151"/>
        <v>275</v>
      </c>
      <c r="T633" s="90" cm="1">
        <f ca="1" t="array" ref="T633">IFERROR(SUMPRODUCT(F633:M633,$F$154:$M$154)+IFERROR(N633*SUMPRODUCT(O633:R633,$O$154:$R$154),0),"")</f>
        <v>1645</v>
      </c>
      <c r="U633" s="94"/>
      <c r="V633" s="94" t="str">
        <f t="shared" si="152"/>
        <v/>
      </c>
      <c r="W633" t="str">
        <f ca="1" t="shared" si="149"/>
        <v/>
      </c>
      <c r="X633" s="94" t="str">
        <f t="shared" si="153"/>
        <v>{61,245}</v>
      </c>
      <c r="Y633" s="94" t="str">
        <f t="shared" si="154"/>
        <v>{63,325}</v>
      </c>
      <c r="Z633" s="94" t="str">
        <f ca="1" t="shared" si="155"/>
        <v/>
      </c>
      <c r="AA633" s="94" t="str">
        <f ca="1" t="shared" si="156"/>
        <v/>
      </c>
      <c r="AB633" s="94" t="str">
        <f ca="1" t="shared" si="157"/>
        <v/>
      </c>
      <c r="AE633" s="94" t="str">
        <f t="shared" si="158"/>
        <v>{2,1075}</v>
      </c>
      <c r="AH633" t="str">
        <f ca="1" t="shared" si="150"/>
        <v>[{61,245},{63,325},{2,1075}]</v>
      </c>
    </row>
    <row r="634" spans="4:34">
      <c r="D634" s="81" t="str">
        <f ca="1" t="shared" si="159"/>
        <v>传世Ⅳ</v>
      </c>
      <c r="E634" s="84">
        <f t="shared" si="160"/>
        <v>7</v>
      </c>
      <c r="F634" s="84">
        <f>CEILING(F630*1.25,5)</f>
        <v>245</v>
      </c>
      <c r="G634" s="84"/>
      <c r="H634" s="84"/>
      <c r="I634" s="84">
        <f t="shared" si="161"/>
        <v>1075</v>
      </c>
      <c r="J634" s="84" t="str" cm="1">
        <f ca="1" t="array" ref="J634">IF($E634&lt;7,_xlfn.XLOOKUP($D634&amp;$E634,$D$155:$D$395&amp;$E$155:$E$395,J$155:J$395),"")</f>
        <v/>
      </c>
      <c r="K634" s="84" t="str" cm="1">
        <f ca="1" t="array" ref="K634">IF($E634&lt;7,_xlfn.XLOOKUP($D634&amp;$E634,$D$155:$D$395&amp;$E$155:$E$395,K$155:K$395),"")</f>
        <v/>
      </c>
      <c r="L634" s="84">
        <v>5</v>
      </c>
      <c r="M634" s="84" t="str" cm="1">
        <f ca="1" t="array" ref="M634">IF($E634&lt;7,_xlfn.XLOOKUP($D634&amp;$E634,$D$155:$D$395&amp;$E$155:$E$395,M$155:M$395),"")</f>
        <v/>
      </c>
      <c r="N634" s="84" t="s">
        <v>282</v>
      </c>
      <c r="O634" s="84" t="s">
        <v>282</v>
      </c>
      <c r="P634" s="84" t="s">
        <v>282</v>
      </c>
      <c r="Q634" s="84" t="s">
        <v>282</v>
      </c>
      <c r="R634" s="84" t="s">
        <v>282</v>
      </c>
      <c r="S634" s="90">
        <f ca="1" t="shared" si="151"/>
        <v>275</v>
      </c>
      <c r="T634" s="90" cm="1">
        <f ca="1" t="array" ref="T634">IFERROR(SUMPRODUCT(F634:M634,$F$154:$M$154)+IFERROR(N634*SUMPRODUCT(O634:R634,$O$154:$R$154),0),"")</f>
        <v>5320</v>
      </c>
      <c r="U634" s="94"/>
      <c r="V634" s="94" t="str">
        <f t="shared" si="152"/>
        <v/>
      </c>
      <c r="W634" t="str">
        <f ca="1" t="shared" si="149"/>
        <v/>
      </c>
      <c r="X634" s="94" t="str">
        <f t="shared" si="153"/>
        <v>{61,245}</v>
      </c>
      <c r="Y634" s="94" t="str">
        <f t="shared" si="154"/>
        <v/>
      </c>
      <c r="Z634" s="94" t="str">
        <f t="shared" si="155"/>
        <v>{6030003,5}</v>
      </c>
      <c r="AA634" s="94" t="str">
        <f ca="1" t="shared" si="156"/>
        <v/>
      </c>
      <c r="AB634" s="94" t="str">
        <f ca="1" t="shared" si="157"/>
        <v/>
      </c>
      <c r="AE634" s="94" t="str">
        <f t="shared" si="158"/>
        <v>{2,1075}</v>
      </c>
      <c r="AH634" t="str">
        <f ca="1" t="shared" si="150"/>
        <v>[{61,245},{6030003,5},{2,1075}]</v>
      </c>
    </row>
    <row r="635" spans="4:34">
      <c r="D635" s="81" t="str">
        <f ca="1" t="shared" si="159"/>
        <v>传世Ⅳ</v>
      </c>
      <c r="E635" s="84">
        <f t="shared" si="160"/>
        <v>8</v>
      </c>
      <c r="F635" s="84">
        <f>CEILING(F634*1.5,5)</f>
        <v>370</v>
      </c>
      <c r="G635" s="84">
        <f>CEILING(G633*1.5,5)</f>
        <v>490</v>
      </c>
      <c r="H635" s="84">
        <f>1</f>
        <v>1</v>
      </c>
      <c r="I635" s="84">
        <f t="shared" si="161"/>
        <v>1075</v>
      </c>
      <c r="J635" s="84" t="str" cm="1">
        <f ca="1" t="array" ref="J635">IF($E635&lt;7,_xlfn.XLOOKUP($D635&amp;$E635,$D$155:$D$395&amp;$E$155:$E$395,J$155:J$395),"")</f>
        <v/>
      </c>
      <c r="K635" s="84" t="str" cm="1">
        <f ca="1" t="array" ref="K635">IF($E635&lt;7,_xlfn.XLOOKUP($D635&amp;$E635,$D$155:$D$395&amp;$E$155:$E$395,K$155:K$395),"")</f>
        <v/>
      </c>
      <c r="L635" s="84" t="str" cm="1">
        <f ca="1" t="array" ref="L635">IF($E635&lt;7,_xlfn.XLOOKUP($D635&amp;$E635,$D$155:$D$395&amp;$E$155:$E$395,L$155:L$395),"")</f>
        <v/>
      </c>
      <c r="M635" s="84" t="str" cm="1">
        <f ca="1" t="array" ref="M635">IF($E635&lt;7,_xlfn.XLOOKUP($D635&amp;$E635,$D$155:$D$395&amp;$E$155:$E$395,M$155:M$395),"")</f>
        <v/>
      </c>
      <c r="N635" s="84">
        <v>8</v>
      </c>
      <c r="O635" s="84">
        <v>0</v>
      </c>
      <c r="P635" s="84">
        <v>0.23</v>
      </c>
      <c r="Q635" s="84">
        <v>0.5</v>
      </c>
      <c r="R635" s="84">
        <v>0.27</v>
      </c>
      <c r="S635" s="90">
        <f ca="1" t="shared" si="151"/>
        <v>275</v>
      </c>
      <c r="T635" s="90" cm="1">
        <f ca="1" t="array" ref="T635">IFERROR(SUMPRODUCT(F635:M635,$F$154:$M$154)+IFERROR(N635*SUMPRODUCT(O635:R635,$O$154:$R$154),0),"")</f>
        <v>9477</v>
      </c>
      <c r="U635" s="94"/>
      <c r="V635" s="94" t="str">
        <f t="shared" si="152"/>
        <v>{62,1}</v>
      </c>
      <c r="W635" t="str">
        <f ca="1" t="shared" si="149"/>
        <v>{6020024,8}</v>
      </c>
      <c r="X635" s="94" t="str">
        <f t="shared" si="153"/>
        <v>{61,370}</v>
      </c>
      <c r="Y635" s="94" t="str">
        <f t="shared" si="154"/>
        <v>{63,490}</v>
      </c>
      <c r="Z635" s="94" t="str">
        <f ca="1" t="shared" si="155"/>
        <v/>
      </c>
      <c r="AA635" s="94" t="str">
        <f ca="1" t="shared" si="156"/>
        <v/>
      </c>
      <c r="AB635" s="94" t="str">
        <f ca="1" t="shared" si="157"/>
        <v/>
      </c>
      <c r="AE635" s="94" t="str">
        <f t="shared" si="158"/>
        <v>{2,1075}</v>
      </c>
      <c r="AH635" t="str">
        <f ca="1" t="shared" si="150"/>
        <v>[{62,1},{6020024,8},{61,370},{63,490},{2,1075}]</v>
      </c>
    </row>
    <row r="636" spans="4:34">
      <c r="D636" s="81" t="str">
        <f ca="1" t="shared" si="159"/>
        <v>传世Ⅴ</v>
      </c>
      <c r="E636" s="84">
        <f t="shared" si="160"/>
        <v>1</v>
      </c>
      <c r="F636" s="84">
        <f>F628+5</f>
        <v>200</v>
      </c>
      <c r="G636" s="84"/>
      <c r="H636" s="84"/>
      <c r="I636" s="84">
        <f t="shared" si="161"/>
        <v>1100</v>
      </c>
      <c r="J636" s="84">
        <v>4</v>
      </c>
      <c r="K636" s="84" cm="1">
        <f ca="1" t="array" ref="K636">IF($E636&lt;7,_xlfn.XLOOKUP($D636&amp;$E636,$D$155:$D$395&amp;$E$155:$E$395,K$155:K$395),"")</f>
        <v>0</v>
      </c>
      <c r="L636" s="84" cm="1">
        <f ca="1" t="array" ref="L636">IF($E636&lt;7,_xlfn.XLOOKUP($D636&amp;$E636,$D$155:$D$395&amp;$E$155:$E$395,L$155:L$395),"")</f>
        <v>0</v>
      </c>
      <c r="M636" s="84" cm="1">
        <f ca="1" t="array" ref="M636">IF($E636&lt;7,_xlfn.XLOOKUP($D636&amp;$E636,$D$155:$D$395&amp;$E$155:$E$395,M$155:M$395),"")</f>
        <v>0</v>
      </c>
      <c r="N636" s="84" t="s">
        <v>282</v>
      </c>
      <c r="O636" s="84" t="s">
        <v>282</v>
      </c>
      <c r="P636" s="84" t="s">
        <v>282</v>
      </c>
      <c r="Q636" s="84" t="s">
        <v>282</v>
      </c>
      <c r="R636" s="84" t="s">
        <v>282</v>
      </c>
      <c r="S636" s="90">
        <f ca="1" t="shared" si="151"/>
        <v>285</v>
      </c>
      <c r="T636" s="90" cm="1">
        <f ca="1" t="array" ref="T636">IFERROR(SUMPRODUCT(F636:M636,$F$154:$M$154)+IFERROR(N636*SUMPRODUCT(O636:R636,$O$154:$R$154),0),"")</f>
        <v>2100</v>
      </c>
      <c r="U636" s="94"/>
      <c r="V636" s="94" t="str">
        <f t="shared" si="152"/>
        <v/>
      </c>
      <c r="W636" t="str">
        <f ca="1" t="shared" si="149"/>
        <v/>
      </c>
      <c r="X636" s="94" t="str">
        <f t="shared" si="153"/>
        <v>{61,200}</v>
      </c>
      <c r="Y636" s="94" t="str">
        <f t="shared" si="154"/>
        <v/>
      </c>
      <c r="Z636" s="94" t="str">
        <f ca="1" t="shared" si="155"/>
        <v/>
      </c>
      <c r="AA636" s="94" t="str">
        <f ca="1" t="shared" si="156"/>
        <v/>
      </c>
      <c r="AB636" s="94" t="str">
        <f t="shared" si="157"/>
        <v>{6030001,4}</v>
      </c>
      <c r="AE636" s="94" t="str">
        <f t="shared" si="158"/>
        <v>{2,1100}</v>
      </c>
      <c r="AH636" t="str">
        <f ca="1" t="shared" si="150"/>
        <v>[{61,200},{6030001,4},{2,1100}]</v>
      </c>
    </row>
    <row r="637" spans="4:34">
      <c r="D637" s="81" t="str">
        <f ca="1" t="shared" si="159"/>
        <v>传世Ⅴ</v>
      </c>
      <c r="E637" s="84">
        <f t="shared" si="160"/>
        <v>2</v>
      </c>
      <c r="F637" s="84">
        <f>F629+5</f>
        <v>200</v>
      </c>
      <c r="G637" s="84">
        <f>G629+5</f>
        <v>220</v>
      </c>
      <c r="H637" s="84"/>
      <c r="I637" s="84">
        <f t="shared" si="161"/>
        <v>1100</v>
      </c>
      <c r="J637" s="84" cm="1">
        <f ca="1" t="array" ref="J637">IF($E637&lt;7,_xlfn.XLOOKUP($D637&amp;$E637,$D$155:$D$395&amp;$E$155:$E$395,J$155:J$395),"")</f>
        <v>0</v>
      </c>
      <c r="K637" s="84" cm="1">
        <f ca="1" t="array" ref="K637">IF($E637&lt;7,_xlfn.XLOOKUP($D637&amp;$E637,$D$155:$D$395&amp;$E$155:$E$395,K$155:K$395),"")</f>
        <v>0</v>
      </c>
      <c r="L637" s="84" cm="1">
        <f ca="1" t="array" ref="L637">IF($E637&lt;7,_xlfn.XLOOKUP($D637&amp;$E637,$D$155:$D$395&amp;$E$155:$E$395,L$155:L$395),"")</f>
        <v>0</v>
      </c>
      <c r="M637" s="84" cm="1">
        <f ca="1" t="array" ref="M637">IF($E637&lt;7,_xlfn.XLOOKUP($D637&amp;$E637,$D$155:$D$395&amp;$E$155:$E$395,M$155:M$395),"")</f>
        <v>0</v>
      </c>
      <c r="N637" s="84" t="s">
        <v>282</v>
      </c>
      <c r="O637" s="84" t="s">
        <v>282</v>
      </c>
      <c r="P637" s="84" t="s">
        <v>282</v>
      </c>
      <c r="Q637" s="84" t="s">
        <v>282</v>
      </c>
      <c r="R637" s="84" t="s">
        <v>282</v>
      </c>
      <c r="S637" s="90">
        <f ca="1" t="shared" si="151"/>
        <v>285</v>
      </c>
      <c r="T637" s="90" cm="1">
        <f ca="1" t="array" ref="T637">IFERROR(SUMPRODUCT(F637:M637,$F$154:$M$154)+IFERROR(N637*SUMPRODUCT(O637:R637,$O$154:$R$154),0),"")</f>
        <v>1520</v>
      </c>
      <c r="U637" s="94"/>
      <c r="V637" s="94" t="str">
        <f t="shared" si="152"/>
        <v/>
      </c>
      <c r="W637" t="str">
        <f ca="1" t="shared" ref="W637:W700" si="162">IF(OR(E637=8),"{"&amp;6020000+MATCH(D637,$D$400:$D$439,0)&amp;",8}","")</f>
        <v/>
      </c>
      <c r="X637" s="94" t="str">
        <f t="shared" si="153"/>
        <v>{61,200}</v>
      </c>
      <c r="Y637" s="94" t="str">
        <f t="shared" si="154"/>
        <v>{63,220}</v>
      </c>
      <c r="Z637" s="94" t="str">
        <f ca="1" t="shared" si="155"/>
        <v/>
      </c>
      <c r="AA637" s="94" t="str">
        <f ca="1" t="shared" si="156"/>
        <v/>
      </c>
      <c r="AB637" s="94" t="str">
        <f ca="1" t="shared" si="157"/>
        <v/>
      </c>
      <c r="AE637" s="94" t="str">
        <f t="shared" si="158"/>
        <v>{2,1100}</v>
      </c>
      <c r="AH637" t="str">
        <f ca="1" t="shared" ref="AH637:AH700" si="163">"["&amp;_xlfn.TEXTJOIN(",",1,V637:AF637)&amp;"]"</f>
        <v>[{61,200},{63,220},{2,1100}]</v>
      </c>
    </row>
    <row r="638" spans="4:34">
      <c r="D638" s="81" t="str">
        <f ca="1" t="shared" si="159"/>
        <v>传世Ⅴ</v>
      </c>
      <c r="E638" s="84">
        <f t="shared" si="160"/>
        <v>3</v>
      </c>
      <c r="F638" s="84">
        <f>F630+5</f>
        <v>200</v>
      </c>
      <c r="G638" s="84"/>
      <c r="H638" s="84"/>
      <c r="I638" s="84">
        <f t="shared" si="161"/>
        <v>1100</v>
      </c>
      <c r="J638" s="84">
        <v>5</v>
      </c>
      <c r="K638" s="84"/>
      <c r="L638" s="84" cm="1">
        <f ca="1" t="array" ref="L638">IF($E638&lt;7,_xlfn.XLOOKUP($D638&amp;$E638,$D$155:$D$395&amp;$E$155:$E$395,L$155:L$395),"")</f>
        <v>0</v>
      </c>
      <c r="M638" s="84" cm="1">
        <f ca="1" t="array" ref="M638">IF($E638&lt;7,_xlfn.XLOOKUP($D638&amp;$E638,$D$155:$D$395&amp;$E$155:$E$395,M$155:M$395),"")</f>
        <v>0</v>
      </c>
      <c r="N638" s="84" t="s">
        <v>282</v>
      </c>
      <c r="O638" s="84" t="s">
        <v>282</v>
      </c>
      <c r="P638" s="84" t="s">
        <v>282</v>
      </c>
      <c r="Q638" s="84" t="s">
        <v>282</v>
      </c>
      <c r="R638" s="84" t="s">
        <v>282</v>
      </c>
      <c r="S638" s="90">
        <f ca="1" t="shared" ref="S638:S701" si="164">_xlfn.XLOOKUP(D638,$D$111:$D$151,$E$111:$E$151)</f>
        <v>285</v>
      </c>
      <c r="T638" s="90" cm="1">
        <f ca="1" t="array" ref="T638">IFERROR(SUMPRODUCT(F638:M638,$F$154:$M$154)+IFERROR(N638*SUMPRODUCT(O638:R638,$O$154:$R$154),0),"")</f>
        <v>2300</v>
      </c>
      <c r="U638" s="94"/>
      <c r="V638" s="94" t="str">
        <f t="shared" si="152"/>
        <v/>
      </c>
      <c r="W638" t="str">
        <f ca="1" t="shared" si="162"/>
        <v/>
      </c>
      <c r="X638" s="94" t="str">
        <f t="shared" si="153"/>
        <v>{61,200}</v>
      </c>
      <c r="Y638" s="94" t="str">
        <f t="shared" si="154"/>
        <v/>
      </c>
      <c r="Z638" s="94" t="str">
        <f ca="1" t="shared" si="155"/>
        <v/>
      </c>
      <c r="AA638" s="94" t="str">
        <f t="shared" si="156"/>
        <v/>
      </c>
      <c r="AB638" s="94" t="str">
        <f t="shared" si="157"/>
        <v>{6030001,5}</v>
      </c>
      <c r="AE638" s="94" t="str">
        <f t="shared" si="158"/>
        <v>{2,1100}</v>
      </c>
      <c r="AH638" t="str">
        <f ca="1" t="shared" si="163"/>
        <v>[{61,200},{6030001,5},{2,1100}]</v>
      </c>
    </row>
    <row r="639" spans="4:34">
      <c r="D639" s="81" t="str">
        <f ca="1" t="shared" si="159"/>
        <v>传世Ⅴ</v>
      </c>
      <c r="E639" s="84">
        <f t="shared" si="160"/>
        <v>4</v>
      </c>
      <c r="F639" s="84">
        <f>CEILING(F640*1.25,5)</f>
        <v>315</v>
      </c>
      <c r="G639" s="84">
        <f>CEILING(G637*1.5,5)</f>
        <v>330</v>
      </c>
      <c r="H639" s="84"/>
      <c r="I639" s="84">
        <f t="shared" si="161"/>
        <v>1100</v>
      </c>
      <c r="J639" s="84" cm="1">
        <f ca="1" t="array" ref="J639">IF($E639&lt;7,_xlfn.XLOOKUP($D639&amp;$E639,$D$155:$D$395&amp;$E$155:$E$395,J$155:J$395),"")</f>
        <v>0</v>
      </c>
      <c r="K639" s="84" cm="1">
        <f ca="1" t="array" ref="K639">IF($E639&lt;7,_xlfn.XLOOKUP($D639&amp;$E639,$D$155:$D$395&amp;$E$155:$E$395,K$155:K$395),"")</f>
        <v>0</v>
      </c>
      <c r="L639" s="84" cm="1">
        <f ca="1" t="array" ref="L639">IF($E639&lt;7,_xlfn.XLOOKUP($D639&amp;$E639,$D$155:$D$395&amp;$E$155:$E$395,L$155:L$395),"")</f>
        <v>0</v>
      </c>
      <c r="M639" s="84" cm="1">
        <f ca="1" t="array" ref="M639">IF($E639&lt;7,_xlfn.XLOOKUP($D639&amp;$E639,$D$155:$D$395&amp;$E$155:$E$395,M$155:M$395),"")</f>
        <v>0</v>
      </c>
      <c r="N639" s="84" t="s">
        <v>282</v>
      </c>
      <c r="O639" s="84" t="s">
        <v>282</v>
      </c>
      <c r="P639" s="84" t="s">
        <v>282</v>
      </c>
      <c r="Q639" s="84" t="s">
        <v>282</v>
      </c>
      <c r="R639" s="84" t="s">
        <v>282</v>
      </c>
      <c r="S639" s="90">
        <f ca="1" t="shared" si="164"/>
        <v>285</v>
      </c>
      <c r="T639" s="90" cm="1">
        <f ca="1" t="array" ref="T639">IFERROR(SUMPRODUCT(F639:M639,$F$154:$M$154)+IFERROR(N639*SUMPRODUCT(O639:R639,$O$154:$R$154),0),"")</f>
        <v>1745</v>
      </c>
      <c r="U639" s="94"/>
      <c r="V639" s="94" t="str">
        <f t="shared" si="152"/>
        <v/>
      </c>
      <c r="W639" t="str">
        <f ca="1" t="shared" si="162"/>
        <v/>
      </c>
      <c r="X639" s="94" t="str">
        <f t="shared" si="153"/>
        <v>{61,315}</v>
      </c>
      <c r="Y639" s="94" t="str">
        <f t="shared" si="154"/>
        <v>{63,330}</v>
      </c>
      <c r="Z639" s="94" t="str">
        <f ca="1" t="shared" si="155"/>
        <v/>
      </c>
      <c r="AA639" s="94" t="str">
        <f ca="1" t="shared" si="156"/>
        <v/>
      </c>
      <c r="AB639" s="94" t="str">
        <f ca="1" t="shared" si="157"/>
        <v/>
      </c>
      <c r="AE639" s="94" t="str">
        <f t="shared" si="158"/>
        <v>{2,1100}</v>
      </c>
      <c r="AH639" t="str">
        <f ca="1" t="shared" si="163"/>
        <v>[{61,315},{63,330},{2,1100}]</v>
      </c>
    </row>
    <row r="640" spans="4:34">
      <c r="D640" s="81" t="str">
        <f ca="1" t="shared" si="159"/>
        <v>传世Ⅴ</v>
      </c>
      <c r="E640" s="84">
        <f t="shared" si="160"/>
        <v>5</v>
      </c>
      <c r="F640" s="84">
        <f>CEILING(F636*1.25,5)</f>
        <v>250</v>
      </c>
      <c r="G640" s="84"/>
      <c r="H640" s="84"/>
      <c r="I640" s="84">
        <f t="shared" si="161"/>
        <v>1100</v>
      </c>
      <c r="J640" s="84" cm="1">
        <f ca="1" t="array" ref="J640">IF($E640&lt;7,_xlfn.XLOOKUP($D640&amp;$E640,$D$155:$D$395&amp;$E$155:$E$395,J$155:J$395),"")</f>
        <v>0</v>
      </c>
      <c r="K640" s="84">
        <v>6</v>
      </c>
      <c r="L640" s="84"/>
      <c r="M640" s="84" cm="1">
        <f ca="1" t="array" ref="M640">IF($E640&lt;7,_xlfn.XLOOKUP($D640&amp;$E640,$D$155:$D$395&amp;$E$155:$E$395,M$155:M$395),"")</f>
        <v>0</v>
      </c>
      <c r="N640" s="84" t="s">
        <v>282</v>
      </c>
      <c r="O640" s="84" t="s">
        <v>282</v>
      </c>
      <c r="P640" s="84" t="s">
        <v>282</v>
      </c>
      <c r="Q640" s="84" t="s">
        <v>282</v>
      </c>
      <c r="R640" s="84" t="s">
        <v>282</v>
      </c>
      <c r="S640" s="90">
        <f ca="1" t="shared" si="164"/>
        <v>285</v>
      </c>
      <c r="T640" s="90" cm="1">
        <f ca="1" t="array" ref="T640">IFERROR(SUMPRODUCT(F640:M640,$F$154:$M$154)+IFERROR(N640*SUMPRODUCT(O640:R640,$O$154:$R$154),0),"")</f>
        <v>3750</v>
      </c>
      <c r="U640" s="94"/>
      <c r="V640" s="94" t="str">
        <f t="shared" si="152"/>
        <v/>
      </c>
      <c r="W640" t="str">
        <f ca="1" t="shared" si="162"/>
        <v/>
      </c>
      <c r="X640" s="94" t="str">
        <f t="shared" si="153"/>
        <v>{61,250}</v>
      </c>
      <c r="Y640" s="94" t="str">
        <f t="shared" si="154"/>
        <v/>
      </c>
      <c r="Z640" s="94" t="str">
        <f t="shared" si="155"/>
        <v/>
      </c>
      <c r="AA640" s="94" t="str">
        <f t="shared" si="156"/>
        <v>{6030002,6}</v>
      </c>
      <c r="AB640" s="94" t="str">
        <f ca="1" t="shared" si="157"/>
        <v/>
      </c>
      <c r="AE640" s="94" t="str">
        <f t="shared" si="158"/>
        <v>{2,1100}</v>
      </c>
      <c r="AH640" t="str">
        <f ca="1" t="shared" si="163"/>
        <v>[{61,250},{6030002,6},{2,1100}]</v>
      </c>
    </row>
    <row r="641" spans="4:34">
      <c r="D641" s="81" t="str">
        <f ca="1" t="shared" si="159"/>
        <v>传世Ⅴ</v>
      </c>
      <c r="E641" s="84">
        <f t="shared" si="160"/>
        <v>6</v>
      </c>
      <c r="F641" s="84">
        <f>CEILING(F637*1.25,5)</f>
        <v>250</v>
      </c>
      <c r="G641" s="84">
        <f>G639</f>
        <v>330</v>
      </c>
      <c r="H641" s="84"/>
      <c r="I641" s="84">
        <f t="shared" si="161"/>
        <v>1100</v>
      </c>
      <c r="J641" s="84" cm="1">
        <f ca="1" t="array" ref="J641">IF($E641&lt;7,_xlfn.XLOOKUP($D641&amp;$E641,$D$155:$D$395&amp;$E$155:$E$395,J$155:J$395),"")</f>
        <v>0</v>
      </c>
      <c r="K641" s="84" cm="1">
        <f ca="1" t="array" ref="K641">IF($E641&lt;7,_xlfn.XLOOKUP($D641&amp;$E641,$D$155:$D$395&amp;$E$155:$E$395,K$155:K$395),"")</f>
        <v>0</v>
      </c>
      <c r="L641" s="84" cm="1">
        <f ca="1" t="array" ref="L641">IF($E641&lt;7,_xlfn.XLOOKUP($D641&amp;$E641,$D$155:$D$395&amp;$E$155:$E$395,L$155:L$395),"")</f>
        <v>0</v>
      </c>
      <c r="M641" s="84" cm="1">
        <f ca="1" t="array" ref="M641">IF($E641&lt;7,_xlfn.XLOOKUP($D641&amp;$E641,$D$155:$D$395&amp;$E$155:$E$395,M$155:M$395),"")</f>
        <v>0</v>
      </c>
      <c r="N641" s="84" t="s">
        <v>282</v>
      </c>
      <c r="O641" s="84" t="s">
        <v>282</v>
      </c>
      <c r="P641" s="84" t="s">
        <v>282</v>
      </c>
      <c r="Q641" s="84" t="s">
        <v>282</v>
      </c>
      <c r="R641" s="84" t="s">
        <v>282</v>
      </c>
      <c r="S641" s="90">
        <f ca="1" t="shared" si="164"/>
        <v>285</v>
      </c>
      <c r="T641" s="90" cm="1">
        <f ca="1" t="array" ref="T641">IFERROR(SUMPRODUCT(F641:M641,$F$154:$M$154)+IFERROR(N641*SUMPRODUCT(O641:R641,$O$154:$R$154),0),"")</f>
        <v>1680</v>
      </c>
      <c r="U641" s="94"/>
      <c r="V641" s="94" t="str">
        <f t="shared" si="152"/>
        <v/>
      </c>
      <c r="W641" t="str">
        <f ca="1" t="shared" si="162"/>
        <v/>
      </c>
      <c r="X641" s="94" t="str">
        <f t="shared" si="153"/>
        <v>{61,250}</v>
      </c>
      <c r="Y641" s="94" t="str">
        <f t="shared" si="154"/>
        <v>{63,330}</v>
      </c>
      <c r="Z641" s="94" t="str">
        <f ca="1" t="shared" si="155"/>
        <v/>
      </c>
      <c r="AA641" s="94" t="str">
        <f ca="1" t="shared" si="156"/>
        <v/>
      </c>
      <c r="AB641" s="94" t="str">
        <f ca="1" t="shared" si="157"/>
        <v/>
      </c>
      <c r="AE641" s="94" t="str">
        <f t="shared" si="158"/>
        <v>{2,1100}</v>
      </c>
      <c r="AH641" t="str">
        <f ca="1" t="shared" si="163"/>
        <v>[{61,250},{63,330},{2,1100}]</v>
      </c>
    </row>
    <row r="642" spans="4:34">
      <c r="D642" s="81" t="str">
        <f ca="1" t="shared" si="159"/>
        <v>传世Ⅴ</v>
      </c>
      <c r="E642" s="84">
        <f t="shared" si="160"/>
        <v>7</v>
      </c>
      <c r="F642" s="84">
        <f>CEILING(F638*1.25,5)</f>
        <v>250</v>
      </c>
      <c r="G642" s="84"/>
      <c r="H642" s="84"/>
      <c r="I642" s="84">
        <f t="shared" si="161"/>
        <v>1100</v>
      </c>
      <c r="J642" s="84" t="str" cm="1">
        <f ca="1" t="array" ref="J642">IF($E642&lt;7,_xlfn.XLOOKUP($D642&amp;$E642,$D$155:$D$395&amp;$E$155:$E$395,J$155:J$395),"")</f>
        <v/>
      </c>
      <c r="K642" s="84" t="str" cm="1">
        <f ca="1" t="array" ref="K642">IF($E642&lt;7,_xlfn.XLOOKUP($D642&amp;$E642,$D$155:$D$395&amp;$E$155:$E$395,K$155:K$395),"")</f>
        <v/>
      </c>
      <c r="L642" s="84">
        <v>5</v>
      </c>
      <c r="M642" s="84" t="str" cm="1">
        <f ca="1" t="array" ref="M642">IF($E642&lt;7,_xlfn.XLOOKUP($D642&amp;$E642,$D$155:$D$395&amp;$E$155:$E$395,M$155:M$395),"")</f>
        <v/>
      </c>
      <c r="N642" s="84" t="s">
        <v>282</v>
      </c>
      <c r="O642" s="84" t="s">
        <v>282</v>
      </c>
      <c r="P642" s="84" t="s">
        <v>282</v>
      </c>
      <c r="Q642" s="84" t="s">
        <v>282</v>
      </c>
      <c r="R642" s="84" t="s">
        <v>282</v>
      </c>
      <c r="S642" s="90">
        <f ca="1" t="shared" si="164"/>
        <v>285</v>
      </c>
      <c r="T642" s="90" cm="1">
        <f ca="1" t="array" ref="T642">IFERROR(SUMPRODUCT(F642:M642,$F$154:$M$154)+IFERROR(N642*SUMPRODUCT(O642:R642,$O$154:$R$154),0),"")</f>
        <v>5350</v>
      </c>
      <c r="U642" s="94"/>
      <c r="V642" s="94" t="str">
        <f t="shared" si="152"/>
        <v/>
      </c>
      <c r="W642" t="str">
        <f ca="1" t="shared" si="162"/>
        <v/>
      </c>
      <c r="X642" s="94" t="str">
        <f t="shared" si="153"/>
        <v>{61,250}</v>
      </c>
      <c r="Y642" s="94" t="str">
        <f t="shared" si="154"/>
        <v/>
      </c>
      <c r="Z642" s="94" t="str">
        <f t="shared" si="155"/>
        <v>{6030003,5}</v>
      </c>
      <c r="AA642" s="94" t="str">
        <f ca="1" t="shared" si="156"/>
        <v/>
      </c>
      <c r="AB642" s="94" t="str">
        <f ca="1" t="shared" si="157"/>
        <v/>
      </c>
      <c r="AE642" s="94" t="str">
        <f t="shared" si="158"/>
        <v>{2,1100}</v>
      </c>
      <c r="AH642" t="str">
        <f ca="1" t="shared" si="163"/>
        <v>[{61,250},{6030003,5},{2,1100}]</v>
      </c>
    </row>
    <row r="643" spans="4:34">
      <c r="D643" s="81" t="str">
        <f ca="1" t="shared" si="159"/>
        <v>传世Ⅴ</v>
      </c>
      <c r="E643" s="84">
        <f t="shared" si="160"/>
        <v>8</v>
      </c>
      <c r="F643" s="84">
        <f>CEILING(F642*1.5,5)</f>
        <v>375</v>
      </c>
      <c r="G643" s="84">
        <f>CEILING(G641*1.5,5)</f>
        <v>495</v>
      </c>
      <c r="H643" s="84">
        <f>1</f>
        <v>1</v>
      </c>
      <c r="I643" s="84">
        <f t="shared" si="161"/>
        <v>1100</v>
      </c>
      <c r="J643" s="84" t="str" cm="1">
        <f ca="1" t="array" ref="J643">IF($E643&lt;7,_xlfn.XLOOKUP($D643&amp;$E643,$D$155:$D$395&amp;$E$155:$E$395,J$155:J$395),"")</f>
        <v/>
      </c>
      <c r="K643" s="84" t="str" cm="1">
        <f ca="1" t="array" ref="K643">IF($E643&lt;7,_xlfn.XLOOKUP($D643&amp;$E643,$D$155:$D$395&amp;$E$155:$E$395,K$155:K$395),"")</f>
        <v/>
      </c>
      <c r="L643" s="84" t="str" cm="1">
        <f ca="1" t="array" ref="L643">IF($E643&lt;7,_xlfn.XLOOKUP($D643&amp;$E643,$D$155:$D$395&amp;$E$155:$E$395,L$155:L$395),"")</f>
        <v/>
      </c>
      <c r="M643" s="84" t="str" cm="1">
        <f ca="1" t="array" ref="M643">IF($E643&lt;7,_xlfn.XLOOKUP($D643&amp;$E643,$D$155:$D$395&amp;$E$155:$E$395,M$155:M$395),"")</f>
        <v/>
      </c>
      <c r="N643" s="84">
        <v>8</v>
      </c>
      <c r="O643" s="84">
        <v>0</v>
      </c>
      <c r="P643" s="84">
        <v>0.2</v>
      </c>
      <c r="Q643" s="84">
        <v>0.5</v>
      </c>
      <c r="R643" s="84">
        <v>0.3</v>
      </c>
      <c r="S643" s="90">
        <f ca="1" t="shared" si="164"/>
        <v>285</v>
      </c>
      <c r="T643" s="90" cm="1">
        <f ca="1" t="array" ref="T643">IFERROR(SUMPRODUCT(F643:M643,$F$154:$M$154)+IFERROR(N643*SUMPRODUCT(O643:R643,$O$154:$R$154),0),"")</f>
        <v>9800</v>
      </c>
      <c r="U643" s="94"/>
      <c r="V643" s="94" t="str">
        <f t="shared" ref="V643:V706" si="165">IF(OR(H643="",H643=0),"","{"&amp;H$441&amp;","&amp;H643&amp;"}")</f>
        <v>{62,1}</v>
      </c>
      <c r="W643" t="str">
        <f ca="1" t="shared" si="162"/>
        <v>{6020025,8}</v>
      </c>
      <c r="X643" s="94" t="str">
        <f t="shared" ref="X643:X706" si="166">IF(OR(F643="",F643=0),"","{"&amp;F$441&amp;","&amp;F643&amp;"}")</f>
        <v>{61,375}</v>
      </c>
      <c r="Y643" s="94" t="str">
        <f t="shared" ref="Y643:Y706" si="167">IF(OR(G643="",G643=0),"","{"&amp;G$441&amp;","&amp;G643&amp;"}")</f>
        <v>{63,495}</v>
      </c>
      <c r="Z643" s="94" t="str">
        <f ca="1" t="shared" ref="Z643:Z706" si="168">IF(OR(L643="",L643=0),"","{"&amp;L$441&amp;","&amp;L643&amp;"}")</f>
        <v/>
      </c>
      <c r="AA643" s="94" t="str">
        <f ca="1" t="shared" ref="AA643:AA706" si="169">IF(OR(K643="",K643=0),"","{"&amp;K$441&amp;","&amp;K643&amp;"}")</f>
        <v/>
      </c>
      <c r="AB643" s="94" t="str">
        <f ca="1" t="shared" ref="AB643:AB706" si="170">IF(OR(J643="",J643=0),"","{"&amp;J$441&amp;","&amp;J643&amp;"}")</f>
        <v/>
      </c>
      <c r="AE643" s="94" t="str">
        <f t="shared" ref="AE643:AE706" si="171">IF(OR(I643="",I643=0),"","{"&amp;I$441&amp;","&amp;I643&amp;"}")</f>
        <v>{2,1100}</v>
      </c>
      <c r="AH643" t="str">
        <f ca="1" t="shared" si="163"/>
        <v>[{62,1},{6020025,8},{61,375},{63,495},{2,1100}]</v>
      </c>
    </row>
    <row r="644" spans="4:34">
      <c r="D644" s="81" t="str">
        <f ca="1" t="shared" si="159"/>
        <v>瑰宝Ⅰ</v>
      </c>
      <c r="E644" s="84">
        <f t="shared" si="160"/>
        <v>1</v>
      </c>
      <c r="F644" s="84">
        <f>F636+5</f>
        <v>205</v>
      </c>
      <c r="G644" s="84"/>
      <c r="H644" s="84"/>
      <c r="I644" s="84">
        <f t="shared" si="161"/>
        <v>1125</v>
      </c>
      <c r="J644" s="84">
        <v>4</v>
      </c>
      <c r="K644" s="84" cm="1">
        <f ca="1" t="array" ref="K644">IF($E644&lt;7,_xlfn.XLOOKUP($D644&amp;$E644,$D$155:$D$395&amp;$E$155:$E$395,K$155:K$395),"")</f>
        <v>0</v>
      </c>
      <c r="L644" s="84" cm="1">
        <f ca="1" t="array" ref="L644">IF($E644&lt;7,_xlfn.XLOOKUP($D644&amp;$E644,$D$155:$D$395&amp;$E$155:$E$395,L$155:L$395),"")</f>
        <v>0</v>
      </c>
      <c r="M644" s="84" cm="1">
        <f ca="1" t="array" ref="M644">IF($E644&lt;7,_xlfn.XLOOKUP($D644&amp;$E644,$D$155:$D$395&amp;$E$155:$E$395,M$155:M$395),"")</f>
        <v>0</v>
      </c>
      <c r="N644" s="84" t="s">
        <v>282</v>
      </c>
      <c r="O644" s="84" t="s">
        <v>282</v>
      </c>
      <c r="P644" s="84" t="s">
        <v>282</v>
      </c>
      <c r="Q644" s="84" t="s">
        <v>282</v>
      </c>
      <c r="R644" s="84" t="s">
        <v>282</v>
      </c>
      <c r="S644" s="90">
        <f ca="1" t="shared" si="164"/>
        <v>295</v>
      </c>
      <c r="T644" s="90" cm="1">
        <f ca="1" t="array" ref="T644">IFERROR(SUMPRODUCT(F644:M644,$F$154:$M$154)+IFERROR(N644*SUMPRODUCT(O644:R644,$O$154:$R$154),0),"")</f>
        <v>2130</v>
      </c>
      <c r="U644" s="94"/>
      <c r="V644" s="94" t="str">
        <f t="shared" si="165"/>
        <v/>
      </c>
      <c r="W644" t="str">
        <f ca="1" t="shared" si="162"/>
        <v/>
      </c>
      <c r="X644" s="94" t="str">
        <f t="shared" si="166"/>
        <v>{61,205}</v>
      </c>
      <c r="Y644" s="94" t="str">
        <f t="shared" si="167"/>
        <v/>
      </c>
      <c r="Z644" s="94" t="str">
        <f ca="1" t="shared" si="168"/>
        <v/>
      </c>
      <c r="AA644" s="94" t="str">
        <f ca="1" t="shared" si="169"/>
        <v/>
      </c>
      <c r="AB644" s="94" t="str">
        <f t="shared" si="170"/>
        <v>{6030001,4}</v>
      </c>
      <c r="AE644" s="94" t="str">
        <f t="shared" si="171"/>
        <v>{2,1125}</v>
      </c>
      <c r="AH644" t="str">
        <f ca="1" t="shared" si="163"/>
        <v>[{61,205},{6030001,4},{2,1125}]</v>
      </c>
    </row>
    <row r="645" spans="4:34">
      <c r="D645" s="81" t="str">
        <f ca="1" t="shared" ref="D645:D683" si="172">IF(E644=8,OFFSET($D$111,MATCH(D644,$D$112:$D$151,0)+1,0),D644)</f>
        <v>瑰宝Ⅰ</v>
      </c>
      <c r="E645" s="84">
        <f t="shared" ref="E645:E683" si="173">IF(E644=8,1,E644+1)</f>
        <v>2</v>
      </c>
      <c r="F645" s="84">
        <f>F637+5</f>
        <v>205</v>
      </c>
      <c r="G645" s="84">
        <f>G637+5</f>
        <v>225</v>
      </c>
      <c r="H645" s="84"/>
      <c r="I645" s="84">
        <f t="shared" ref="I645:I708" si="174">I637+25</f>
        <v>1125</v>
      </c>
      <c r="J645" s="84" cm="1">
        <f ca="1" t="array" ref="J645">IF($E645&lt;7,_xlfn.XLOOKUP($D645&amp;$E645,$D$155:$D$395&amp;$E$155:$E$395,J$155:J$395),"")</f>
        <v>0</v>
      </c>
      <c r="K645" s="84" cm="1">
        <f ca="1" t="array" ref="K645">IF($E645&lt;7,_xlfn.XLOOKUP($D645&amp;$E645,$D$155:$D$395&amp;$E$155:$E$395,K$155:K$395),"")</f>
        <v>0</v>
      </c>
      <c r="L645" s="84" cm="1">
        <f ca="1" t="array" ref="L645">IF($E645&lt;7,_xlfn.XLOOKUP($D645&amp;$E645,$D$155:$D$395&amp;$E$155:$E$395,L$155:L$395),"")</f>
        <v>0</v>
      </c>
      <c r="M645" s="84" cm="1">
        <f ca="1" t="array" ref="M645">IF($E645&lt;7,_xlfn.XLOOKUP($D645&amp;$E645,$D$155:$D$395&amp;$E$155:$E$395,M$155:M$395),"")</f>
        <v>0</v>
      </c>
      <c r="N645" s="84" t="s">
        <v>282</v>
      </c>
      <c r="O645" s="84" t="s">
        <v>282</v>
      </c>
      <c r="P645" s="84" t="s">
        <v>282</v>
      </c>
      <c r="Q645" s="84" t="s">
        <v>282</v>
      </c>
      <c r="R645" s="84" t="s">
        <v>282</v>
      </c>
      <c r="S645" s="90">
        <f ca="1" t="shared" si="164"/>
        <v>295</v>
      </c>
      <c r="T645" s="90" cm="1">
        <f ca="1" t="array" ref="T645">IFERROR(SUMPRODUCT(F645:M645,$F$154:$M$154)+IFERROR(N645*SUMPRODUCT(O645:R645,$O$154:$R$154),0),"")</f>
        <v>1555</v>
      </c>
      <c r="U645" s="94"/>
      <c r="V645" s="94" t="str">
        <f t="shared" si="165"/>
        <v/>
      </c>
      <c r="W645" t="str">
        <f ca="1" t="shared" si="162"/>
        <v/>
      </c>
      <c r="X645" s="94" t="str">
        <f t="shared" si="166"/>
        <v>{61,205}</v>
      </c>
      <c r="Y645" s="94" t="str">
        <f t="shared" si="167"/>
        <v>{63,225}</v>
      </c>
      <c r="Z645" s="94" t="str">
        <f ca="1" t="shared" si="168"/>
        <v/>
      </c>
      <c r="AA645" s="94" t="str">
        <f ca="1" t="shared" si="169"/>
        <v/>
      </c>
      <c r="AB645" s="94" t="str">
        <f ca="1" t="shared" si="170"/>
        <v/>
      </c>
      <c r="AE645" s="94" t="str">
        <f t="shared" si="171"/>
        <v>{2,1125}</v>
      </c>
      <c r="AH645" t="str">
        <f ca="1" t="shared" si="163"/>
        <v>[{61,205},{63,225},{2,1125}]</v>
      </c>
    </row>
    <row r="646" spans="4:34">
      <c r="D646" s="81" t="str">
        <f ca="1" t="shared" si="172"/>
        <v>瑰宝Ⅰ</v>
      </c>
      <c r="E646" s="84">
        <f t="shared" si="173"/>
        <v>3</v>
      </c>
      <c r="F646" s="84">
        <f>F638+5</f>
        <v>205</v>
      </c>
      <c r="G646" s="84"/>
      <c r="H646" s="84"/>
      <c r="I646" s="84">
        <f t="shared" si="174"/>
        <v>1125</v>
      </c>
      <c r="J646" s="84">
        <v>5</v>
      </c>
      <c r="K646" s="84"/>
      <c r="L646" s="84" cm="1">
        <f ca="1" t="array" ref="L646">IF($E646&lt;7,_xlfn.XLOOKUP($D646&amp;$E646,$D$155:$D$395&amp;$E$155:$E$395,L$155:L$395),"")</f>
        <v>0</v>
      </c>
      <c r="M646" s="84" cm="1">
        <f ca="1" t="array" ref="M646">IF($E646&lt;7,_xlfn.XLOOKUP($D646&amp;$E646,$D$155:$D$395&amp;$E$155:$E$395,M$155:M$395),"")</f>
        <v>0</v>
      </c>
      <c r="N646" s="84" t="s">
        <v>282</v>
      </c>
      <c r="O646" s="84" t="s">
        <v>282</v>
      </c>
      <c r="P646" s="84" t="s">
        <v>282</v>
      </c>
      <c r="Q646" s="84" t="s">
        <v>282</v>
      </c>
      <c r="R646" s="84" t="s">
        <v>282</v>
      </c>
      <c r="S646" s="90">
        <f ca="1" t="shared" si="164"/>
        <v>295</v>
      </c>
      <c r="T646" s="90" cm="1">
        <f ca="1" t="array" ref="T646">IFERROR(SUMPRODUCT(F646:M646,$F$154:$M$154)+IFERROR(N646*SUMPRODUCT(O646:R646,$O$154:$R$154),0),"")</f>
        <v>2330</v>
      </c>
      <c r="U646" s="94"/>
      <c r="V646" s="94" t="str">
        <f t="shared" si="165"/>
        <v/>
      </c>
      <c r="W646" t="str">
        <f ca="1" t="shared" si="162"/>
        <v/>
      </c>
      <c r="X646" s="94" t="str">
        <f t="shared" si="166"/>
        <v>{61,205}</v>
      </c>
      <c r="Y646" s="94" t="str">
        <f t="shared" si="167"/>
        <v/>
      </c>
      <c r="Z646" s="94" t="str">
        <f ca="1" t="shared" si="168"/>
        <v/>
      </c>
      <c r="AA646" s="94" t="str">
        <f t="shared" si="169"/>
        <v/>
      </c>
      <c r="AB646" s="94" t="str">
        <f t="shared" si="170"/>
        <v>{6030001,5}</v>
      </c>
      <c r="AE646" s="94" t="str">
        <f t="shared" si="171"/>
        <v>{2,1125}</v>
      </c>
      <c r="AH646" t="str">
        <f ca="1" t="shared" si="163"/>
        <v>[{61,205},{6030001,5},{2,1125}]</v>
      </c>
    </row>
    <row r="647" spans="4:34">
      <c r="D647" s="81" t="str">
        <f ca="1" t="shared" si="172"/>
        <v>瑰宝Ⅰ</v>
      </c>
      <c r="E647" s="84">
        <f t="shared" si="173"/>
        <v>4</v>
      </c>
      <c r="F647" s="84">
        <f>CEILING(F648*1.25,5)</f>
        <v>325</v>
      </c>
      <c r="G647" s="84">
        <f>CEILING(G645*1.5,5)</f>
        <v>340</v>
      </c>
      <c r="H647" s="84"/>
      <c r="I647" s="84">
        <f t="shared" si="174"/>
        <v>1125</v>
      </c>
      <c r="J647" s="84" cm="1">
        <f ca="1" t="array" ref="J647">IF($E647&lt;7,_xlfn.XLOOKUP($D647&amp;$E647,$D$155:$D$395&amp;$E$155:$E$395,J$155:J$395),"")</f>
        <v>0</v>
      </c>
      <c r="K647" s="84" cm="1">
        <f ca="1" t="array" ref="K647">IF($E647&lt;7,_xlfn.XLOOKUP($D647&amp;$E647,$D$155:$D$395&amp;$E$155:$E$395,K$155:K$395),"")</f>
        <v>0</v>
      </c>
      <c r="L647" s="84" cm="1">
        <f ca="1" t="array" ref="L647">IF($E647&lt;7,_xlfn.XLOOKUP($D647&amp;$E647,$D$155:$D$395&amp;$E$155:$E$395,L$155:L$395),"")</f>
        <v>0</v>
      </c>
      <c r="M647" s="84" cm="1">
        <f ca="1" t="array" ref="M647">IF($E647&lt;7,_xlfn.XLOOKUP($D647&amp;$E647,$D$155:$D$395&amp;$E$155:$E$395,M$155:M$395),"")</f>
        <v>0</v>
      </c>
      <c r="N647" s="84" t="s">
        <v>282</v>
      </c>
      <c r="O647" s="84" t="s">
        <v>282</v>
      </c>
      <c r="P647" s="84" t="s">
        <v>282</v>
      </c>
      <c r="Q647" s="84" t="s">
        <v>282</v>
      </c>
      <c r="R647" s="84" t="s">
        <v>282</v>
      </c>
      <c r="S647" s="90">
        <f ca="1" t="shared" si="164"/>
        <v>295</v>
      </c>
      <c r="T647" s="90" cm="1">
        <f ca="1" t="array" ref="T647">IFERROR(SUMPRODUCT(F647:M647,$F$154:$M$154)+IFERROR(N647*SUMPRODUCT(O647:R647,$O$154:$R$154),0),"")</f>
        <v>1790</v>
      </c>
      <c r="U647" s="94"/>
      <c r="V647" s="94" t="str">
        <f t="shared" si="165"/>
        <v/>
      </c>
      <c r="W647" t="str">
        <f ca="1" t="shared" si="162"/>
        <v/>
      </c>
      <c r="X647" s="94" t="str">
        <f t="shared" si="166"/>
        <v>{61,325}</v>
      </c>
      <c r="Y647" s="94" t="str">
        <f t="shared" si="167"/>
        <v>{63,340}</v>
      </c>
      <c r="Z647" s="94" t="str">
        <f ca="1" t="shared" si="168"/>
        <v/>
      </c>
      <c r="AA647" s="94" t="str">
        <f ca="1" t="shared" si="169"/>
        <v/>
      </c>
      <c r="AB647" s="94" t="str">
        <f ca="1" t="shared" si="170"/>
        <v/>
      </c>
      <c r="AE647" s="94" t="str">
        <f t="shared" si="171"/>
        <v>{2,1125}</v>
      </c>
      <c r="AH647" t="str">
        <f ca="1" t="shared" si="163"/>
        <v>[{61,325},{63,340},{2,1125}]</v>
      </c>
    </row>
    <row r="648" spans="4:34">
      <c r="D648" s="81" t="str">
        <f ca="1" t="shared" si="172"/>
        <v>瑰宝Ⅰ</v>
      </c>
      <c r="E648" s="84">
        <f t="shared" si="173"/>
        <v>5</v>
      </c>
      <c r="F648" s="84">
        <f>CEILING(F644*1.25,5)</f>
        <v>260</v>
      </c>
      <c r="G648" s="84"/>
      <c r="H648" s="84"/>
      <c r="I648" s="84">
        <f t="shared" si="174"/>
        <v>1125</v>
      </c>
      <c r="J648" s="84" cm="1">
        <f ca="1" t="array" ref="J648">IF($E648&lt;7,_xlfn.XLOOKUP($D648&amp;$E648,$D$155:$D$395&amp;$E$155:$E$395,J$155:J$395),"")</f>
        <v>0</v>
      </c>
      <c r="K648" s="84">
        <v>6</v>
      </c>
      <c r="L648" s="84"/>
      <c r="M648" s="84" cm="1">
        <f ca="1" t="array" ref="M648">IF($E648&lt;7,_xlfn.XLOOKUP($D648&amp;$E648,$D$155:$D$395&amp;$E$155:$E$395,M$155:M$395),"")</f>
        <v>0</v>
      </c>
      <c r="N648" s="84" t="s">
        <v>282</v>
      </c>
      <c r="O648" s="84" t="s">
        <v>282</v>
      </c>
      <c r="P648" s="84" t="s">
        <v>282</v>
      </c>
      <c r="Q648" s="84" t="s">
        <v>282</v>
      </c>
      <c r="R648" s="84" t="s">
        <v>282</v>
      </c>
      <c r="S648" s="90">
        <f ca="1" t="shared" si="164"/>
        <v>295</v>
      </c>
      <c r="T648" s="90" cm="1">
        <f ca="1" t="array" ref="T648">IFERROR(SUMPRODUCT(F648:M648,$F$154:$M$154)+IFERROR(N648*SUMPRODUCT(O648:R648,$O$154:$R$154),0),"")</f>
        <v>3785</v>
      </c>
      <c r="U648" s="94"/>
      <c r="V648" s="94" t="str">
        <f t="shared" si="165"/>
        <v/>
      </c>
      <c r="W648" t="str">
        <f ca="1" t="shared" si="162"/>
        <v/>
      </c>
      <c r="X648" s="94" t="str">
        <f t="shared" si="166"/>
        <v>{61,260}</v>
      </c>
      <c r="Y648" s="94" t="str">
        <f t="shared" si="167"/>
        <v/>
      </c>
      <c r="Z648" s="94" t="str">
        <f t="shared" si="168"/>
        <v/>
      </c>
      <c r="AA648" s="94" t="str">
        <f t="shared" si="169"/>
        <v>{6030002,6}</v>
      </c>
      <c r="AB648" s="94" t="str">
        <f ca="1" t="shared" si="170"/>
        <v/>
      </c>
      <c r="AE648" s="94" t="str">
        <f t="shared" si="171"/>
        <v>{2,1125}</v>
      </c>
      <c r="AH648" t="str">
        <f ca="1" t="shared" si="163"/>
        <v>[{61,260},{6030002,6},{2,1125}]</v>
      </c>
    </row>
    <row r="649" spans="4:34">
      <c r="D649" s="81" t="str">
        <f ca="1" t="shared" si="172"/>
        <v>瑰宝Ⅰ</v>
      </c>
      <c r="E649" s="84">
        <f t="shared" si="173"/>
        <v>6</v>
      </c>
      <c r="F649" s="84">
        <f>CEILING(F645*1.25,5)</f>
        <v>260</v>
      </c>
      <c r="G649" s="84">
        <f>G647</f>
        <v>340</v>
      </c>
      <c r="H649" s="84"/>
      <c r="I649" s="84">
        <f t="shared" si="174"/>
        <v>1125</v>
      </c>
      <c r="J649" s="84" cm="1">
        <f ca="1" t="array" ref="J649">IF($E649&lt;7,_xlfn.XLOOKUP($D649&amp;$E649,$D$155:$D$395&amp;$E$155:$E$395,J$155:J$395),"")</f>
        <v>0</v>
      </c>
      <c r="K649" s="84" cm="1">
        <f ca="1" t="array" ref="K649">IF($E649&lt;7,_xlfn.XLOOKUP($D649&amp;$E649,$D$155:$D$395&amp;$E$155:$E$395,K$155:K$395),"")</f>
        <v>0</v>
      </c>
      <c r="L649" s="84" cm="1">
        <f ca="1" t="array" ref="L649">IF($E649&lt;7,_xlfn.XLOOKUP($D649&amp;$E649,$D$155:$D$395&amp;$E$155:$E$395,L$155:L$395),"")</f>
        <v>0</v>
      </c>
      <c r="M649" s="84" cm="1">
        <f ca="1" t="array" ref="M649">IF($E649&lt;7,_xlfn.XLOOKUP($D649&amp;$E649,$D$155:$D$395&amp;$E$155:$E$395,M$155:M$395),"")</f>
        <v>0</v>
      </c>
      <c r="N649" s="84" t="s">
        <v>282</v>
      </c>
      <c r="O649" s="84" t="s">
        <v>282</v>
      </c>
      <c r="P649" s="84" t="s">
        <v>282</v>
      </c>
      <c r="Q649" s="84" t="s">
        <v>282</v>
      </c>
      <c r="R649" s="84" t="s">
        <v>282</v>
      </c>
      <c r="S649" s="90">
        <f ca="1" t="shared" si="164"/>
        <v>295</v>
      </c>
      <c r="T649" s="90" cm="1">
        <f ca="1" t="array" ref="T649">IFERROR(SUMPRODUCT(F649:M649,$F$154:$M$154)+IFERROR(N649*SUMPRODUCT(O649:R649,$O$154:$R$154),0),"")</f>
        <v>1725</v>
      </c>
      <c r="U649" s="94"/>
      <c r="V649" s="94" t="str">
        <f t="shared" si="165"/>
        <v/>
      </c>
      <c r="W649" t="str">
        <f ca="1" t="shared" si="162"/>
        <v/>
      </c>
      <c r="X649" s="94" t="str">
        <f t="shared" si="166"/>
        <v>{61,260}</v>
      </c>
      <c r="Y649" s="94" t="str">
        <f t="shared" si="167"/>
        <v>{63,340}</v>
      </c>
      <c r="Z649" s="94" t="str">
        <f ca="1" t="shared" si="168"/>
        <v/>
      </c>
      <c r="AA649" s="94" t="str">
        <f ca="1" t="shared" si="169"/>
        <v/>
      </c>
      <c r="AB649" s="94" t="str">
        <f ca="1" t="shared" si="170"/>
        <v/>
      </c>
      <c r="AE649" s="94" t="str">
        <f t="shared" si="171"/>
        <v>{2,1125}</v>
      </c>
      <c r="AH649" t="str">
        <f ca="1" t="shared" si="163"/>
        <v>[{61,260},{63,340},{2,1125}]</v>
      </c>
    </row>
    <row r="650" spans="4:34">
      <c r="D650" s="81" t="str">
        <f ca="1" t="shared" si="172"/>
        <v>瑰宝Ⅰ</v>
      </c>
      <c r="E650" s="84">
        <f t="shared" si="173"/>
        <v>7</v>
      </c>
      <c r="F650" s="84">
        <f>CEILING(F646*1.25,5)</f>
        <v>260</v>
      </c>
      <c r="G650" s="84"/>
      <c r="H650" s="84"/>
      <c r="I650" s="84">
        <f t="shared" si="174"/>
        <v>1125</v>
      </c>
      <c r="J650" s="84" t="str" cm="1">
        <f ca="1" t="array" ref="J650">IF($E650&lt;7,_xlfn.XLOOKUP($D650&amp;$E650,$D$155:$D$395&amp;$E$155:$E$395,J$155:J$395),"")</f>
        <v/>
      </c>
      <c r="K650" s="84" t="str" cm="1">
        <f ca="1" t="array" ref="K650">IF($E650&lt;7,_xlfn.XLOOKUP($D650&amp;$E650,$D$155:$D$395&amp;$E$155:$E$395,K$155:K$395),"")</f>
        <v/>
      </c>
      <c r="L650" s="84">
        <v>5</v>
      </c>
      <c r="M650" s="84" t="str" cm="1">
        <f ca="1" t="array" ref="M650">IF($E650&lt;7,_xlfn.XLOOKUP($D650&amp;$E650,$D$155:$D$395&amp;$E$155:$E$395,M$155:M$395),"")</f>
        <v/>
      </c>
      <c r="N650" s="84" t="s">
        <v>282</v>
      </c>
      <c r="O650" s="84" t="s">
        <v>282</v>
      </c>
      <c r="P650" s="84" t="s">
        <v>282</v>
      </c>
      <c r="Q650" s="84" t="s">
        <v>282</v>
      </c>
      <c r="R650" s="84" t="s">
        <v>282</v>
      </c>
      <c r="S650" s="90">
        <f ca="1" t="shared" si="164"/>
        <v>295</v>
      </c>
      <c r="T650" s="90" cm="1">
        <f ca="1" t="array" ref="T650">IFERROR(SUMPRODUCT(F650:M650,$F$154:$M$154)+IFERROR(N650*SUMPRODUCT(O650:R650,$O$154:$R$154),0),"")</f>
        <v>5385</v>
      </c>
      <c r="U650" s="94"/>
      <c r="V650" s="94" t="str">
        <f t="shared" si="165"/>
        <v/>
      </c>
      <c r="W650" t="str">
        <f ca="1" t="shared" si="162"/>
        <v/>
      </c>
      <c r="X650" s="94" t="str">
        <f t="shared" si="166"/>
        <v>{61,260}</v>
      </c>
      <c r="Y650" s="94" t="str">
        <f t="shared" si="167"/>
        <v/>
      </c>
      <c r="Z650" s="94" t="str">
        <f t="shared" si="168"/>
        <v>{6030003,5}</v>
      </c>
      <c r="AA650" s="94" t="str">
        <f ca="1" t="shared" si="169"/>
        <v/>
      </c>
      <c r="AB650" s="94" t="str">
        <f ca="1" t="shared" si="170"/>
        <v/>
      </c>
      <c r="AE650" s="94" t="str">
        <f t="shared" si="171"/>
        <v>{2,1125}</v>
      </c>
      <c r="AH650" t="str">
        <f ca="1" t="shared" si="163"/>
        <v>[{61,260},{6030003,5},{2,1125}]</v>
      </c>
    </row>
    <row r="651" spans="4:34">
      <c r="D651" s="81" t="str">
        <f ca="1" t="shared" si="172"/>
        <v>瑰宝Ⅰ</v>
      </c>
      <c r="E651" s="84">
        <f t="shared" si="173"/>
        <v>8</v>
      </c>
      <c r="F651" s="84">
        <f>CEILING(F650*1.5,5)</f>
        <v>390</v>
      </c>
      <c r="G651" s="84">
        <f>CEILING(G649*1.5,5)</f>
        <v>510</v>
      </c>
      <c r="H651" s="84">
        <f>1</f>
        <v>1</v>
      </c>
      <c r="I651" s="84">
        <f t="shared" si="174"/>
        <v>1125</v>
      </c>
      <c r="J651" s="84" t="str" cm="1">
        <f ca="1" t="array" ref="J651">IF($E651&lt;7,_xlfn.XLOOKUP($D651&amp;$E651,$D$155:$D$395&amp;$E$155:$E$395,J$155:J$395),"")</f>
        <v/>
      </c>
      <c r="K651" s="84" t="str" cm="1">
        <f ca="1" t="array" ref="K651">IF($E651&lt;7,_xlfn.XLOOKUP($D651&amp;$E651,$D$155:$D$395&amp;$E$155:$E$395,K$155:K$395),"")</f>
        <v/>
      </c>
      <c r="L651" s="84" t="str" cm="1">
        <f ca="1" t="array" ref="L651">IF($E651&lt;7,_xlfn.XLOOKUP($D651&amp;$E651,$D$155:$D$395&amp;$E$155:$E$395,L$155:L$395),"")</f>
        <v/>
      </c>
      <c r="M651" s="84" t="str" cm="1">
        <f ca="1" t="array" ref="M651">IF($E651&lt;7,_xlfn.XLOOKUP($D651&amp;$E651,$D$155:$D$395&amp;$E$155:$E$395,M$155:M$395),"")</f>
        <v/>
      </c>
      <c r="N651" s="84">
        <v>8</v>
      </c>
      <c r="O651" s="84">
        <v>0</v>
      </c>
      <c r="P651" s="84">
        <v>0.17</v>
      </c>
      <c r="Q651" s="84">
        <v>0.5</v>
      </c>
      <c r="R651" s="84">
        <v>0.33</v>
      </c>
      <c r="S651" s="90">
        <f ca="1" t="shared" si="164"/>
        <v>295</v>
      </c>
      <c r="T651" s="90" cm="1">
        <f ca="1" t="array" ref="T651">IFERROR(SUMPRODUCT(F651:M651,$F$154:$M$154)+IFERROR(N651*SUMPRODUCT(O651:R651,$O$154:$R$154),0),"")</f>
        <v>10143</v>
      </c>
      <c r="U651" s="94"/>
      <c r="V651" s="94" t="str">
        <f t="shared" si="165"/>
        <v>{62,1}</v>
      </c>
      <c r="W651" t="str">
        <f ca="1" t="shared" si="162"/>
        <v>{6020026,8}</v>
      </c>
      <c r="X651" s="94" t="str">
        <f t="shared" si="166"/>
        <v>{61,390}</v>
      </c>
      <c r="Y651" s="94" t="str">
        <f t="shared" si="167"/>
        <v>{63,510}</v>
      </c>
      <c r="Z651" s="94" t="str">
        <f ca="1" t="shared" si="168"/>
        <v/>
      </c>
      <c r="AA651" s="94" t="str">
        <f ca="1" t="shared" si="169"/>
        <v/>
      </c>
      <c r="AB651" s="94" t="str">
        <f ca="1" t="shared" si="170"/>
        <v/>
      </c>
      <c r="AE651" s="94" t="str">
        <f t="shared" si="171"/>
        <v>{2,1125}</v>
      </c>
      <c r="AH651" t="str">
        <f ca="1" t="shared" si="163"/>
        <v>[{62,1},{6020026,8},{61,390},{63,510},{2,1125}]</v>
      </c>
    </row>
    <row r="652" spans="4:34">
      <c r="D652" s="81" t="str">
        <f ca="1" t="shared" si="172"/>
        <v>瑰宝Ⅱ</v>
      </c>
      <c r="E652" s="84">
        <f t="shared" si="173"/>
        <v>1</v>
      </c>
      <c r="F652" s="84">
        <f>F644+5</f>
        <v>210</v>
      </c>
      <c r="G652" s="84"/>
      <c r="H652" s="84"/>
      <c r="I652" s="84">
        <f t="shared" si="174"/>
        <v>1150</v>
      </c>
      <c r="J652" s="84">
        <v>4</v>
      </c>
      <c r="K652" s="84" cm="1">
        <f ca="1" t="array" ref="K652">IF($E652&lt;7,_xlfn.XLOOKUP($D652&amp;$E652,$D$155:$D$395&amp;$E$155:$E$395,K$155:K$395),"")</f>
        <v>0</v>
      </c>
      <c r="L652" s="84" cm="1">
        <f ca="1" t="array" ref="L652">IF($E652&lt;7,_xlfn.XLOOKUP($D652&amp;$E652,$D$155:$D$395&amp;$E$155:$E$395,L$155:L$395),"")</f>
        <v>0</v>
      </c>
      <c r="M652" s="84" cm="1">
        <f ca="1" t="array" ref="M652">IF($E652&lt;7,_xlfn.XLOOKUP($D652&amp;$E652,$D$155:$D$395&amp;$E$155:$E$395,M$155:M$395),"")</f>
        <v>0</v>
      </c>
      <c r="N652" s="84" t="s">
        <v>282</v>
      </c>
      <c r="O652" s="84" t="s">
        <v>282</v>
      </c>
      <c r="P652" s="84" t="s">
        <v>282</v>
      </c>
      <c r="Q652" s="84" t="s">
        <v>282</v>
      </c>
      <c r="R652" s="84" t="s">
        <v>282</v>
      </c>
      <c r="S652" s="90">
        <f ca="1" t="shared" si="164"/>
        <v>305</v>
      </c>
      <c r="T652" s="90" cm="1">
        <f ca="1" t="array" ref="T652">IFERROR(SUMPRODUCT(F652:M652,$F$154:$M$154)+IFERROR(N652*SUMPRODUCT(O652:R652,$O$154:$R$154),0),"")</f>
        <v>2160</v>
      </c>
      <c r="U652" s="94"/>
      <c r="V652" s="94" t="str">
        <f t="shared" si="165"/>
        <v/>
      </c>
      <c r="W652" t="str">
        <f ca="1" t="shared" si="162"/>
        <v/>
      </c>
      <c r="X652" s="94" t="str">
        <f t="shared" si="166"/>
        <v>{61,210}</v>
      </c>
      <c r="Y652" s="94" t="str">
        <f t="shared" si="167"/>
        <v/>
      </c>
      <c r="Z652" s="94" t="str">
        <f ca="1" t="shared" si="168"/>
        <v/>
      </c>
      <c r="AA652" s="94" t="str">
        <f ca="1" t="shared" si="169"/>
        <v/>
      </c>
      <c r="AB652" s="94" t="str">
        <f t="shared" si="170"/>
        <v>{6030001,4}</v>
      </c>
      <c r="AE652" s="94" t="str">
        <f t="shared" si="171"/>
        <v>{2,1150}</v>
      </c>
      <c r="AH652" t="str">
        <f ca="1" t="shared" si="163"/>
        <v>[{61,210},{6030001,4},{2,1150}]</v>
      </c>
    </row>
    <row r="653" spans="4:34">
      <c r="D653" s="81" t="str">
        <f ca="1" t="shared" si="172"/>
        <v>瑰宝Ⅱ</v>
      </c>
      <c r="E653" s="84">
        <f t="shared" si="173"/>
        <v>2</v>
      </c>
      <c r="F653" s="84">
        <f>F645+5</f>
        <v>210</v>
      </c>
      <c r="G653" s="84">
        <f>G645+5</f>
        <v>230</v>
      </c>
      <c r="H653" s="84"/>
      <c r="I653" s="84">
        <f t="shared" si="174"/>
        <v>1150</v>
      </c>
      <c r="J653" s="84" cm="1">
        <f ca="1" t="array" ref="J653">IF($E653&lt;7,_xlfn.XLOOKUP($D653&amp;$E653,$D$155:$D$395&amp;$E$155:$E$395,J$155:J$395),"")</f>
        <v>0</v>
      </c>
      <c r="K653" s="84" cm="1">
        <f ca="1" t="array" ref="K653">IF($E653&lt;7,_xlfn.XLOOKUP($D653&amp;$E653,$D$155:$D$395&amp;$E$155:$E$395,K$155:K$395),"")</f>
        <v>0</v>
      </c>
      <c r="L653" s="84" cm="1">
        <f ca="1" t="array" ref="L653">IF($E653&lt;7,_xlfn.XLOOKUP($D653&amp;$E653,$D$155:$D$395&amp;$E$155:$E$395,L$155:L$395),"")</f>
        <v>0</v>
      </c>
      <c r="M653" s="84" cm="1">
        <f ca="1" t="array" ref="M653">IF($E653&lt;7,_xlfn.XLOOKUP($D653&amp;$E653,$D$155:$D$395&amp;$E$155:$E$395,M$155:M$395),"")</f>
        <v>0</v>
      </c>
      <c r="N653" s="84" t="s">
        <v>282</v>
      </c>
      <c r="O653" s="84" t="s">
        <v>282</v>
      </c>
      <c r="P653" s="84" t="s">
        <v>282</v>
      </c>
      <c r="Q653" s="84" t="s">
        <v>282</v>
      </c>
      <c r="R653" s="84" t="s">
        <v>282</v>
      </c>
      <c r="S653" s="90">
        <f ca="1" t="shared" si="164"/>
        <v>305</v>
      </c>
      <c r="T653" s="90" cm="1">
        <f ca="1" t="array" ref="T653">IFERROR(SUMPRODUCT(F653:M653,$F$154:$M$154)+IFERROR(N653*SUMPRODUCT(O653:R653,$O$154:$R$154),0),"")</f>
        <v>1590</v>
      </c>
      <c r="U653" s="94"/>
      <c r="V653" s="94" t="str">
        <f t="shared" si="165"/>
        <v/>
      </c>
      <c r="W653" t="str">
        <f ca="1" t="shared" si="162"/>
        <v/>
      </c>
      <c r="X653" s="94" t="str">
        <f t="shared" si="166"/>
        <v>{61,210}</v>
      </c>
      <c r="Y653" s="94" t="str">
        <f t="shared" si="167"/>
        <v>{63,230}</v>
      </c>
      <c r="Z653" s="94" t="str">
        <f ca="1" t="shared" si="168"/>
        <v/>
      </c>
      <c r="AA653" s="94" t="str">
        <f ca="1" t="shared" si="169"/>
        <v/>
      </c>
      <c r="AB653" s="94" t="str">
        <f ca="1" t="shared" si="170"/>
        <v/>
      </c>
      <c r="AE653" s="94" t="str">
        <f t="shared" si="171"/>
        <v>{2,1150}</v>
      </c>
      <c r="AH653" t="str">
        <f ca="1" t="shared" si="163"/>
        <v>[{61,210},{63,230},{2,1150}]</v>
      </c>
    </row>
    <row r="654" spans="4:34">
      <c r="D654" s="81" t="str">
        <f ca="1" t="shared" si="172"/>
        <v>瑰宝Ⅱ</v>
      </c>
      <c r="E654" s="84">
        <f t="shared" si="173"/>
        <v>3</v>
      </c>
      <c r="F654" s="84">
        <f>F646+5</f>
        <v>210</v>
      </c>
      <c r="G654" s="84"/>
      <c r="H654" s="84"/>
      <c r="I654" s="84">
        <f t="shared" si="174"/>
        <v>1150</v>
      </c>
      <c r="J654" s="84">
        <v>5</v>
      </c>
      <c r="K654" s="84"/>
      <c r="L654" s="84" cm="1">
        <f ca="1" t="array" ref="L654">IF($E654&lt;7,_xlfn.XLOOKUP($D654&amp;$E654,$D$155:$D$395&amp;$E$155:$E$395,L$155:L$395),"")</f>
        <v>0</v>
      </c>
      <c r="M654" s="84" cm="1">
        <f ca="1" t="array" ref="M654">IF($E654&lt;7,_xlfn.XLOOKUP($D654&amp;$E654,$D$155:$D$395&amp;$E$155:$E$395,M$155:M$395),"")</f>
        <v>0</v>
      </c>
      <c r="N654" s="84" t="s">
        <v>282</v>
      </c>
      <c r="O654" s="84" t="s">
        <v>282</v>
      </c>
      <c r="P654" s="84" t="s">
        <v>282</v>
      </c>
      <c r="Q654" s="84" t="s">
        <v>282</v>
      </c>
      <c r="R654" s="84" t="s">
        <v>282</v>
      </c>
      <c r="S654" s="90">
        <f ca="1" t="shared" si="164"/>
        <v>305</v>
      </c>
      <c r="T654" s="90" cm="1">
        <f ca="1" t="array" ref="T654">IFERROR(SUMPRODUCT(F654:M654,$F$154:$M$154)+IFERROR(N654*SUMPRODUCT(O654:R654,$O$154:$R$154),0),"")</f>
        <v>2360</v>
      </c>
      <c r="U654" s="94"/>
      <c r="V654" s="94" t="str">
        <f t="shared" si="165"/>
        <v/>
      </c>
      <c r="W654" t="str">
        <f ca="1" t="shared" si="162"/>
        <v/>
      </c>
      <c r="X654" s="94" t="str">
        <f t="shared" si="166"/>
        <v>{61,210}</v>
      </c>
      <c r="Y654" s="94" t="str">
        <f t="shared" si="167"/>
        <v/>
      </c>
      <c r="Z654" s="94" t="str">
        <f ca="1" t="shared" si="168"/>
        <v/>
      </c>
      <c r="AA654" s="94" t="str">
        <f t="shared" si="169"/>
        <v/>
      </c>
      <c r="AB654" s="94" t="str">
        <f t="shared" si="170"/>
        <v>{6030001,5}</v>
      </c>
      <c r="AE654" s="94" t="str">
        <f t="shared" si="171"/>
        <v>{2,1150}</v>
      </c>
      <c r="AH654" t="str">
        <f ca="1" t="shared" si="163"/>
        <v>[{61,210},{6030001,5},{2,1150}]</v>
      </c>
    </row>
    <row r="655" spans="4:34">
      <c r="D655" s="81" t="str">
        <f ca="1" t="shared" si="172"/>
        <v>瑰宝Ⅱ</v>
      </c>
      <c r="E655" s="84">
        <f t="shared" si="173"/>
        <v>4</v>
      </c>
      <c r="F655" s="84">
        <f>CEILING(F656*1.25,5)</f>
        <v>335</v>
      </c>
      <c r="G655" s="84">
        <f>CEILING(G653*1.5,5)</f>
        <v>345</v>
      </c>
      <c r="H655" s="84"/>
      <c r="I655" s="84">
        <f t="shared" si="174"/>
        <v>1150</v>
      </c>
      <c r="J655" s="84" cm="1">
        <f ca="1" t="array" ref="J655">IF($E655&lt;7,_xlfn.XLOOKUP($D655&amp;$E655,$D$155:$D$395&amp;$E$155:$E$395,J$155:J$395),"")</f>
        <v>0</v>
      </c>
      <c r="K655" s="84" cm="1">
        <f ca="1" t="array" ref="K655">IF($E655&lt;7,_xlfn.XLOOKUP($D655&amp;$E655,$D$155:$D$395&amp;$E$155:$E$395,K$155:K$395),"")</f>
        <v>0</v>
      </c>
      <c r="L655" s="84" cm="1">
        <f ca="1" t="array" ref="L655">IF($E655&lt;7,_xlfn.XLOOKUP($D655&amp;$E655,$D$155:$D$395&amp;$E$155:$E$395,L$155:L$395),"")</f>
        <v>0</v>
      </c>
      <c r="M655" s="84" cm="1">
        <f ca="1" t="array" ref="M655">IF($E655&lt;7,_xlfn.XLOOKUP($D655&amp;$E655,$D$155:$D$395&amp;$E$155:$E$395,M$155:M$395),"")</f>
        <v>0</v>
      </c>
      <c r="N655" s="84" t="s">
        <v>282</v>
      </c>
      <c r="O655" s="84" t="s">
        <v>282</v>
      </c>
      <c r="P655" s="84" t="s">
        <v>282</v>
      </c>
      <c r="Q655" s="84" t="s">
        <v>282</v>
      </c>
      <c r="R655" s="84" t="s">
        <v>282</v>
      </c>
      <c r="S655" s="90">
        <f ca="1" t="shared" si="164"/>
        <v>305</v>
      </c>
      <c r="T655" s="90" cm="1">
        <f ca="1" t="array" ref="T655">IFERROR(SUMPRODUCT(F655:M655,$F$154:$M$154)+IFERROR(N655*SUMPRODUCT(O655:R655,$O$154:$R$154),0),"")</f>
        <v>1830</v>
      </c>
      <c r="U655" s="94"/>
      <c r="V655" s="94" t="str">
        <f t="shared" si="165"/>
        <v/>
      </c>
      <c r="W655" t="str">
        <f ca="1" t="shared" si="162"/>
        <v/>
      </c>
      <c r="X655" s="94" t="str">
        <f t="shared" si="166"/>
        <v>{61,335}</v>
      </c>
      <c r="Y655" s="94" t="str">
        <f t="shared" si="167"/>
        <v>{63,345}</v>
      </c>
      <c r="Z655" s="94" t="str">
        <f ca="1" t="shared" si="168"/>
        <v/>
      </c>
      <c r="AA655" s="94" t="str">
        <f ca="1" t="shared" si="169"/>
        <v/>
      </c>
      <c r="AB655" s="94" t="str">
        <f ca="1" t="shared" si="170"/>
        <v/>
      </c>
      <c r="AE655" s="94" t="str">
        <f t="shared" si="171"/>
        <v>{2,1150}</v>
      </c>
      <c r="AH655" t="str">
        <f ca="1" t="shared" si="163"/>
        <v>[{61,335},{63,345},{2,1150}]</v>
      </c>
    </row>
    <row r="656" spans="4:34">
      <c r="D656" s="81" t="str">
        <f ca="1" t="shared" si="172"/>
        <v>瑰宝Ⅱ</v>
      </c>
      <c r="E656" s="84">
        <f t="shared" si="173"/>
        <v>5</v>
      </c>
      <c r="F656" s="84">
        <f>CEILING(F652*1.25,5)</f>
        <v>265</v>
      </c>
      <c r="G656" s="84"/>
      <c r="H656" s="84"/>
      <c r="I656" s="84">
        <f t="shared" si="174"/>
        <v>1150</v>
      </c>
      <c r="J656" s="84" cm="1">
        <f ca="1" t="array" ref="J656">IF($E656&lt;7,_xlfn.XLOOKUP($D656&amp;$E656,$D$155:$D$395&amp;$E$155:$E$395,J$155:J$395),"")</f>
        <v>0</v>
      </c>
      <c r="K656" s="84">
        <v>6</v>
      </c>
      <c r="L656" s="84"/>
      <c r="M656" s="84" cm="1">
        <f ca="1" t="array" ref="M656">IF($E656&lt;7,_xlfn.XLOOKUP($D656&amp;$E656,$D$155:$D$395&amp;$E$155:$E$395,M$155:M$395),"")</f>
        <v>0</v>
      </c>
      <c r="N656" s="84" t="s">
        <v>282</v>
      </c>
      <c r="O656" s="84" t="s">
        <v>282</v>
      </c>
      <c r="P656" s="84" t="s">
        <v>282</v>
      </c>
      <c r="Q656" s="84" t="s">
        <v>282</v>
      </c>
      <c r="R656" s="84" t="s">
        <v>282</v>
      </c>
      <c r="S656" s="90">
        <f ca="1" t="shared" si="164"/>
        <v>305</v>
      </c>
      <c r="T656" s="90" cm="1">
        <f ca="1" t="array" ref="T656">IFERROR(SUMPRODUCT(F656:M656,$F$154:$M$154)+IFERROR(N656*SUMPRODUCT(O656:R656,$O$154:$R$154),0),"")</f>
        <v>3815</v>
      </c>
      <c r="U656" s="94"/>
      <c r="V656" s="94" t="str">
        <f t="shared" si="165"/>
        <v/>
      </c>
      <c r="W656" t="str">
        <f ca="1" t="shared" si="162"/>
        <v/>
      </c>
      <c r="X656" s="94" t="str">
        <f t="shared" si="166"/>
        <v>{61,265}</v>
      </c>
      <c r="Y656" s="94" t="str">
        <f t="shared" si="167"/>
        <v/>
      </c>
      <c r="Z656" s="94" t="str">
        <f t="shared" si="168"/>
        <v/>
      </c>
      <c r="AA656" s="94" t="str">
        <f t="shared" si="169"/>
        <v>{6030002,6}</v>
      </c>
      <c r="AB656" s="94" t="str">
        <f ca="1" t="shared" si="170"/>
        <v/>
      </c>
      <c r="AE656" s="94" t="str">
        <f t="shared" si="171"/>
        <v>{2,1150}</v>
      </c>
      <c r="AH656" t="str">
        <f ca="1" t="shared" si="163"/>
        <v>[{61,265},{6030002,6},{2,1150}]</v>
      </c>
    </row>
    <row r="657" spans="4:34">
      <c r="D657" s="81" t="str">
        <f ca="1" t="shared" si="172"/>
        <v>瑰宝Ⅱ</v>
      </c>
      <c r="E657" s="84">
        <f t="shared" si="173"/>
        <v>6</v>
      </c>
      <c r="F657" s="84">
        <f>CEILING(F653*1.25,5)</f>
        <v>265</v>
      </c>
      <c r="G657" s="84">
        <f>G655</f>
        <v>345</v>
      </c>
      <c r="H657" s="84"/>
      <c r="I657" s="84">
        <f t="shared" si="174"/>
        <v>1150</v>
      </c>
      <c r="J657" s="84" cm="1">
        <f ca="1" t="array" ref="J657">IF($E657&lt;7,_xlfn.XLOOKUP($D657&amp;$E657,$D$155:$D$395&amp;$E$155:$E$395,J$155:J$395),"")</f>
        <v>0</v>
      </c>
      <c r="K657" s="84" cm="1">
        <f ca="1" t="array" ref="K657">IF($E657&lt;7,_xlfn.XLOOKUP($D657&amp;$E657,$D$155:$D$395&amp;$E$155:$E$395,K$155:K$395),"")</f>
        <v>0</v>
      </c>
      <c r="L657" s="84" cm="1">
        <f ca="1" t="array" ref="L657">IF($E657&lt;7,_xlfn.XLOOKUP($D657&amp;$E657,$D$155:$D$395&amp;$E$155:$E$395,L$155:L$395),"")</f>
        <v>0</v>
      </c>
      <c r="M657" s="84" cm="1">
        <f ca="1" t="array" ref="M657">IF($E657&lt;7,_xlfn.XLOOKUP($D657&amp;$E657,$D$155:$D$395&amp;$E$155:$E$395,M$155:M$395),"")</f>
        <v>0</v>
      </c>
      <c r="N657" s="84" t="s">
        <v>282</v>
      </c>
      <c r="O657" s="84" t="s">
        <v>282</v>
      </c>
      <c r="P657" s="84" t="s">
        <v>282</v>
      </c>
      <c r="Q657" s="84" t="s">
        <v>282</v>
      </c>
      <c r="R657" s="84" t="s">
        <v>282</v>
      </c>
      <c r="S657" s="90">
        <f ca="1" t="shared" si="164"/>
        <v>305</v>
      </c>
      <c r="T657" s="90" cm="1">
        <f ca="1" t="array" ref="T657">IFERROR(SUMPRODUCT(F657:M657,$F$154:$M$154)+IFERROR(N657*SUMPRODUCT(O657:R657,$O$154:$R$154),0),"")</f>
        <v>1760</v>
      </c>
      <c r="U657" s="94"/>
      <c r="V657" s="94" t="str">
        <f t="shared" si="165"/>
        <v/>
      </c>
      <c r="W657" t="str">
        <f ca="1" t="shared" si="162"/>
        <v/>
      </c>
      <c r="X657" s="94" t="str">
        <f t="shared" si="166"/>
        <v>{61,265}</v>
      </c>
      <c r="Y657" s="94" t="str">
        <f t="shared" si="167"/>
        <v>{63,345}</v>
      </c>
      <c r="Z657" s="94" t="str">
        <f ca="1" t="shared" si="168"/>
        <v/>
      </c>
      <c r="AA657" s="94" t="str">
        <f ca="1" t="shared" si="169"/>
        <v/>
      </c>
      <c r="AB657" s="94" t="str">
        <f ca="1" t="shared" si="170"/>
        <v/>
      </c>
      <c r="AE657" s="94" t="str">
        <f t="shared" si="171"/>
        <v>{2,1150}</v>
      </c>
      <c r="AH657" t="str">
        <f ca="1" t="shared" si="163"/>
        <v>[{61,265},{63,345},{2,1150}]</v>
      </c>
    </row>
    <row r="658" spans="4:34">
      <c r="D658" s="81" t="str">
        <f ca="1" t="shared" si="172"/>
        <v>瑰宝Ⅱ</v>
      </c>
      <c r="E658" s="84">
        <f t="shared" si="173"/>
        <v>7</v>
      </c>
      <c r="F658" s="84">
        <f>CEILING(F654*1.25,5)</f>
        <v>265</v>
      </c>
      <c r="G658" s="84"/>
      <c r="H658" s="84"/>
      <c r="I658" s="84">
        <f t="shared" si="174"/>
        <v>1150</v>
      </c>
      <c r="J658" s="84" t="str" cm="1">
        <f ca="1" t="array" ref="J658">IF($E658&lt;7,_xlfn.XLOOKUP($D658&amp;$E658,$D$155:$D$395&amp;$E$155:$E$395,J$155:J$395),"")</f>
        <v/>
      </c>
      <c r="K658" s="84" t="str" cm="1">
        <f ca="1" t="array" ref="K658">IF($E658&lt;7,_xlfn.XLOOKUP($D658&amp;$E658,$D$155:$D$395&amp;$E$155:$E$395,K$155:K$395),"")</f>
        <v/>
      </c>
      <c r="L658" s="84">
        <v>5</v>
      </c>
      <c r="M658" s="84" t="str" cm="1">
        <f ca="1" t="array" ref="M658">IF($E658&lt;7,_xlfn.XLOOKUP($D658&amp;$E658,$D$155:$D$395&amp;$E$155:$E$395,M$155:M$395),"")</f>
        <v/>
      </c>
      <c r="N658" s="84" t="s">
        <v>282</v>
      </c>
      <c r="O658" s="84" t="s">
        <v>282</v>
      </c>
      <c r="P658" s="84" t="s">
        <v>282</v>
      </c>
      <c r="Q658" s="84" t="s">
        <v>282</v>
      </c>
      <c r="R658" s="84" t="s">
        <v>282</v>
      </c>
      <c r="S658" s="90">
        <f ca="1" t="shared" si="164"/>
        <v>305</v>
      </c>
      <c r="T658" s="90" cm="1">
        <f ca="1" t="array" ref="T658">IFERROR(SUMPRODUCT(F658:M658,$F$154:$M$154)+IFERROR(N658*SUMPRODUCT(O658:R658,$O$154:$R$154),0),"")</f>
        <v>5415</v>
      </c>
      <c r="U658" s="94"/>
      <c r="V658" s="94" t="str">
        <f t="shared" si="165"/>
        <v/>
      </c>
      <c r="W658" t="str">
        <f ca="1" t="shared" si="162"/>
        <v/>
      </c>
      <c r="X658" s="94" t="str">
        <f t="shared" si="166"/>
        <v>{61,265}</v>
      </c>
      <c r="Y658" s="94" t="str">
        <f t="shared" si="167"/>
        <v/>
      </c>
      <c r="Z658" s="94" t="str">
        <f t="shared" si="168"/>
        <v>{6030003,5}</v>
      </c>
      <c r="AA658" s="94" t="str">
        <f ca="1" t="shared" si="169"/>
        <v/>
      </c>
      <c r="AB658" s="94" t="str">
        <f ca="1" t="shared" si="170"/>
        <v/>
      </c>
      <c r="AE658" s="94" t="str">
        <f t="shared" si="171"/>
        <v>{2,1150}</v>
      </c>
      <c r="AH658" t="str">
        <f ca="1" t="shared" si="163"/>
        <v>[{61,265},{6030003,5},{2,1150}]</v>
      </c>
    </row>
    <row r="659" spans="4:34">
      <c r="D659" s="81" t="str">
        <f ca="1" t="shared" si="172"/>
        <v>瑰宝Ⅱ</v>
      </c>
      <c r="E659" s="84">
        <f t="shared" si="173"/>
        <v>8</v>
      </c>
      <c r="F659" s="84">
        <f>CEILING(F658*1.5,5)</f>
        <v>400</v>
      </c>
      <c r="G659" s="84">
        <f>CEILING(G657*1.5,5)</f>
        <v>520</v>
      </c>
      <c r="H659" s="84">
        <f>1</f>
        <v>1</v>
      </c>
      <c r="I659" s="84">
        <f t="shared" si="174"/>
        <v>1150</v>
      </c>
      <c r="J659" s="84" t="str" cm="1">
        <f ca="1" t="array" ref="J659">IF($E659&lt;7,_xlfn.XLOOKUP($D659&amp;$E659,$D$155:$D$395&amp;$E$155:$E$395,J$155:J$395),"")</f>
        <v/>
      </c>
      <c r="K659" s="84" t="str" cm="1">
        <f ca="1" t="array" ref="K659">IF($E659&lt;7,_xlfn.XLOOKUP($D659&amp;$E659,$D$155:$D$395&amp;$E$155:$E$395,K$155:K$395),"")</f>
        <v/>
      </c>
      <c r="L659" s="84" t="str" cm="1">
        <f ca="1" t="array" ref="L659">IF($E659&lt;7,_xlfn.XLOOKUP($D659&amp;$E659,$D$155:$D$395&amp;$E$155:$E$395,L$155:L$395),"")</f>
        <v/>
      </c>
      <c r="M659" s="84" t="str" cm="1">
        <f ca="1" t="array" ref="M659">IF($E659&lt;7,_xlfn.XLOOKUP($D659&amp;$E659,$D$155:$D$395&amp;$E$155:$E$395,M$155:M$395),"")</f>
        <v/>
      </c>
      <c r="N659" s="84">
        <v>8</v>
      </c>
      <c r="O659" s="84">
        <v>0</v>
      </c>
      <c r="P659" s="84">
        <v>0.14</v>
      </c>
      <c r="Q659" s="84">
        <v>0.5</v>
      </c>
      <c r="R659" s="84">
        <v>0.36</v>
      </c>
      <c r="S659" s="90">
        <f ca="1" t="shared" si="164"/>
        <v>305</v>
      </c>
      <c r="T659" s="90" cm="1">
        <f ca="1" t="array" ref="T659">IFERROR(SUMPRODUCT(F659:M659,$F$154:$M$154)+IFERROR(N659*SUMPRODUCT(O659:R659,$O$154:$R$154),0),"")</f>
        <v>10476</v>
      </c>
      <c r="U659" s="94"/>
      <c r="V659" s="94" t="str">
        <f t="shared" si="165"/>
        <v>{62,1}</v>
      </c>
      <c r="W659" t="str">
        <f ca="1" t="shared" si="162"/>
        <v>{6020027,8}</v>
      </c>
      <c r="X659" s="94" t="str">
        <f t="shared" si="166"/>
        <v>{61,400}</v>
      </c>
      <c r="Y659" s="94" t="str">
        <f t="shared" si="167"/>
        <v>{63,520}</v>
      </c>
      <c r="Z659" s="94" t="str">
        <f ca="1" t="shared" si="168"/>
        <v/>
      </c>
      <c r="AA659" s="94" t="str">
        <f ca="1" t="shared" si="169"/>
        <v/>
      </c>
      <c r="AB659" s="94" t="str">
        <f ca="1" t="shared" si="170"/>
        <v/>
      </c>
      <c r="AE659" s="94" t="str">
        <f t="shared" si="171"/>
        <v>{2,1150}</v>
      </c>
      <c r="AH659" t="str">
        <f ca="1" t="shared" si="163"/>
        <v>[{62,1},{6020027,8},{61,400},{63,520},{2,1150}]</v>
      </c>
    </row>
    <row r="660" spans="4:34">
      <c r="D660" s="81" t="str">
        <f ca="1" t="shared" si="172"/>
        <v>瑰宝Ⅲ</v>
      </c>
      <c r="E660" s="84">
        <f t="shared" si="173"/>
        <v>1</v>
      </c>
      <c r="F660" s="84">
        <f>F652+5</f>
        <v>215</v>
      </c>
      <c r="G660" s="84"/>
      <c r="H660" s="84"/>
      <c r="I660" s="84">
        <f t="shared" si="174"/>
        <v>1175</v>
      </c>
      <c r="J660" s="84">
        <v>4</v>
      </c>
      <c r="K660" s="84" cm="1">
        <f ca="1" t="array" ref="K660">IF($E660&lt;7,_xlfn.XLOOKUP($D660&amp;$E660,$D$155:$D$395&amp;$E$155:$E$395,K$155:K$395),"")</f>
        <v>0</v>
      </c>
      <c r="L660" s="84" cm="1">
        <f ca="1" t="array" ref="L660">IF($E660&lt;7,_xlfn.XLOOKUP($D660&amp;$E660,$D$155:$D$395&amp;$E$155:$E$395,L$155:L$395),"")</f>
        <v>0</v>
      </c>
      <c r="M660" s="84" cm="1">
        <f ca="1" t="array" ref="M660">IF($E660&lt;7,_xlfn.XLOOKUP($D660&amp;$E660,$D$155:$D$395&amp;$E$155:$E$395,M$155:M$395),"")</f>
        <v>0</v>
      </c>
      <c r="N660" s="84" t="s">
        <v>282</v>
      </c>
      <c r="O660" s="84" t="s">
        <v>282</v>
      </c>
      <c r="P660" s="84" t="s">
        <v>282</v>
      </c>
      <c r="Q660" s="84" t="s">
        <v>282</v>
      </c>
      <c r="R660" s="84" t="s">
        <v>282</v>
      </c>
      <c r="S660" s="90">
        <f ca="1" t="shared" si="164"/>
        <v>315</v>
      </c>
      <c r="T660" s="90" cm="1">
        <f ca="1" t="array" ref="T660">IFERROR(SUMPRODUCT(F660:M660,$F$154:$M$154)+IFERROR(N660*SUMPRODUCT(O660:R660,$O$154:$R$154),0),"")</f>
        <v>2190</v>
      </c>
      <c r="U660" s="94"/>
      <c r="V660" s="94" t="str">
        <f t="shared" si="165"/>
        <v/>
      </c>
      <c r="W660" t="str">
        <f ca="1" t="shared" si="162"/>
        <v/>
      </c>
      <c r="X660" s="94" t="str">
        <f t="shared" si="166"/>
        <v>{61,215}</v>
      </c>
      <c r="Y660" s="94" t="str">
        <f t="shared" si="167"/>
        <v/>
      </c>
      <c r="Z660" s="94" t="str">
        <f ca="1" t="shared" si="168"/>
        <v/>
      </c>
      <c r="AA660" s="94" t="str">
        <f ca="1" t="shared" si="169"/>
        <v/>
      </c>
      <c r="AB660" s="94" t="str">
        <f t="shared" si="170"/>
        <v>{6030001,4}</v>
      </c>
      <c r="AE660" s="94" t="str">
        <f t="shared" si="171"/>
        <v>{2,1175}</v>
      </c>
      <c r="AH660" t="str">
        <f ca="1" t="shared" si="163"/>
        <v>[{61,215},{6030001,4},{2,1175}]</v>
      </c>
    </row>
    <row r="661" spans="4:34">
      <c r="D661" s="81" t="str">
        <f ca="1" t="shared" si="172"/>
        <v>瑰宝Ⅲ</v>
      </c>
      <c r="E661" s="84">
        <f t="shared" si="173"/>
        <v>2</v>
      </c>
      <c r="F661" s="84">
        <f>F653+5</f>
        <v>215</v>
      </c>
      <c r="G661" s="84">
        <f>G653+5</f>
        <v>235</v>
      </c>
      <c r="H661" s="84"/>
      <c r="I661" s="84">
        <f t="shared" si="174"/>
        <v>1175</v>
      </c>
      <c r="J661" s="84" cm="1">
        <f ca="1" t="array" ref="J661">IF($E661&lt;7,_xlfn.XLOOKUP($D661&amp;$E661,$D$155:$D$395&amp;$E$155:$E$395,J$155:J$395),"")</f>
        <v>0</v>
      </c>
      <c r="K661" s="84" cm="1">
        <f ca="1" t="array" ref="K661">IF($E661&lt;7,_xlfn.XLOOKUP($D661&amp;$E661,$D$155:$D$395&amp;$E$155:$E$395,K$155:K$395),"")</f>
        <v>0</v>
      </c>
      <c r="L661" s="84" cm="1">
        <f ca="1" t="array" ref="L661">IF($E661&lt;7,_xlfn.XLOOKUP($D661&amp;$E661,$D$155:$D$395&amp;$E$155:$E$395,L$155:L$395),"")</f>
        <v>0</v>
      </c>
      <c r="M661" s="84" cm="1">
        <f ca="1" t="array" ref="M661">IF($E661&lt;7,_xlfn.XLOOKUP($D661&amp;$E661,$D$155:$D$395&amp;$E$155:$E$395,M$155:M$395),"")</f>
        <v>0</v>
      </c>
      <c r="N661" s="84" t="s">
        <v>282</v>
      </c>
      <c r="O661" s="84" t="s">
        <v>282</v>
      </c>
      <c r="P661" s="84" t="s">
        <v>282</v>
      </c>
      <c r="Q661" s="84" t="s">
        <v>282</v>
      </c>
      <c r="R661" s="84" t="s">
        <v>282</v>
      </c>
      <c r="S661" s="90">
        <f ca="1" t="shared" si="164"/>
        <v>315</v>
      </c>
      <c r="T661" s="90" cm="1">
        <f ca="1" t="array" ref="T661">IFERROR(SUMPRODUCT(F661:M661,$F$154:$M$154)+IFERROR(N661*SUMPRODUCT(O661:R661,$O$154:$R$154),0),"")</f>
        <v>1625</v>
      </c>
      <c r="U661" s="94"/>
      <c r="V661" s="94" t="str">
        <f t="shared" si="165"/>
        <v/>
      </c>
      <c r="W661" t="str">
        <f ca="1" t="shared" si="162"/>
        <v/>
      </c>
      <c r="X661" s="94" t="str">
        <f t="shared" si="166"/>
        <v>{61,215}</v>
      </c>
      <c r="Y661" s="94" t="str">
        <f t="shared" si="167"/>
        <v>{63,235}</v>
      </c>
      <c r="Z661" s="94" t="str">
        <f ca="1" t="shared" si="168"/>
        <v/>
      </c>
      <c r="AA661" s="94" t="str">
        <f ca="1" t="shared" si="169"/>
        <v/>
      </c>
      <c r="AB661" s="94" t="str">
        <f ca="1" t="shared" si="170"/>
        <v/>
      </c>
      <c r="AE661" s="94" t="str">
        <f t="shared" si="171"/>
        <v>{2,1175}</v>
      </c>
      <c r="AH661" t="str">
        <f ca="1" t="shared" si="163"/>
        <v>[{61,215},{63,235},{2,1175}]</v>
      </c>
    </row>
    <row r="662" spans="4:34">
      <c r="D662" s="81" t="str">
        <f ca="1" t="shared" si="172"/>
        <v>瑰宝Ⅲ</v>
      </c>
      <c r="E662" s="84">
        <f t="shared" si="173"/>
        <v>3</v>
      </c>
      <c r="F662" s="84">
        <f>F654+5</f>
        <v>215</v>
      </c>
      <c r="G662" s="84"/>
      <c r="H662" s="84"/>
      <c r="I662" s="84">
        <f t="shared" si="174"/>
        <v>1175</v>
      </c>
      <c r="J662" s="84">
        <v>5</v>
      </c>
      <c r="K662" s="84"/>
      <c r="L662" s="84" cm="1">
        <f ca="1" t="array" ref="L662">IF($E662&lt;7,_xlfn.XLOOKUP($D662&amp;$E662,$D$155:$D$395&amp;$E$155:$E$395,L$155:L$395),"")</f>
        <v>0</v>
      </c>
      <c r="M662" s="84" cm="1">
        <f ca="1" t="array" ref="M662">IF($E662&lt;7,_xlfn.XLOOKUP($D662&amp;$E662,$D$155:$D$395&amp;$E$155:$E$395,M$155:M$395),"")</f>
        <v>0</v>
      </c>
      <c r="N662" s="84" t="s">
        <v>282</v>
      </c>
      <c r="O662" s="84" t="s">
        <v>282</v>
      </c>
      <c r="P662" s="84" t="s">
        <v>282</v>
      </c>
      <c r="Q662" s="84" t="s">
        <v>282</v>
      </c>
      <c r="R662" s="84" t="s">
        <v>282</v>
      </c>
      <c r="S662" s="90">
        <f ca="1" t="shared" si="164"/>
        <v>315</v>
      </c>
      <c r="T662" s="90" cm="1">
        <f ca="1" t="array" ref="T662">IFERROR(SUMPRODUCT(F662:M662,$F$154:$M$154)+IFERROR(N662*SUMPRODUCT(O662:R662,$O$154:$R$154),0),"")</f>
        <v>2390</v>
      </c>
      <c r="U662" s="94"/>
      <c r="V662" s="94" t="str">
        <f t="shared" si="165"/>
        <v/>
      </c>
      <c r="W662" t="str">
        <f ca="1" t="shared" si="162"/>
        <v/>
      </c>
      <c r="X662" s="94" t="str">
        <f t="shared" si="166"/>
        <v>{61,215}</v>
      </c>
      <c r="Y662" s="94" t="str">
        <f t="shared" si="167"/>
        <v/>
      </c>
      <c r="Z662" s="94" t="str">
        <f ca="1" t="shared" si="168"/>
        <v/>
      </c>
      <c r="AA662" s="94" t="str">
        <f t="shared" si="169"/>
        <v/>
      </c>
      <c r="AB662" s="94" t="str">
        <f t="shared" si="170"/>
        <v>{6030001,5}</v>
      </c>
      <c r="AE662" s="94" t="str">
        <f t="shared" si="171"/>
        <v>{2,1175}</v>
      </c>
      <c r="AH662" t="str">
        <f ca="1" t="shared" si="163"/>
        <v>[{61,215},{6030001,5},{2,1175}]</v>
      </c>
    </row>
    <row r="663" spans="4:34">
      <c r="D663" s="81" t="str">
        <f ca="1" t="shared" si="172"/>
        <v>瑰宝Ⅲ</v>
      </c>
      <c r="E663" s="84">
        <f t="shared" si="173"/>
        <v>4</v>
      </c>
      <c r="F663" s="84">
        <f>CEILING(F664*1.25,5)</f>
        <v>340</v>
      </c>
      <c r="G663" s="84">
        <f>CEILING(G661*1.5,5)</f>
        <v>355</v>
      </c>
      <c r="H663" s="84"/>
      <c r="I663" s="84">
        <f t="shared" si="174"/>
        <v>1175</v>
      </c>
      <c r="J663" s="84" cm="1">
        <f ca="1" t="array" ref="J663">IF($E663&lt;7,_xlfn.XLOOKUP($D663&amp;$E663,$D$155:$D$395&amp;$E$155:$E$395,J$155:J$395),"")</f>
        <v>0</v>
      </c>
      <c r="K663" s="84" cm="1">
        <f ca="1" t="array" ref="K663">IF($E663&lt;7,_xlfn.XLOOKUP($D663&amp;$E663,$D$155:$D$395&amp;$E$155:$E$395,K$155:K$395),"")</f>
        <v>0</v>
      </c>
      <c r="L663" s="84" cm="1">
        <f ca="1" t="array" ref="L663">IF($E663&lt;7,_xlfn.XLOOKUP($D663&amp;$E663,$D$155:$D$395&amp;$E$155:$E$395,L$155:L$395),"")</f>
        <v>0</v>
      </c>
      <c r="M663" s="84" cm="1">
        <f ca="1" t="array" ref="M663">IF($E663&lt;7,_xlfn.XLOOKUP($D663&amp;$E663,$D$155:$D$395&amp;$E$155:$E$395,M$155:M$395),"")</f>
        <v>0</v>
      </c>
      <c r="N663" s="84" t="s">
        <v>282</v>
      </c>
      <c r="O663" s="84" t="s">
        <v>282</v>
      </c>
      <c r="P663" s="84" t="s">
        <v>282</v>
      </c>
      <c r="Q663" s="84" t="s">
        <v>282</v>
      </c>
      <c r="R663" s="84" t="s">
        <v>282</v>
      </c>
      <c r="S663" s="90">
        <f ca="1" t="shared" si="164"/>
        <v>315</v>
      </c>
      <c r="T663" s="90" cm="1">
        <f ca="1" t="array" ref="T663">IFERROR(SUMPRODUCT(F663:M663,$F$154:$M$154)+IFERROR(N663*SUMPRODUCT(O663:R663,$O$154:$R$154),0),"")</f>
        <v>1870</v>
      </c>
      <c r="U663" s="94"/>
      <c r="V663" s="94" t="str">
        <f t="shared" si="165"/>
        <v/>
      </c>
      <c r="W663" t="str">
        <f ca="1" t="shared" si="162"/>
        <v/>
      </c>
      <c r="X663" s="94" t="str">
        <f t="shared" si="166"/>
        <v>{61,340}</v>
      </c>
      <c r="Y663" s="94" t="str">
        <f t="shared" si="167"/>
        <v>{63,355}</v>
      </c>
      <c r="Z663" s="94" t="str">
        <f ca="1" t="shared" si="168"/>
        <v/>
      </c>
      <c r="AA663" s="94" t="str">
        <f ca="1" t="shared" si="169"/>
        <v/>
      </c>
      <c r="AB663" s="94" t="str">
        <f ca="1" t="shared" si="170"/>
        <v/>
      </c>
      <c r="AE663" s="94" t="str">
        <f t="shared" si="171"/>
        <v>{2,1175}</v>
      </c>
      <c r="AH663" t="str">
        <f ca="1" t="shared" si="163"/>
        <v>[{61,340},{63,355},{2,1175}]</v>
      </c>
    </row>
    <row r="664" spans="4:34">
      <c r="D664" s="81" t="str">
        <f ca="1" t="shared" si="172"/>
        <v>瑰宝Ⅲ</v>
      </c>
      <c r="E664" s="84">
        <f t="shared" si="173"/>
        <v>5</v>
      </c>
      <c r="F664" s="84">
        <f>CEILING(F660*1.25,5)</f>
        <v>270</v>
      </c>
      <c r="G664" s="84"/>
      <c r="H664" s="84"/>
      <c r="I664" s="84">
        <f t="shared" si="174"/>
        <v>1175</v>
      </c>
      <c r="J664" s="84" cm="1">
        <f ca="1" t="array" ref="J664">IF($E664&lt;7,_xlfn.XLOOKUP($D664&amp;$E664,$D$155:$D$395&amp;$E$155:$E$395,J$155:J$395),"")</f>
        <v>0</v>
      </c>
      <c r="K664" s="84">
        <v>6</v>
      </c>
      <c r="L664" s="84"/>
      <c r="M664" s="84" cm="1">
        <f ca="1" t="array" ref="M664">IF($E664&lt;7,_xlfn.XLOOKUP($D664&amp;$E664,$D$155:$D$395&amp;$E$155:$E$395,M$155:M$395),"")</f>
        <v>0</v>
      </c>
      <c r="N664" s="84" t="s">
        <v>282</v>
      </c>
      <c r="O664" s="84" t="s">
        <v>282</v>
      </c>
      <c r="P664" s="84" t="s">
        <v>282</v>
      </c>
      <c r="Q664" s="84" t="s">
        <v>282</v>
      </c>
      <c r="R664" s="84" t="s">
        <v>282</v>
      </c>
      <c r="S664" s="90">
        <f ca="1" t="shared" si="164"/>
        <v>315</v>
      </c>
      <c r="T664" s="90" cm="1">
        <f ca="1" t="array" ref="T664">IFERROR(SUMPRODUCT(F664:M664,$F$154:$M$154)+IFERROR(N664*SUMPRODUCT(O664:R664,$O$154:$R$154),0),"")</f>
        <v>3845</v>
      </c>
      <c r="U664" s="94"/>
      <c r="V664" s="94" t="str">
        <f t="shared" si="165"/>
        <v/>
      </c>
      <c r="W664" t="str">
        <f ca="1" t="shared" si="162"/>
        <v/>
      </c>
      <c r="X664" s="94" t="str">
        <f t="shared" si="166"/>
        <v>{61,270}</v>
      </c>
      <c r="Y664" s="94" t="str">
        <f t="shared" si="167"/>
        <v/>
      </c>
      <c r="Z664" s="94" t="str">
        <f t="shared" si="168"/>
        <v/>
      </c>
      <c r="AA664" s="94" t="str">
        <f t="shared" si="169"/>
        <v>{6030002,6}</v>
      </c>
      <c r="AB664" s="94" t="str">
        <f ca="1" t="shared" si="170"/>
        <v/>
      </c>
      <c r="AE664" s="94" t="str">
        <f t="shared" si="171"/>
        <v>{2,1175}</v>
      </c>
      <c r="AH664" t="str">
        <f ca="1" t="shared" si="163"/>
        <v>[{61,270},{6030002,6},{2,1175}]</v>
      </c>
    </row>
    <row r="665" spans="4:34">
      <c r="D665" s="81" t="str">
        <f ca="1" t="shared" si="172"/>
        <v>瑰宝Ⅲ</v>
      </c>
      <c r="E665" s="84">
        <f t="shared" si="173"/>
        <v>6</v>
      </c>
      <c r="F665" s="84">
        <f>CEILING(F661*1.25,5)</f>
        <v>270</v>
      </c>
      <c r="G665" s="84">
        <f>G663</f>
        <v>355</v>
      </c>
      <c r="H665" s="84"/>
      <c r="I665" s="84">
        <f t="shared" si="174"/>
        <v>1175</v>
      </c>
      <c r="J665" s="84" cm="1">
        <f ca="1" t="array" ref="J665">IF($E665&lt;7,_xlfn.XLOOKUP($D665&amp;$E665,$D$155:$D$395&amp;$E$155:$E$395,J$155:J$395),"")</f>
        <v>0</v>
      </c>
      <c r="K665" s="84" cm="1">
        <f ca="1" t="array" ref="K665">IF($E665&lt;7,_xlfn.XLOOKUP($D665&amp;$E665,$D$155:$D$395&amp;$E$155:$E$395,K$155:K$395),"")</f>
        <v>0</v>
      </c>
      <c r="L665" s="84" cm="1">
        <f ca="1" t="array" ref="L665">IF($E665&lt;7,_xlfn.XLOOKUP($D665&amp;$E665,$D$155:$D$395&amp;$E$155:$E$395,L$155:L$395),"")</f>
        <v>0</v>
      </c>
      <c r="M665" s="84" cm="1">
        <f ca="1" t="array" ref="M665">IF($E665&lt;7,_xlfn.XLOOKUP($D665&amp;$E665,$D$155:$D$395&amp;$E$155:$E$395,M$155:M$395),"")</f>
        <v>0</v>
      </c>
      <c r="N665" s="84" t="s">
        <v>282</v>
      </c>
      <c r="O665" s="84" t="s">
        <v>282</v>
      </c>
      <c r="P665" s="84" t="s">
        <v>282</v>
      </c>
      <c r="Q665" s="84" t="s">
        <v>282</v>
      </c>
      <c r="R665" s="84" t="s">
        <v>282</v>
      </c>
      <c r="S665" s="90">
        <f ca="1" t="shared" si="164"/>
        <v>315</v>
      </c>
      <c r="T665" s="90" cm="1">
        <f ca="1" t="array" ref="T665">IFERROR(SUMPRODUCT(F665:M665,$F$154:$M$154)+IFERROR(N665*SUMPRODUCT(O665:R665,$O$154:$R$154),0),"")</f>
        <v>1800</v>
      </c>
      <c r="U665" s="94"/>
      <c r="V665" s="94" t="str">
        <f t="shared" si="165"/>
        <v/>
      </c>
      <c r="W665" t="str">
        <f ca="1" t="shared" si="162"/>
        <v/>
      </c>
      <c r="X665" s="94" t="str">
        <f t="shared" si="166"/>
        <v>{61,270}</v>
      </c>
      <c r="Y665" s="94" t="str">
        <f t="shared" si="167"/>
        <v>{63,355}</v>
      </c>
      <c r="Z665" s="94" t="str">
        <f ca="1" t="shared" si="168"/>
        <v/>
      </c>
      <c r="AA665" s="94" t="str">
        <f ca="1" t="shared" si="169"/>
        <v/>
      </c>
      <c r="AB665" s="94" t="str">
        <f ca="1" t="shared" si="170"/>
        <v/>
      </c>
      <c r="AE665" s="94" t="str">
        <f t="shared" si="171"/>
        <v>{2,1175}</v>
      </c>
      <c r="AH665" t="str">
        <f ca="1" t="shared" si="163"/>
        <v>[{61,270},{63,355},{2,1175}]</v>
      </c>
    </row>
    <row r="666" spans="4:34">
      <c r="D666" s="81" t="str">
        <f ca="1" t="shared" si="172"/>
        <v>瑰宝Ⅲ</v>
      </c>
      <c r="E666" s="84">
        <f t="shared" si="173"/>
        <v>7</v>
      </c>
      <c r="F666" s="84">
        <f>CEILING(F662*1.25,5)</f>
        <v>270</v>
      </c>
      <c r="G666" s="84"/>
      <c r="H666" s="84"/>
      <c r="I666" s="84">
        <f t="shared" si="174"/>
        <v>1175</v>
      </c>
      <c r="J666" s="84" t="str" cm="1">
        <f ca="1" t="array" ref="J666">IF($E666&lt;7,_xlfn.XLOOKUP($D666&amp;$E666,$D$155:$D$395&amp;$E$155:$E$395,J$155:J$395),"")</f>
        <v/>
      </c>
      <c r="K666" s="84" t="str" cm="1">
        <f ca="1" t="array" ref="K666">IF($E666&lt;7,_xlfn.XLOOKUP($D666&amp;$E666,$D$155:$D$395&amp;$E$155:$E$395,K$155:K$395),"")</f>
        <v/>
      </c>
      <c r="L666" s="84">
        <v>5</v>
      </c>
      <c r="M666" s="84" t="str" cm="1">
        <f ca="1" t="array" ref="M666">IF($E666&lt;7,_xlfn.XLOOKUP($D666&amp;$E666,$D$155:$D$395&amp;$E$155:$E$395,M$155:M$395),"")</f>
        <v/>
      </c>
      <c r="N666" s="84" t="s">
        <v>282</v>
      </c>
      <c r="O666" s="84" t="s">
        <v>282</v>
      </c>
      <c r="P666" s="84" t="s">
        <v>282</v>
      </c>
      <c r="Q666" s="84" t="s">
        <v>282</v>
      </c>
      <c r="R666" s="84" t="s">
        <v>282</v>
      </c>
      <c r="S666" s="90">
        <f ca="1" t="shared" si="164"/>
        <v>315</v>
      </c>
      <c r="T666" s="90" cm="1">
        <f ca="1" t="array" ref="T666">IFERROR(SUMPRODUCT(F666:M666,$F$154:$M$154)+IFERROR(N666*SUMPRODUCT(O666:R666,$O$154:$R$154),0),"")</f>
        <v>5445</v>
      </c>
      <c r="U666" s="94"/>
      <c r="V666" s="94" t="str">
        <f t="shared" si="165"/>
        <v/>
      </c>
      <c r="W666" t="str">
        <f ca="1" t="shared" si="162"/>
        <v/>
      </c>
      <c r="X666" s="94" t="str">
        <f t="shared" si="166"/>
        <v>{61,270}</v>
      </c>
      <c r="Y666" s="94" t="str">
        <f t="shared" si="167"/>
        <v/>
      </c>
      <c r="Z666" s="94" t="str">
        <f t="shared" si="168"/>
        <v>{6030003,5}</v>
      </c>
      <c r="AA666" s="94" t="str">
        <f ca="1" t="shared" si="169"/>
        <v/>
      </c>
      <c r="AB666" s="94" t="str">
        <f ca="1" t="shared" si="170"/>
        <v/>
      </c>
      <c r="AE666" s="94" t="str">
        <f t="shared" si="171"/>
        <v>{2,1175}</v>
      </c>
      <c r="AH666" t="str">
        <f ca="1" t="shared" si="163"/>
        <v>[{61,270},{6030003,5},{2,1175}]</v>
      </c>
    </row>
    <row r="667" spans="4:34">
      <c r="D667" s="81" t="str">
        <f ca="1" t="shared" si="172"/>
        <v>瑰宝Ⅲ</v>
      </c>
      <c r="E667" s="84">
        <f t="shared" si="173"/>
        <v>8</v>
      </c>
      <c r="F667" s="84">
        <f>CEILING(F666*1.5,5)</f>
        <v>405</v>
      </c>
      <c r="G667" s="84">
        <f>CEILING(G665*1.5,5)</f>
        <v>535</v>
      </c>
      <c r="H667" s="84">
        <f>1</f>
        <v>1</v>
      </c>
      <c r="I667" s="84">
        <f t="shared" si="174"/>
        <v>1175</v>
      </c>
      <c r="J667" s="84" t="str" cm="1">
        <f ca="1" t="array" ref="J667">IF($E667&lt;7,_xlfn.XLOOKUP($D667&amp;$E667,$D$155:$D$395&amp;$E$155:$E$395,J$155:J$395),"")</f>
        <v/>
      </c>
      <c r="K667" s="84" t="str" cm="1">
        <f ca="1" t="array" ref="K667">IF($E667&lt;7,_xlfn.XLOOKUP($D667&amp;$E667,$D$155:$D$395&amp;$E$155:$E$395,K$155:K$395),"")</f>
        <v/>
      </c>
      <c r="L667" s="84" t="str" cm="1">
        <f ca="1" t="array" ref="L667">IF($E667&lt;7,_xlfn.XLOOKUP($D667&amp;$E667,$D$155:$D$395&amp;$E$155:$E$395,L$155:L$395),"")</f>
        <v/>
      </c>
      <c r="M667" s="84" t="str" cm="1">
        <f ca="1" t="array" ref="M667">IF($E667&lt;7,_xlfn.XLOOKUP($D667&amp;$E667,$D$155:$D$395&amp;$E$155:$E$395,M$155:M$395),"")</f>
        <v/>
      </c>
      <c r="N667" s="84">
        <v>8</v>
      </c>
      <c r="O667" s="84">
        <v>0</v>
      </c>
      <c r="P667" s="84">
        <v>0.11</v>
      </c>
      <c r="Q667" s="84">
        <v>0.5</v>
      </c>
      <c r="R667" s="84">
        <v>0.39</v>
      </c>
      <c r="S667" s="90">
        <f ca="1" t="shared" si="164"/>
        <v>315</v>
      </c>
      <c r="T667" s="90" cm="1">
        <f ca="1" t="array" ref="T667">IFERROR(SUMPRODUCT(F667:M667,$F$154:$M$154)+IFERROR(N667*SUMPRODUCT(O667:R667,$O$154:$R$154),0),"")</f>
        <v>10809</v>
      </c>
      <c r="U667" s="94"/>
      <c r="V667" s="94" t="str">
        <f t="shared" si="165"/>
        <v>{62,1}</v>
      </c>
      <c r="W667" t="str">
        <f ca="1" t="shared" si="162"/>
        <v>{6020028,8}</v>
      </c>
      <c r="X667" s="94" t="str">
        <f t="shared" si="166"/>
        <v>{61,405}</v>
      </c>
      <c r="Y667" s="94" t="str">
        <f t="shared" si="167"/>
        <v>{63,535}</v>
      </c>
      <c r="Z667" s="94" t="str">
        <f ca="1" t="shared" si="168"/>
        <v/>
      </c>
      <c r="AA667" s="94" t="str">
        <f ca="1" t="shared" si="169"/>
        <v/>
      </c>
      <c r="AB667" s="94" t="str">
        <f ca="1" t="shared" si="170"/>
        <v/>
      </c>
      <c r="AE667" s="94" t="str">
        <f t="shared" si="171"/>
        <v>{2,1175}</v>
      </c>
      <c r="AH667" t="str">
        <f ca="1" t="shared" si="163"/>
        <v>[{62,1},{6020028,8},{61,405},{63,535},{2,1175}]</v>
      </c>
    </row>
    <row r="668" spans="4:34">
      <c r="D668" s="81" t="str">
        <f ca="1" t="shared" si="172"/>
        <v>瑰宝Ⅳ</v>
      </c>
      <c r="E668" s="84">
        <f t="shared" si="173"/>
        <v>1</v>
      </c>
      <c r="F668" s="84">
        <f>F660+5</f>
        <v>220</v>
      </c>
      <c r="G668" s="84"/>
      <c r="H668" s="84"/>
      <c r="I668" s="84">
        <f t="shared" si="174"/>
        <v>1200</v>
      </c>
      <c r="J668" s="84">
        <v>4</v>
      </c>
      <c r="K668" s="84" cm="1">
        <f ca="1" t="array" ref="K668">IF($E668&lt;7,_xlfn.XLOOKUP($D668&amp;$E668,$D$155:$D$395&amp;$E$155:$E$395,K$155:K$395),"")</f>
        <v>0</v>
      </c>
      <c r="L668" s="84" cm="1">
        <f ca="1" t="array" ref="L668">IF($E668&lt;7,_xlfn.XLOOKUP($D668&amp;$E668,$D$155:$D$395&amp;$E$155:$E$395,L$155:L$395),"")</f>
        <v>0</v>
      </c>
      <c r="M668" s="84" cm="1">
        <f ca="1" t="array" ref="M668">IF($E668&lt;7,_xlfn.XLOOKUP($D668&amp;$E668,$D$155:$D$395&amp;$E$155:$E$395,M$155:M$395),"")</f>
        <v>0</v>
      </c>
      <c r="N668" s="84" t="s">
        <v>282</v>
      </c>
      <c r="O668" s="84" t="s">
        <v>282</v>
      </c>
      <c r="P668" s="84" t="s">
        <v>282</v>
      </c>
      <c r="Q668" s="84" t="s">
        <v>282</v>
      </c>
      <c r="R668" s="84" t="s">
        <v>282</v>
      </c>
      <c r="S668" s="90">
        <f ca="1" t="shared" si="164"/>
        <v>325</v>
      </c>
      <c r="T668" s="90" cm="1">
        <f ca="1" t="array" ref="T668">IFERROR(SUMPRODUCT(F668:M668,$F$154:$M$154)+IFERROR(N668*SUMPRODUCT(O668:R668,$O$154:$R$154),0),"")</f>
        <v>2220</v>
      </c>
      <c r="U668" s="94"/>
      <c r="V668" s="94" t="str">
        <f t="shared" si="165"/>
        <v/>
      </c>
      <c r="W668" t="str">
        <f ca="1" t="shared" si="162"/>
        <v/>
      </c>
      <c r="X668" s="94" t="str">
        <f t="shared" si="166"/>
        <v>{61,220}</v>
      </c>
      <c r="Y668" s="94" t="str">
        <f t="shared" si="167"/>
        <v/>
      </c>
      <c r="Z668" s="94" t="str">
        <f ca="1" t="shared" si="168"/>
        <v/>
      </c>
      <c r="AA668" s="94" t="str">
        <f ca="1" t="shared" si="169"/>
        <v/>
      </c>
      <c r="AB668" s="94" t="str">
        <f t="shared" si="170"/>
        <v>{6030001,4}</v>
      </c>
      <c r="AE668" s="94" t="str">
        <f t="shared" si="171"/>
        <v>{2,1200}</v>
      </c>
      <c r="AH668" t="str">
        <f ca="1" t="shared" si="163"/>
        <v>[{61,220},{6030001,4},{2,1200}]</v>
      </c>
    </row>
    <row r="669" spans="4:34">
      <c r="D669" s="81" t="str">
        <f ca="1" t="shared" si="172"/>
        <v>瑰宝Ⅳ</v>
      </c>
      <c r="E669" s="84">
        <f t="shared" si="173"/>
        <v>2</v>
      </c>
      <c r="F669" s="84">
        <f>F661+5</f>
        <v>220</v>
      </c>
      <c r="G669" s="84">
        <f>G661+5</f>
        <v>240</v>
      </c>
      <c r="H669" s="84"/>
      <c r="I669" s="84">
        <f t="shared" si="174"/>
        <v>1200</v>
      </c>
      <c r="J669" s="84" cm="1">
        <f ca="1" t="array" ref="J669">IF($E669&lt;7,_xlfn.XLOOKUP($D669&amp;$E669,$D$155:$D$395&amp;$E$155:$E$395,J$155:J$395),"")</f>
        <v>0</v>
      </c>
      <c r="K669" s="84" cm="1">
        <f ca="1" t="array" ref="K669">IF($E669&lt;7,_xlfn.XLOOKUP($D669&amp;$E669,$D$155:$D$395&amp;$E$155:$E$395,K$155:K$395),"")</f>
        <v>0</v>
      </c>
      <c r="L669" s="84" cm="1">
        <f ca="1" t="array" ref="L669">IF($E669&lt;7,_xlfn.XLOOKUP($D669&amp;$E669,$D$155:$D$395&amp;$E$155:$E$395,L$155:L$395),"")</f>
        <v>0</v>
      </c>
      <c r="M669" s="84" cm="1">
        <f ca="1" t="array" ref="M669">IF($E669&lt;7,_xlfn.XLOOKUP($D669&amp;$E669,$D$155:$D$395&amp;$E$155:$E$395,M$155:M$395),"")</f>
        <v>0</v>
      </c>
      <c r="N669" s="84" t="s">
        <v>282</v>
      </c>
      <c r="O669" s="84" t="s">
        <v>282</v>
      </c>
      <c r="P669" s="84" t="s">
        <v>282</v>
      </c>
      <c r="Q669" s="84" t="s">
        <v>282</v>
      </c>
      <c r="R669" s="84" t="s">
        <v>282</v>
      </c>
      <c r="S669" s="90">
        <f ca="1" t="shared" si="164"/>
        <v>325</v>
      </c>
      <c r="T669" s="90" cm="1">
        <f ca="1" t="array" ref="T669">IFERROR(SUMPRODUCT(F669:M669,$F$154:$M$154)+IFERROR(N669*SUMPRODUCT(O669:R669,$O$154:$R$154),0),"")</f>
        <v>1660</v>
      </c>
      <c r="U669" s="94"/>
      <c r="V669" s="94" t="str">
        <f t="shared" si="165"/>
        <v/>
      </c>
      <c r="W669" t="str">
        <f ca="1" t="shared" si="162"/>
        <v/>
      </c>
      <c r="X669" s="94" t="str">
        <f t="shared" si="166"/>
        <v>{61,220}</v>
      </c>
      <c r="Y669" s="94" t="str">
        <f t="shared" si="167"/>
        <v>{63,240}</v>
      </c>
      <c r="Z669" s="94" t="str">
        <f ca="1" t="shared" si="168"/>
        <v/>
      </c>
      <c r="AA669" s="94" t="str">
        <f ca="1" t="shared" si="169"/>
        <v/>
      </c>
      <c r="AB669" s="94" t="str">
        <f ca="1" t="shared" si="170"/>
        <v/>
      </c>
      <c r="AE669" s="94" t="str">
        <f t="shared" si="171"/>
        <v>{2,1200}</v>
      </c>
      <c r="AH669" t="str">
        <f ca="1" t="shared" si="163"/>
        <v>[{61,220},{63,240},{2,1200}]</v>
      </c>
    </row>
    <row r="670" spans="4:34">
      <c r="D670" s="81" t="str">
        <f ca="1" t="shared" si="172"/>
        <v>瑰宝Ⅳ</v>
      </c>
      <c r="E670" s="84">
        <f t="shared" si="173"/>
        <v>3</v>
      </c>
      <c r="F670" s="84">
        <f>F662+5</f>
        <v>220</v>
      </c>
      <c r="G670" s="84"/>
      <c r="H670" s="84"/>
      <c r="I670" s="84">
        <f t="shared" si="174"/>
        <v>1200</v>
      </c>
      <c r="J670" s="84">
        <v>5</v>
      </c>
      <c r="K670" s="84"/>
      <c r="L670" s="84" cm="1">
        <f ca="1" t="array" ref="L670">IF($E670&lt;7,_xlfn.XLOOKUP($D670&amp;$E670,$D$155:$D$395&amp;$E$155:$E$395,L$155:L$395),"")</f>
        <v>0</v>
      </c>
      <c r="M670" s="84" cm="1">
        <f ca="1" t="array" ref="M670">IF($E670&lt;7,_xlfn.XLOOKUP($D670&amp;$E670,$D$155:$D$395&amp;$E$155:$E$395,M$155:M$395),"")</f>
        <v>0</v>
      </c>
      <c r="N670" s="84" t="s">
        <v>282</v>
      </c>
      <c r="O670" s="84" t="s">
        <v>282</v>
      </c>
      <c r="P670" s="84" t="s">
        <v>282</v>
      </c>
      <c r="Q670" s="84" t="s">
        <v>282</v>
      </c>
      <c r="R670" s="84" t="s">
        <v>282</v>
      </c>
      <c r="S670" s="90">
        <f ca="1" t="shared" si="164"/>
        <v>325</v>
      </c>
      <c r="T670" s="90" cm="1">
        <f ca="1" t="array" ref="T670">IFERROR(SUMPRODUCT(F670:M670,$F$154:$M$154)+IFERROR(N670*SUMPRODUCT(O670:R670,$O$154:$R$154),0),"")</f>
        <v>2420</v>
      </c>
      <c r="U670" s="94"/>
      <c r="V670" s="94" t="str">
        <f t="shared" si="165"/>
        <v/>
      </c>
      <c r="W670" t="str">
        <f ca="1" t="shared" si="162"/>
        <v/>
      </c>
      <c r="X670" s="94" t="str">
        <f t="shared" si="166"/>
        <v>{61,220}</v>
      </c>
      <c r="Y670" s="94" t="str">
        <f t="shared" si="167"/>
        <v/>
      </c>
      <c r="Z670" s="94" t="str">
        <f ca="1" t="shared" si="168"/>
        <v/>
      </c>
      <c r="AA670" s="94" t="str">
        <f t="shared" si="169"/>
        <v/>
      </c>
      <c r="AB670" s="94" t="str">
        <f t="shared" si="170"/>
        <v>{6030001,5}</v>
      </c>
      <c r="AE670" s="94" t="str">
        <f t="shared" si="171"/>
        <v>{2,1200}</v>
      </c>
      <c r="AH670" t="str">
        <f ca="1" t="shared" si="163"/>
        <v>[{61,220},{6030001,5},{2,1200}]</v>
      </c>
    </row>
    <row r="671" spans="4:34">
      <c r="D671" s="81" t="str">
        <f ca="1" t="shared" si="172"/>
        <v>瑰宝Ⅳ</v>
      </c>
      <c r="E671" s="84">
        <f t="shared" si="173"/>
        <v>4</v>
      </c>
      <c r="F671" s="84">
        <f>CEILING(F672*1.25,5)</f>
        <v>345</v>
      </c>
      <c r="G671" s="84">
        <f>CEILING(G669*1.5,5)</f>
        <v>360</v>
      </c>
      <c r="H671" s="84"/>
      <c r="I671" s="84">
        <f t="shared" si="174"/>
        <v>1200</v>
      </c>
      <c r="J671" s="84" cm="1">
        <f ca="1" t="array" ref="J671">IF($E671&lt;7,_xlfn.XLOOKUP($D671&amp;$E671,$D$155:$D$395&amp;$E$155:$E$395,J$155:J$395),"")</f>
        <v>0</v>
      </c>
      <c r="K671" s="84" cm="1">
        <f ca="1" t="array" ref="K671">IF($E671&lt;7,_xlfn.XLOOKUP($D671&amp;$E671,$D$155:$D$395&amp;$E$155:$E$395,K$155:K$395),"")</f>
        <v>0</v>
      </c>
      <c r="L671" s="84" cm="1">
        <f ca="1" t="array" ref="L671">IF($E671&lt;7,_xlfn.XLOOKUP($D671&amp;$E671,$D$155:$D$395&amp;$E$155:$E$395,L$155:L$395),"")</f>
        <v>0</v>
      </c>
      <c r="M671" s="84" cm="1">
        <f ca="1" t="array" ref="M671">IF($E671&lt;7,_xlfn.XLOOKUP($D671&amp;$E671,$D$155:$D$395&amp;$E$155:$E$395,M$155:M$395),"")</f>
        <v>0</v>
      </c>
      <c r="N671" s="84" t="s">
        <v>282</v>
      </c>
      <c r="O671" s="84" t="s">
        <v>282</v>
      </c>
      <c r="P671" s="84" t="s">
        <v>282</v>
      </c>
      <c r="Q671" s="84" t="s">
        <v>282</v>
      </c>
      <c r="R671" s="84" t="s">
        <v>282</v>
      </c>
      <c r="S671" s="90">
        <f ca="1" t="shared" si="164"/>
        <v>325</v>
      </c>
      <c r="T671" s="90" cm="1">
        <f ca="1" t="array" ref="T671">IFERROR(SUMPRODUCT(F671:M671,$F$154:$M$154)+IFERROR(N671*SUMPRODUCT(O671:R671,$O$154:$R$154),0),"")</f>
        <v>1905</v>
      </c>
      <c r="U671" s="94"/>
      <c r="V671" s="94" t="str">
        <f t="shared" si="165"/>
        <v/>
      </c>
      <c r="W671" t="str">
        <f ca="1" t="shared" si="162"/>
        <v/>
      </c>
      <c r="X671" s="94" t="str">
        <f t="shared" si="166"/>
        <v>{61,345}</v>
      </c>
      <c r="Y671" s="94" t="str">
        <f t="shared" si="167"/>
        <v>{63,360}</v>
      </c>
      <c r="Z671" s="94" t="str">
        <f ca="1" t="shared" si="168"/>
        <v/>
      </c>
      <c r="AA671" s="94" t="str">
        <f ca="1" t="shared" si="169"/>
        <v/>
      </c>
      <c r="AB671" s="94" t="str">
        <f ca="1" t="shared" si="170"/>
        <v/>
      </c>
      <c r="AE671" s="94" t="str">
        <f t="shared" si="171"/>
        <v>{2,1200}</v>
      </c>
      <c r="AH671" t="str">
        <f ca="1" t="shared" si="163"/>
        <v>[{61,345},{63,360},{2,1200}]</v>
      </c>
    </row>
    <row r="672" spans="4:34">
      <c r="D672" s="81" t="str">
        <f ca="1" t="shared" si="172"/>
        <v>瑰宝Ⅳ</v>
      </c>
      <c r="E672" s="84">
        <f t="shared" si="173"/>
        <v>5</v>
      </c>
      <c r="F672" s="84">
        <f>CEILING(F668*1.25,5)</f>
        <v>275</v>
      </c>
      <c r="G672" s="84"/>
      <c r="H672" s="84"/>
      <c r="I672" s="84">
        <f t="shared" si="174"/>
        <v>1200</v>
      </c>
      <c r="J672" s="84" cm="1">
        <f ca="1" t="array" ref="J672">IF($E672&lt;7,_xlfn.XLOOKUP($D672&amp;$E672,$D$155:$D$395&amp;$E$155:$E$395,J$155:J$395),"")</f>
        <v>0</v>
      </c>
      <c r="K672" s="84">
        <v>6</v>
      </c>
      <c r="L672" s="84"/>
      <c r="M672" s="84" cm="1">
        <f ca="1" t="array" ref="M672">IF($E672&lt;7,_xlfn.XLOOKUP($D672&amp;$E672,$D$155:$D$395&amp;$E$155:$E$395,M$155:M$395),"")</f>
        <v>0</v>
      </c>
      <c r="N672" s="84" t="s">
        <v>282</v>
      </c>
      <c r="O672" s="84" t="s">
        <v>282</v>
      </c>
      <c r="P672" s="84" t="s">
        <v>282</v>
      </c>
      <c r="Q672" s="84" t="s">
        <v>282</v>
      </c>
      <c r="R672" s="84" t="s">
        <v>282</v>
      </c>
      <c r="S672" s="90">
        <f ca="1" t="shared" si="164"/>
        <v>325</v>
      </c>
      <c r="T672" s="90" cm="1">
        <f ca="1" t="array" ref="T672">IFERROR(SUMPRODUCT(F672:M672,$F$154:$M$154)+IFERROR(N672*SUMPRODUCT(O672:R672,$O$154:$R$154),0),"")</f>
        <v>3875</v>
      </c>
      <c r="U672" s="94"/>
      <c r="V672" s="94" t="str">
        <f t="shared" si="165"/>
        <v/>
      </c>
      <c r="W672" t="str">
        <f ca="1" t="shared" si="162"/>
        <v/>
      </c>
      <c r="X672" s="94" t="str">
        <f t="shared" si="166"/>
        <v>{61,275}</v>
      </c>
      <c r="Y672" s="94" t="str">
        <f t="shared" si="167"/>
        <v/>
      </c>
      <c r="Z672" s="94" t="str">
        <f t="shared" si="168"/>
        <v/>
      </c>
      <c r="AA672" s="94" t="str">
        <f t="shared" si="169"/>
        <v>{6030002,6}</v>
      </c>
      <c r="AB672" s="94" t="str">
        <f ca="1" t="shared" si="170"/>
        <v/>
      </c>
      <c r="AE672" s="94" t="str">
        <f t="shared" si="171"/>
        <v>{2,1200}</v>
      </c>
      <c r="AH672" t="str">
        <f ca="1" t="shared" si="163"/>
        <v>[{61,275},{6030002,6},{2,1200}]</v>
      </c>
    </row>
    <row r="673" spans="4:34">
      <c r="D673" s="81" t="str">
        <f ca="1" t="shared" si="172"/>
        <v>瑰宝Ⅳ</v>
      </c>
      <c r="E673" s="84">
        <f t="shared" si="173"/>
        <v>6</v>
      </c>
      <c r="F673" s="84">
        <f>CEILING(F669*1.25,5)</f>
        <v>275</v>
      </c>
      <c r="G673" s="84">
        <f>G671</f>
        <v>360</v>
      </c>
      <c r="H673" s="84"/>
      <c r="I673" s="84">
        <f t="shared" si="174"/>
        <v>1200</v>
      </c>
      <c r="J673" s="84" cm="1">
        <f ca="1" t="array" ref="J673">IF($E673&lt;7,_xlfn.XLOOKUP($D673&amp;$E673,$D$155:$D$395&amp;$E$155:$E$395,J$155:J$395),"")</f>
        <v>0</v>
      </c>
      <c r="K673" s="84" cm="1">
        <f ca="1" t="array" ref="K673">IF($E673&lt;7,_xlfn.XLOOKUP($D673&amp;$E673,$D$155:$D$395&amp;$E$155:$E$395,K$155:K$395),"")</f>
        <v>0</v>
      </c>
      <c r="L673" s="84" cm="1">
        <f ca="1" t="array" ref="L673">IF($E673&lt;7,_xlfn.XLOOKUP($D673&amp;$E673,$D$155:$D$395&amp;$E$155:$E$395,L$155:L$395),"")</f>
        <v>0</v>
      </c>
      <c r="M673" s="84" cm="1">
        <f ca="1" t="array" ref="M673">IF($E673&lt;7,_xlfn.XLOOKUP($D673&amp;$E673,$D$155:$D$395&amp;$E$155:$E$395,M$155:M$395),"")</f>
        <v>0</v>
      </c>
      <c r="N673" s="84" t="s">
        <v>282</v>
      </c>
      <c r="O673" s="84" t="s">
        <v>282</v>
      </c>
      <c r="P673" s="84" t="s">
        <v>282</v>
      </c>
      <c r="Q673" s="84" t="s">
        <v>282</v>
      </c>
      <c r="R673" s="84" t="s">
        <v>282</v>
      </c>
      <c r="S673" s="90">
        <f ca="1" t="shared" si="164"/>
        <v>325</v>
      </c>
      <c r="T673" s="90" cm="1">
        <f ca="1" t="array" ref="T673">IFERROR(SUMPRODUCT(F673:M673,$F$154:$M$154)+IFERROR(N673*SUMPRODUCT(O673:R673,$O$154:$R$154),0),"")</f>
        <v>1835</v>
      </c>
      <c r="U673" s="94"/>
      <c r="V673" s="94" t="str">
        <f t="shared" si="165"/>
        <v/>
      </c>
      <c r="W673" t="str">
        <f ca="1" t="shared" si="162"/>
        <v/>
      </c>
      <c r="X673" s="94" t="str">
        <f t="shared" si="166"/>
        <v>{61,275}</v>
      </c>
      <c r="Y673" s="94" t="str">
        <f t="shared" si="167"/>
        <v>{63,360}</v>
      </c>
      <c r="Z673" s="94" t="str">
        <f ca="1" t="shared" si="168"/>
        <v/>
      </c>
      <c r="AA673" s="94" t="str">
        <f ca="1" t="shared" si="169"/>
        <v/>
      </c>
      <c r="AB673" s="94" t="str">
        <f ca="1" t="shared" si="170"/>
        <v/>
      </c>
      <c r="AE673" s="94" t="str">
        <f t="shared" si="171"/>
        <v>{2,1200}</v>
      </c>
      <c r="AH673" t="str">
        <f ca="1" t="shared" si="163"/>
        <v>[{61,275},{63,360},{2,1200}]</v>
      </c>
    </row>
    <row r="674" spans="4:34">
      <c r="D674" s="81" t="str">
        <f ca="1" t="shared" si="172"/>
        <v>瑰宝Ⅳ</v>
      </c>
      <c r="E674" s="84">
        <f t="shared" si="173"/>
        <v>7</v>
      </c>
      <c r="F674" s="84">
        <f>CEILING(F670*1.25,5)</f>
        <v>275</v>
      </c>
      <c r="G674" s="84"/>
      <c r="H674" s="84"/>
      <c r="I674" s="84">
        <f t="shared" si="174"/>
        <v>1200</v>
      </c>
      <c r="J674" s="84" t="str" cm="1">
        <f ca="1" t="array" ref="J674">IF($E674&lt;7,_xlfn.XLOOKUP($D674&amp;$E674,$D$155:$D$395&amp;$E$155:$E$395,J$155:J$395),"")</f>
        <v/>
      </c>
      <c r="K674" s="84" t="str" cm="1">
        <f ca="1" t="array" ref="K674">IF($E674&lt;7,_xlfn.XLOOKUP($D674&amp;$E674,$D$155:$D$395&amp;$E$155:$E$395,K$155:K$395),"")</f>
        <v/>
      </c>
      <c r="L674" s="84">
        <v>5</v>
      </c>
      <c r="M674" s="84" t="str" cm="1">
        <f ca="1" t="array" ref="M674">IF($E674&lt;7,_xlfn.XLOOKUP($D674&amp;$E674,$D$155:$D$395&amp;$E$155:$E$395,M$155:M$395),"")</f>
        <v/>
      </c>
      <c r="N674" s="84" t="s">
        <v>282</v>
      </c>
      <c r="O674" s="84" t="s">
        <v>282</v>
      </c>
      <c r="P674" s="84" t="s">
        <v>282</v>
      </c>
      <c r="Q674" s="84" t="s">
        <v>282</v>
      </c>
      <c r="R674" s="84" t="s">
        <v>282</v>
      </c>
      <c r="S674" s="90">
        <f ca="1" t="shared" si="164"/>
        <v>325</v>
      </c>
      <c r="T674" s="90" cm="1">
        <f ca="1" t="array" ref="T674">IFERROR(SUMPRODUCT(F674:M674,$F$154:$M$154)+IFERROR(N674*SUMPRODUCT(O674:R674,$O$154:$R$154),0),"")</f>
        <v>5475</v>
      </c>
      <c r="U674" s="94"/>
      <c r="V674" s="94" t="str">
        <f t="shared" si="165"/>
        <v/>
      </c>
      <c r="W674" t="str">
        <f ca="1" t="shared" si="162"/>
        <v/>
      </c>
      <c r="X674" s="94" t="str">
        <f t="shared" si="166"/>
        <v>{61,275}</v>
      </c>
      <c r="Y674" s="94" t="str">
        <f t="shared" si="167"/>
        <v/>
      </c>
      <c r="Z674" s="94" t="str">
        <f t="shared" si="168"/>
        <v>{6030003,5}</v>
      </c>
      <c r="AA674" s="94" t="str">
        <f ca="1" t="shared" si="169"/>
        <v/>
      </c>
      <c r="AB674" s="94" t="str">
        <f ca="1" t="shared" si="170"/>
        <v/>
      </c>
      <c r="AE674" s="94" t="str">
        <f t="shared" si="171"/>
        <v>{2,1200}</v>
      </c>
      <c r="AH674" t="str">
        <f ca="1" t="shared" si="163"/>
        <v>[{61,275},{6030003,5},{2,1200}]</v>
      </c>
    </row>
    <row r="675" spans="4:34">
      <c r="D675" s="81" t="str">
        <f ca="1" t="shared" si="172"/>
        <v>瑰宝Ⅳ</v>
      </c>
      <c r="E675" s="84">
        <f t="shared" si="173"/>
        <v>8</v>
      </c>
      <c r="F675" s="84">
        <f>CEILING(F674*1.5,5)</f>
        <v>415</v>
      </c>
      <c r="G675" s="84">
        <f>CEILING(G673*1.5,5)</f>
        <v>540</v>
      </c>
      <c r="H675" s="84">
        <f>1</f>
        <v>1</v>
      </c>
      <c r="I675" s="84">
        <f t="shared" si="174"/>
        <v>1200</v>
      </c>
      <c r="J675" s="84" t="str" cm="1">
        <f ca="1" t="array" ref="J675">IF($E675&lt;7,_xlfn.XLOOKUP($D675&amp;$E675,$D$155:$D$395&amp;$E$155:$E$395,J$155:J$395),"")</f>
        <v/>
      </c>
      <c r="K675" s="84" t="str" cm="1">
        <f ca="1" t="array" ref="K675">IF($E675&lt;7,_xlfn.XLOOKUP($D675&amp;$E675,$D$155:$D$395&amp;$E$155:$E$395,K$155:K$395),"")</f>
        <v/>
      </c>
      <c r="L675" s="84" t="str" cm="1">
        <f ca="1" t="array" ref="L675">IF($E675&lt;7,_xlfn.XLOOKUP($D675&amp;$E675,$D$155:$D$395&amp;$E$155:$E$395,L$155:L$395),"")</f>
        <v/>
      </c>
      <c r="M675" s="84" t="str" cm="1">
        <f ca="1" t="array" ref="M675">IF($E675&lt;7,_xlfn.XLOOKUP($D675&amp;$E675,$D$155:$D$395&amp;$E$155:$E$395,M$155:M$395),"")</f>
        <v/>
      </c>
      <c r="N675" s="84">
        <v>8</v>
      </c>
      <c r="O675" s="84">
        <v>0</v>
      </c>
      <c r="P675" s="84">
        <v>0.08</v>
      </c>
      <c r="Q675" s="84">
        <v>0.5</v>
      </c>
      <c r="R675" s="84">
        <v>0.42</v>
      </c>
      <c r="S675" s="90">
        <f ca="1" t="shared" si="164"/>
        <v>325</v>
      </c>
      <c r="T675" s="90" cm="1">
        <f ca="1" t="array" ref="T675">IFERROR(SUMPRODUCT(F675:M675,$F$154:$M$154)+IFERROR(N675*SUMPRODUCT(O675:R675,$O$154:$R$154),0),"")</f>
        <v>11137</v>
      </c>
      <c r="U675" s="94"/>
      <c r="V675" s="94" t="str">
        <f t="shared" si="165"/>
        <v>{62,1}</v>
      </c>
      <c r="W675" t="str">
        <f ca="1" t="shared" si="162"/>
        <v>{6020029,8}</v>
      </c>
      <c r="X675" s="94" t="str">
        <f t="shared" si="166"/>
        <v>{61,415}</v>
      </c>
      <c r="Y675" s="94" t="str">
        <f t="shared" si="167"/>
        <v>{63,540}</v>
      </c>
      <c r="Z675" s="94" t="str">
        <f ca="1" t="shared" si="168"/>
        <v/>
      </c>
      <c r="AA675" s="94" t="str">
        <f ca="1" t="shared" si="169"/>
        <v/>
      </c>
      <c r="AB675" s="94" t="str">
        <f ca="1" t="shared" si="170"/>
        <v/>
      </c>
      <c r="AE675" s="94" t="str">
        <f t="shared" si="171"/>
        <v>{2,1200}</v>
      </c>
      <c r="AH675" t="str">
        <f ca="1" t="shared" si="163"/>
        <v>[{62,1},{6020029,8},{61,415},{63,540},{2,1200}]</v>
      </c>
    </row>
    <row r="676" spans="4:34">
      <c r="D676" s="81" t="str">
        <f ca="1" t="shared" si="172"/>
        <v>瑰宝Ⅴ</v>
      </c>
      <c r="E676" s="84">
        <f t="shared" si="173"/>
        <v>1</v>
      </c>
      <c r="F676" s="84">
        <f>F668+5</f>
        <v>225</v>
      </c>
      <c r="G676" s="84"/>
      <c r="H676" s="84"/>
      <c r="I676" s="84">
        <f t="shared" si="174"/>
        <v>1225</v>
      </c>
      <c r="J676" s="84">
        <v>4</v>
      </c>
      <c r="K676" s="84" cm="1">
        <f ca="1" t="array" ref="K676">IF($E676&lt;7,_xlfn.XLOOKUP($D676&amp;$E676,$D$155:$D$395&amp;$E$155:$E$395,K$155:K$395),"")</f>
        <v>0</v>
      </c>
      <c r="L676" s="84" cm="1">
        <f ca="1" t="array" ref="L676">IF($E676&lt;7,_xlfn.XLOOKUP($D676&amp;$E676,$D$155:$D$395&amp;$E$155:$E$395,L$155:L$395),"")</f>
        <v>0</v>
      </c>
      <c r="M676" s="84" cm="1">
        <f ca="1" t="array" ref="M676">IF($E676&lt;7,_xlfn.XLOOKUP($D676&amp;$E676,$D$155:$D$395&amp;$E$155:$E$395,M$155:M$395),"")</f>
        <v>0</v>
      </c>
      <c r="N676" s="84" t="s">
        <v>282</v>
      </c>
      <c r="O676" s="84" t="s">
        <v>282</v>
      </c>
      <c r="P676" s="84" t="s">
        <v>282</v>
      </c>
      <c r="Q676" s="84" t="s">
        <v>282</v>
      </c>
      <c r="R676" s="84" t="s">
        <v>282</v>
      </c>
      <c r="S676" s="90">
        <f ca="1" t="shared" si="164"/>
        <v>335</v>
      </c>
      <c r="T676" s="90" cm="1">
        <f ca="1" t="array" ref="T676">IFERROR(SUMPRODUCT(F676:M676,$F$154:$M$154)+IFERROR(N676*SUMPRODUCT(O676:R676,$O$154:$R$154),0),"")</f>
        <v>2250</v>
      </c>
      <c r="U676" s="94"/>
      <c r="V676" s="94" t="str">
        <f t="shared" si="165"/>
        <v/>
      </c>
      <c r="W676" t="str">
        <f ca="1" t="shared" si="162"/>
        <v/>
      </c>
      <c r="X676" s="94" t="str">
        <f t="shared" si="166"/>
        <v>{61,225}</v>
      </c>
      <c r="Y676" s="94" t="str">
        <f t="shared" si="167"/>
        <v/>
      </c>
      <c r="Z676" s="94" t="str">
        <f ca="1" t="shared" si="168"/>
        <v/>
      </c>
      <c r="AA676" s="94" t="str">
        <f ca="1" t="shared" si="169"/>
        <v/>
      </c>
      <c r="AB676" s="94" t="str">
        <f t="shared" si="170"/>
        <v>{6030001,4}</v>
      </c>
      <c r="AE676" s="94" t="str">
        <f t="shared" si="171"/>
        <v>{2,1225}</v>
      </c>
      <c r="AH676" t="str">
        <f ca="1" t="shared" si="163"/>
        <v>[{61,225},{6030001,4},{2,1225}]</v>
      </c>
    </row>
    <row r="677" spans="4:34">
      <c r="D677" s="81" t="str">
        <f ca="1" t="shared" si="172"/>
        <v>瑰宝Ⅴ</v>
      </c>
      <c r="E677" s="84">
        <f t="shared" si="173"/>
        <v>2</v>
      </c>
      <c r="F677" s="84">
        <f>F669+5</f>
        <v>225</v>
      </c>
      <c r="G677" s="84">
        <f>G669+5</f>
        <v>245</v>
      </c>
      <c r="H677" s="84"/>
      <c r="I677" s="84">
        <f t="shared" si="174"/>
        <v>1225</v>
      </c>
      <c r="J677" s="84" cm="1">
        <f ca="1" t="array" ref="J677">IF($E677&lt;7,_xlfn.XLOOKUP($D677&amp;$E677,$D$155:$D$395&amp;$E$155:$E$395,J$155:J$395),"")</f>
        <v>0</v>
      </c>
      <c r="K677" s="84" cm="1">
        <f ca="1" t="array" ref="K677">IF($E677&lt;7,_xlfn.XLOOKUP($D677&amp;$E677,$D$155:$D$395&amp;$E$155:$E$395,K$155:K$395),"")</f>
        <v>0</v>
      </c>
      <c r="L677" s="84" cm="1">
        <f ca="1" t="array" ref="L677">IF($E677&lt;7,_xlfn.XLOOKUP($D677&amp;$E677,$D$155:$D$395&amp;$E$155:$E$395,L$155:L$395),"")</f>
        <v>0</v>
      </c>
      <c r="M677" s="84" cm="1">
        <f ca="1" t="array" ref="M677">IF($E677&lt;7,_xlfn.XLOOKUP($D677&amp;$E677,$D$155:$D$395&amp;$E$155:$E$395,M$155:M$395),"")</f>
        <v>0</v>
      </c>
      <c r="N677" s="84" t="s">
        <v>282</v>
      </c>
      <c r="O677" s="84" t="s">
        <v>282</v>
      </c>
      <c r="P677" s="84" t="s">
        <v>282</v>
      </c>
      <c r="Q677" s="84" t="s">
        <v>282</v>
      </c>
      <c r="R677" s="84" t="s">
        <v>282</v>
      </c>
      <c r="S677" s="90">
        <f ca="1" t="shared" si="164"/>
        <v>335</v>
      </c>
      <c r="T677" s="90" cm="1">
        <f ca="1" t="array" ref="T677">IFERROR(SUMPRODUCT(F677:M677,$F$154:$M$154)+IFERROR(N677*SUMPRODUCT(O677:R677,$O$154:$R$154),0),"")</f>
        <v>1695</v>
      </c>
      <c r="U677" s="94"/>
      <c r="V677" s="94" t="str">
        <f t="shared" si="165"/>
        <v/>
      </c>
      <c r="W677" t="str">
        <f ca="1" t="shared" si="162"/>
        <v/>
      </c>
      <c r="X677" s="94" t="str">
        <f t="shared" si="166"/>
        <v>{61,225}</v>
      </c>
      <c r="Y677" s="94" t="str">
        <f t="shared" si="167"/>
        <v>{63,245}</v>
      </c>
      <c r="Z677" s="94" t="str">
        <f ca="1" t="shared" si="168"/>
        <v/>
      </c>
      <c r="AA677" s="94" t="str">
        <f ca="1" t="shared" si="169"/>
        <v/>
      </c>
      <c r="AB677" s="94" t="str">
        <f ca="1" t="shared" si="170"/>
        <v/>
      </c>
      <c r="AE677" s="94" t="str">
        <f t="shared" si="171"/>
        <v>{2,1225}</v>
      </c>
      <c r="AH677" t="str">
        <f ca="1" t="shared" si="163"/>
        <v>[{61,225},{63,245},{2,1225}]</v>
      </c>
    </row>
    <row r="678" spans="4:34">
      <c r="D678" s="81" t="str">
        <f ca="1" t="shared" si="172"/>
        <v>瑰宝Ⅴ</v>
      </c>
      <c r="E678" s="84">
        <f t="shared" si="173"/>
        <v>3</v>
      </c>
      <c r="F678" s="84">
        <f>F670+5</f>
        <v>225</v>
      </c>
      <c r="G678" s="84"/>
      <c r="H678" s="84"/>
      <c r="I678" s="84">
        <f t="shared" si="174"/>
        <v>1225</v>
      </c>
      <c r="J678" s="84">
        <v>5</v>
      </c>
      <c r="K678" s="84"/>
      <c r="L678" s="84" cm="1">
        <f ca="1" t="array" ref="L678">IF($E678&lt;7,_xlfn.XLOOKUP($D678&amp;$E678,$D$155:$D$395&amp;$E$155:$E$395,L$155:L$395),"")</f>
        <v>0</v>
      </c>
      <c r="M678" s="84" cm="1">
        <f ca="1" t="array" ref="M678">IF($E678&lt;7,_xlfn.XLOOKUP($D678&amp;$E678,$D$155:$D$395&amp;$E$155:$E$395,M$155:M$395),"")</f>
        <v>0</v>
      </c>
      <c r="N678" s="84" t="s">
        <v>282</v>
      </c>
      <c r="O678" s="84" t="s">
        <v>282</v>
      </c>
      <c r="P678" s="84" t="s">
        <v>282</v>
      </c>
      <c r="Q678" s="84" t="s">
        <v>282</v>
      </c>
      <c r="R678" s="84" t="s">
        <v>282</v>
      </c>
      <c r="S678" s="90">
        <f ca="1" t="shared" si="164"/>
        <v>335</v>
      </c>
      <c r="T678" s="90" cm="1">
        <f ca="1" t="array" ref="T678">IFERROR(SUMPRODUCT(F678:M678,$F$154:$M$154)+IFERROR(N678*SUMPRODUCT(O678:R678,$O$154:$R$154),0),"")</f>
        <v>2450</v>
      </c>
      <c r="U678" s="94"/>
      <c r="V678" s="94" t="str">
        <f t="shared" si="165"/>
        <v/>
      </c>
      <c r="W678" t="str">
        <f ca="1" t="shared" si="162"/>
        <v/>
      </c>
      <c r="X678" s="94" t="str">
        <f t="shared" si="166"/>
        <v>{61,225}</v>
      </c>
      <c r="Y678" s="94" t="str">
        <f t="shared" si="167"/>
        <v/>
      </c>
      <c r="Z678" s="94" t="str">
        <f ca="1" t="shared" si="168"/>
        <v/>
      </c>
      <c r="AA678" s="94" t="str">
        <f t="shared" si="169"/>
        <v/>
      </c>
      <c r="AB678" s="94" t="str">
        <f t="shared" si="170"/>
        <v>{6030001,5}</v>
      </c>
      <c r="AE678" s="94" t="str">
        <f t="shared" si="171"/>
        <v>{2,1225}</v>
      </c>
      <c r="AH678" t="str">
        <f ca="1" t="shared" si="163"/>
        <v>[{61,225},{6030001,5},{2,1225}]</v>
      </c>
    </row>
    <row r="679" spans="4:34">
      <c r="D679" s="81" t="str">
        <f ca="1" t="shared" si="172"/>
        <v>瑰宝Ⅴ</v>
      </c>
      <c r="E679" s="84">
        <f t="shared" si="173"/>
        <v>4</v>
      </c>
      <c r="F679" s="84">
        <f>CEILING(F680*1.25,5)</f>
        <v>360</v>
      </c>
      <c r="G679" s="84">
        <f>CEILING(G677*1.5,5)</f>
        <v>370</v>
      </c>
      <c r="H679" s="84"/>
      <c r="I679" s="84">
        <f t="shared" si="174"/>
        <v>1225</v>
      </c>
      <c r="J679" s="84" cm="1">
        <f ca="1" t="array" ref="J679">IF($E679&lt;7,_xlfn.XLOOKUP($D679&amp;$E679,$D$155:$D$395&amp;$E$155:$E$395,J$155:J$395),"")</f>
        <v>0</v>
      </c>
      <c r="K679" s="84" cm="1">
        <f ca="1" t="array" ref="K679">IF($E679&lt;7,_xlfn.XLOOKUP($D679&amp;$E679,$D$155:$D$395&amp;$E$155:$E$395,K$155:K$395),"")</f>
        <v>0</v>
      </c>
      <c r="L679" s="84" cm="1">
        <f ca="1" t="array" ref="L679">IF($E679&lt;7,_xlfn.XLOOKUP($D679&amp;$E679,$D$155:$D$395&amp;$E$155:$E$395,L$155:L$395),"")</f>
        <v>0</v>
      </c>
      <c r="M679" s="84" cm="1">
        <f ca="1" t="array" ref="M679">IF($E679&lt;7,_xlfn.XLOOKUP($D679&amp;$E679,$D$155:$D$395&amp;$E$155:$E$395,M$155:M$395),"")</f>
        <v>0</v>
      </c>
      <c r="N679" s="84" t="s">
        <v>282</v>
      </c>
      <c r="O679" s="84" t="s">
        <v>282</v>
      </c>
      <c r="P679" s="84" t="s">
        <v>282</v>
      </c>
      <c r="Q679" s="84" t="s">
        <v>282</v>
      </c>
      <c r="R679" s="84" t="s">
        <v>282</v>
      </c>
      <c r="S679" s="90">
        <f ca="1" t="shared" si="164"/>
        <v>335</v>
      </c>
      <c r="T679" s="90" cm="1">
        <f ca="1" t="array" ref="T679">IFERROR(SUMPRODUCT(F679:M679,$F$154:$M$154)+IFERROR(N679*SUMPRODUCT(O679:R679,$O$154:$R$154),0),"")</f>
        <v>1955</v>
      </c>
      <c r="U679" s="94"/>
      <c r="V679" s="94" t="str">
        <f t="shared" si="165"/>
        <v/>
      </c>
      <c r="W679" t="str">
        <f ca="1" t="shared" si="162"/>
        <v/>
      </c>
      <c r="X679" s="94" t="str">
        <f t="shared" si="166"/>
        <v>{61,360}</v>
      </c>
      <c r="Y679" s="94" t="str">
        <f t="shared" si="167"/>
        <v>{63,370}</v>
      </c>
      <c r="Z679" s="94" t="str">
        <f ca="1" t="shared" si="168"/>
        <v/>
      </c>
      <c r="AA679" s="94" t="str">
        <f ca="1" t="shared" si="169"/>
        <v/>
      </c>
      <c r="AB679" s="94" t="str">
        <f ca="1" t="shared" si="170"/>
        <v/>
      </c>
      <c r="AE679" s="94" t="str">
        <f t="shared" si="171"/>
        <v>{2,1225}</v>
      </c>
      <c r="AH679" t="str">
        <f ca="1" t="shared" si="163"/>
        <v>[{61,360},{63,370},{2,1225}]</v>
      </c>
    </row>
    <row r="680" spans="4:34">
      <c r="D680" s="81" t="str">
        <f ca="1" t="shared" si="172"/>
        <v>瑰宝Ⅴ</v>
      </c>
      <c r="E680" s="84">
        <f t="shared" si="173"/>
        <v>5</v>
      </c>
      <c r="F680" s="84">
        <f>CEILING(F676*1.25,5)</f>
        <v>285</v>
      </c>
      <c r="G680" s="84"/>
      <c r="H680" s="84"/>
      <c r="I680" s="84">
        <f t="shared" si="174"/>
        <v>1225</v>
      </c>
      <c r="J680" s="84" cm="1">
        <f ca="1" t="array" ref="J680">IF($E680&lt;7,_xlfn.XLOOKUP($D680&amp;$E680,$D$155:$D$395&amp;$E$155:$E$395,J$155:J$395),"")</f>
        <v>0</v>
      </c>
      <c r="K680" s="84">
        <v>6</v>
      </c>
      <c r="L680" s="84"/>
      <c r="M680" s="84" cm="1">
        <f ca="1" t="array" ref="M680">IF($E680&lt;7,_xlfn.XLOOKUP($D680&amp;$E680,$D$155:$D$395&amp;$E$155:$E$395,M$155:M$395),"")</f>
        <v>0</v>
      </c>
      <c r="N680" s="84" t="s">
        <v>282</v>
      </c>
      <c r="O680" s="84" t="s">
        <v>282</v>
      </c>
      <c r="P680" s="84" t="s">
        <v>282</v>
      </c>
      <c r="Q680" s="84" t="s">
        <v>282</v>
      </c>
      <c r="R680" s="84" t="s">
        <v>282</v>
      </c>
      <c r="S680" s="90">
        <f ca="1" t="shared" si="164"/>
        <v>335</v>
      </c>
      <c r="T680" s="90" cm="1">
        <f ca="1" t="array" ref="T680">IFERROR(SUMPRODUCT(F680:M680,$F$154:$M$154)+IFERROR(N680*SUMPRODUCT(O680:R680,$O$154:$R$154),0),"")</f>
        <v>3910</v>
      </c>
      <c r="U680" s="94"/>
      <c r="V680" s="94" t="str">
        <f t="shared" si="165"/>
        <v/>
      </c>
      <c r="W680" t="str">
        <f ca="1" t="shared" si="162"/>
        <v/>
      </c>
      <c r="X680" s="94" t="str">
        <f t="shared" si="166"/>
        <v>{61,285}</v>
      </c>
      <c r="Y680" s="94" t="str">
        <f t="shared" si="167"/>
        <v/>
      </c>
      <c r="Z680" s="94" t="str">
        <f t="shared" si="168"/>
        <v/>
      </c>
      <c r="AA680" s="94" t="str">
        <f t="shared" si="169"/>
        <v>{6030002,6}</v>
      </c>
      <c r="AB680" s="94" t="str">
        <f ca="1" t="shared" si="170"/>
        <v/>
      </c>
      <c r="AE680" s="94" t="str">
        <f t="shared" si="171"/>
        <v>{2,1225}</v>
      </c>
      <c r="AH680" t="str">
        <f ca="1" t="shared" si="163"/>
        <v>[{61,285},{6030002,6},{2,1225}]</v>
      </c>
    </row>
    <row r="681" spans="4:34">
      <c r="D681" s="81" t="str">
        <f ca="1" t="shared" si="172"/>
        <v>瑰宝Ⅴ</v>
      </c>
      <c r="E681" s="84">
        <f t="shared" si="173"/>
        <v>6</v>
      </c>
      <c r="F681" s="84">
        <f>CEILING(F677*1.25,5)</f>
        <v>285</v>
      </c>
      <c r="G681" s="84">
        <f>G679</f>
        <v>370</v>
      </c>
      <c r="H681" s="84"/>
      <c r="I681" s="84">
        <f t="shared" si="174"/>
        <v>1225</v>
      </c>
      <c r="J681" s="84" cm="1">
        <f ca="1" t="array" ref="J681">IF($E681&lt;7,_xlfn.XLOOKUP($D681&amp;$E681,$D$155:$D$395&amp;$E$155:$E$395,J$155:J$395),"")</f>
        <v>0</v>
      </c>
      <c r="K681" s="84" cm="1">
        <f ca="1" t="array" ref="K681">IF($E681&lt;7,_xlfn.XLOOKUP($D681&amp;$E681,$D$155:$D$395&amp;$E$155:$E$395,K$155:K$395),"")</f>
        <v>0</v>
      </c>
      <c r="L681" s="84" cm="1">
        <f ca="1" t="array" ref="L681">IF($E681&lt;7,_xlfn.XLOOKUP($D681&amp;$E681,$D$155:$D$395&amp;$E$155:$E$395,L$155:L$395),"")</f>
        <v>0</v>
      </c>
      <c r="M681" s="84" cm="1">
        <f ca="1" t="array" ref="M681">IF($E681&lt;7,_xlfn.XLOOKUP($D681&amp;$E681,$D$155:$D$395&amp;$E$155:$E$395,M$155:M$395),"")</f>
        <v>0</v>
      </c>
      <c r="N681" s="84" t="s">
        <v>282</v>
      </c>
      <c r="O681" s="84" t="s">
        <v>282</v>
      </c>
      <c r="P681" s="84" t="s">
        <v>282</v>
      </c>
      <c r="Q681" s="84" t="s">
        <v>282</v>
      </c>
      <c r="R681" s="84" t="s">
        <v>282</v>
      </c>
      <c r="S681" s="90">
        <f ca="1" t="shared" si="164"/>
        <v>335</v>
      </c>
      <c r="T681" s="90" cm="1">
        <f ca="1" t="array" ref="T681">IFERROR(SUMPRODUCT(F681:M681,$F$154:$M$154)+IFERROR(N681*SUMPRODUCT(O681:R681,$O$154:$R$154),0),"")</f>
        <v>1880</v>
      </c>
      <c r="U681" s="94"/>
      <c r="V681" s="94" t="str">
        <f t="shared" si="165"/>
        <v/>
      </c>
      <c r="W681" t="str">
        <f ca="1" t="shared" si="162"/>
        <v/>
      </c>
      <c r="X681" s="94" t="str">
        <f t="shared" si="166"/>
        <v>{61,285}</v>
      </c>
      <c r="Y681" s="94" t="str">
        <f t="shared" si="167"/>
        <v>{63,370}</v>
      </c>
      <c r="Z681" s="94" t="str">
        <f ca="1" t="shared" si="168"/>
        <v/>
      </c>
      <c r="AA681" s="94" t="str">
        <f ca="1" t="shared" si="169"/>
        <v/>
      </c>
      <c r="AB681" s="94" t="str">
        <f ca="1" t="shared" si="170"/>
        <v/>
      </c>
      <c r="AE681" s="94" t="str">
        <f t="shared" si="171"/>
        <v>{2,1225}</v>
      </c>
      <c r="AH681" t="str">
        <f ca="1" t="shared" si="163"/>
        <v>[{61,285},{63,370},{2,1225}]</v>
      </c>
    </row>
    <row r="682" spans="4:34">
      <c r="D682" s="81" t="str">
        <f ca="1" t="shared" si="172"/>
        <v>瑰宝Ⅴ</v>
      </c>
      <c r="E682" s="84">
        <f t="shared" si="173"/>
        <v>7</v>
      </c>
      <c r="F682" s="84">
        <f>CEILING(F678*1.25,5)</f>
        <v>285</v>
      </c>
      <c r="G682" s="84"/>
      <c r="H682" s="84"/>
      <c r="I682" s="84">
        <f t="shared" si="174"/>
        <v>1225</v>
      </c>
      <c r="J682" s="84" t="str" cm="1">
        <f ca="1" t="array" ref="J682">IF($E682&lt;7,_xlfn.XLOOKUP($D682&amp;$E682,$D$155:$D$395&amp;$E$155:$E$395,J$155:J$395),"")</f>
        <v/>
      </c>
      <c r="K682" s="84" t="str" cm="1">
        <f ca="1" t="array" ref="K682">IF($E682&lt;7,_xlfn.XLOOKUP($D682&amp;$E682,$D$155:$D$395&amp;$E$155:$E$395,K$155:K$395),"")</f>
        <v/>
      </c>
      <c r="L682" s="84">
        <v>5</v>
      </c>
      <c r="M682" s="84" t="str" cm="1">
        <f ca="1" t="array" ref="M682">IF($E682&lt;7,_xlfn.XLOOKUP($D682&amp;$E682,$D$155:$D$395&amp;$E$155:$E$395,M$155:M$395),"")</f>
        <v/>
      </c>
      <c r="N682" s="84" t="s">
        <v>282</v>
      </c>
      <c r="O682" s="84" t="s">
        <v>282</v>
      </c>
      <c r="P682" s="84" t="s">
        <v>282</v>
      </c>
      <c r="Q682" s="84" t="s">
        <v>282</v>
      </c>
      <c r="R682" s="84" t="s">
        <v>282</v>
      </c>
      <c r="S682" s="90">
        <f ca="1" t="shared" si="164"/>
        <v>335</v>
      </c>
      <c r="T682" s="90" cm="1">
        <f ca="1" t="array" ref="T682">IFERROR(SUMPRODUCT(F682:M682,$F$154:$M$154)+IFERROR(N682*SUMPRODUCT(O682:R682,$O$154:$R$154),0),"")</f>
        <v>5510</v>
      </c>
      <c r="U682" s="94"/>
      <c r="V682" s="94" t="str">
        <f t="shared" si="165"/>
        <v/>
      </c>
      <c r="W682" t="str">
        <f ca="1" t="shared" si="162"/>
        <v/>
      </c>
      <c r="X682" s="94" t="str">
        <f t="shared" si="166"/>
        <v>{61,285}</v>
      </c>
      <c r="Y682" s="94" t="str">
        <f t="shared" si="167"/>
        <v/>
      </c>
      <c r="Z682" s="94" t="str">
        <f t="shared" si="168"/>
        <v>{6030003,5}</v>
      </c>
      <c r="AA682" s="94" t="str">
        <f ca="1" t="shared" si="169"/>
        <v/>
      </c>
      <c r="AB682" s="94" t="str">
        <f ca="1" t="shared" si="170"/>
        <v/>
      </c>
      <c r="AE682" s="94" t="str">
        <f t="shared" si="171"/>
        <v>{2,1225}</v>
      </c>
      <c r="AH682" t="str">
        <f ca="1" t="shared" si="163"/>
        <v>[{61,285},{6030003,5},{2,1225}]</v>
      </c>
    </row>
    <row r="683" spans="4:34">
      <c r="D683" s="81" t="str">
        <f ca="1" t="shared" si="172"/>
        <v>瑰宝Ⅴ</v>
      </c>
      <c r="E683" s="84">
        <f t="shared" si="173"/>
        <v>8</v>
      </c>
      <c r="F683" s="84">
        <f>CEILING(F682*1.5,5)</f>
        <v>430</v>
      </c>
      <c r="G683" s="84">
        <f>CEILING(G681*1.5,5)</f>
        <v>555</v>
      </c>
      <c r="H683" s="84">
        <f>1</f>
        <v>1</v>
      </c>
      <c r="I683" s="84">
        <f t="shared" si="174"/>
        <v>1225</v>
      </c>
      <c r="J683" s="84" t="str" cm="1">
        <f ca="1" t="array" ref="J683">IF($E683&lt;7,_xlfn.XLOOKUP($D683&amp;$E683,$D$155:$D$395&amp;$E$155:$E$395,J$155:J$395),"")</f>
        <v/>
      </c>
      <c r="K683" s="84" t="str" cm="1">
        <f ca="1" t="array" ref="K683">IF($E683&lt;7,_xlfn.XLOOKUP($D683&amp;$E683,$D$155:$D$395&amp;$E$155:$E$395,K$155:K$395),"")</f>
        <v/>
      </c>
      <c r="L683" s="84" t="str" cm="1">
        <f ca="1" t="array" ref="L683">IF($E683&lt;7,_xlfn.XLOOKUP($D683&amp;$E683,$D$155:$D$395&amp;$E$155:$E$395,L$155:L$395),"")</f>
        <v/>
      </c>
      <c r="M683" s="84" t="str" cm="1">
        <f ca="1" t="array" ref="M683">IF($E683&lt;7,_xlfn.XLOOKUP($D683&amp;$E683,$D$155:$D$395&amp;$E$155:$E$395,M$155:M$395),"")</f>
        <v/>
      </c>
      <c r="N683" s="84">
        <v>8</v>
      </c>
      <c r="O683" s="84">
        <v>0</v>
      </c>
      <c r="P683" s="84">
        <v>0.05</v>
      </c>
      <c r="Q683" s="84">
        <v>0.5</v>
      </c>
      <c r="R683" s="84">
        <v>0.45</v>
      </c>
      <c r="S683" s="90">
        <f ca="1" t="shared" si="164"/>
        <v>335</v>
      </c>
      <c r="T683" s="90" cm="1">
        <f ca="1" t="array" ref="T683">IFERROR(SUMPRODUCT(F683:M683,$F$154:$M$154)+IFERROR(N683*SUMPRODUCT(O683:R683,$O$154:$R$154),0),"")</f>
        <v>11480</v>
      </c>
      <c r="U683" s="94"/>
      <c r="V683" s="94" t="str">
        <f t="shared" si="165"/>
        <v>{62,1}</v>
      </c>
      <c r="W683" t="str">
        <f ca="1" t="shared" si="162"/>
        <v>{6020030,8}</v>
      </c>
      <c r="X683" s="94" t="str">
        <f t="shared" si="166"/>
        <v>{61,430}</v>
      </c>
      <c r="Y683" s="94" t="str">
        <f t="shared" si="167"/>
        <v>{63,555}</v>
      </c>
      <c r="Z683" s="94" t="str">
        <f ca="1" t="shared" si="168"/>
        <v/>
      </c>
      <c r="AA683" s="94" t="str">
        <f ca="1" t="shared" si="169"/>
        <v/>
      </c>
      <c r="AB683" s="94" t="str">
        <f ca="1" t="shared" si="170"/>
        <v/>
      </c>
      <c r="AE683" s="94" t="str">
        <f t="shared" si="171"/>
        <v>{2,1225}</v>
      </c>
      <c r="AH683" t="str">
        <f ca="1" t="shared" si="163"/>
        <v>[{62,1},{6020030,8},{61,430},{63,555},{2,1225}]</v>
      </c>
    </row>
    <row r="684" spans="4:34">
      <c r="D684" s="81" t="str">
        <f ca="1" t="shared" ref="D684:D702" si="175">IF(E683=8,OFFSET($D$111,MATCH(D683,$D$112:$D$151,0)+1,0),D683)</f>
        <v>非凡Ⅰ</v>
      </c>
      <c r="E684" s="84">
        <f t="shared" ref="E684:E702" si="176">IF(E683=8,1,E683+1)</f>
        <v>1</v>
      </c>
      <c r="F684" s="84">
        <f>F676+5</f>
        <v>230</v>
      </c>
      <c r="G684" s="84"/>
      <c r="H684" s="84"/>
      <c r="I684" s="84">
        <f t="shared" si="174"/>
        <v>1250</v>
      </c>
      <c r="J684" s="84">
        <v>4</v>
      </c>
      <c r="K684" s="84" cm="1">
        <f ca="1" t="array" ref="K684">IF($E684&lt;7,_xlfn.XLOOKUP($D684&amp;$E684,$D$155:$D$395&amp;$E$155:$E$395,K$155:K$395),"")</f>
        <v>0</v>
      </c>
      <c r="L684" s="84" cm="1">
        <f ca="1" t="array" ref="L684">IF($E684&lt;7,_xlfn.XLOOKUP($D684&amp;$E684,$D$155:$D$395&amp;$E$155:$E$395,L$155:L$395),"")</f>
        <v>0</v>
      </c>
      <c r="M684" s="84" cm="1">
        <f ca="1" t="array" ref="M684">IF($E684&lt;7,_xlfn.XLOOKUP($D684&amp;$E684,$D$155:$D$395&amp;$E$155:$E$395,M$155:M$395),"")</f>
        <v>0</v>
      </c>
      <c r="N684" s="84" t="s">
        <v>282</v>
      </c>
      <c r="O684" s="84" t="s">
        <v>282</v>
      </c>
      <c r="P684" s="84" t="s">
        <v>282</v>
      </c>
      <c r="Q684" s="84" t="s">
        <v>282</v>
      </c>
      <c r="R684" s="84" t="s">
        <v>282</v>
      </c>
      <c r="S684" s="90">
        <f ca="1" t="shared" si="164"/>
        <v>345</v>
      </c>
      <c r="T684" s="90" cm="1">
        <f ca="1" t="array" ref="T684">IFERROR(SUMPRODUCT(F684:M684,$F$154:$M$154)+IFERROR(N684*SUMPRODUCT(O684:R684,$O$154:$R$154),0),"")</f>
        <v>2280</v>
      </c>
      <c r="V684" s="94" t="str">
        <f t="shared" si="165"/>
        <v/>
      </c>
      <c r="W684" t="str">
        <f ca="1" t="shared" si="162"/>
        <v/>
      </c>
      <c r="X684" s="94" t="str">
        <f t="shared" si="166"/>
        <v>{61,230}</v>
      </c>
      <c r="Y684" s="94" t="str">
        <f t="shared" si="167"/>
        <v/>
      </c>
      <c r="Z684" s="94" t="str">
        <f ca="1" t="shared" si="168"/>
        <v/>
      </c>
      <c r="AA684" s="94" t="str">
        <f ca="1" t="shared" si="169"/>
        <v/>
      </c>
      <c r="AB684" s="94" t="str">
        <f t="shared" si="170"/>
        <v>{6030001,4}</v>
      </c>
      <c r="AE684" s="94" t="str">
        <f t="shared" si="171"/>
        <v>{2,1250}</v>
      </c>
      <c r="AH684" t="str">
        <f ca="1" t="shared" si="163"/>
        <v>[{61,230},{6030001,4},{2,1250}]</v>
      </c>
    </row>
    <row r="685" spans="4:34">
      <c r="D685" s="81" t="str">
        <f ca="1" t="shared" si="175"/>
        <v>非凡Ⅰ</v>
      </c>
      <c r="E685" s="84">
        <f t="shared" si="176"/>
        <v>2</v>
      </c>
      <c r="F685" s="84">
        <f>F677+5</f>
        <v>230</v>
      </c>
      <c r="G685" s="84">
        <f>G677+5</f>
        <v>250</v>
      </c>
      <c r="H685" s="84"/>
      <c r="I685" s="84">
        <f t="shared" si="174"/>
        <v>1250</v>
      </c>
      <c r="J685" s="84" cm="1">
        <f ca="1" t="array" ref="J685">IF($E685&lt;7,_xlfn.XLOOKUP($D685&amp;$E685,$D$155:$D$395&amp;$E$155:$E$395,J$155:J$395),"")</f>
        <v>0</v>
      </c>
      <c r="K685" s="84" cm="1">
        <f ca="1" t="array" ref="K685">IF($E685&lt;7,_xlfn.XLOOKUP($D685&amp;$E685,$D$155:$D$395&amp;$E$155:$E$395,K$155:K$395),"")</f>
        <v>0</v>
      </c>
      <c r="L685" s="84" cm="1">
        <f ca="1" t="array" ref="L685">IF($E685&lt;7,_xlfn.XLOOKUP($D685&amp;$E685,$D$155:$D$395&amp;$E$155:$E$395,L$155:L$395),"")</f>
        <v>0</v>
      </c>
      <c r="M685" s="84" cm="1">
        <f ca="1" t="array" ref="M685">IF($E685&lt;7,_xlfn.XLOOKUP($D685&amp;$E685,$D$155:$D$395&amp;$E$155:$E$395,M$155:M$395),"")</f>
        <v>0</v>
      </c>
      <c r="N685" s="84" t="s">
        <v>282</v>
      </c>
      <c r="O685" s="84" t="s">
        <v>282</v>
      </c>
      <c r="P685" s="84" t="s">
        <v>282</v>
      </c>
      <c r="Q685" s="84" t="s">
        <v>282</v>
      </c>
      <c r="R685" s="84" t="s">
        <v>282</v>
      </c>
      <c r="S685" s="90">
        <f ca="1" t="shared" si="164"/>
        <v>345</v>
      </c>
      <c r="T685" s="90" cm="1">
        <f ca="1" t="array" ref="T685">IFERROR(SUMPRODUCT(F685:M685,$F$154:$M$154)+IFERROR(N685*SUMPRODUCT(O685:R685,$O$154:$R$154),0),"")</f>
        <v>1730</v>
      </c>
      <c r="V685" s="94" t="str">
        <f t="shared" si="165"/>
        <v/>
      </c>
      <c r="W685" t="str">
        <f ca="1" t="shared" si="162"/>
        <v/>
      </c>
      <c r="X685" s="94" t="str">
        <f t="shared" si="166"/>
        <v>{61,230}</v>
      </c>
      <c r="Y685" s="94" t="str">
        <f t="shared" si="167"/>
        <v>{63,250}</v>
      </c>
      <c r="Z685" s="94" t="str">
        <f ca="1" t="shared" si="168"/>
        <v/>
      </c>
      <c r="AA685" s="94" t="str">
        <f ca="1" t="shared" si="169"/>
        <v/>
      </c>
      <c r="AB685" s="94" t="str">
        <f ca="1" t="shared" si="170"/>
        <v/>
      </c>
      <c r="AE685" s="94" t="str">
        <f t="shared" si="171"/>
        <v>{2,1250}</v>
      </c>
      <c r="AH685" t="str">
        <f ca="1" t="shared" si="163"/>
        <v>[{61,230},{63,250},{2,1250}]</v>
      </c>
    </row>
    <row r="686" spans="4:34">
      <c r="D686" s="81" t="str">
        <f ca="1" t="shared" si="175"/>
        <v>非凡Ⅰ</v>
      </c>
      <c r="E686" s="84">
        <f t="shared" si="176"/>
        <v>3</v>
      </c>
      <c r="F686" s="84">
        <f>F678+5</f>
        <v>230</v>
      </c>
      <c r="G686" s="84"/>
      <c r="H686" s="84"/>
      <c r="I686" s="84">
        <f t="shared" si="174"/>
        <v>1250</v>
      </c>
      <c r="J686" s="84">
        <v>5</v>
      </c>
      <c r="K686" s="84"/>
      <c r="L686" s="84" cm="1">
        <f ca="1" t="array" ref="L686">IF($E686&lt;7,_xlfn.XLOOKUP($D686&amp;$E686,$D$155:$D$395&amp;$E$155:$E$395,L$155:L$395),"")</f>
        <v>0</v>
      </c>
      <c r="M686" s="84" cm="1">
        <f ca="1" t="array" ref="M686">IF($E686&lt;7,_xlfn.XLOOKUP($D686&amp;$E686,$D$155:$D$395&amp;$E$155:$E$395,M$155:M$395),"")</f>
        <v>0</v>
      </c>
      <c r="N686" s="84" t="s">
        <v>282</v>
      </c>
      <c r="O686" s="84" t="s">
        <v>282</v>
      </c>
      <c r="P686" s="84" t="s">
        <v>282</v>
      </c>
      <c r="Q686" s="84" t="s">
        <v>282</v>
      </c>
      <c r="R686" s="84" t="s">
        <v>282</v>
      </c>
      <c r="S686" s="90">
        <f ca="1" t="shared" si="164"/>
        <v>345</v>
      </c>
      <c r="T686" s="90" cm="1">
        <f ca="1" t="array" ref="T686">IFERROR(SUMPRODUCT(F686:M686,$F$154:$M$154)+IFERROR(N686*SUMPRODUCT(O686:R686,$O$154:$R$154),0),"")</f>
        <v>2480</v>
      </c>
      <c r="V686" s="94" t="str">
        <f t="shared" si="165"/>
        <v/>
      </c>
      <c r="W686" t="str">
        <f ca="1" t="shared" si="162"/>
        <v/>
      </c>
      <c r="X686" s="94" t="str">
        <f t="shared" si="166"/>
        <v>{61,230}</v>
      </c>
      <c r="Y686" s="94" t="str">
        <f t="shared" si="167"/>
        <v/>
      </c>
      <c r="Z686" s="94" t="str">
        <f ca="1" t="shared" si="168"/>
        <v/>
      </c>
      <c r="AA686" s="94" t="str">
        <f t="shared" si="169"/>
        <v/>
      </c>
      <c r="AB686" s="94" t="str">
        <f t="shared" si="170"/>
        <v>{6030001,5}</v>
      </c>
      <c r="AE686" s="94" t="str">
        <f t="shared" si="171"/>
        <v>{2,1250}</v>
      </c>
      <c r="AH686" t="str">
        <f ca="1" t="shared" si="163"/>
        <v>[{61,230},{6030001,5},{2,1250}]</v>
      </c>
    </row>
    <row r="687" spans="4:34">
      <c r="D687" s="81" t="str">
        <f ca="1" t="shared" si="175"/>
        <v>非凡Ⅰ</v>
      </c>
      <c r="E687" s="84">
        <f t="shared" si="176"/>
        <v>4</v>
      </c>
      <c r="F687" s="84">
        <f>CEILING(F688*1.25,5)</f>
        <v>365</v>
      </c>
      <c r="G687" s="84">
        <f>CEILING(G685*1.5,5)</f>
        <v>375</v>
      </c>
      <c r="H687" s="84"/>
      <c r="I687" s="84">
        <f t="shared" si="174"/>
        <v>1250</v>
      </c>
      <c r="J687" s="84" cm="1">
        <f ca="1" t="array" ref="J687">IF($E687&lt;7,_xlfn.XLOOKUP($D687&amp;$E687,$D$155:$D$395&amp;$E$155:$E$395,J$155:J$395),"")</f>
        <v>0</v>
      </c>
      <c r="K687" s="84" cm="1">
        <f ca="1" t="array" ref="K687">IF($E687&lt;7,_xlfn.XLOOKUP($D687&amp;$E687,$D$155:$D$395&amp;$E$155:$E$395,K$155:K$395),"")</f>
        <v>0</v>
      </c>
      <c r="L687" s="84" cm="1">
        <f ca="1" t="array" ref="L687">IF($E687&lt;7,_xlfn.XLOOKUP($D687&amp;$E687,$D$155:$D$395&amp;$E$155:$E$395,L$155:L$395),"")</f>
        <v>0</v>
      </c>
      <c r="M687" s="84" cm="1">
        <f ca="1" t="array" ref="M687">IF($E687&lt;7,_xlfn.XLOOKUP($D687&amp;$E687,$D$155:$D$395&amp;$E$155:$E$395,M$155:M$395),"")</f>
        <v>0</v>
      </c>
      <c r="N687" s="84" t="s">
        <v>282</v>
      </c>
      <c r="O687" s="84" t="s">
        <v>282</v>
      </c>
      <c r="P687" s="84" t="s">
        <v>282</v>
      </c>
      <c r="Q687" s="84" t="s">
        <v>282</v>
      </c>
      <c r="R687" s="84" t="s">
        <v>282</v>
      </c>
      <c r="S687" s="90">
        <f ca="1" t="shared" si="164"/>
        <v>345</v>
      </c>
      <c r="T687" s="90" cm="1">
        <f ca="1" t="array" ref="T687">IFERROR(SUMPRODUCT(F687:M687,$F$154:$M$154)+IFERROR(N687*SUMPRODUCT(O687:R687,$O$154:$R$154),0),"")</f>
        <v>1990</v>
      </c>
      <c r="V687" s="94" t="str">
        <f t="shared" si="165"/>
        <v/>
      </c>
      <c r="W687" t="str">
        <f ca="1" t="shared" si="162"/>
        <v/>
      </c>
      <c r="X687" s="94" t="str">
        <f t="shared" si="166"/>
        <v>{61,365}</v>
      </c>
      <c r="Y687" s="94" t="str">
        <f t="shared" si="167"/>
        <v>{63,375}</v>
      </c>
      <c r="Z687" s="94" t="str">
        <f ca="1" t="shared" si="168"/>
        <v/>
      </c>
      <c r="AA687" s="94" t="str">
        <f ca="1" t="shared" si="169"/>
        <v/>
      </c>
      <c r="AB687" s="94" t="str">
        <f ca="1" t="shared" si="170"/>
        <v/>
      </c>
      <c r="AE687" s="94" t="str">
        <f t="shared" si="171"/>
        <v>{2,1250}</v>
      </c>
      <c r="AH687" t="str">
        <f ca="1" t="shared" si="163"/>
        <v>[{61,365},{63,375},{2,1250}]</v>
      </c>
    </row>
    <row r="688" spans="4:34">
      <c r="D688" s="81" t="str">
        <f ca="1" t="shared" si="175"/>
        <v>非凡Ⅰ</v>
      </c>
      <c r="E688" s="84">
        <f t="shared" si="176"/>
        <v>5</v>
      </c>
      <c r="F688" s="84">
        <f>CEILING(F684*1.25,5)</f>
        <v>290</v>
      </c>
      <c r="G688" s="84"/>
      <c r="H688" s="84"/>
      <c r="I688" s="84">
        <f t="shared" si="174"/>
        <v>1250</v>
      </c>
      <c r="J688" s="84" cm="1">
        <f ca="1" t="array" ref="J688">IF($E688&lt;7,_xlfn.XLOOKUP($D688&amp;$E688,$D$155:$D$395&amp;$E$155:$E$395,J$155:J$395),"")</f>
        <v>0</v>
      </c>
      <c r="K688" s="84">
        <v>6</v>
      </c>
      <c r="L688" s="84"/>
      <c r="M688" s="84" cm="1">
        <f ca="1" t="array" ref="M688">IF($E688&lt;7,_xlfn.XLOOKUP($D688&amp;$E688,$D$155:$D$395&amp;$E$155:$E$395,M$155:M$395),"")</f>
        <v>0</v>
      </c>
      <c r="N688" s="84" t="s">
        <v>282</v>
      </c>
      <c r="O688" s="84" t="s">
        <v>282</v>
      </c>
      <c r="P688" s="84" t="s">
        <v>282</v>
      </c>
      <c r="Q688" s="84" t="s">
        <v>282</v>
      </c>
      <c r="R688" s="84" t="s">
        <v>282</v>
      </c>
      <c r="S688" s="90">
        <f ca="1" t="shared" si="164"/>
        <v>345</v>
      </c>
      <c r="T688" s="90" cm="1">
        <f ca="1" t="array" ref="T688">IFERROR(SUMPRODUCT(F688:M688,$F$154:$M$154)+IFERROR(N688*SUMPRODUCT(O688:R688,$O$154:$R$154),0),"")</f>
        <v>3940</v>
      </c>
      <c r="V688" s="94" t="str">
        <f t="shared" si="165"/>
        <v/>
      </c>
      <c r="W688" t="str">
        <f ca="1" t="shared" si="162"/>
        <v/>
      </c>
      <c r="X688" s="94" t="str">
        <f t="shared" si="166"/>
        <v>{61,290}</v>
      </c>
      <c r="Y688" s="94" t="str">
        <f t="shared" si="167"/>
        <v/>
      </c>
      <c r="Z688" s="94" t="str">
        <f t="shared" si="168"/>
        <v/>
      </c>
      <c r="AA688" s="94" t="str">
        <f t="shared" si="169"/>
        <v>{6030002,6}</v>
      </c>
      <c r="AB688" s="94" t="str">
        <f ca="1" t="shared" si="170"/>
        <v/>
      </c>
      <c r="AE688" s="94" t="str">
        <f t="shared" si="171"/>
        <v>{2,1250}</v>
      </c>
      <c r="AH688" t="str">
        <f ca="1" t="shared" si="163"/>
        <v>[{61,290},{6030002,6},{2,1250}]</v>
      </c>
    </row>
    <row r="689" spans="4:34">
      <c r="D689" s="81" t="str">
        <f ca="1" t="shared" si="175"/>
        <v>非凡Ⅰ</v>
      </c>
      <c r="E689" s="84">
        <f t="shared" si="176"/>
        <v>6</v>
      </c>
      <c r="F689" s="84">
        <f>CEILING(F685*1.25,5)</f>
        <v>290</v>
      </c>
      <c r="G689" s="84">
        <f>G687</f>
        <v>375</v>
      </c>
      <c r="H689" s="84"/>
      <c r="I689" s="84">
        <f t="shared" si="174"/>
        <v>1250</v>
      </c>
      <c r="J689" s="84" cm="1">
        <f ca="1" t="array" ref="J689">IF($E689&lt;7,_xlfn.XLOOKUP($D689&amp;$E689,$D$155:$D$395&amp;$E$155:$E$395,J$155:J$395),"")</f>
        <v>0</v>
      </c>
      <c r="K689" s="84" cm="1">
        <f ca="1" t="array" ref="K689">IF($E689&lt;7,_xlfn.XLOOKUP($D689&amp;$E689,$D$155:$D$395&amp;$E$155:$E$395,K$155:K$395),"")</f>
        <v>0</v>
      </c>
      <c r="L689" s="84" cm="1">
        <f ca="1" t="array" ref="L689">IF($E689&lt;7,_xlfn.XLOOKUP($D689&amp;$E689,$D$155:$D$395&amp;$E$155:$E$395,L$155:L$395),"")</f>
        <v>0</v>
      </c>
      <c r="M689" s="84" cm="1">
        <f ca="1" t="array" ref="M689">IF($E689&lt;7,_xlfn.XLOOKUP($D689&amp;$E689,$D$155:$D$395&amp;$E$155:$E$395,M$155:M$395),"")</f>
        <v>0</v>
      </c>
      <c r="N689" s="84" t="s">
        <v>282</v>
      </c>
      <c r="O689" s="84" t="s">
        <v>282</v>
      </c>
      <c r="P689" s="84" t="s">
        <v>282</v>
      </c>
      <c r="Q689" s="84" t="s">
        <v>282</v>
      </c>
      <c r="R689" s="84" t="s">
        <v>282</v>
      </c>
      <c r="S689" s="90">
        <f ca="1" t="shared" si="164"/>
        <v>345</v>
      </c>
      <c r="T689" s="90" cm="1">
        <f ca="1" t="array" ref="T689">IFERROR(SUMPRODUCT(F689:M689,$F$154:$M$154)+IFERROR(N689*SUMPRODUCT(O689:R689,$O$154:$R$154),0),"")</f>
        <v>1915</v>
      </c>
      <c r="V689" s="94" t="str">
        <f t="shared" si="165"/>
        <v/>
      </c>
      <c r="W689" t="str">
        <f ca="1" t="shared" si="162"/>
        <v/>
      </c>
      <c r="X689" s="94" t="str">
        <f t="shared" si="166"/>
        <v>{61,290}</v>
      </c>
      <c r="Y689" s="94" t="str">
        <f t="shared" si="167"/>
        <v>{63,375}</v>
      </c>
      <c r="Z689" s="94" t="str">
        <f ca="1" t="shared" si="168"/>
        <v/>
      </c>
      <c r="AA689" s="94" t="str">
        <f ca="1" t="shared" si="169"/>
        <v/>
      </c>
      <c r="AB689" s="94" t="str">
        <f ca="1" t="shared" si="170"/>
        <v/>
      </c>
      <c r="AE689" s="94" t="str">
        <f t="shared" si="171"/>
        <v>{2,1250}</v>
      </c>
      <c r="AH689" t="str">
        <f ca="1" t="shared" si="163"/>
        <v>[{61,290},{63,375},{2,1250}]</v>
      </c>
    </row>
    <row r="690" spans="4:34">
      <c r="D690" s="81" t="str">
        <f ca="1" t="shared" si="175"/>
        <v>非凡Ⅰ</v>
      </c>
      <c r="E690" s="84">
        <f t="shared" si="176"/>
        <v>7</v>
      </c>
      <c r="F690" s="84">
        <f>CEILING(F686*1.25,5)</f>
        <v>290</v>
      </c>
      <c r="G690" s="84"/>
      <c r="H690" s="84"/>
      <c r="I690" s="84">
        <f t="shared" si="174"/>
        <v>1250</v>
      </c>
      <c r="J690" s="84" t="str" cm="1">
        <f ca="1" t="array" ref="J690">IF($E690&lt;7,_xlfn.XLOOKUP($D690&amp;$E690,$D$155:$D$395&amp;$E$155:$E$395,J$155:J$395),"")</f>
        <v/>
      </c>
      <c r="K690" s="84" t="str" cm="1">
        <f ca="1" t="array" ref="K690">IF($E690&lt;7,_xlfn.XLOOKUP($D690&amp;$E690,$D$155:$D$395&amp;$E$155:$E$395,K$155:K$395),"")</f>
        <v/>
      </c>
      <c r="L690" s="84">
        <v>5</v>
      </c>
      <c r="M690" s="84" t="str" cm="1">
        <f ca="1" t="array" ref="M690">IF($E690&lt;7,_xlfn.XLOOKUP($D690&amp;$E690,$D$155:$D$395&amp;$E$155:$E$395,M$155:M$395),"")</f>
        <v/>
      </c>
      <c r="N690" s="84" t="s">
        <v>282</v>
      </c>
      <c r="O690" s="84" t="s">
        <v>282</v>
      </c>
      <c r="P690" s="84" t="s">
        <v>282</v>
      </c>
      <c r="Q690" s="84" t="s">
        <v>282</v>
      </c>
      <c r="R690" s="84" t="s">
        <v>282</v>
      </c>
      <c r="S690" s="90">
        <f ca="1" t="shared" si="164"/>
        <v>345</v>
      </c>
      <c r="T690" s="90" cm="1">
        <f ca="1" t="array" ref="T690">IFERROR(SUMPRODUCT(F690:M690,$F$154:$M$154)+IFERROR(N690*SUMPRODUCT(O690:R690,$O$154:$R$154),0),"")</f>
        <v>5540</v>
      </c>
      <c r="V690" s="94" t="str">
        <f t="shared" si="165"/>
        <v/>
      </c>
      <c r="W690" t="str">
        <f ca="1" t="shared" si="162"/>
        <v/>
      </c>
      <c r="X690" s="94" t="str">
        <f t="shared" si="166"/>
        <v>{61,290}</v>
      </c>
      <c r="Y690" s="94" t="str">
        <f t="shared" si="167"/>
        <v/>
      </c>
      <c r="Z690" s="94" t="str">
        <f t="shared" si="168"/>
        <v>{6030003,5}</v>
      </c>
      <c r="AA690" s="94" t="str">
        <f ca="1" t="shared" si="169"/>
        <v/>
      </c>
      <c r="AB690" s="94" t="str">
        <f ca="1" t="shared" si="170"/>
        <v/>
      </c>
      <c r="AE690" s="94" t="str">
        <f t="shared" si="171"/>
        <v>{2,1250}</v>
      </c>
      <c r="AH690" t="str">
        <f ca="1" t="shared" si="163"/>
        <v>[{61,290},{6030003,5},{2,1250}]</v>
      </c>
    </row>
    <row r="691" spans="4:34">
      <c r="D691" s="81" t="str">
        <f ca="1" t="shared" si="175"/>
        <v>非凡Ⅰ</v>
      </c>
      <c r="E691" s="84">
        <f t="shared" si="176"/>
        <v>8</v>
      </c>
      <c r="F691" s="84">
        <f>CEILING(F690*1.5,5)</f>
        <v>435</v>
      </c>
      <c r="G691" s="84">
        <f>CEILING(G689*1.5,5)</f>
        <v>565</v>
      </c>
      <c r="H691" s="84">
        <f>1</f>
        <v>1</v>
      </c>
      <c r="I691" s="84">
        <f t="shared" si="174"/>
        <v>1250</v>
      </c>
      <c r="J691" s="84" t="str" cm="1">
        <f ca="1" t="array" ref="J691">IF($E691&lt;7,_xlfn.XLOOKUP($D691&amp;$E691,$D$155:$D$395&amp;$E$155:$E$395,J$155:J$395),"")</f>
        <v/>
      </c>
      <c r="K691" s="84" t="str" cm="1">
        <f ca="1" t="array" ref="K691">IF($E691&lt;7,_xlfn.XLOOKUP($D691&amp;$E691,$D$155:$D$395&amp;$E$155:$E$395,K$155:K$395),"")</f>
        <v/>
      </c>
      <c r="L691" s="84" t="str" cm="1">
        <f ca="1" t="array" ref="L691">IF($E691&lt;7,_xlfn.XLOOKUP($D691&amp;$E691,$D$155:$D$395&amp;$E$155:$E$395,L$155:L$395),"")</f>
        <v/>
      </c>
      <c r="M691" s="84" t="str" cm="1">
        <f ca="1" t="array" ref="M691">IF($E691&lt;7,_xlfn.XLOOKUP($D691&amp;$E691,$D$155:$D$395&amp;$E$155:$E$395,M$155:M$395),"")</f>
        <v/>
      </c>
      <c r="N691" s="84">
        <v>8</v>
      </c>
      <c r="O691" s="84">
        <v>0</v>
      </c>
      <c r="P691" s="84">
        <v>0</v>
      </c>
      <c r="Q691" s="84">
        <v>0.52</v>
      </c>
      <c r="R691" s="84">
        <v>0.48</v>
      </c>
      <c r="S691" s="90">
        <f ca="1" t="shared" si="164"/>
        <v>345</v>
      </c>
      <c r="T691" s="90" cm="1">
        <f ca="1" t="array" ref="T691">IFERROR(SUMPRODUCT(F691:M691,$F$154:$M$154)+IFERROR(N691*SUMPRODUCT(O691:R691,$O$154:$R$154),0),"")</f>
        <v>11872</v>
      </c>
      <c r="V691" s="94" t="str">
        <f t="shared" si="165"/>
        <v>{62,1}</v>
      </c>
      <c r="W691" t="str">
        <f ca="1" t="shared" si="162"/>
        <v>{6020031,8}</v>
      </c>
      <c r="X691" s="94" t="str">
        <f t="shared" si="166"/>
        <v>{61,435}</v>
      </c>
      <c r="Y691" s="94" t="str">
        <f t="shared" si="167"/>
        <v>{63,565}</v>
      </c>
      <c r="Z691" s="94" t="str">
        <f ca="1" t="shared" si="168"/>
        <v/>
      </c>
      <c r="AA691" s="94" t="str">
        <f ca="1" t="shared" si="169"/>
        <v/>
      </c>
      <c r="AB691" s="94" t="str">
        <f ca="1" t="shared" si="170"/>
        <v/>
      </c>
      <c r="AE691" s="94" t="str">
        <f t="shared" si="171"/>
        <v>{2,1250}</v>
      </c>
      <c r="AH691" t="str">
        <f ca="1" t="shared" si="163"/>
        <v>[{62,1},{6020031,8},{61,435},{63,565},{2,1250}]</v>
      </c>
    </row>
    <row r="692" spans="4:34">
      <c r="D692" s="81" t="str">
        <f ca="1" t="shared" si="175"/>
        <v>非凡Ⅱ</v>
      </c>
      <c r="E692" s="84">
        <f t="shared" si="176"/>
        <v>1</v>
      </c>
      <c r="F692" s="84">
        <f>F684+5</f>
        <v>235</v>
      </c>
      <c r="G692" s="84"/>
      <c r="H692" s="84"/>
      <c r="I692" s="84">
        <f t="shared" si="174"/>
        <v>1275</v>
      </c>
      <c r="J692" s="84">
        <v>4</v>
      </c>
      <c r="K692" s="84" cm="1">
        <f ca="1" t="array" ref="K692">IF($E692&lt;7,_xlfn.XLOOKUP($D692&amp;$E692,$D$155:$D$395&amp;$E$155:$E$395,K$155:K$395),"")</f>
        <v>0</v>
      </c>
      <c r="L692" s="84" cm="1">
        <f ca="1" t="array" ref="L692">IF($E692&lt;7,_xlfn.XLOOKUP($D692&amp;$E692,$D$155:$D$395&amp;$E$155:$E$395,L$155:L$395),"")</f>
        <v>0</v>
      </c>
      <c r="M692" s="84" cm="1">
        <f ca="1" t="array" ref="M692">IF($E692&lt;7,_xlfn.XLOOKUP($D692&amp;$E692,$D$155:$D$395&amp;$E$155:$E$395,M$155:M$395),"")</f>
        <v>0</v>
      </c>
      <c r="N692" s="84" t="s">
        <v>282</v>
      </c>
      <c r="O692" s="84" t="s">
        <v>282</v>
      </c>
      <c r="P692" s="84" t="s">
        <v>282</v>
      </c>
      <c r="Q692" s="84" t="s">
        <v>282</v>
      </c>
      <c r="R692" s="84" t="s">
        <v>282</v>
      </c>
      <c r="S692" s="90">
        <f ca="1" t="shared" si="164"/>
        <v>355</v>
      </c>
      <c r="T692" s="90" cm="1">
        <f ca="1" t="array" ref="T692">IFERROR(SUMPRODUCT(F692:M692,$F$154:$M$154)+IFERROR(N692*SUMPRODUCT(O692:R692,$O$154:$R$154),0),"")</f>
        <v>2310</v>
      </c>
      <c r="V692" s="94" t="str">
        <f t="shared" si="165"/>
        <v/>
      </c>
      <c r="W692" t="str">
        <f ca="1" t="shared" si="162"/>
        <v/>
      </c>
      <c r="X692" s="94" t="str">
        <f t="shared" si="166"/>
        <v>{61,235}</v>
      </c>
      <c r="Y692" s="94" t="str">
        <f t="shared" si="167"/>
        <v/>
      </c>
      <c r="Z692" s="94" t="str">
        <f ca="1" t="shared" si="168"/>
        <v/>
      </c>
      <c r="AA692" s="94" t="str">
        <f ca="1" t="shared" si="169"/>
        <v/>
      </c>
      <c r="AB692" s="94" t="str">
        <f t="shared" si="170"/>
        <v>{6030001,4}</v>
      </c>
      <c r="AE692" s="94" t="str">
        <f t="shared" si="171"/>
        <v>{2,1275}</v>
      </c>
      <c r="AH692" t="str">
        <f ca="1" t="shared" si="163"/>
        <v>[{61,235},{6030001,4},{2,1275}]</v>
      </c>
    </row>
    <row r="693" spans="4:34">
      <c r="D693" s="81" t="str">
        <f ca="1" t="shared" si="175"/>
        <v>非凡Ⅱ</v>
      </c>
      <c r="E693" s="84">
        <f t="shared" si="176"/>
        <v>2</v>
      </c>
      <c r="F693" s="84">
        <f>F685+5</f>
        <v>235</v>
      </c>
      <c r="G693" s="84">
        <f>G685+5</f>
        <v>255</v>
      </c>
      <c r="H693" s="84"/>
      <c r="I693" s="84">
        <f t="shared" si="174"/>
        <v>1275</v>
      </c>
      <c r="J693" s="84" cm="1">
        <f ca="1" t="array" ref="J693">IF($E693&lt;7,_xlfn.XLOOKUP($D693&amp;$E693,$D$155:$D$395&amp;$E$155:$E$395,J$155:J$395),"")</f>
        <v>0</v>
      </c>
      <c r="K693" s="84" cm="1">
        <f ca="1" t="array" ref="K693">IF($E693&lt;7,_xlfn.XLOOKUP($D693&amp;$E693,$D$155:$D$395&amp;$E$155:$E$395,K$155:K$395),"")</f>
        <v>0</v>
      </c>
      <c r="L693" s="84" cm="1">
        <f ca="1" t="array" ref="L693">IF($E693&lt;7,_xlfn.XLOOKUP($D693&amp;$E693,$D$155:$D$395&amp;$E$155:$E$395,L$155:L$395),"")</f>
        <v>0</v>
      </c>
      <c r="M693" s="84" cm="1">
        <f ca="1" t="array" ref="M693">IF($E693&lt;7,_xlfn.XLOOKUP($D693&amp;$E693,$D$155:$D$395&amp;$E$155:$E$395,M$155:M$395),"")</f>
        <v>0</v>
      </c>
      <c r="N693" s="84" t="s">
        <v>282</v>
      </c>
      <c r="O693" s="84" t="s">
        <v>282</v>
      </c>
      <c r="P693" s="84" t="s">
        <v>282</v>
      </c>
      <c r="Q693" s="84" t="s">
        <v>282</v>
      </c>
      <c r="R693" s="84" t="s">
        <v>282</v>
      </c>
      <c r="S693" s="90">
        <f ca="1" t="shared" si="164"/>
        <v>355</v>
      </c>
      <c r="T693" s="90" cm="1">
        <f ca="1" t="array" ref="T693">IFERROR(SUMPRODUCT(F693:M693,$F$154:$M$154)+IFERROR(N693*SUMPRODUCT(O693:R693,$O$154:$R$154),0),"")</f>
        <v>1765</v>
      </c>
      <c r="V693" s="94" t="str">
        <f t="shared" si="165"/>
        <v/>
      </c>
      <c r="W693" t="str">
        <f ca="1" t="shared" si="162"/>
        <v/>
      </c>
      <c r="X693" s="94" t="str">
        <f t="shared" si="166"/>
        <v>{61,235}</v>
      </c>
      <c r="Y693" s="94" t="str">
        <f t="shared" si="167"/>
        <v>{63,255}</v>
      </c>
      <c r="Z693" s="94" t="str">
        <f ca="1" t="shared" si="168"/>
        <v/>
      </c>
      <c r="AA693" s="94" t="str">
        <f ca="1" t="shared" si="169"/>
        <v/>
      </c>
      <c r="AB693" s="94" t="str">
        <f ca="1" t="shared" si="170"/>
        <v/>
      </c>
      <c r="AE693" s="94" t="str">
        <f t="shared" si="171"/>
        <v>{2,1275}</v>
      </c>
      <c r="AH693" t="str">
        <f ca="1" t="shared" si="163"/>
        <v>[{61,235},{63,255},{2,1275}]</v>
      </c>
    </row>
    <row r="694" spans="4:34">
      <c r="D694" s="81" t="str">
        <f ca="1" t="shared" si="175"/>
        <v>非凡Ⅱ</v>
      </c>
      <c r="E694" s="84">
        <f t="shared" si="176"/>
        <v>3</v>
      </c>
      <c r="F694" s="84">
        <f>F686+5</f>
        <v>235</v>
      </c>
      <c r="G694" s="84"/>
      <c r="H694" s="84"/>
      <c r="I694" s="84">
        <f t="shared" si="174"/>
        <v>1275</v>
      </c>
      <c r="J694" s="84">
        <v>5</v>
      </c>
      <c r="K694" s="84"/>
      <c r="L694" s="84" cm="1">
        <f ca="1" t="array" ref="L694">IF($E694&lt;7,_xlfn.XLOOKUP($D694&amp;$E694,$D$155:$D$395&amp;$E$155:$E$395,L$155:L$395),"")</f>
        <v>0</v>
      </c>
      <c r="M694" s="84" cm="1">
        <f ca="1" t="array" ref="M694">IF($E694&lt;7,_xlfn.XLOOKUP($D694&amp;$E694,$D$155:$D$395&amp;$E$155:$E$395,M$155:M$395),"")</f>
        <v>0</v>
      </c>
      <c r="N694" s="84" t="s">
        <v>282</v>
      </c>
      <c r="O694" s="84" t="s">
        <v>282</v>
      </c>
      <c r="P694" s="84" t="s">
        <v>282</v>
      </c>
      <c r="Q694" s="84" t="s">
        <v>282</v>
      </c>
      <c r="R694" s="84" t="s">
        <v>282</v>
      </c>
      <c r="S694" s="90">
        <f ca="1" t="shared" si="164"/>
        <v>355</v>
      </c>
      <c r="T694" s="90" cm="1">
        <f ca="1" t="array" ref="T694">IFERROR(SUMPRODUCT(F694:M694,$F$154:$M$154)+IFERROR(N694*SUMPRODUCT(O694:R694,$O$154:$R$154),0),"")</f>
        <v>2510</v>
      </c>
      <c r="V694" s="94" t="str">
        <f t="shared" si="165"/>
        <v/>
      </c>
      <c r="W694" t="str">
        <f ca="1" t="shared" si="162"/>
        <v/>
      </c>
      <c r="X694" s="94" t="str">
        <f t="shared" si="166"/>
        <v>{61,235}</v>
      </c>
      <c r="Y694" s="94" t="str">
        <f t="shared" si="167"/>
        <v/>
      </c>
      <c r="Z694" s="94" t="str">
        <f ca="1" t="shared" si="168"/>
        <v/>
      </c>
      <c r="AA694" s="94" t="str">
        <f t="shared" si="169"/>
        <v/>
      </c>
      <c r="AB694" s="94" t="str">
        <f t="shared" si="170"/>
        <v>{6030001,5}</v>
      </c>
      <c r="AE694" s="94" t="str">
        <f t="shared" si="171"/>
        <v>{2,1275}</v>
      </c>
      <c r="AH694" t="str">
        <f ca="1" t="shared" si="163"/>
        <v>[{61,235},{6030001,5},{2,1275}]</v>
      </c>
    </row>
    <row r="695" spans="4:34">
      <c r="D695" s="81" t="str">
        <f ca="1" t="shared" si="175"/>
        <v>非凡Ⅱ</v>
      </c>
      <c r="E695" s="84">
        <f t="shared" si="176"/>
        <v>4</v>
      </c>
      <c r="F695" s="84">
        <f>CEILING(F696*1.25,5)</f>
        <v>370</v>
      </c>
      <c r="G695" s="84">
        <f>CEILING(G693*1.5,5)</f>
        <v>385</v>
      </c>
      <c r="H695" s="84"/>
      <c r="I695" s="84">
        <f t="shared" si="174"/>
        <v>1275</v>
      </c>
      <c r="J695" s="84" cm="1">
        <f ca="1" t="array" ref="J695">IF($E695&lt;7,_xlfn.XLOOKUP($D695&amp;$E695,$D$155:$D$395&amp;$E$155:$E$395,J$155:J$395),"")</f>
        <v>0</v>
      </c>
      <c r="K695" s="84" cm="1">
        <f ca="1" t="array" ref="K695">IF($E695&lt;7,_xlfn.XLOOKUP($D695&amp;$E695,$D$155:$D$395&amp;$E$155:$E$395,K$155:K$395),"")</f>
        <v>0</v>
      </c>
      <c r="L695" s="84" cm="1">
        <f ca="1" t="array" ref="L695">IF($E695&lt;7,_xlfn.XLOOKUP($D695&amp;$E695,$D$155:$D$395&amp;$E$155:$E$395,L$155:L$395),"")</f>
        <v>0</v>
      </c>
      <c r="M695" s="84" cm="1">
        <f ca="1" t="array" ref="M695">IF($E695&lt;7,_xlfn.XLOOKUP($D695&amp;$E695,$D$155:$D$395&amp;$E$155:$E$395,M$155:M$395),"")</f>
        <v>0</v>
      </c>
      <c r="N695" s="84" t="s">
        <v>282</v>
      </c>
      <c r="O695" s="84" t="s">
        <v>282</v>
      </c>
      <c r="P695" s="84" t="s">
        <v>282</v>
      </c>
      <c r="Q695" s="84" t="s">
        <v>282</v>
      </c>
      <c r="R695" s="84" t="s">
        <v>282</v>
      </c>
      <c r="S695" s="90">
        <f ca="1" t="shared" si="164"/>
        <v>355</v>
      </c>
      <c r="T695" s="90" cm="1">
        <f ca="1" t="array" ref="T695">IFERROR(SUMPRODUCT(F695:M695,$F$154:$M$154)+IFERROR(N695*SUMPRODUCT(O695:R695,$O$154:$R$154),0),"")</f>
        <v>2030</v>
      </c>
      <c r="V695" s="94" t="str">
        <f t="shared" si="165"/>
        <v/>
      </c>
      <c r="W695" t="str">
        <f ca="1" t="shared" si="162"/>
        <v/>
      </c>
      <c r="X695" s="94" t="str">
        <f t="shared" si="166"/>
        <v>{61,370}</v>
      </c>
      <c r="Y695" s="94" t="str">
        <f t="shared" si="167"/>
        <v>{63,385}</v>
      </c>
      <c r="Z695" s="94" t="str">
        <f ca="1" t="shared" si="168"/>
        <v/>
      </c>
      <c r="AA695" s="94" t="str">
        <f ca="1" t="shared" si="169"/>
        <v/>
      </c>
      <c r="AB695" s="94" t="str">
        <f ca="1" t="shared" si="170"/>
        <v/>
      </c>
      <c r="AE695" s="94" t="str">
        <f t="shared" si="171"/>
        <v>{2,1275}</v>
      </c>
      <c r="AH695" t="str">
        <f ca="1" t="shared" si="163"/>
        <v>[{61,370},{63,385},{2,1275}]</v>
      </c>
    </row>
    <row r="696" spans="4:34">
      <c r="D696" s="81" t="str">
        <f ca="1" t="shared" si="175"/>
        <v>非凡Ⅱ</v>
      </c>
      <c r="E696" s="84">
        <f t="shared" si="176"/>
        <v>5</v>
      </c>
      <c r="F696" s="84">
        <f>CEILING(F692*1.25,5)</f>
        <v>295</v>
      </c>
      <c r="G696" s="84"/>
      <c r="H696" s="84"/>
      <c r="I696" s="84">
        <f t="shared" si="174"/>
        <v>1275</v>
      </c>
      <c r="J696" s="84" cm="1">
        <f ca="1" t="array" ref="J696">IF($E696&lt;7,_xlfn.XLOOKUP($D696&amp;$E696,$D$155:$D$395&amp;$E$155:$E$395,J$155:J$395),"")</f>
        <v>0</v>
      </c>
      <c r="K696" s="84">
        <v>6</v>
      </c>
      <c r="L696" s="84"/>
      <c r="M696" s="84" cm="1">
        <f ca="1" t="array" ref="M696">IF($E696&lt;7,_xlfn.XLOOKUP($D696&amp;$E696,$D$155:$D$395&amp;$E$155:$E$395,M$155:M$395),"")</f>
        <v>0</v>
      </c>
      <c r="N696" s="84" t="s">
        <v>282</v>
      </c>
      <c r="O696" s="84" t="s">
        <v>282</v>
      </c>
      <c r="P696" s="84" t="s">
        <v>282</v>
      </c>
      <c r="Q696" s="84" t="s">
        <v>282</v>
      </c>
      <c r="R696" s="84" t="s">
        <v>282</v>
      </c>
      <c r="S696" s="90">
        <f ca="1" t="shared" si="164"/>
        <v>355</v>
      </c>
      <c r="T696" s="90" cm="1">
        <f ca="1" t="array" ref="T696">IFERROR(SUMPRODUCT(F696:M696,$F$154:$M$154)+IFERROR(N696*SUMPRODUCT(O696:R696,$O$154:$R$154),0),"")</f>
        <v>3970</v>
      </c>
      <c r="V696" s="94" t="str">
        <f t="shared" si="165"/>
        <v/>
      </c>
      <c r="W696" t="str">
        <f ca="1" t="shared" si="162"/>
        <v/>
      </c>
      <c r="X696" s="94" t="str">
        <f t="shared" si="166"/>
        <v>{61,295}</v>
      </c>
      <c r="Y696" s="94" t="str">
        <f t="shared" si="167"/>
        <v/>
      </c>
      <c r="Z696" s="94" t="str">
        <f t="shared" si="168"/>
        <v/>
      </c>
      <c r="AA696" s="94" t="str">
        <f t="shared" si="169"/>
        <v>{6030002,6}</v>
      </c>
      <c r="AB696" s="94" t="str">
        <f ca="1" t="shared" si="170"/>
        <v/>
      </c>
      <c r="AE696" s="94" t="str">
        <f t="shared" si="171"/>
        <v>{2,1275}</v>
      </c>
      <c r="AH696" t="str">
        <f ca="1" t="shared" si="163"/>
        <v>[{61,295},{6030002,6},{2,1275}]</v>
      </c>
    </row>
    <row r="697" spans="4:34">
      <c r="D697" s="81" t="str">
        <f ca="1" t="shared" si="175"/>
        <v>非凡Ⅱ</v>
      </c>
      <c r="E697" s="84">
        <f t="shared" si="176"/>
        <v>6</v>
      </c>
      <c r="F697" s="84">
        <f>CEILING(F693*1.25,5)</f>
        <v>295</v>
      </c>
      <c r="G697" s="84">
        <f>G695</f>
        <v>385</v>
      </c>
      <c r="H697" s="84"/>
      <c r="I697" s="84">
        <f t="shared" si="174"/>
        <v>1275</v>
      </c>
      <c r="J697" s="84" cm="1">
        <f ca="1" t="array" ref="J697">IF($E697&lt;7,_xlfn.XLOOKUP($D697&amp;$E697,$D$155:$D$395&amp;$E$155:$E$395,J$155:J$395),"")</f>
        <v>0</v>
      </c>
      <c r="K697" s="84" cm="1">
        <f ca="1" t="array" ref="K697">IF($E697&lt;7,_xlfn.XLOOKUP($D697&amp;$E697,$D$155:$D$395&amp;$E$155:$E$395,K$155:K$395),"")</f>
        <v>0</v>
      </c>
      <c r="L697" s="84" cm="1">
        <f ca="1" t="array" ref="L697">IF($E697&lt;7,_xlfn.XLOOKUP($D697&amp;$E697,$D$155:$D$395&amp;$E$155:$E$395,L$155:L$395),"")</f>
        <v>0</v>
      </c>
      <c r="M697" s="84" cm="1">
        <f ca="1" t="array" ref="M697">IF($E697&lt;7,_xlfn.XLOOKUP($D697&amp;$E697,$D$155:$D$395&amp;$E$155:$E$395,M$155:M$395),"")</f>
        <v>0</v>
      </c>
      <c r="N697" s="84" t="s">
        <v>282</v>
      </c>
      <c r="O697" s="84" t="s">
        <v>282</v>
      </c>
      <c r="P697" s="84" t="s">
        <v>282</v>
      </c>
      <c r="Q697" s="84" t="s">
        <v>282</v>
      </c>
      <c r="R697" s="84" t="s">
        <v>282</v>
      </c>
      <c r="S697" s="90">
        <f ca="1" t="shared" si="164"/>
        <v>355</v>
      </c>
      <c r="T697" s="90" cm="1">
        <f ca="1" t="array" ref="T697">IFERROR(SUMPRODUCT(F697:M697,$F$154:$M$154)+IFERROR(N697*SUMPRODUCT(O697:R697,$O$154:$R$154),0),"")</f>
        <v>1955</v>
      </c>
      <c r="V697" s="94" t="str">
        <f t="shared" si="165"/>
        <v/>
      </c>
      <c r="W697" t="str">
        <f ca="1" t="shared" si="162"/>
        <v/>
      </c>
      <c r="X697" s="94" t="str">
        <f t="shared" si="166"/>
        <v>{61,295}</v>
      </c>
      <c r="Y697" s="94" t="str">
        <f t="shared" si="167"/>
        <v>{63,385}</v>
      </c>
      <c r="Z697" s="94" t="str">
        <f ca="1" t="shared" si="168"/>
        <v/>
      </c>
      <c r="AA697" s="94" t="str">
        <f ca="1" t="shared" si="169"/>
        <v/>
      </c>
      <c r="AB697" s="94" t="str">
        <f ca="1" t="shared" si="170"/>
        <v/>
      </c>
      <c r="AE697" s="94" t="str">
        <f t="shared" si="171"/>
        <v>{2,1275}</v>
      </c>
      <c r="AH697" t="str">
        <f ca="1" t="shared" si="163"/>
        <v>[{61,295},{63,385},{2,1275}]</v>
      </c>
    </row>
    <row r="698" spans="4:34">
      <c r="D698" s="81" t="str">
        <f ca="1" t="shared" si="175"/>
        <v>非凡Ⅱ</v>
      </c>
      <c r="E698" s="84">
        <f t="shared" si="176"/>
        <v>7</v>
      </c>
      <c r="F698" s="84">
        <f>CEILING(F694*1.25,5)</f>
        <v>295</v>
      </c>
      <c r="G698" s="84"/>
      <c r="H698" s="84"/>
      <c r="I698" s="84">
        <f t="shared" si="174"/>
        <v>1275</v>
      </c>
      <c r="J698" s="84" t="str" cm="1">
        <f ca="1" t="array" ref="J698">IF($E698&lt;7,_xlfn.XLOOKUP($D698&amp;$E698,$D$155:$D$395&amp;$E$155:$E$395,J$155:J$395),"")</f>
        <v/>
      </c>
      <c r="K698" s="84" t="str" cm="1">
        <f ca="1" t="array" ref="K698">IF($E698&lt;7,_xlfn.XLOOKUP($D698&amp;$E698,$D$155:$D$395&amp;$E$155:$E$395,K$155:K$395),"")</f>
        <v/>
      </c>
      <c r="L698" s="84">
        <v>5</v>
      </c>
      <c r="M698" s="84" t="str" cm="1">
        <f ca="1" t="array" ref="M698">IF($E698&lt;7,_xlfn.XLOOKUP($D698&amp;$E698,$D$155:$D$395&amp;$E$155:$E$395,M$155:M$395),"")</f>
        <v/>
      </c>
      <c r="N698" s="84" t="s">
        <v>282</v>
      </c>
      <c r="O698" s="84" t="s">
        <v>282</v>
      </c>
      <c r="P698" s="84" t="s">
        <v>282</v>
      </c>
      <c r="Q698" s="84" t="s">
        <v>282</v>
      </c>
      <c r="R698" s="84" t="s">
        <v>282</v>
      </c>
      <c r="S698" s="90">
        <f ca="1" t="shared" si="164"/>
        <v>355</v>
      </c>
      <c r="T698" s="90" cm="1">
        <f ca="1" t="array" ref="T698">IFERROR(SUMPRODUCT(F698:M698,$F$154:$M$154)+IFERROR(N698*SUMPRODUCT(O698:R698,$O$154:$R$154),0),"")</f>
        <v>5570</v>
      </c>
      <c r="V698" s="94" t="str">
        <f t="shared" si="165"/>
        <v/>
      </c>
      <c r="W698" t="str">
        <f ca="1" t="shared" si="162"/>
        <v/>
      </c>
      <c r="X698" s="94" t="str">
        <f t="shared" si="166"/>
        <v>{61,295}</v>
      </c>
      <c r="Y698" s="94" t="str">
        <f t="shared" si="167"/>
        <v/>
      </c>
      <c r="Z698" s="94" t="str">
        <f t="shared" si="168"/>
        <v>{6030003,5}</v>
      </c>
      <c r="AA698" s="94" t="str">
        <f ca="1" t="shared" si="169"/>
        <v/>
      </c>
      <c r="AB698" s="94" t="str">
        <f ca="1" t="shared" si="170"/>
        <v/>
      </c>
      <c r="AE698" s="94" t="str">
        <f t="shared" si="171"/>
        <v>{2,1275}</v>
      </c>
      <c r="AH698" t="str">
        <f ca="1" t="shared" si="163"/>
        <v>[{61,295},{6030003,5},{2,1275}]</v>
      </c>
    </row>
    <row r="699" spans="4:34">
      <c r="D699" s="81" t="str">
        <f ca="1" t="shared" si="175"/>
        <v>非凡Ⅱ</v>
      </c>
      <c r="E699" s="84">
        <f t="shared" si="176"/>
        <v>8</v>
      </c>
      <c r="F699" s="84">
        <f>CEILING(F698*1.5,5)</f>
        <v>445</v>
      </c>
      <c r="G699" s="84">
        <f>CEILING(G697*1.5,5)</f>
        <v>580</v>
      </c>
      <c r="H699" s="84">
        <f>1</f>
        <v>1</v>
      </c>
      <c r="I699" s="84">
        <f t="shared" si="174"/>
        <v>1275</v>
      </c>
      <c r="J699" s="84" t="str" cm="1">
        <f ca="1" t="array" ref="J699">IF($E699&lt;7,_xlfn.XLOOKUP($D699&amp;$E699,$D$155:$D$395&amp;$E$155:$E$395,J$155:J$395),"")</f>
        <v/>
      </c>
      <c r="K699" s="84" t="str" cm="1">
        <f ca="1" t="array" ref="K699">IF($E699&lt;7,_xlfn.XLOOKUP($D699&amp;$E699,$D$155:$D$395&amp;$E$155:$E$395,K$155:K$395),"")</f>
        <v/>
      </c>
      <c r="L699" s="84" t="str" cm="1">
        <f ca="1" t="array" ref="L699">IF($E699&lt;7,_xlfn.XLOOKUP($D699&amp;$E699,$D$155:$D$395&amp;$E$155:$E$395,L$155:L$395),"")</f>
        <v/>
      </c>
      <c r="M699" s="84" t="str" cm="1">
        <f ca="1" t="array" ref="M699">IF($E699&lt;7,_xlfn.XLOOKUP($D699&amp;$E699,$D$155:$D$395&amp;$E$155:$E$395,M$155:M$395),"")</f>
        <v/>
      </c>
      <c r="N699" s="84">
        <v>8</v>
      </c>
      <c r="O699" s="84">
        <v>0</v>
      </c>
      <c r="P699" s="84">
        <v>0</v>
      </c>
      <c r="Q699" s="84">
        <v>0.49</v>
      </c>
      <c r="R699" s="84">
        <v>0.51</v>
      </c>
      <c r="S699" s="90">
        <f ca="1" t="shared" si="164"/>
        <v>355</v>
      </c>
      <c r="T699" s="90" cm="1">
        <f ca="1" t="array" ref="T699">IFERROR(SUMPRODUCT(F699:M699,$F$154:$M$154)+IFERROR(N699*SUMPRODUCT(O699:R699,$O$154:$R$154),0),"")</f>
        <v>12114</v>
      </c>
      <c r="V699" s="94" t="str">
        <f t="shared" si="165"/>
        <v>{62,1}</v>
      </c>
      <c r="W699" t="str">
        <f ca="1" t="shared" si="162"/>
        <v>{6020032,8}</v>
      </c>
      <c r="X699" s="94" t="str">
        <f t="shared" si="166"/>
        <v>{61,445}</v>
      </c>
      <c r="Y699" s="94" t="str">
        <f t="shared" si="167"/>
        <v>{63,580}</v>
      </c>
      <c r="Z699" s="94" t="str">
        <f ca="1" t="shared" si="168"/>
        <v/>
      </c>
      <c r="AA699" s="94" t="str">
        <f ca="1" t="shared" si="169"/>
        <v/>
      </c>
      <c r="AB699" s="94" t="str">
        <f ca="1" t="shared" si="170"/>
        <v/>
      </c>
      <c r="AE699" s="94" t="str">
        <f t="shared" si="171"/>
        <v>{2,1275}</v>
      </c>
      <c r="AH699" t="str">
        <f ca="1" t="shared" si="163"/>
        <v>[{62,1},{6020032,8},{61,445},{63,580},{2,1275}]</v>
      </c>
    </row>
    <row r="700" spans="4:34">
      <c r="D700" s="81" t="str">
        <f ca="1" t="shared" si="175"/>
        <v>非凡Ⅲ</v>
      </c>
      <c r="E700" s="84">
        <f t="shared" si="176"/>
        <v>1</v>
      </c>
      <c r="F700" s="84">
        <f>F692+5</f>
        <v>240</v>
      </c>
      <c r="G700" s="84"/>
      <c r="H700" s="84"/>
      <c r="I700" s="84">
        <f t="shared" si="174"/>
        <v>1300</v>
      </c>
      <c r="J700" s="84">
        <v>4</v>
      </c>
      <c r="K700" s="84" cm="1">
        <f ca="1" t="array" ref="K700">IF($E700&lt;7,_xlfn.XLOOKUP($D700&amp;$E700,$D$155:$D$395&amp;$E$155:$E$395,K$155:K$395),"")</f>
        <v>0</v>
      </c>
      <c r="L700" s="84" cm="1">
        <f ca="1" t="array" ref="L700">IF($E700&lt;7,_xlfn.XLOOKUP($D700&amp;$E700,$D$155:$D$395&amp;$E$155:$E$395,L$155:L$395),"")</f>
        <v>0</v>
      </c>
      <c r="M700" s="84" cm="1">
        <f ca="1" t="array" ref="M700">IF($E700&lt;7,_xlfn.XLOOKUP($D700&amp;$E700,$D$155:$D$395&amp;$E$155:$E$395,M$155:M$395),"")</f>
        <v>0</v>
      </c>
      <c r="N700" s="84" t="s">
        <v>282</v>
      </c>
      <c r="O700" s="84" t="s">
        <v>282</v>
      </c>
      <c r="P700" s="84" t="s">
        <v>282</v>
      </c>
      <c r="Q700" s="84" t="s">
        <v>282</v>
      </c>
      <c r="R700" s="84" t="s">
        <v>282</v>
      </c>
      <c r="S700" s="90">
        <f ca="1" t="shared" si="164"/>
        <v>365</v>
      </c>
      <c r="T700" s="90" cm="1">
        <f ca="1" t="array" ref="T700">IFERROR(SUMPRODUCT(F700:M700,$F$154:$M$154)+IFERROR(N700*SUMPRODUCT(O700:R700,$O$154:$R$154),0),"")</f>
        <v>2340</v>
      </c>
      <c r="V700" s="94" t="str">
        <f t="shared" si="165"/>
        <v/>
      </c>
      <c r="W700" t="str">
        <f ca="1" t="shared" si="162"/>
        <v/>
      </c>
      <c r="X700" s="94" t="str">
        <f t="shared" si="166"/>
        <v>{61,240}</v>
      </c>
      <c r="Y700" s="94" t="str">
        <f t="shared" si="167"/>
        <v/>
      </c>
      <c r="Z700" s="94" t="str">
        <f ca="1" t="shared" si="168"/>
        <v/>
      </c>
      <c r="AA700" s="94" t="str">
        <f ca="1" t="shared" si="169"/>
        <v/>
      </c>
      <c r="AB700" s="94" t="str">
        <f t="shared" si="170"/>
        <v>{6030001,4}</v>
      </c>
      <c r="AE700" s="94" t="str">
        <f t="shared" si="171"/>
        <v>{2,1300}</v>
      </c>
      <c r="AH700" t="str">
        <f ca="1" t="shared" si="163"/>
        <v>[{61,240},{6030001,4},{2,1300}]</v>
      </c>
    </row>
    <row r="701" spans="4:34">
      <c r="D701" s="81" t="str">
        <f ca="1" t="shared" si="175"/>
        <v>非凡Ⅲ</v>
      </c>
      <c r="E701" s="84">
        <f t="shared" si="176"/>
        <v>2</v>
      </c>
      <c r="F701" s="84">
        <f>F693+5</f>
        <v>240</v>
      </c>
      <c r="G701" s="84">
        <f>G693+5</f>
        <v>260</v>
      </c>
      <c r="H701" s="84"/>
      <c r="I701" s="84">
        <f t="shared" si="174"/>
        <v>1300</v>
      </c>
      <c r="J701" s="84" cm="1">
        <f ca="1" t="array" ref="J701">IF($E701&lt;7,_xlfn.XLOOKUP($D701&amp;$E701,$D$155:$D$395&amp;$E$155:$E$395,J$155:J$395),"")</f>
        <v>0</v>
      </c>
      <c r="K701" s="84" cm="1">
        <f ca="1" t="array" ref="K701">IF($E701&lt;7,_xlfn.XLOOKUP($D701&amp;$E701,$D$155:$D$395&amp;$E$155:$E$395,K$155:K$395),"")</f>
        <v>0</v>
      </c>
      <c r="L701" s="84" cm="1">
        <f ca="1" t="array" ref="L701">IF($E701&lt;7,_xlfn.XLOOKUP($D701&amp;$E701,$D$155:$D$395&amp;$E$155:$E$395,L$155:L$395),"")</f>
        <v>0</v>
      </c>
      <c r="M701" s="84" cm="1">
        <f ca="1" t="array" ref="M701">IF($E701&lt;7,_xlfn.XLOOKUP($D701&amp;$E701,$D$155:$D$395&amp;$E$155:$E$395,M$155:M$395),"")</f>
        <v>0</v>
      </c>
      <c r="N701" s="84" t="s">
        <v>282</v>
      </c>
      <c r="O701" s="84" t="s">
        <v>282</v>
      </c>
      <c r="P701" s="84" t="s">
        <v>282</v>
      </c>
      <c r="Q701" s="84" t="s">
        <v>282</v>
      </c>
      <c r="R701" s="84" t="s">
        <v>282</v>
      </c>
      <c r="S701" s="90">
        <f ca="1" t="shared" si="164"/>
        <v>365</v>
      </c>
      <c r="T701" s="90" cm="1">
        <f ca="1" t="array" ref="T701">IFERROR(SUMPRODUCT(F701:M701,$F$154:$M$154)+IFERROR(N701*SUMPRODUCT(O701:R701,$O$154:$R$154),0),"")</f>
        <v>1800</v>
      </c>
      <c r="V701" s="94" t="str">
        <f t="shared" si="165"/>
        <v/>
      </c>
      <c r="W701" t="str">
        <f ca="1" t="shared" ref="W701:W763" si="177">IF(OR(E701=8),"{"&amp;6020000+MATCH(D701,$D$400:$D$439,0)&amp;",8}","")</f>
        <v/>
      </c>
      <c r="X701" s="94" t="str">
        <f t="shared" si="166"/>
        <v>{61,240}</v>
      </c>
      <c r="Y701" s="94" t="str">
        <f t="shared" si="167"/>
        <v>{63,260}</v>
      </c>
      <c r="Z701" s="94" t="str">
        <f ca="1" t="shared" si="168"/>
        <v/>
      </c>
      <c r="AA701" s="94" t="str">
        <f ca="1" t="shared" si="169"/>
        <v/>
      </c>
      <c r="AB701" s="94" t="str">
        <f ca="1" t="shared" si="170"/>
        <v/>
      </c>
      <c r="AE701" s="94" t="str">
        <f t="shared" si="171"/>
        <v>{2,1300}</v>
      </c>
      <c r="AH701" t="str">
        <f ca="1" t="shared" ref="AH701:AH763" si="178">"["&amp;_xlfn.TEXTJOIN(",",1,V701:AF701)&amp;"]"</f>
        <v>[{61,240},{63,260},{2,1300}]</v>
      </c>
    </row>
    <row r="702" spans="4:34">
      <c r="D702" s="81" t="str">
        <f ca="1" t="shared" ref="D702:D733" si="179">IF(E701=8,OFFSET($D$111,MATCH(D701,$D$112:$D$151,0)+1,0),D701)</f>
        <v>非凡Ⅲ</v>
      </c>
      <c r="E702" s="84">
        <f t="shared" ref="E702:E733" si="180">IF(E701=8,1,E701+1)</f>
        <v>3</v>
      </c>
      <c r="F702" s="84">
        <f>F694+5</f>
        <v>240</v>
      </c>
      <c r="G702" s="84"/>
      <c r="H702" s="84"/>
      <c r="I702" s="84">
        <f t="shared" si="174"/>
        <v>1300</v>
      </c>
      <c r="J702" s="84">
        <v>5</v>
      </c>
      <c r="K702" s="84"/>
      <c r="L702" s="84" cm="1">
        <f ca="1" t="array" ref="L702">IF($E702&lt;7,_xlfn.XLOOKUP($D702&amp;$E702,$D$155:$D$395&amp;$E$155:$E$395,L$155:L$395),"")</f>
        <v>0</v>
      </c>
      <c r="M702" s="84" cm="1">
        <f ca="1" t="array" ref="M702">IF($E702&lt;7,_xlfn.XLOOKUP($D702&amp;$E702,$D$155:$D$395&amp;$E$155:$E$395,M$155:M$395),"")</f>
        <v>0</v>
      </c>
      <c r="N702" s="84" t="s">
        <v>282</v>
      </c>
      <c r="O702" s="84" t="s">
        <v>282</v>
      </c>
      <c r="P702" s="84" t="s">
        <v>282</v>
      </c>
      <c r="Q702" s="84" t="s">
        <v>282</v>
      </c>
      <c r="R702" s="84" t="s">
        <v>282</v>
      </c>
      <c r="S702" s="90">
        <f ca="1" t="shared" ref="S702:S763" si="181">_xlfn.XLOOKUP(D702,$D$111:$D$151,$E$111:$E$151)</f>
        <v>365</v>
      </c>
      <c r="T702" s="90" cm="1">
        <f ca="1" t="array" ref="T702">IFERROR(SUMPRODUCT(F702:M702,$F$154:$M$154)+IFERROR(N702*SUMPRODUCT(O702:R702,$O$154:$R$154),0),"")</f>
        <v>2540</v>
      </c>
      <c r="V702" s="94" t="str">
        <f t="shared" si="165"/>
        <v/>
      </c>
      <c r="W702" t="str">
        <f ca="1" t="shared" si="177"/>
        <v/>
      </c>
      <c r="X702" s="94" t="str">
        <f t="shared" si="166"/>
        <v>{61,240}</v>
      </c>
      <c r="Y702" s="94" t="str">
        <f t="shared" si="167"/>
        <v/>
      </c>
      <c r="Z702" s="94" t="str">
        <f ca="1" t="shared" si="168"/>
        <v/>
      </c>
      <c r="AA702" s="94" t="str">
        <f t="shared" si="169"/>
        <v/>
      </c>
      <c r="AB702" s="94" t="str">
        <f t="shared" si="170"/>
        <v>{6030001,5}</v>
      </c>
      <c r="AE702" s="94" t="str">
        <f t="shared" si="171"/>
        <v>{2,1300}</v>
      </c>
      <c r="AH702" t="str">
        <f ca="1" t="shared" si="178"/>
        <v>[{61,240},{6030001,5},{2,1300}]</v>
      </c>
    </row>
    <row r="703" spans="4:34">
      <c r="D703" s="81" t="str">
        <f ca="1" t="shared" si="179"/>
        <v>非凡Ⅲ</v>
      </c>
      <c r="E703" s="84">
        <f t="shared" si="180"/>
        <v>4</v>
      </c>
      <c r="F703" s="84">
        <f>CEILING(F704*1.25,5)</f>
        <v>375</v>
      </c>
      <c r="G703" s="84">
        <f>CEILING(G701*1.5,5)</f>
        <v>390</v>
      </c>
      <c r="H703" s="84"/>
      <c r="I703" s="84">
        <f t="shared" si="174"/>
        <v>1300</v>
      </c>
      <c r="J703" s="84" cm="1">
        <f ca="1" t="array" ref="J703">IF($E703&lt;7,_xlfn.XLOOKUP($D703&amp;$E703,$D$155:$D$395&amp;$E$155:$E$395,J$155:J$395),"")</f>
        <v>0</v>
      </c>
      <c r="K703" s="84" cm="1">
        <f ca="1" t="array" ref="K703">IF($E703&lt;7,_xlfn.XLOOKUP($D703&amp;$E703,$D$155:$D$395&amp;$E$155:$E$395,K$155:K$395),"")</f>
        <v>0</v>
      </c>
      <c r="L703" s="84" cm="1">
        <f ca="1" t="array" ref="L703">IF($E703&lt;7,_xlfn.XLOOKUP($D703&amp;$E703,$D$155:$D$395&amp;$E$155:$E$395,L$155:L$395),"")</f>
        <v>0</v>
      </c>
      <c r="M703" s="84" cm="1">
        <f ca="1" t="array" ref="M703">IF($E703&lt;7,_xlfn.XLOOKUP($D703&amp;$E703,$D$155:$D$395&amp;$E$155:$E$395,M$155:M$395),"")</f>
        <v>0</v>
      </c>
      <c r="N703" s="84" t="s">
        <v>282</v>
      </c>
      <c r="O703" s="84" t="s">
        <v>282</v>
      </c>
      <c r="P703" s="84" t="s">
        <v>282</v>
      </c>
      <c r="Q703" s="84" t="s">
        <v>282</v>
      </c>
      <c r="R703" s="84" t="s">
        <v>282</v>
      </c>
      <c r="S703" s="90">
        <f ca="1" t="shared" si="181"/>
        <v>365</v>
      </c>
      <c r="T703" s="90" cm="1">
        <f ca="1" t="array" ref="T703">IFERROR(SUMPRODUCT(F703:M703,$F$154:$M$154)+IFERROR(N703*SUMPRODUCT(O703:R703,$O$154:$R$154),0),"")</f>
        <v>2065</v>
      </c>
      <c r="V703" s="94" t="str">
        <f t="shared" si="165"/>
        <v/>
      </c>
      <c r="W703" t="str">
        <f ca="1" t="shared" si="177"/>
        <v/>
      </c>
      <c r="X703" s="94" t="str">
        <f t="shared" si="166"/>
        <v>{61,375}</v>
      </c>
      <c r="Y703" s="94" t="str">
        <f t="shared" si="167"/>
        <v>{63,390}</v>
      </c>
      <c r="Z703" s="94" t="str">
        <f ca="1" t="shared" si="168"/>
        <v/>
      </c>
      <c r="AA703" s="94" t="str">
        <f ca="1" t="shared" si="169"/>
        <v/>
      </c>
      <c r="AB703" s="94" t="str">
        <f ca="1" t="shared" si="170"/>
        <v/>
      </c>
      <c r="AE703" s="94" t="str">
        <f t="shared" si="171"/>
        <v>{2,1300}</v>
      </c>
      <c r="AH703" t="str">
        <f ca="1" t="shared" si="178"/>
        <v>[{61,375},{63,390},{2,1300}]</v>
      </c>
    </row>
    <row r="704" spans="4:34">
      <c r="D704" s="81" t="str">
        <f ca="1" t="shared" si="179"/>
        <v>非凡Ⅲ</v>
      </c>
      <c r="E704" s="84">
        <f t="shared" si="180"/>
        <v>5</v>
      </c>
      <c r="F704" s="84">
        <f>CEILING(F700*1.25,5)</f>
        <v>300</v>
      </c>
      <c r="G704" s="84"/>
      <c r="H704" s="84"/>
      <c r="I704" s="84">
        <f t="shared" si="174"/>
        <v>1300</v>
      </c>
      <c r="J704" s="84" cm="1">
        <f ca="1" t="array" ref="J704">IF($E704&lt;7,_xlfn.XLOOKUP($D704&amp;$E704,$D$155:$D$395&amp;$E$155:$E$395,J$155:J$395),"")</f>
        <v>0</v>
      </c>
      <c r="K704" s="84">
        <v>6</v>
      </c>
      <c r="L704" s="84"/>
      <c r="M704" s="84" cm="1">
        <f ca="1" t="array" ref="M704">IF($E704&lt;7,_xlfn.XLOOKUP($D704&amp;$E704,$D$155:$D$395&amp;$E$155:$E$395,M$155:M$395),"")</f>
        <v>0</v>
      </c>
      <c r="N704" s="84" t="s">
        <v>282</v>
      </c>
      <c r="O704" s="84" t="s">
        <v>282</v>
      </c>
      <c r="P704" s="84" t="s">
        <v>282</v>
      </c>
      <c r="Q704" s="84" t="s">
        <v>282</v>
      </c>
      <c r="R704" s="84" t="s">
        <v>282</v>
      </c>
      <c r="S704" s="90">
        <f ca="1" t="shared" si="181"/>
        <v>365</v>
      </c>
      <c r="T704" s="90" cm="1">
        <f ca="1" t="array" ref="T704">IFERROR(SUMPRODUCT(F704:M704,$F$154:$M$154)+IFERROR(N704*SUMPRODUCT(O704:R704,$O$154:$R$154),0),"")</f>
        <v>4000</v>
      </c>
      <c r="V704" s="94" t="str">
        <f t="shared" si="165"/>
        <v/>
      </c>
      <c r="W704" t="str">
        <f ca="1" t="shared" si="177"/>
        <v/>
      </c>
      <c r="X704" s="94" t="str">
        <f t="shared" si="166"/>
        <v>{61,300}</v>
      </c>
      <c r="Y704" s="94" t="str">
        <f t="shared" si="167"/>
        <v/>
      </c>
      <c r="Z704" s="94" t="str">
        <f t="shared" si="168"/>
        <v/>
      </c>
      <c r="AA704" s="94" t="str">
        <f t="shared" si="169"/>
        <v>{6030002,6}</v>
      </c>
      <c r="AB704" s="94" t="str">
        <f ca="1" t="shared" si="170"/>
        <v/>
      </c>
      <c r="AE704" s="94" t="str">
        <f t="shared" si="171"/>
        <v>{2,1300}</v>
      </c>
      <c r="AH704" t="str">
        <f ca="1" t="shared" si="178"/>
        <v>[{61,300},{6030002,6},{2,1300}]</v>
      </c>
    </row>
    <row r="705" spans="4:34">
      <c r="D705" s="81" t="str">
        <f ca="1" t="shared" si="179"/>
        <v>非凡Ⅲ</v>
      </c>
      <c r="E705" s="84">
        <f t="shared" si="180"/>
        <v>6</v>
      </c>
      <c r="F705" s="84">
        <f>CEILING(F701*1.25,5)</f>
        <v>300</v>
      </c>
      <c r="G705" s="84">
        <f>G703</f>
        <v>390</v>
      </c>
      <c r="H705" s="84"/>
      <c r="I705" s="84">
        <f t="shared" si="174"/>
        <v>1300</v>
      </c>
      <c r="J705" s="84" cm="1">
        <f ca="1" t="array" ref="J705">IF($E705&lt;7,_xlfn.XLOOKUP($D705&amp;$E705,$D$155:$D$395&amp;$E$155:$E$395,J$155:J$395),"")</f>
        <v>0</v>
      </c>
      <c r="K705" s="84" cm="1">
        <f ca="1" t="array" ref="K705">IF($E705&lt;7,_xlfn.XLOOKUP($D705&amp;$E705,$D$155:$D$395&amp;$E$155:$E$395,K$155:K$395),"")</f>
        <v>0</v>
      </c>
      <c r="L705" s="84" cm="1">
        <f ca="1" t="array" ref="L705">IF($E705&lt;7,_xlfn.XLOOKUP($D705&amp;$E705,$D$155:$D$395&amp;$E$155:$E$395,L$155:L$395),"")</f>
        <v>0</v>
      </c>
      <c r="M705" s="84" cm="1">
        <f ca="1" t="array" ref="M705">IF($E705&lt;7,_xlfn.XLOOKUP($D705&amp;$E705,$D$155:$D$395&amp;$E$155:$E$395,M$155:M$395),"")</f>
        <v>0</v>
      </c>
      <c r="N705" s="84" t="s">
        <v>282</v>
      </c>
      <c r="O705" s="84" t="s">
        <v>282</v>
      </c>
      <c r="P705" s="84" t="s">
        <v>282</v>
      </c>
      <c r="Q705" s="84" t="s">
        <v>282</v>
      </c>
      <c r="R705" s="84" t="s">
        <v>282</v>
      </c>
      <c r="S705" s="90">
        <f ca="1" t="shared" si="181"/>
        <v>365</v>
      </c>
      <c r="T705" s="90" cm="1">
        <f ca="1" t="array" ref="T705">IFERROR(SUMPRODUCT(F705:M705,$F$154:$M$154)+IFERROR(N705*SUMPRODUCT(O705:R705,$O$154:$R$154),0),"")</f>
        <v>1990</v>
      </c>
      <c r="V705" s="94" t="str">
        <f t="shared" si="165"/>
        <v/>
      </c>
      <c r="W705" t="str">
        <f ca="1" t="shared" si="177"/>
        <v/>
      </c>
      <c r="X705" s="94" t="str">
        <f t="shared" si="166"/>
        <v>{61,300}</v>
      </c>
      <c r="Y705" s="94" t="str">
        <f t="shared" si="167"/>
        <v>{63,390}</v>
      </c>
      <c r="Z705" s="94" t="str">
        <f ca="1" t="shared" si="168"/>
        <v/>
      </c>
      <c r="AA705" s="94" t="str">
        <f ca="1" t="shared" si="169"/>
        <v/>
      </c>
      <c r="AB705" s="94" t="str">
        <f ca="1" t="shared" si="170"/>
        <v/>
      </c>
      <c r="AE705" s="94" t="str">
        <f t="shared" si="171"/>
        <v>{2,1300}</v>
      </c>
      <c r="AH705" t="str">
        <f ca="1" t="shared" si="178"/>
        <v>[{61,300},{63,390},{2,1300}]</v>
      </c>
    </row>
    <row r="706" spans="4:34">
      <c r="D706" s="81" t="str">
        <f ca="1" t="shared" si="179"/>
        <v>非凡Ⅲ</v>
      </c>
      <c r="E706" s="84">
        <f t="shared" si="180"/>
        <v>7</v>
      </c>
      <c r="F706" s="84">
        <f>CEILING(F702*1.25,5)</f>
        <v>300</v>
      </c>
      <c r="G706" s="84"/>
      <c r="H706" s="84"/>
      <c r="I706" s="84">
        <f t="shared" si="174"/>
        <v>1300</v>
      </c>
      <c r="J706" s="84" t="str" cm="1">
        <f ca="1" t="array" ref="J706">IF($E706&lt;7,_xlfn.XLOOKUP($D706&amp;$E706,$D$155:$D$395&amp;$E$155:$E$395,J$155:J$395),"")</f>
        <v/>
      </c>
      <c r="K706" s="84" t="str" cm="1">
        <f ca="1" t="array" ref="K706">IF($E706&lt;7,_xlfn.XLOOKUP($D706&amp;$E706,$D$155:$D$395&amp;$E$155:$E$395,K$155:K$395),"")</f>
        <v/>
      </c>
      <c r="L706" s="84">
        <v>5</v>
      </c>
      <c r="M706" s="84" t="str" cm="1">
        <f ca="1" t="array" ref="M706">IF($E706&lt;7,_xlfn.XLOOKUP($D706&amp;$E706,$D$155:$D$395&amp;$E$155:$E$395,M$155:M$395),"")</f>
        <v/>
      </c>
      <c r="N706" s="84" t="s">
        <v>282</v>
      </c>
      <c r="O706" s="84" t="s">
        <v>282</v>
      </c>
      <c r="P706" s="84" t="s">
        <v>282</v>
      </c>
      <c r="Q706" s="84" t="s">
        <v>282</v>
      </c>
      <c r="R706" s="84" t="s">
        <v>282</v>
      </c>
      <c r="S706" s="90">
        <f ca="1" t="shared" si="181"/>
        <v>365</v>
      </c>
      <c r="T706" s="90" cm="1">
        <f ca="1" t="array" ref="T706">IFERROR(SUMPRODUCT(F706:M706,$F$154:$M$154)+IFERROR(N706*SUMPRODUCT(O706:R706,$O$154:$R$154),0),"")</f>
        <v>5600</v>
      </c>
      <c r="V706" s="94" t="str">
        <f t="shared" si="165"/>
        <v/>
      </c>
      <c r="W706" t="str">
        <f ca="1" t="shared" si="177"/>
        <v/>
      </c>
      <c r="X706" s="94" t="str">
        <f t="shared" si="166"/>
        <v>{61,300}</v>
      </c>
      <c r="Y706" s="94" t="str">
        <f t="shared" si="167"/>
        <v/>
      </c>
      <c r="Z706" s="94" t="str">
        <f t="shared" si="168"/>
        <v>{6030003,5}</v>
      </c>
      <c r="AA706" s="94" t="str">
        <f ca="1" t="shared" si="169"/>
        <v/>
      </c>
      <c r="AB706" s="94" t="str">
        <f ca="1" t="shared" si="170"/>
        <v/>
      </c>
      <c r="AE706" s="94" t="str">
        <f t="shared" si="171"/>
        <v>{2,1300}</v>
      </c>
      <c r="AH706" t="str">
        <f ca="1" t="shared" si="178"/>
        <v>[{61,300},{6030003,5},{2,1300}]</v>
      </c>
    </row>
    <row r="707" spans="4:34">
      <c r="D707" s="81" t="str">
        <f ca="1" t="shared" si="179"/>
        <v>非凡Ⅲ</v>
      </c>
      <c r="E707" s="84">
        <f t="shared" si="180"/>
        <v>8</v>
      </c>
      <c r="F707" s="84">
        <f>CEILING(F706*1.5,5)</f>
        <v>450</v>
      </c>
      <c r="G707" s="84">
        <f>CEILING(G705*1.5,5)</f>
        <v>585</v>
      </c>
      <c r="H707" s="84">
        <f>1</f>
        <v>1</v>
      </c>
      <c r="I707" s="84">
        <f t="shared" si="174"/>
        <v>1300</v>
      </c>
      <c r="J707" s="84" t="str" cm="1">
        <f ca="1" t="array" ref="J707">IF($E707&lt;7,_xlfn.XLOOKUP($D707&amp;$E707,$D$155:$D$395&amp;$E$155:$E$395,J$155:J$395),"")</f>
        <v/>
      </c>
      <c r="K707" s="84" t="str" cm="1">
        <f ca="1" t="array" ref="K707">IF($E707&lt;7,_xlfn.XLOOKUP($D707&amp;$E707,$D$155:$D$395&amp;$E$155:$E$395,K$155:K$395),"")</f>
        <v/>
      </c>
      <c r="L707" s="84" t="str" cm="1">
        <f ca="1" t="array" ref="L707">IF($E707&lt;7,_xlfn.XLOOKUP($D707&amp;$E707,$D$155:$D$395&amp;$E$155:$E$395,L$155:L$395),"")</f>
        <v/>
      </c>
      <c r="M707" s="84" t="str" cm="1">
        <f ca="1" t="array" ref="M707">IF($E707&lt;7,_xlfn.XLOOKUP($D707&amp;$E707,$D$155:$D$395&amp;$E$155:$E$395,M$155:M$395),"")</f>
        <v/>
      </c>
      <c r="N707" s="84">
        <v>8</v>
      </c>
      <c r="O707" s="84">
        <v>0</v>
      </c>
      <c r="P707" s="84">
        <v>0</v>
      </c>
      <c r="Q707" s="84">
        <v>0.46</v>
      </c>
      <c r="R707" s="84">
        <v>0.54</v>
      </c>
      <c r="S707" s="90">
        <f ca="1" t="shared" si="181"/>
        <v>365</v>
      </c>
      <c r="T707" s="90" cm="1">
        <f ca="1" t="array" ref="T707">IFERROR(SUMPRODUCT(F707:M707,$F$154:$M$154)+IFERROR(N707*SUMPRODUCT(O707:R707,$O$154:$R$154),0),"")</f>
        <v>12341</v>
      </c>
      <c r="V707" s="94" t="str">
        <f t="shared" ref="V707:V763" si="182">IF(OR(H707="",H707=0),"","{"&amp;H$441&amp;","&amp;H707&amp;"}")</f>
        <v>{62,1}</v>
      </c>
      <c r="W707" t="str">
        <f ca="1" t="shared" si="177"/>
        <v>{6020033,8}</v>
      </c>
      <c r="X707" s="94" t="str">
        <f t="shared" ref="X707:X763" si="183">IF(OR(F707="",F707=0),"","{"&amp;F$441&amp;","&amp;F707&amp;"}")</f>
        <v>{61,450}</v>
      </c>
      <c r="Y707" s="94" t="str">
        <f t="shared" ref="Y707:Y763" si="184">IF(OR(G707="",G707=0),"","{"&amp;G$441&amp;","&amp;G707&amp;"}")</f>
        <v>{63,585}</v>
      </c>
      <c r="Z707" s="94" t="str">
        <f ca="1" t="shared" ref="Z707:Z763" si="185">IF(OR(L707="",L707=0),"","{"&amp;L$441&amp;","&amp;L707&amp;"}")</f>
        <v/>
      </c>
      <c r="AA707" s="94" t="str">
        <f ca="1" t="shared" ref="AA707:AA763" si="186">IF(OR(K707="",K707=0),"","{"&amp;K$441&amp;","&amp;K707&amp;"}")</f>
        <v/>
      </c>
      <c r="AB707" s="94" t="str">
        <f ca="1" t="shared" ref="AB707:AB763" si="187">IF(OR(J707="",J707=0),"","{"&amp;J$441&amp;","&amp;J707&amp;"}")</f>
        <v/>
      </c>
      <c r="AE707" s="94" t="str">
        <f t="shared" ref="AE707:AE763" si="188">IF(OR(I707="",I707=0),"","{"&amp;I$441&amp;","&amp;I707&amp;"}")</f>
        <v>{2,1300}</v>
      </c>
      <c r="AH707" t="str">
        <f ca="1" t="shared" si="178"/>
        <v>[{62,1},{6020033,8},{61,450},{63,585},{2,1300}]</v>
      </c>
    </row>
    <row r="708" spans="4:34">
      <c r="D708" s="81" t="str">
        <f ca="1" t="shared" si="179"/>
        <v>非凡Ⅳ</v>
      </c>
      <c r="E708" s="84">
        <f t="shared" si="180"/>
        <v>1</v>
      </c>
      <c r="F708" s="84">
        <f>F700+5</f>
        <v>245</v>
      </c>
      <c r="G708" s="84"/>
      <c r="H708" s="84"/>
      <c r="I708" s="84">
        <f t="shared" si="174"/>
        <v>1325</v>
      </c>
      <c r="J708" s="84">
        <v>4</v>
      </c>
      <c r="K708" s="84" cm="1">
        <f ca="1" t="array" ref="K708">IF($E708&lt;7,_xlfn.XLOOKUP($D708&amp;$E708,$D$155:$D$395&amp;$E$155:$E$395,K$155:K$395),"")</f>
        <v>0</v>
      </c>
      <c r="L708" s="84" cm="1">
        <f ca="1" t="array" ref="L708">IF($E708&lt;7,_xlfn.XLOOKUP($D708&amp;$E708,$D$155:$D$395&amp;$E$155:$E$395,L$155:L$395),"")</f>
        <v>0</v>
      </c>
      <c r="M708" s="84" cm="1">
        <f ca="1" t="array" ref="M708">IF($E708&lt;7,_xlfn.XLOOKUP($D708&amp;$E708,$D$155:$D$395&amp;$E$155:$E$395,M$155:M$395),"")</f>
        <v>0</v>
      </c>
      <c r="N708" s="84" t="s">
        <v>282</v>
      </c>
      <c r="O708" s="84" t="s">
        <v>282</v>
      </c>
      <c r="P708" s="84" t="s">
        <v>282</v>
      </c>
      <c r="Q708" s="84" t="s">
        <v>282</v>
      </c>
      <c r="R708" s="84" t="s">
        <v>282</v>
      </c>
      <c r="S708" s="90">
        <f ca="1" t="shared" si="181"/>
        <v>375</v>
      </c>
      <c r="T708" s="90" cm="1">
        <f ca="1" t="array" ref="T708">IFERROR(SUMPRODUCT(F708:M708,$F$154:$M$154)+IFERROR(N708*SUMPRODUCT(O708:R708,$O$154:$R$154),0),"")</f>
        <v>2370</v>
      </c>
      <c r="V708" s="94" t="str">
        <f t="shared" si="182"/>
        <v/>
      </c>
      <c r="W708" t="str">
        <f ca="1" t="shared" si="177"/>
        <v/>
      </c>
      <c r="X708" s="94" t="str">
        <f t="shared" si="183"/>
        <v>{61,245}</v>
      </c>
      <c r="Y708" s="94" t="str">
        <f t="shared" si="184"/>
        <v/>
      </c>
      <c r="Z708" s="94" t="str">
        <f ca="1" t="shared" si="185"/>
        <v/>
      </c>
      <c r="AA708" s="94" t="str">
        <f ca="1" t="shared" si="186"/>
        <v/>
      </c>
      <c r="AB708" s="94" t="str">
        <f t="shared" si="187"/>
        <v>{6030001,4}</v>
      </c>
      <c r="AE708" s="94" t="str">
        <f t="shared" si="188"/>
        <v>{2,1325}</v>
      </c>
      <c r="AH708" t="str">
        <f ca="1" t="shared" si="178"/>
        <v>[{61,245},{6030001,4},{2,1325}]</v>
      </c>
    </row>
    <row r="709" spans="4:34">
      <c r="D709" s="81" t="str">
        <f ca="1" t="shared" si="179"/>
        <v>非凡Ⅳ</v>
      </c>
      <c r="E709" s="84">
        <f t="shared" si="180"/>
        <v>2</v>
      </c>
      <c r="F709" s="84">
        <f>F701+5</f>
        <v>245</v>
      </c>
      <c r="G709" s="84">
        <f>G701+5</f>
        <v>265</v>
      </c>
      <c r="H709" s="84"/>
      <c r="I709" s="84">
        <f t="shared" ref="I709:I763" si="189">I701+25</f>
        <v>1325</v>
      </c>
      <c r="J709" s="84" cm="1">
        <f ca="1" t="array" ref="J709">IF($E709&lt;7,_xlfn.XLOOKUP($D709&amp;$E709,$D$155:$D$395&amp;$E$155:$E$395,J$155:J$395),"")</f>
        <v>0</v>
      </c>
      <c r="K709" s="84" cm="1">
        <f ca="1" t="array" ref="K709">IF($E709&lt;7,_xlfn.XLOOKUP($D709&amp;$E709,$D$155:$D$395&amp;$E$155:$E$395,K$155:K$395),"")</f>
        <v>0</v>
      </c>
      <c r="L709" s="84" cm="1">
        <f ca="1" t="array" ref="L709">IF($E709&lt;7,_xlfn.XLOOKUP($D709&amp;$E709,$D$155:$D$395&amp;$E$155:$E$395,L$155:L$395),"")</f>
        <v>0</v>
      </c>
      <c r="M709" s="84" cm="1">
        <f ca="1" t="array" ref="M709">IF($E709&lt;7,_xlfn.XLOOKUP($D709&amp;$E709,$D$155:$D$395&amp;$E$155:$E$395,M$155:M$395),"")</f>
        <v>0</v>
      </c>
      <c r="N709" s="84" t="s">
        <v>282</v>
      </c>
      <c r="O709" s="84" t="s">
        <v>282</v>
      </c>
      <c r="P709" s="84" t="s">
        <v>282</v>
      </c>
      <c r="Q709" s="84" t="s">
        <v>282</v>
      </c>
      <c r="R709" s="84" t="s">
        <v>282</v>
      </c>
      <c r="S709" s="90">
        <f ca="1" t="shared" si="181"/>
        <v>375</v>
      </c>
      <c r="T709" s="90" cm="1">
        <f ca="1" t="array" ref="T709">IFERROR(SUMPRODUCT(F709:M709,$F$154:$M$154)+IFERROR(N709*SUMPRODUCT(O709:R709,$O$154:$R$154),0),"")</f>
        <v>1835</v>
      </c>
      <c r="V709" s="94" t="str">
        <f t="shared" si="182"/>
        <v/>
      </c>
      <c r="W709" t="str">
        <f ca="1" t="shared" si="177"/>
        <v/>
      </c>
      <c r="X709" s="94" t="str">
        <f t="shared" si="183"/>
        <v>{61,245}</v>
      </c>
      <c r="Y709" s="94" t="str">
        <f t="shared" si="184"/>
        <v>{63,265}</v>
      </c>
      <c r="Z709" s="94" t="str">
        <f ca="1" t="shared" si="185"/>
        <v/>
      </c>
      <c r="AA709" s="94" t="str">
        <f ca="1" t="shared" si="186"/>
        <v/>
      </c>
      <c r="AB709" s="94" t="str">
        <f ca="1" t="shared" si="187"/>
        <v/>
      </c>
      <c r="AE709" s="94" t="str">
        <f t="shared" si="188"/>
        <v>{2,1325}</v>
      </c>
      <c r="AH709" t="str">
        <f ca="1" t="shared" si="178"/>
        <v>[{61,245},{63,265},{2,1325}]</v>
      </c>
    </row>
    <row r="710" spans="4:34">
      <c r="D710" s="81" t="str">
        <f ca="1" t="shared" si="179"/>
        <v>非凡Ⅳ</v>
      </c>
      <c r="E710" s="84">
        <f t="shared" si="180"/>
        <v>3</v>
      </c>
      <c r="F710" s="84">
        <f>F702+5</f>
        <v>245</v>
      </c>
      <c r="G710" s="84"/>
      <c r="H710" s="84"/>
      <c r="I710" s="84">
        <f t="shared" si="189"/>
        <v>1325</v>
      </c>
      <c r="J710" s="84">
        <v>5</v>
      </c>
      <c r="K710" s="84"/>
      <c r="L710" s="84" cm="1">
        <f ca="1" t="array" ref="L710">IF($E710&lt;7,_xlfn.XLOOKUP($D710&amp;$E710,$D$155:$D$395&amp;$E$155:$E$395,L$155:L$395),"")</f>
        <v>0</v>
      </c>
      <c r="M710" s="84" cm="1">
        <f ca="1" t="array" ref="M710">IF($E710&lt;7,_xlfn.XLOOKUP($D710&amp;$E710,$D$155:$D$395&amp;$E$155:$E$395,M$155:M$395),"")</f>
        <v>0</v>
      </c>
      <c r="N710" s="84" t="s">
        <v>282</v>
      </c>
      <c r="O710" s="84" t="s">
        <v>282</v>
      </c>
      <c r="P710" s="84" t="s">
        <v>282</v>
      </c>
      <c r="Q710" s="84" t="s">
        <v>282</v>
      </c>
      <c r="R710" s="84" t="s">
        <v>282</v>
      </c>
      <c r="S710" s="90">
        <f ca="1" t="shared" si="181"/>
        <v>375</v>
      </c>
      <c r="T710" s="90" cm="1">
        <f ca="1" t="array" ref="T710">IFERROR(SUMPRODUCT(F710:M710,$F$154:$M$154)+IFERROR(N710*SUMPRODUCT(O710:R710,$O$154:$R$154),0),"")</f>
        <v>2570</v>
      </c>
      <c r="V710" s="94" t="str">
        <f t="shared" si="182"/>
        <v/>
      </c>
      <c r="W710" t="str">
        <f ca="1" t="shared" si="177"/>
        <v/>
      </c>
      <c r="X710" s="94" t="str">
        <f t="shared" si="183"/>
        <v>{61,245}</v>
      </c>
      <c r="Y710" s="94" t="str">
        <f t="shared" si="184"/>
        <v/>
      </c>
      <c r="Z710" s="94" t="str">
        <f ca="1" t="shared" si="185"/>
        <v/>
      </c>
      <c r="AA710" s="94" t="str">
        <f t="shared" si="186"/>
        <v/>
      </c>
      <c r="AB710" s="94" t="str">
        <f t="shared" si="187"/>
        <v>{6030001,5}</v>
      </c>
      <c r="AE710" s="94" t="str">
        <f t="shared" si="188"/>
        <v>{2,1325}</v>
      </c>
      <c r="AH710" t="str">
        <f ca="1" t="shared" si="178"/>
        <v>[{61,245},{6030001,5},{2,1325}]</v>
      </c>
    </row>
    <row r="711" spans="4:34">
      <c r="D711" s="81" t="str">
        <f ca="1" t="shared" si="179"/>
        <v>非凡Ⅳ</v>
      </c>
      <c r="E711" s="84">
        <f t="shared" si="180"/>
        <v>4</v>
      </c>
      <c r="F711" s="84">
        <f>CEILING(F712*1.25,5)</f>
        <v>390</v>
      </c>
      <c r="G711" s="84">
        <f>CEILING(G709*1.5,5)</f>
        <v>400</v>
      </c>
      <c r="H711" s="84"/>
      <c r="I711" s="84">
        <f t="shared" si="189"/>
        <v>1325</v>
      </c>
      <c r="J711" s="84" cm="1">
        <f ca="1" t="array" ref="J711">IF($E711&lt;7,_xlfn.XLOOKUP($D711&amp;$E711,$D$155:$D$395&amp;$E$155:$E$395,J$155:J$395),"")</f>
        <v>0</v>
      </c>
      <c r="K711" s="84" cm="1">
        <f ca="1" t="array" ref="K711">IF($E711&lt;7,_xlfn.XLOOKUP($D711&amp;$E711,$D$155:$D$395&amp;$E$155:$E$395,K$155:K$395),"")</f>
        <v>0</v>
      </c>
      <c r="L711" s="84" cm="1">
        <f ca="1" t="array" ref="L711">IF($E711&lt;7,_xlfn.XLOOKUP($D711&amp;$E711,$D$155:$D$395&amp;$E$155:$E$395,L$155:L$395),"")</f>
        <v>0</v>
      </c>
      <c r="M711" s="84" cm="1">
        <f ca="1" t="array" ref="M711">IF($E711&lt;7,_xlfn.XLOOKUP($D711&amp;$E711,$D$155:$D$395&amp;$E$155:$E$395,M$155:M$395),"")</f>
        <v>0</v>
      </c>
      <c r="N711" s="84" t="s">
        <v>282</v>
      </c>
      <c r="O711" s="84" t="s">
        <v>282</v>
      </c>
      <c r="P711" s="84" t="s">
        <v>282</v>
      </c>
      <c r="Q711" s="84" t="s">
        <v>282</v>
      </c>
      <c r="R711" s="84" t="s">
        <v>282</v>
      </c>
      <c r="S711" s="90">
        <f ca="1" t="shared" si="181"/>
        <v>375</v>
      </c>
      <c r="T711" s="90" cm="1">
        <f ca="1" t="array" ref="T711">IFERROR(SUMPRODUCT(F711:M711,$F$154:$M$154)+IFERROR(N711*SUMPRODUCT(O711:R711,$O$154:$R$154),0),"")</f>
        <v>2115</v>
      </c>
      <c r="V711" s="94" t="str">
        <f t="shared" si="182"/>
        <v/>
      </c>
      <c r="W711" t="str">
        <f ca="1" t="shared" si="177"/>
        <v/>
      </c>
      <c r="X711" s="94" t="str">
        <f t="shared" si="183"/>
        <v>{61,390}</v>
      </c>
      <c r="Y711" s="94" t="str">
        <f t="shared" si="184"/>
        <v>{63,400}</v>
      </c>
      <c r="Z711" s="94" t="str">
        <f ca="1" t="shared" si="185"/>
        <v/>
      </c>
      <c r="AA711" s="94" t="str">
        <f ca="1" t="shared" si="186"/>
        <v/>
      </c>
      <c r="AB711" s="94" t="str">
        <f ca="1" t="shared" si="187"/>
        <v/>
      </c>
      <c r="AE711" s="94" t="str">
        <f t="shared" si="188"/>
        <v>{2,1325}</v>
      </c>
      <c r="AH711" t="str">
        <f ca="1" t="shared" si="178"/>
        <v>[{61,390},{63,400},{2,1325}]</v>
      </c>
    </row>
    <row r="712" spans="4:34">
      <c r="D712" s="81" t="str">
        <f ca="1" t="shared" si="179"/>
        <v>非凡Ⅳ</v>
      </c>
      <c r="E712" s="84">
        <f t="shared" si="180"/>
        <v>5</v>
      </c>
      <c r="F712" s="84">
        <f>CEILING(F708*1.25,5)</f>
        <v>310</v>
      </c>
      <c r="G712" s="84"/>
      <c r="H712" s="84"/>
      <c r="I712" s="84">
        <f t="shared" si="189"/>
        <v>1325</v>
      </c>
      <c r="J712" s="84" cm="1">
        <f ca="1" t="array" ref="J712">IF($E712&lt;7,_xlfn.XLOOKUP($D712&amp;$E712,$D$155:$D$395&amp;$E$155:$E$395,J$155:J$395),"")</f>
        <v>0</v>
      </c>
      <c r="K712" s="84">
        <v>6</v>
      </c>
      <c r="L712" s="84"/>
      <c r="M712" s="84" cm="1">
        <f ca="1" t="array" ref="M712">IF($E712&lt;7,_xlfn.XLOOKUP($D712&amp;$E712,$D$155:$D$395&amp;$E$155:$E$395,M$155:M$395),"")</f>
        <v>0</v>
      </c>
      <c r="N712" s="84" t="s">
        <v>282</v>
      </c>
      <c r="O712" s="84" t="s">
        <v>282</v>
      </c>
      <c r="P712" s="84" t="s">
        <v>282</v>
      </c>
      <c r="Q712" s="84" t="s">
        <v>282</v>
      </c>
      <c r="R712" s="84" t="s">
        <v>282</v>
      </c>
      <c r="S712" s="90">
        <f ca="1" t="shared" si="181"/>
        <v>375</v>
      </c>
      <c r="T712" s="90" cm="1">
        <f ca="1" t="array" ref="T712">IFERROR(SUMPRODUCT(F712:M712,$F$154:$M$154)+IFERROR(N712*SUMPRODUCT(O712:R712,$O$154:$R$154),0),"")</f>
        <v>4035</v>
      </c>
      <c r="V712" s="94" t="str">
        <f t="shared" si="182"/>
        <v/>
      </c>
      <c r="W712" t="str">
        <f ca="1" t="shared" si="177"/>
        <v/>
      </c>
      <c r="X712" s="94" t="str">
        <f t="shared" si="183"/>
        <v>{61,310}</v>
      </c>
      <c r="Y712" s="94" t="str">
        <f t="shared" si="184"/>
        <v/>
      </c>
      <c r="Z712" s="94" t="str">
        <f t="shared" si="185"/>
        <v/>
      </c>
      <c r="AA712" s="94" t="str">
        <f t="shared" si="186"/>
        <v>{6030002,6}</v>
      </c>
      <c r="AB712" s="94" t="str">
        <f ca="1" t="shared" si="187"/>
        <v/>
      </c>
      <c r="AE712" s="94" t="str">
        <f t="shared" si="188"/>
        <v>{2,1325}</v>
      </c>
      <c r="AH712" t="str">
        <f ca="1" t="shared" si="178"/>
        <v>[{61,310},{6030002,6},{2,1325}]</v>
      </c>
    </row>
    <row r="713" spans="4:34">
      <c r="D713" s="81" t="str">
        <f ca="1" t="shared" si="179"/>
        <v>非凡Ⅳ</v>
      </c>
      <c r="E713" s="84">
        <f t="shared" si="180"/>
        <v>6</v>
      </c>
      <c r="F713" s="84">
        <f>CEILING(F709*1.25,5)</f>
        <v>310</v>
      </c>
      <c r="G713" s="84">
        <f>G711</f>
        <v>400</v>
      </c>
      <c r="H713" s="84"/>
      <c r="I713" s="84">
        <f t="shared" si="189"/>
        <v>1325</v>
      </c>
      <c r="J713" s="84" cm="1">
        <f ca="1" t="array" ref="J713">IF($E713&lt;7,_xlfn.XLOOKUP($D713&amp;$E713,$D$155:$D$395&amp;$E$155:$E$395,J$155:J$395),"")</f>
        <v>0</v>
      </c>
      <c r="K713" s="84" cm="1">
        <f ca="1" t="array" ref="K713">IF($E713&lt;7,_xlfn.XLOOKUP($D713&amp;$E713,$D$155:$D$395&amp;$E$155:$E$395,K$155:K$395),"")</f>
        <v>0</v>
      </c>
      <c r="L713" s="84" cm="1">
        <f ca="1" t="array" ref="L713">IF($E713&lt;7,_xlfn.XLOOKUP($D713&amp;$E713,$D$155:$D$395&amp;$E$155:$E$395,L$155:L$395),"")</f>
        <v>0</v>
      </c>
      <c r="M713" s="84" cm="1">
        <f ca="1" t="array" ref="M713">IF($E713&lt;7,_xlfn.XLOOKUP($D713&amp;$E713,$D$155:$D$395&amp;$E$155:$E$395,M$155:M$395),"")</f>
        <v>0</v>
      </c>
      <c r="N713" s="84" t="s">
        <v>282</v>
      </c>
      <c r="O713" s="84" t="s">
        <v>282</v>
      </c>
      <c r="P713" s="84" t="s">
        <v>282</v>
      </c>
      <c r="Q713" s="84" t="s">
        <v>282</v>
      </c>
      <c r="R713" s="84" t="s">
        <v>282</v>
      </c>
      <c r="S713" s="90">
        <f ca="1" t="shared" si="181"/>
        <v>375</v>
      </c>
      <c r="T713" s="90" cm="1">
        <f ca="1" t="array" ref="T713">IFERROR(SUMPRODUCT(F713:M713,$F$154:$M$154)+IFERROR(N713*SUMPRODUCT(O713:R713,$O$154:$R$154),0),"")</f>
        <v>2035</v>
      </c>
      <c r="V713" s="94" t="str">
        <f t="shared" si="182"/>
        <v/>
      </c>
      <c r="W713" t="str">
        <f ca="1" t="shared" si="177"/>
        <v/>
      </c>
      <c r="X713" s="94" t="str">
        <f t="shared" si="183"/>
        <v>{61,310}</v>
      </c>
      <c r="Y713" s="94" t="str">
        <f t="shared" si="184"/>
        <v>{63,400}</v>
      </c>
      <c r="Z713" s="94" t="str">
        <f ca="1" t="shared" si="185"/>
        <v/>
      </c>
      <c r="AA713" s="94" t="str">
        <f ca="1" t="shared" si="186"/>
        <v/>
      </c>
      <c r="AB713" s="94" t="str">
        <f ca="1" t="shared" si="187"/>
        <v/>
      </c>
      <c r="AE713" s="94" t="str">
        <f t="shared" si="188"/>
        <v>{2,1325}</v>
      </c>
      <c r="AH713" t="str">
        <f ca="1" t="shared" si="178"/>
        <v>[{61,310},{63,400},{2,1325}]</v>
      </c>
    </row>
    <row r="714" spans="4:34">
      <c r="D714" s="81" t="str">
        <f ca="1" t="shared" si="179"/>
        <v>非凡Ⅳ</v>
      </c>
      <c r="E714" s="84">
        <f t="shared" si="180"/>
        <v>7</v>
      </c>
      <c r="F714" s="84">
        <f>CEILING(F710*1.25,5)</f>
        <v>310</v>
      </c>
      <c r="G714" s="84"/>
      <c r="H714" s="84"/>
      <c r="I714" s="84">
        <f t="shared" si="189"/>
        <v>1325</v>
      </c>
      <c r="J714" s="84" t="str" cm="1">
        <f ca="1" t="array" ref="J714">IF($E714&lt;7,_xlfn.XLOOKUP($D714&amp;$E714,$D$155:$D$395&amp;$E$155:$E$395,J$155:J$395),"")</f>
        <v/>
      </c>
      <c r="K714" s="84" t="str" cm="1">
        <f ca="1" t="array" ref="K714">IF($E714&lt;7,_xlfn.XLOOKUP($D714&amp;$E714,$D$155:$D$395&amp;$E$155:$E$395,K$155:K$395),"")</f>
        <v/>
      </c>
      <c r="L714" s="84">
        <v>5</v>
      </c>
      <c r="M714" s="84" t="str" cm="1">
        <f ca="1" t="array" ref="M714">IF($E714&lt;7,_xlfn.XLOOKUP($D714&amp;$E714,$D$155:$D$395&amp;$E$155:$E$395,M$155:M$395),"")</f>
        <v/>
      </c>
      <c r="N714" s="84" t="s">
        <v>282</v>
      </c>
      <c r="O714" s="84" t="s">
        <v>282</v>
      </c>
      <c r="P714" s="84" t="s">
        <v>282</v>
      </c>
      <c r="Q714" s="84" t="s">
        <v>282</v>
      </c>
      <c r="R714" s="84" t="s">
        <v>282</v>
      </c>
      <c r="S714" s="90">
        <f ca="1" t="shared" si="181"/>
        <v>375</v>
      </c>
      <c r="T714" s="90" cm="1">
        <f ca="1" t="array" ref="T714">IFERROR(SUMPRODUCT(F714:M714,$F$154:$M$154)+IFERROR(N714*SUMPRODUCT(O714:R714,$O$154:$R$154),0),"")</f>
        <v>5635</v>
      </c>
      <c r="V714" s="94" t="str">
        <f t="shared" si="182"/>
        <v/>
      </c>
      <c r="W714" t="str">
        <f ca="1" t="shared" si="177"/>
        <v/>
      </c>
      <c r="X714" s="94" t="str">
        <f t="shared" si="183"/>
        <v>{61,310}</v>
      </c>
      <c r="Y714" s="94" t="str">
        <f t="shared" si="184"/>
        <v/>
      </c>
      <c r="Z714" s="94" t="str">
        <f t="shared" si="185"/>
        <v>{6030003,5}</v>
      </c>
      <c r="AA714" s="94" t="str">
        <f ca="1" t="shared" si="186"/>
        <v/>
      </c>
      <c r="AB714" s="94" t="str">
        <f ca="1" t="shared" si="187"/>
        <v/>
      </c>
      <c r="AE714" s="94" t="str">
        <f t="shared" si="188"/>
        <v>{2,1325}</v>
      </c>
      <c r="AH714" t="str">
        <f ca="1" t="shared" si="178"/>
        <v>[{61,310},{6030003,5},{2,1325}]</v>
      </c>
    </row>
    <row r="715" spans="4:34">
      <c r="D715" s="81" t="str">
        <f ca="1" t="shared" si="179"/>
        <v>非凡Ⅳ</v>
      </c>
      <c r="E715" s="84">
        <f t="shared" si="180"/>
        <v>8</v>
      </c>
      <c r="F715" s="84">
        <f>CEILING(F714*1.5,5)</f>
        <v>465</v>
      </c>
      <c r="G715" s="84">
        <f>CEILING(G713*1.5,5)</f>
        <v>600</v>
      </c>
      <c r="H715" s="84">
        <f>1</f>
        <v>1</v>
      </c>
      <c r="I715" s="84">
        <f t="shared" si="189"/>
        <v>1325</v>
      </c>
      <c r="J715" s="84" t="str" cm="1">
        <f ca="1" t="array" ref="J715">IF($E715&lt;7,_xlfn.XLOOKUP($D715&amp;$E715,$D$155:$D$395&amp;$E$155:$E$395,J$155:J$395),"")</f>
        <v/>
      </c>
      <c r="K715" s="84" t="str" cm="1">
        <f ca="1" t="array" ref="K715">IF($E715&lt;7,_xlfn.XLOOKUP($D715&amp;$E715,$D$155:$D$395&amp;$E$155:$E$395,K$155:K$395),"")</f>
        <v/>
      </c>
      <c r="L715" s="84" t="str" cm="1">
        <f ca="1" t="array" ref="L715">IF($E715&lt;7,_xlfn.XLOOKUP($D715&amp;$E715,$D$155:$D$395&amp;$E$155:$E$395,L$155:L$395),"")</f>
        <v/>
      </c>
      <c r="M715" s="84" t="str" cm="1">
        <f ca="1" t="array" ref="M715">IF($E715&lt;7,_xlfn.XLOOKUP($D715&amp;$E715,$D$155:$D$395&amp;$E$155:$E$395,M$155:M$395),"")</f>
        <v/>
      </c>
      <c r="N715" s="84">
        <v>8</v>
      </c>
      <c r="O715" s="84">
        <v>0</v>
      </c>
      <c r="P715" s="84">
        <v>0</v>
      </c>
      <c r="Q715" s="84">
        <v>0.43</v>
      </c>
      <c r="R715" s="84">
        <v>0.57</v>
      </c>
      <c r="S715" s="90">
        <f ca="1" t="shared" si="181"/>
        <v>375</v>
      </c>
      <c r="T715" s="90" cm="1">
        <f ca="1" t="array" ref="T715">IFERROR(SUMPRODUCT(F715:M715,$F$154:$M$154)+IFERROR(N715*SUMPRODUCT(O715:R715,$O$154:$R$154),0),"")</f>
        <v>12588</v>
      </c>
      <c r="V715" s="94" t="str">
        <f t="shared" si="182"/>
        <v>{62,1}</v>
      </c>
      <c r="W715" t="str">
        <f ca="1" t="shared" si="177"/>
        <v>{6020034,8}</v>
      </c>
      <c r="X715" s="94" t="str">
        <f t="shared" si="183"/>
        <v>{61,465}</v>
      </c>
      <c r="Y715" s="94" t="str">
        <f t="shared" si="184"/>
        <v>{63,600}</v>
      </c>
      <c r="Z715" s="94" t="str">
        <f ca="1" t="shared" si="185"/>
        <v/>
      </c>
      <c r="AA715" s="94" t="str">
        <f ca="1" t="shared" si="186"/>
        <v/>
      </c>
      <c r="AB715" s="94" t="str">
        <f ca="1" t="shared" si="187"/>
        <v/>
      </c>
      <c r="AE715" s="94" t="str">
        <f t="shared" si="188"/>
        <v>{2,1325}</v>
      </c>
      <c r="AH715" t="str">
        <f ca="1" t="shared" si="178"/>
        <v>[{62,1},{6020034,8},{61,465},{63,600},{2,1325}]</v>
      </c>
    </row>
    <row r="716" spans="4:34">
      <c r="D716" s="81" t="str">
        <f ca="1" t="shared" si="179"/>
        <v>非凡Ⅴ</v>
      </c>
      <c r="E716" s="84">
        <f t="shared" si="180"/>
        <v>1</v>
      </c>
      <c r="F716" s="84">
        <f>F708+5</f>
        <v>250</v>
      </c>
      <c r="G716" s="84"/>
      <c r="H716" s="84"/>
      <c r="I716" s="84">
        <f t="shared" si="189"/>
        <v>1350</v>
      </c>
      <c r="J716" s="84">
        <v>4</v>
      </c>
      <c r="K716" s="84" cm="1">
        <f ca="1" t="array" ref="K716">IF($E716&lt;7,_xlfn.XLOOKUP($D716&amp;$E716,$D$155:$D$395&amp;$E$155:$E$395,K$155:K$395),"")</f>
        <v>0</v>
      </c>
      <c r="L716" s="84" cm="1">
        <f ca="1" t="array" ref="L716">IF($E716&lt;7,_xlfn.XLOOKUP($D716&amp;$E716,$D$155:$D$395&amp;$E$155:$E$395,L$155:L$395),"")</f>
        <v>0</v>
      </c>
      <c r="M716" s="84" cm="1">
        <f ca="1" t="array" ref="M716">IF($E716&lt;7,_xlfn.XLOOKUP($D716&amp;$E716,$D$155:$D$395&amp;$E$155:$E$395,M$155:M$395),"")</f>
        <v>0</v>
      </c>
      <c r="N716" s="84" t="s">
        <v>282</v>
      </c>
      <c r="O716" s="84" t="s">
        <v>282</v>
      </c>
      <c r="P716" s="84" t="s">
        <v>282</v>
      </c>
      <c r="Q716" s="84" t="s">
        <v>282</v>
      </c>
      <c r="R716" s="84" t="s">
        <v>282</v>
      </c>
      <c r="S716" s="90">
        <f ca="1" t="shared" si="181"/>
        <v>385</v>
      </c>
      <c r="T716" s="90" cm="1">
        <f ca="1" t="array" ref="T716">IFERROR(SUMPRODUCT(F716:M716,$F$154:$M$154)+IFERROR(N716*SUMPRODUCT(O716:R716,$O$154:$R$154),0),"")</f>
        <v>2400</v>
      </c>
      <c r="V716" s="94" t="str">
        <f t="shared" si="182"/>
        <v/>
      </c>
      <c r="W716" t="str">
        <f ca="1" t="shared" si="177"/>
        <v/>
      </c>
      <c r="X716" s="94" t="str">
        <f t="shared" si="183"/>
        <v>{61,250}</v>
      </c>
      <c r="Y716" s="94" t="str">
        <f t="shared" si="184"/>
        <v/>
      </c>
      <c r="Z716" s="94" t="str">
        <f ca="1" t="shared" si="185"/>
        <v/>
      </c>
      <c r="AA716" s="94" t="str">
        <f ca="1" t="shared" si="186"/>
        <v/>
      </c>
      <c r="AB716" s="94" t="str">
        <f t="shared" si="187"/>
        <v>{6030001,4}</v>
      </c>
      <c r="AE716" s="94" t="str">
        <f t="shared" si="188"/>
        <v>{2,1350}</v>
      </c>
      <c r="AH716" t="str">
        <f ca="1" t="shared" si="178"/>
        <v>[{61,250},{6030001,4},{2,1350}]</v>
      </c>
    </row>
    <row r="717" spans="4:34">
      <c r="D717" s="81" t="str">
        <f ca="1" t="shared" si="179"/>
        <v>非凡Ⅴ</v>
      </c>
      <c r="E717" s="84">
        <f t="shared" si="180"/>
        <v>2</v>
      </c>
      <c r="F717" s="84">
        <f>F709+5</f>
        <v>250</v>
      </c>
      <c r="G717" s="84">
        <f>G709+5</f>
        <v>270</v>
      </c>
      <c r="H717" s="84"/>
      <c r="I717" s="84">
        <f t="shared" si="189"/>
        <v>1350</v>
      </c>
      <c r="J717" s="84" cm="1">
        <f ca="1" t="array" ref="J717">IF($E717&lt;7,_xlfn.XLOOKUP($D717&amp;$E717,$D$155:$D$395&amp;$E$155:$E$395,J$155:J$395),"")</f>
        <v>0</v>
      </c>
      <c r="K717" s="84" cm="1">
        <f ca="1" t="array" ref="K717">IF($E717&lt;7,_xlfn.XLOOKUP($D717&amp;$E717,$D$155:$D$395&amp;$E$155:$E$395,K$155:K$395),"")</f>
        <v>0</v>
      </c>
      <c r="L717" s="84" cm="1">
        <f ca="1" t="array" ref="L717">IF($E717&lt;7,_xlfn.XLOOKUP($D717&amp;$E717,$D$155:$D$395&amp;$E$155:$E$395,L$155:L$395),"")</f>
        <v>0</v>
      </c>
      <c r="M717" s="84" cm="1">
        <f ca="1" t="array" ref="M717">IF($E717&lt;7,_xlfn.XLOOKUP($D717&amp;$E717,$D$155:$D$395&amp;$E$155:$E$395,M$155:M$395),"")</f>
        <v>0</v>
      </c>
      <c r="N717" s="84" t="s">
        <v>282</v>
      </c>
      <c r="O717" s="84" t="s">
        <v>282</v>
      </c>
      <c r="P717" s="84" t="s">
        <v>282</v>
      </c>
      <c r="Q717" s="84" t="s">
        <v>282</v>
      </c>
      <c r="R717" s="84" t="s">
        <v>282</v>
      </c>
      <c r="S717" s="90">
        <f ca="1" t="shared" si="181"/>
        <v>385</v>
      </c>
      <c r="T717" s="90" cm="1">
        <f ca="1" t="array" ref="T717">IFERROR(SUMPRODUCT(F717:M717,$F$154:$M$154)+IFERROR(N717*SUMPRODUCT(O717:R717,$O$154:$R$154),0),"")</f>
        <v>1870</v>
      </c>
      <c r="V717" s="94" t="str">
        <f t="shared" si="182"/>
        <v/>
      </c>
      <c r="W717" t="str">
        <f ca="1" t="shared" si="177"/>
        <v/>
      </c>
      <c r="X717" s="94" t="str">
        <f t="shared" si="183"/>
        <v>{61,250}</v>
      </c>
      <c r="Y717" s="94" t="str">
        <f t="shared" si="184"/>
        <v>{63,270}</v>
      </c>
      <c r="Z717" s="94" t="str">
        <f ca="1" t="shared" si="185"/>
        <v/>
      </c>
      <c r="AA717" s="94" t="str">
        <f ca="1" t="shared" si="186"/>
        <v/>
      </c>
      <c r="AB717" s="94" t="str">
        <f ca="1" t="shared" si="187"/>
        <v/>
      </c>
      <c r="AE717" s="94" t="str">
        <f t="shared" si="188"/>
        <v>{2,1350}</v>
      </c>
      <c r="AH717" t="str">
        <f ca="1" t="shared" si="178"/>
        <v>[{61,250},{63,270},{2,1350}]</v>
      </c>
    </row>
    <row r="718" spans="4:34">
      <c r="D718" s="81" t="str">
        <f ca="1" t="shared" si="179"/>
        <v>非凡Ⅴ</v>
      </c>
      <c r="E718" s="84">
        <f t="shared" si="180"/>
        <v>3</v>
      </c>
      <c r="F718" s="84">
        <f>F710+5</f>
        <v>250</v>
      </c>
      <c r="G718" s="84"/>
      <c r="H718" s="84"/>
      <c r="I718" s="84">
        <f t="shared" si="189"/>
        <v>1350</v>
      </c>
      <c r="J718" s="84">
        <v>5</v>
      </c>
      <c r="K718" s="84"/>
      <c r="L718" s="84" cm="1">
        <f ca="1" t="array" ref="L718">IF($E718&lt;7,_xlfn.XLOOKUP($D718&amp;$E718,$D$155:$D$395&amp;$E$155:$E$395,L$155:L$395),"")</f>
        <v>0</v>
      </c>
      <c r="M718" s="84" cm="1">
        <f ca="1" t="array" ref="M718">IF($E718&lt;7,_xlfn.XLOOKUP($D718&amp;$E718,$D$155:$D$395&amp;$E$155:$E$395,M$155:M$395),"")</f>
        <v>0</v>
      </c>
      <c r="N718" s="84" t="s">
        <v>282</v>
      </c>
      <c r="O718" s="84" t="s">
        <v>282</v>
      </c>
      <c r="P718" s="84" t="s">
        <v>282</v>
      </c>
      <c r="Q718" s="84" t="s">
        <v>282</v>
      </c>
      <c r="R718" s="84" t="s">
        <v>282</v>
      </c>
      <c r="S718" s="90">
        <f ca="1" t="shared" si="181"/>
        <v>385</v>
      </c>
      <c r="T718" s="90" cm="1">
        <f ca="1" t="array" ref="T718">IFERROR(SUMPRODUCT(F718:M718,$F$154:$M$154)+IFERROR(N718*SUMPRODUCT(O718:R718,$O$154:$R$154),0),"")</f>
        <v>2600</v>
      </c>
      <c r="V718" s="94" t="str">
        <f t="shared" si="182"/>
        <v/>
      </c>
      <c r="W718" t="str">
        <f ca="1" t="shared" si="177"/>
        <v/>
      </c>
      <c r="X718" s="94" t="str">
        <f t="shared" si="183"/>
        <v>{61,250}</v>
      </c>
      <c r="Y718" s="94" t="str">
        <f t="shared" si="184"/>
        <v/>
      </c>
      <c r="Z718" s="94" t="str">
        <f ca="1" t="shared" si="185"/>
        <v/>
      </c>
      <c r="AA718" s="94" t="str">
        <f t="shared" si="186"/>
        <v/>
      </c>
      <c r="AB718" s="94" t="str">
        <f t="shared" si="187"/>
        <v>{6030001,5}</v>
      </c>
      <c r="AE718" s="94" t="str">
        <f t="shared" si="188"/>
        <v>{2,1350}</v>
      </c>
      <c r="AH718" t="str">
        <f ca="1" t="shared" si="178"/>
        <v>[{61,250},{6030001,5},{2,1350}]</v>
      </c>
    </row>
    <row r="719" spans="4:34">
      <c r="D719" s="81" t="str">
        <f ca="1" t="shared" si="179"/>
        <v>非凡Ⅴ</v>
      </c>
      <c r="E719" s="84">
        <f t="shared" si="180"/>
        <v>4</v>
      </c>
      <c r="F719" s="84">
        <f>CEILING(F720*1.25,5)</f>
        <v>395</v>
      </c>
      <c r="G719" s="84">
        <f>CEILING(G717*1.5,5)</f>
        <v>405</v>
      </c>
      <c r="H719" s="84"/>
      <c r="I719" s="84">
        <f t="shared" si="189"/>
        <v>1350</v>
      </c>
      <c r="J719" s="84" cm="1">
        <f ca="1" t="array" ref="J719">IF($E719&lt;7,_xlfn.XLOOKUP($D719&amp;$E719,$D$155:$D$395&amp;$E$155:$E$395,J$155:J$395),"")</f>
        <v>0</v>
      </c>
      <c r="K719" s="84" cm="1">
        <f ca="1" t="array" ref="K719">IF($E719&lt;7,_xlfn.XLOOKUP($D719&amp;$E719,$D$155:$D$395&amp;$E$155:$E$395,K$155:K$395),"")</f>
        <v>0</v>
      </c>
      <c r="L719" s="84" cm="1">
        <f ca="1" t="array" ref="L719">IF($E719&lt;7,_xlfn.XLOOKUP($D719&amp;$E719,$D$155:$D$395&amp;$E$155:$E$395,L$155:L$395),"")</f>
        <v>0</v>
      </c>
      <c r="M719" s="84" cm="1">
        <f ca="1" t="array" ref="M719">IF($E719&lt;7,_xlfn.XLOOKUP($D719&amp;$E719,$D$155:$D$395&amp;$E$155:$E$395,M$155:M$395),"")</f>
        <v>0</v>
      </c>
      <c r="N719" s="84" t="s">
        <v>282</v>
      </c>
      <c r="O719" s="84" t="s">
        <v>282</v>
      </c>
      <c r="P719" s="84" t="s">
        <v>282</v>
      </c>
      <c r="Q719" s="84" t="s">
        <v>282</v>
      </c>
      <c r="R719" s="84" t="s">
        <v>282</v>
      </c>
      <c r="S719" s="90">
        <f ca="1" t="shared" si="181"/>
        <v>385</v>
      </c>
      <c r="T719" s="90" cm="1">
        <f ca="1" t="array" ref="T719">IFERROR(SUMPRODUCT(F719:M719,$F$154:$M$154)+IFERROR(N719*SUMPRODUCT(O719:R719,$O$154:$R$154),0),"")</f>
        <v>2150</v>
      </c>
      <c r="V719" s="94" t="str">
        <f t="shared" si="182"/>
        <v/>
      </c>
      <c r="W719" t="str">
        <f ca="1" t="shared" si="177"/>
        <v/>
      </c>
      <c r="X719" s="94" t="str">
        <f t="shared" si="183"/>
        <v>{61,395}</v>
      </c>
      <c r="Y719" s="94" t="str">
        <f t="shared" si="184"/>
        <v>{63,405}</v>
      </c>
      <c r="Z719" s="94" t="str">
        <f ca="1" t="shared" si="185"/>
        <v/>
      </c>
      <c r="AA719" s="94" t="str">
        <f ca="1" t="shared" si="186"/>
        <v/>
      </c>
      <c r="AB719" s="94" t="str">
        <f ca="1" t="shared" si="187"/>
        <v/>
      </c>
      <c r="AE719" s="94" t="str">
        <f t="shared" si="188"/>
        <v>{2,1350}</v>
      </c>
      <c r="AH719" t="str">
        <f ca="1" t="shared" si="178"/>
        <v>[{61,395},{63,405},{2,1350}]</v>
      </c>
    </row>
    <row r="720" spans="4:34">
      <c r="D720" s="81" t="str">
        <f ca="1" t="shared" si="179"/>
        <v>非凡Ⅴ</v>
      </c>
      <c r="E720" s="84">
        <f t="shared" si="180"/>
        <v>5</v>
      </c>
      <c r="F720" s="84">
        <f>CEILING(F716*1.25,5)</f>
        <v>315</v>
      </c>
      <c r="G720" s="84"/>
      <c r="H720" s="84"/>
      <c r="I720" s="84">
        <f t="shared" si="189"/>
        <v>1350</v>
      </c>
      <c r="J720" s="84" cm="1">
        <f ca="1" t="array" ref="J720">IF($E720&lt;7,_xlfn.XLOOKUP($D720&amp;$E720,$D$155:$D$395&amp;$E$155:$E$395,J$155:J$395),"")</f>
        <v>0</v>
      </c>
      <c r="K720" s="84">
        <v>6</v>
      </c>
      <c r="L720" s="84"/>
      <c r="M720" s="84" cm="1">
        <f ca="1" t="array" ref="M720">IF($E720&lt;7,_xlfn.XLOOKUP($D720&amp;$E720,$D$155:$D$395&amp;$E$155:$E$395,M$155:M$395),"")</f>
        <v>0</v>
      </c>
      <c r="N720" s="84" t="s">
        <v>282</v>
      </c>
      <c r="O720" s="84" t="s">
        <v>282</v>
      </c>
      <c r="P720" s="84" t="s">
        <v>282</v>
      </c>
      <c r="Q720" s="84" t="s">
        <v>282</v>
      </c>
      <c r="R720" s="84" t="s">
        <v>282</v>
      </c>
      <c r="S720" s="90">
        <f ca="1" t="shared" si="181"/>
        <v>385</v>
      </c>
      <c r="T720" s="90" cm="1">
        <f ca="1" t="array" ref="T720">IFERROR(SUMPRODUCT(F720:M720,$F$154:$M$154)+IFERROR(N720*SUMPRODUCT(O720:R720,$O$154:$R$154),0),"")</f>
        <v>4065</v>
      </c>
      <c r="V720" s="94" t="str">
        <f t="shared" si="182"/>
        <v/>
      </c>
      <c r="W720" t="str">
        <f ca="1" t="shared" si="177"/>
        <v/>
      </c>
      <c r="X720" s="94" t="str">
        <f t="shared" si="183"/>
        <v>{61,315}</v>
      </c>
      <c r="Y720" s="94" t="str">
        <f t="shared" si="184"/>
        <v/>
      </c>
      <c r="Z720" s="94" t="str">
        <f t="shared" si="185"/>
        <v/>
      </c>
      <c r="AA720" s="94" t="str">
        <f t="shared" si="186"/>
        <v>{6030002,6}</v>
      </c>
      <c r="AB720" s="94" t="str">
        <f ca="1" t="shared" si="187"/>
        <v/>
      </c>
      <c r="AE720" s="94" t="str">
        <f t="shared" si="188"/>
        <v>{2,1350}</v>
      </c>
      <c r="AH720" t="str">
        <f ca="1" t="shared" si="178"/>
        <v>[{61,315},{6030002,6},{2,1350}]</v>
      </c>
    </row>
    <row r="721" spans="4:34">
      <c r="D721" s="81" t="str">
        <f ca="1" t="shared" si="179"/>
        <v>非凡Ⅴ</v>
      </c>
      <c r="E721" s="84">
        <f t="shared" si="180"/>
        <v>6</v>
      </c>
      <c r="F721" s="84">
        <f>CEILING(F717*1.25,5)</f>
        <v>315</v>
      </c>
      <c r="G721" s="84">
        <f>G719</f>
        <v>405</v>
      </c>
      <c r="H721" s="84"/>
      <c r="I721" s="84">
        <f t="shared" si="189"/>
        <v>1350</v>
      </c>
      <c r="J721" s="84" cm="1">
        <f ca="1" t="array" ref="J721">IF($E721&lt;7,_xlfn.XLOOKUP($D721&amp;$E721,$D$155:$D$395&amp;$E$155:$E$395,J$155:J$395),"")</f>
        <v>0</v>
      </c>
      <c r="K721" s="84" cm="1">
        <f ca="1" t="array" ref="K721">IF($E721&lt;7,_xlfn.XLOOKUP($D721&amp;$E721,$D$155:$D$395&amp;$E$155:$E$395,K$155:K$395),"")</f>
        <v>0</v>
      </c>
      <c r="L721" s="84" cm="1">
        <f ca="1" t="array" ref="L721">IF($E721&lt;7,_xlfn.XLOOKUP($D721&amp;$E721,$D$155:$D$395&amp;$E$155:$E$395,L$155:L$395),"")</f>
        <v>0</v>
      </c>
      <c r="M721" s="84" cm="1">
        <f ca="1" t="array" ref="M721">IF($E721&lt;7,_xlfn.XLOOKUP($D721&amp;$E721,$D$155:$D$395&amp;$E$155:$E$395,M$155:M$395),"")</f>
        <v>0</v>
      </c>
      <c r="N721" s="84" t="s">
        <v>282</v>
      </c>
      <c r="O721" s="84" t="s">
        <v>282</v>
      </c>
      <c r="P721" s="84" t="s">
        <v>282</v>
      </c>
      <c r="Q721" s="84" t="s">
        <v>282</v>
      </c>
      <c r="R721" s="84" t="s">
        <v>282</v>
      </c>
      <c r="S721" s="90">
        <f ca="1" t="shared" si="181"/>
        <v>385</v>
      </c>
      <c r="T721" s="90" cm="1">
        <f ca="1" t="array" ref="T721">IFERROR(SUMPRODUCT(F721:M721,$F$154:$M$154)+IFERROR(N721*SUMPRODUCT(O721:R721,$O$154:$R$154),0),"")</f>
        <v>2070</v>
      </c>
      <c r="V721" s="94" t="str">
        <f t="shared" si="182"/>
        <v/>
      </c>
      <c r="W721" t="str">
        <f ca="1" t="shared" si="177"/>
        <v/>
      </c>
      <c r="X721" s="94" t="str">
        <f t="shared" si="183"/>
        <v>{61,315}</v>
      </c>
      <c r="Y721" s="94" t="str">
        <f t="shared" si="184"/>
        <v>{63,405}</v>
      </c>
      <c r="Z721" s="94" t="str">
        <f ca="1" t="shared" si="185"/>
        <v/>
      </c>
      <c r="AA721" s="94" t="str">
        <f ca="1" t="shared" si="186"/>
        <v/>
      </c>
      <c r="AB721" s="94" t="str">
        <f ca="1" t="shared" si="187"/>
        <v/>
      </c>
      <c r="AE721" s="94" t="str">
        <f t="shared" si="188"/>
        <v>{2,1350}</v>
      </c>
      <c r="AH721" t="str">
        <f ca="1" t="shared" si="178"/>
        <v>[{61,315},{63,405},{2,1350}]</v>
      </c>
    </row>
    <row r="722" spans="4:34">
      <c r="D722" s="81" t="str">
        <f ca="1" t="shared" si="179"/>
        <v>非凡Ⅴ</v>
      </c>
      <c r="E722" s="84">
        <f t="shared" si="180"/>
        <v>7</v>
      </c>
      <c r="F722" s="84">
        <f>CEILING(F718*1.25,5)</f>
        <v>315</v>
      </c>
      <c r="G722" s="84"/>
      <c r="H722" s="84"/>
      <c r="I722" s="84">
        <f t="shared" si="189"/>
        <v>1350</v>
      </c>
      <c r="J722" s="84" t="str" cm="1">
        <f ca="1" t="array" ref="J722">IF($E722&lt;7,_xlfn.XLOOKUP($D722&amp;$E722,$D$155:$D$395&amp;$E$155:$E$395,J$155:J$395),"")</f>
        <v/>
      </c>
      <c r="K722" s="84" t="str" cm="1">
        <f ca="1" t="array" ref="K722">IF($E722&lt;7,_xlfn.XLOOKUP($D722&amp;$E722,$D$155:$D$395&amp;$E$155:$E$395,K$155:K$395),"")</f>
        <v/>
      </c>
      <c r="L722" s="84">
        <v>5</v>
      </c>
      <c r="M722" s="84" t="str" cm="1">
        <f ca="1" t="array" ref="M722">IF($E722&lt;7,_xlfn.XLOOKUP($D722&amp;$E722,$D$155:$D$395&amp;$E$155:$E$395,M$155:M$395),"")</f>
        <v/>
      </c>
      <c r="N722" s="84" t="s">
        <v>282</v>
      </c>
      <c r="O722" s="84" t="s">
        <v>282</v>
      </c>
      <c r="P722" s="84" t="s">
        <v>282</v>
      </c>
      <c r="Q722" s="84" t="s">
        <v>282</v>
      </c>
      <c r="R722" s="84" t="s">
        <v>282</v>
      </c>
      <c r="S722" s="90">
        <f ca="1" t="shared" si="181"/>
        <v>385</v>
      </c>
      <c r="T722" s="90" cm="1">
        <f ca="1" t="array" ref="T722">IFERROR(SUMPRODUCT(F722:M722,$F$154:$M$154)+IFERROR(N722*SUMPRODUCT(O722:R722,$O$154:$R$154),0),"")</f>
        <v>5665</v>
      </c>
      <c r="V722" s="94" t="str">
        <f t="shared" si="182"/>
        <v/>
      </c>
      <c r="W722" t="str">
        <f ca="1" t="shared" si="177"/>
        <v/>
      </c>
      <c r="X722" s="94" t="str">
        <f t="shared" si="183"/>
        <v>{61,315}</v>
      </c>
      <c r="Y722" s="94" t="str">
        <f t="shared" si="184"/>
        <v/>
      </c>
      <c r="Z722" s="94" t="str">
        <f t="shared" si="185"/>
        <v>{6030003,5}</v>
      </c>
      <c r="AA722" s="94" t="str">
        <f ca="1" t="shared" si="186"/>
        <v/>
      </c>
      <c r="AB722" s="94" t="str">
        <f ca="1" t="shared" si="187"/>
        <v/>
      </c>
      <c r="AE722" s="94" t="str">
        <f t="shared" si="188"/>
        <v>{2,1350}</v>
      </c>
      <c r="AH722" t="str">
        <f ca="1" t="shared" si="178"/>
        <v>[{61,315},{6030003,5},{2,1350}]</v>
      </c>
    </row>
    <row r="723" spans="4:34">
      <c r="D723" s="81" t="str">
        <f ca="1" t="shared" si="179"/>
        <v>非凡Ⅴ</v>
      </c>
      <c r="E723" s="84">
        <f t="shared" si="180"/>
        <v>8</v>
      </c>
      <c r="F723" s="84">
        <f>CEILING(F722*1.5,5)</f>
        <v>475</v>
      </c>
      <c r="G723" s="84">
        <f>CEILING(G721*1.5,5)</f>
        <v>610</v>
      </c>
      <c r="H723" s="84">
        <f>1</f>
        <v>1</v>
      </c>
      <c r="I723" s="84">
        <f t="shared" si="189"/>
        <v>1350</v>
      </c>
      <c r="J723" s="84" t="str" cm="1">
        <f ca="1" t="array" ref="J723">IF($E723&lt;7,_xlfn.XLOOKUP($D723&amp;$E723,$D$155:$D$395&amp;$E$155:$E$395,J$155:J$395),"")</f>
        <v/>
      </c>
      <c r="K723" s="84" t="str" cm="1">
        <f ca="1" t="array" ref="K723">IF($E723&lt;7,_xlfn.XLOOKUP($D723&amp;$E723,$D$155:$D$395&amp;$E$155:$E$395,K$155:K$395),"")</f>
        <v/>
      </c>
      <c r="L723" s="84" t="str" cm="1">
        <f ca="1" t="array" ref="L723">IF($E723&lt;7,_xlfn.XLOOKUP($D723&amp;$E723,$D$155:$D$395&amp;$E$155:$E$395,L$155:L$395),"")</f>
        <v/>
      </c>
      <c r="M723" s="84" t="str" cm="1">
        <f ca="1" t="array" ref="M723">IF($E723&lt;7,_xlfn.XLOOKUP($D723&amp;$E723,$D$155:$D$395&amp;$E$155:$E$395,M$155:M$395),"")</f>
        <v/>
      </c>
      <c r="N723" s="84">
        <v>8</v>
      </c>
      <c r="O723" s="84">
        <v>0</v>
      </c>
      <c r="P723" s="84">
        <v>0</v>
      </c>
      <c r="Q723" s="84">
        <v>0.4</v>
      </c>
      <c r="R723" s="84">
        <v>0.6</v>
      </c>
      <c r="S723" s="90">
        <f ca="1" t="shared" si="181"/>
        <v>385</v>
      </c>
      <c r="T723" s="90" cm="1">
        <f ca="1" t="array" ref="T723">IFERROR(SUMPRODUCT(F723:M723,$F$154:$M$154)+IFERROR(N723*SUMPRODUCT(O723:R723,$O$154:$R$154),0),"")</f>
        <v>12825</v>
      </c>
      <c r="V723" s="94" t="str">
        <f t="shared" si="182"/>
        <v>{62,1}</v>
      </c>
      <c r="W723" t="str">
        <f ca="1" t="shared" si="177"/>
        <v>{6020035,8}</v>
      </c>
      <c r="X723" s="94" t="str">
        <f t="shared" si="183"/>
        <v>{61,475}</v>
      </c>
      <c r="Y723" s="94" t="str">
        <f t="shared" si="184"/>
        <v>{63,610}</v>
      </c>
      <c r="Z723" s="94" t="str">
        <f ca="1" t="shared" si="185"/>
        <v/>
      </c>
      <c r="AA723" s="94" t="str">
        <f ca="1" t="shared" si="186"/>
        <v/>
      </c>
      <c r="AB723" s="94" t="str">
        <f ca="1" t="shared" si="187"/>
        <v/>
      </c>
      <c r="AE723" s="94" t="str">
        <f t="shared" si="188"/>
        <v>{2,1350}</v>
      </c>
      <c r="AH723" t="str">
        <f ca="1" t="shared" si="178"/>
        <v>[{62,1},{6020035,8},{61,475},{63,610},{2,1350}]</v>
      </c>
    </row>
    <row r="724" spans="4:34">
      <c r="D724" s="81" t="str">
        <f ca="1" t="shared" si="179"/>
        <v>至臻Ⅰ</v>
      </c>
      <c r="E724" s="84">
        <f t="shared" si="180"/>
        <v>1</v>
      </c>
      <c r="F724" s="84">
        <f>F716+5</f>
        <v>255</v>
      </c>
      <c r="G724" s="84"/>
      <c r="H724" s="84"/>
      <c r="I724" s="84">
        <f t="shared" si="189"/>
        <v>1375</v>
      </c>
      <c r="J724" s="84">
        <v>4</v>
      </c>
      <c r="K724" s="84" cm="1">
        <f ca="1" t="array" ref="K724">IF($E724&lt;7,_xlfn.XLOOKUP($D724&amp;$E724,$D$155:$D$395&amp;$E$155:$E$395,K$155:K$395),"")</f>
        <v>0</v>
      </c>
      <c r="L724" s="84" cm="1">
        <f ca="1" t="array" ref="L724">IF($E724&lt;7,_xlfn.XLOOKUP($D724&amp;$E724,$D$155:$D$395&amp;$E$155:$E$395,L$155:L$395),"")</f>
        <v>0</v>
      </c>
      <c r="M724" s="84" cm="1">
        <f ca="1" t="array" ref="M724">IF($E724&lt;7,_xlfn.XLOOKUP($D724&amp;$E724,$D$155:$D$395&amp;$E$155:$E$395,M$155:M$395),"")</f>
        <v>0</v>
      </c>
      <c r="N724" s="84" t="s">
        <v>282</v>
      </c>
      <c r="O724" s="84" t="s">
        <v>282</v>
      </c>
      <c r="P724" s="84" t="s">
        <v>282</v>
      </c>
      <c r="Q724" s="84" t="s">
        <v>282</v>
      </c>
      <c r="R724" s="84" t="s">
        <v>282</v>
      </c>
      <c r="S724" s="90">
        <f ca="1" t="shared" si="181"/>
        <v>395</v>
      </c>
      <c r="T724" s="90" cm="1">
        <f ca="1" t="array" ref="T724">IFERROR(SUMPRODUCT(F724:M724,$F$154:$M$154)+IFERROR(N724*SUMPRODUCT(O724:R724,$O$154:$R$154),0),"")</f>
        <v>2430</v>
      </c>
      <c r="V724" s="94" t="str">
        <f t="shared" si="182"/>
        <v/>
      </c>
      <c r="W724" t="str">
        <f ca="1" t="shared" si="177"/>
        <v/>
      </c>
      <c r="X724" s="94" t="str">
        <f t="shared" si="183"/>
        <v>{61,255}</v>
      </c>
      <c r="Y724" s="94" t="str">
        <f t="shared" si="184"/>
        <v/>
      </c>
      <c r="Z724" s="94" t="str">
        <f ca="1" t="shared" si="185"/>
        <v/>
      </c>
      <c r="AA724" s="94" t="str">
        <f ca="1" t="shared" si="186"/>
        <v/>
      </c>
      <c r="AB724" s="94" t="str">
        <f t="shared" si="187"/>
        <v>{6030001,4}</v>
      </c>
      <c r="AE724" s="94" t="str">
        <f t="shared" si="188"/>
        <v>{2,1375}</v>
      </c>
      <c r="AH724" t="str">
        <f ca="1" t="shared" si="178"/>
        <v>[{61,255},{6030001,4},{2,1375}]</v>
      </c>
    </row>
    <row r="725" spans="4:34">
      <c r="D725" s="81" t="str">
        <f ca="1" t="shared" si="179"/>
        <v>至臻Ⅰ</v>
      </c>
      <c r="E725" s="84">
        <f t="shared" si="180"/>
        <v>2</v>
      </c>
      <c r="F725" s="84">
        <f>F717+5</f>
        <v>255</v>
      </c>
      <c r="G725" s="84">
        <f>G717+5</f>
        <v>275</v>
      </c>
      <c r="H725" s="84"/>
      <c r="I725" s="84">
        <f t="shared" si="189"/>
        <v>1375</v>
      </c>
      <c r="J725" s="84" cm="1">
        <f ca="1" t="array" ref="J725">IF($E725&lt;7,_xlfn.XLOOKUP($D725&amp;$E725,$D$155:$D$395&amp;$E$155:$E$395,J$155:J$395),"")</f>
        <v>0</v>
      </c>
      <c r="K725" s="84" cm="1">
        <f ca="1" t="array" ref="K725">IF($E725&lt;7,_xlfn.XLOOKUP($D725&amp;$E725,$D$155:$D$395&amp;$E$155:$E$395,K$155:K$395),"")</f>
        <v>0</v>
      </c>
      <c r="L725" s="84" cm="1">
        <f ca="1" t="array" ref="L725">IF($E725&lt;7,_xlfn.XLOOKUP($D725&amp;$E725,$D$155:$D$395&amp;$E$155:$E$395,L$155:L$395),"")</f>
        <v>0</v>
      </c>
      <c r="M725" s="84" cm="1">
        <f ca="1" t="array" ref="M725">IF($E725&lt;7,_xlfn.XLOOKUP($D725&amp;$E725,$D$155:$D$395&amp;$E$155:$E$395,M$155:M$395),"")</f>
        <v>0</v>
      </c>
      <c r="N725" s="84" t="s">
        <v>282</v>
      </c>
      <c r="O725" s="84" t="s">
        <v>282</v>
      </c>
      <c r="P725" s="84" t="s">
        <v>282</v>
      </c>
      <c r="Q725" s="84" t="s">
        <v>282</v>
      </c>
      <c r="R725" s="84" t="s">
        <v>282</v>
      </c>
      <c r="S725" s="90">
        <f ca="1" t="shared" si="181"/>
        <v>395</v>
      </c>
      <c r="T725" s="90" cm="1">
        <f ca="1" t="array" ref="T725">IFERROR(SUMPRODUCT(F725:M725,$F$154:$M$154)+IFERROR(N725*SUMPRODUCT(O725:R725,$O$154:$R$154),0),"")</f>
        <v>1905</v>
      </c>
      <c r="V725" s="94" t="str">
        <f t="shared" si="182"/>
        <v/>
      </c>
      <c r="W725" t="str">
        <f ca="1" t="shared" si="177"/>
        <v/>
      </c>
      <c r="X725" s="94" t="str">
        <f t="shared" si="183"/>
        <v>{61,255}</v>
      </c>
      <c r="Y725" s="94" t="str">
        <f t="shared" si="184"/>
        <v>{63,275}</v>
      </c>
      <c r="Z725" s="94" t="str">
        <f ca="1" t="shared" si="185"/>
        <v/>
      </c>
      <c r="AA725" s="94" t="str">
        <f ca="1" t="shared" si="186"/>
        <v/>
      </c>
      <c r="AB725" s="94" t="str">
        <f ca="1" t="shared" si="187"/>
        <v/>
      </c>
      <c r="AE725" s="94" t="str">
        <f t="shared" si="188"/>
        <v>{2,1375}</v>
      </c>
      <c r="AH725" t="str">
        <f ca="1" t="shared" si="178"/>
        <v>[{61,255},{63,275},{2,1375}]</v>
      </c>
    </row>
    <row r="726" spans="4:34">
      <c r="D726" s="81" t="str">
        <f ca="1" t="shared" si="179"/>
        <v>至臻Ⅰ</v>
      </c>
      <c r="E726" s="84">
        <f t="shared" si="180"/>
        <v>3</v>
      </c>
      <c r="F726" s="84">
        <f>F718+5</f>
        <v>255</v>
      </c>
      <c r="G726" s="84"/>
      <c r="H726" s="84"/>
      <c r="I726" s="84">
        <f t="shared" si="189"/>
        <v>1375</v>
      </c>
      <c r="J726" s="84">
        <v>5</v>
      </c>
      <c r="K726" s="84"/>
      <c r="L726" s="84" cm="1">
        <f ca="1" t="array" ref="L726">IF($E726&lt;7,_xlfn.XLOOKUP($D726&amp;$E726,$D$155:$D$395&amp;$E$155:$E$395,L$155:L$395),"")</f>
        <v>0</v>
      </c>
      <c r="M726" s="84" cm="1">
        <f ca="1" t="array" ref="M726">IF($E726&lt;7,_xlfn.XLOOKUP($D726&amp;$E726,$D$155:$D$395&amp;$E$155:$E$395,M$155:M$395),"")</f>
        <v>0</v>
      </c>
      <c r="N726" s="84" t="s">
        <v>282</v>
      </c>
      <c r="O726" s="84" t="s">
        <v>282</v>
      </c>
      <c r="P726" s="84" t="s">
        <v>282</v>
      </c>
      <c r="Q726" s="84" t="s">
        <v>282</v>
      </c>
      <c r="R726" s="84" t="s">
        <v>282</v>
      </c>
      <c r="S726" s="90">
        <f ca="1" t="shared" si="181"/>
        <v>395</v>
      </c>
      <c r="T726" s="90" cm="1">
        <f ca="1" t="array" ref="T726">IFERROR(SUMPRODUCT(F726:M726,$F$154:$M$154)+IFERROR(N726*SUMPRODUCT(O726:R726,$O$154:$R$154),0),"")</f>
        <v>2630</v>
      </c>
      <c r="V726" s="94" t="str">
        <f t="shared" si="182"/>
        <v/>
      </c>
      <c r="W726" t="str">
        <f ca="1" t="shared" si="177"/>
        <v/>
      </c>
      <c r="X726" s="94" t="str">
        <f t="shared" si="183"/>
        <v>{61,255}</v>
      </c>
      <c r="Y726" s="94" t="str">
        <f t="shared" si="184"/>
        <v/>
      </c>
      <c r="Z726" s="94" t="str">
        <f ca="1" t="shared" si="185"/>
        <v/>
      </c>
      <c r="AA726" s="94" t="str">
        <f t="shared" si="186"/>
        <v/>
      </c>
      <c r="AB726" s="94" t="str">
        <f t="shared" si="187"/>
        <v>{6030001,5}</v>
      </c>
      <c r="AE726" s="94" t="str">
        <f t="shared" si="188"/>
        <v>{2,1375}</v>
      </c>
      <c r="AH726" t="str">
        <f ca="1" t="shared" si="178"/>
        <v>[{61,255},{6030001,5},{2,1375}]</v>
      </c>
    </row>
    <row r="727" spans="4:34">
      <c r="D727" s="81" t="str">
        <f ca="1" t="shared" si="179"/>
        <v>至臻Ⅰ</v>
      </c>
      <c r="E727" s="84">
        <f t="shared" si="180"/>
        <v>4</v>
      </c>
      <c r="F727" s="84">
        <f>CEILING(F728*1.25,5)</f>
        <v>400</v>
      </c>
      <c r="G727" s="84">
        <f>CEILING(G725*1.5,5)</f>
        <v>415</v>
      </c>
      <c r="H727" s="84"/>
      <c r="I727" s="84">
        <f t="shared" si="189"/>
        <v>1375</v>
      </c>
      <c r="J727" s="84" cm="1">
        <f ca="1" t="array" ref="J727">IF($E727&lt;7,_xlfn.XLOOKUP($D727&amp;$E727,$D$155:$D$395&amp;$E$155:$E$395,J$155:J$395),"")</f>
        <v>0</v>
      </c>
      <c r="K727" s="84" cm="1">
        <f ca="1" t="array" ref="K727">IF($E727&lt;7,_xlfn.XLOOKUP($D727&amp;$E727,$D$155:$D$395&amp;$E$155:$E$395,K$155:K$395),"")</f>
        <v>0</v>
      </c>
      <c r="L727" s="84" cm="1">
        <f ca="1" t="array" ref="L727">IF($E727&lt;7,_xlfn.XLOOKUP($D727&amp;$E727,$D$155:$D$395&amp;$E$155:$E$395,L$155:L$395),"")</f>
        <v>0</v>
      </c>
      <c r="M727" s="84" cm="1">
        <f ca="1" t="array" ref="M727">IF($E727&lt;7,_xlfn.XLOOKUP($D727&amp;$E727,$D$155:$D$395&amp;$E$155:$E$395,M$155:M$395),"")</f>
        <v>0</v>
      </c>
      <c r="N727" s="84" t="s">
        <v>282</v>
      </c>
      <c r="O727" s="84" t="s">
        <v>282</v>
      </c>
      <c r="P727" s="84" t="s">
        <v>282</v>
      </c>
      <c r="Q727" s="84" t="s">
        <v>282</v>
      </c>
      <c r="R727" s="84" t="s">
        <v>282</v>
      </c>
      <c r="S727" s="90">
        <f ca="1" t="shared" si="181"/>
        <v>395</v>
      </c>
      <c r="T727" s="90" cm="1">
        <f ca="1" t="array" ref="T727">IFERROR(SUMPRODUCT(F727:M727,$F$154:$M$154)+IFERROR(N727*SUMPRODUCT(O727:R727,$O$154:$R$154),0),"")</f>
        <v>2190</v>
      </c>
      <c r="V727" s="94" t="str">
        <f t="shared" si="182"/>
        <v/>
      </c>
      <c r="W727" t="str">
        <f ca="1" t="shared" si="177"/>
        <v/>
      </c>
      <c r="X727" s="94" t="str">
        <f t="shared" si="183"/>
        <v>{61,400}</v>
      </c>
      <c r="Y727" s="94" t="str">
        <f t="shared" si="184"/>
        <v>{63,415}</v>
      </c>
      <c r="Z727" s="94" t="str">
        <f ca="1" t="shared" si="185"/>
        <v/>
      </c>
      <c r="AA727" s="94" t="str">
        <f ca="1" t="shared" si="186"/>
        <v/>
      </c>
      <c r="AB727" s="94" t="str">
        <f ca="1" t="shared" si="187"/>
        <v/>
      </c>
      <c r="AE727" s="94" t="str">
        <f t="shared" si="188"/>
        <v>{2,1375}</v>
      </c>
      <c r="AH727" t="str">
        <f ca="1" t="shared" si="178"/>
        <v>[{61,400},{63,415},{2,1375}]</v>
      </c>
    </row>
    <row r="728" spans="4:34">
      <c r="D728" s="81" t="str">
        <f ca="1" t="shared" si="179"/>
        <v>至臻Ⅰ</v>
      </c>
      <c r="E728" s="84">
        <f t="shared" si="180"/>
        <v>5</v>
      </c>
      <c r="F728" s="84">
        <f>CEILING(F724*1.25,5)</f>
        <v>320</v>
      </c>
      <c r="G728" s="84"/>
      <c r="H728" s="84"/>
      <c r="I728" s="84">
        <f t="shared" si="189"/>
        <v>1375</v>
      </c>
      <c r="J728" s="84" cm="1">
        <f ca="1" t="array" ref="J728">IF($E728&lt;7,_xlfn.XLOOKUP($D728&amp;$E728,$D$155:$D$395&amp;$E$155:$E$395,J$155:J$395),"")</f>
        <v>0</v>
      </c>
      <c r="K728" s="84">
        <v>6</v>
      </c>
      <c r="L728" s="84"/>
      <c r="M728" s="84" cm="1">
        <f ca="1" t="array" ref="M728">IF($E728&lt;7,_xlfn.XLOOKUP($D728&amp;$E728,$D$155:$D$395&amp;$E$155:$E$395,M$155:M$395),"")</f>
        <v>0</v>
      </c>
      <c r="N728" s="84" t="s">
        <v>282</v>
      </c>
      <c r="O728" s="84" t="s">
        <v>282</v>
      </c>
      <c r="P728" s="84" t="s">
        <v>282</v>
      </c>
      <c r="Q728" s="84" t="s">
        <v>282</v>
      </c>
      <c r="R728" s="84" t="s">
        <v>282</v>
      </c>
      <c r="S728" s="90">
        <f ca="1" t="shared" si="181"/>
        <v>395</v>
      </c>
      <c r="T728" s="90" cm="1">
        <f ca="1" t="array" ref="T728">IFERROR(SUMPRODUCT(F728:M728,$F$154:$M$154)+IFERROR(N728*SUMPRODUCT(O728:R728,$O$154:$R$154),0),"")</f>
        <v>4095</v>
      </c>
      <c r="V728" s="94" t="str">
        <f t="shared" si="182"/>
        <v/>
      </c>
      <c r="W728" t="str">
        <f ca="1" t="shared" si="177"/>
        <v/>
      </c>
      <c r="X728" s="94" t="str">
        <f t="shared" si="183"/>
        <v>{61,320}</v>
      </c>
      <c r="Y728" s="94" t="str">
        <f t="shared" si="184"/>
        <v/>
      </c>
      <c r="Z728" s="94" t="str">
        <f t="shared" si="185"/>
        <v/>
      </c>
      <c r="AA728" s="94" t="str">
        <f t="shared" si="186"/>
        <v>{6030002,6}</v>
      </c>
      <c r="AB728" s="94" t="str">
        <f ca="1" t="shared" si="187"/>
        <v/>
      </c>
      <c r="AE728" s="94" t="str">
        <f t="shared" si="188"/>
        <v>{2,1375}</v>
      </c>
      <c r="AH728" t="str">
        <f ca="1" t="shared" si="178"/>
        <v>[{61,320},{6030002,6},{2,1375}]</v>
      </c>
    </row>
    <row r="729" spans="4:34">
      <c r="D729" s="81" t="str">
        <f ca="1" t="shared" si="179"/>
        <v>至臻Ⅰ</v>
      </c>
      <c r="E729" s="84">
        <f t="shared" si="180"/>
        <v>6</v>
      </c>
      <c r="F729" s="84">
        <f>CEILING(F725*1.25,5)</f>
        <v>320</v>
      </c>
      <c r="G729" s="84">
        <f>G727</f>
        <v>415</v>
      </c>
      <c r="H729" s="84"/>
      <c r="I729" s="84">
        <f t="shared" si="189"/>
        <v>1375</v>
      </c>
      <c r="J729" s="84" cm="1">
        <f ca="1" t="array" ref="J729">IF($E729&lt;7,_xlfn.XLOOKUP($D729&amp;$E729,$D$155:$D$395&amp;$E$155:$E$395,J$155:J$395),"")</f>
        <v>0</v>
      </c>
      <c r="K729" s="84" cm="1">
        <f ca="1" t="array" ref="K729">IF($E729&lt;7,_xlfn.XLOOKUP($D729&amp;$E729,$D$155:$D$395&amp;$E$155:$E$395,K$155:K$395),"")</f>
        <v>0</v>
      </c>
      <c r="L729" s="84" cm="1">
        <f ca="1" t="array" ref="L729">IF($E729&lt;7,_xlfn.XLOOKUP($D729&amp;$E729,$D$155:$D$395&amp;$E$155:$E$395,L$155:L$395),"")</f>
        <v>0</v>
      </c>
      <c r="M729" s="84" cm="1">
        <f ca="1" t="array" ref="M729">IF($E729&lt;7,_xlfn.XLOOKUP($D729&amp;$E729,$D$155:$D$395&amp;$E$155:$E$395,M$155:M$395),"")</f>
        <v>0</v>
      </c>
      <c r="N729" s="84" t="s">
        <v>282</v>
      </c>
      <c r="O729" s="84" t="s">
        <v>282</v>
      </c>
      <c r="P729" s="84" t="s">
        <v>282</v>
      </c>
      <c r="Q729" s="84" t="s">
        <v>282</v>
      </c>
      <c r="R729" s="84" t="s">
        <v>282</v>
      </c>
      <c r="S729" s="90">
        <f ca="1" t="shared" si="181"/>
        <v>395</v>
      </c>
      <c r="T729" s="90" cm="1">
        <f ca="1" t="array" ref="T729">IFERROR(SUMPRODUCT(F729:M729,$F$154:$M$154)+IFERROR(N729*SUMPRODUCT(O729:R729,$O$154:$R$154),0),"")</f>
        <v>2110</v>
      </c>
      <c r="V729" s="94" t="str">
        <f t="shared" si="182"/>
        <v/>
      </c>
      <c r="W729" t="str">
        <f ca="1" t="shared" si="177"/>
        <v/>
      </c>
      <c r="X729" s="94" t="str">
        <f t="shared" si="183"/>
        <v>{61,320}</v>
      </c>
      <c r="Y729" s="94" t="str">
        <f t="shared" si="184"/>
        <v>{63,415}</v>
      </c>
      <c r="Z729" s="94" t="str">
        <f ca="1" t="shared" si="185"/>
        <v/>
      </c>
      <c r="AA729" s="94" t="str">
        <f ca="1" t="shared" si="186"/>
        <v/>
      </c>
      <c r="AB729" s="94" t="str">
        <f ca="1" t="shared" si="187"/>
        <v/>
      </c>
      <c r="AE729" s="94" t="str">
        <f t="shared" si="188"/>
        <v>{2,1375}</v>
      </c>
      <c r="AH729" t="str">
        <f ca="1" t="shared" si="178"/>
        <v>[{61,320},{63,415},{2,1375}]</v>
      </c>
    </row>
    <row r="730" spans="4:34">
      <c r="D730" s="81" t="str">
        <f ca="1" t="shared" si="179"/>
        <v>至臻Ⅰ</v>
      </c>
      <c r="E730" s="84">
        <f t="shared" si="180"/>
        <v>7</v>
      </c>
      <c r="F730" s="84">
        <f>CEILING(F726*1.25,5)</f>
        <v>320</v>
      </c>
      <c r="G730" s="84"/>
      <c r="H730" s="84"/>
      <c r="I730" s="84">
        <f t="shared" si="189"/>
        <v>1375</v>
      </c>
      <c r="J730" s="84" t="str" cm="1">
        <f ca="1" t="array" ref="J730">IF($E730&lt;7,_xlfn.XLOOKUP($D730&amp;$E730,$D$155:$D$395&amp;$E$155:$E$395,J$155:J$395),"")</f>
        <v/>
      </c>
      <c r="K730" s="84" t="str" cm="1">
        <f ca="1" t="array" ref="K730">IF($E730&lt;7,_xlfn.XLOOKUP($D730&amp;$E730,$D$155:$D$395&amp;$E$155:$E$395,K$155:K$395),"")</f>
        <v/>
      </c>
      <c r="L730" s="84">
        <v>5</v>
      </c>
      <c r="M730" s="84" t="str" cm="1">
        <f ca="1" t="array" ref="M730">IF($E730&lt;7,_xlfn.XLOOKUP($D730&amp;$E730,$D$155:$D$395&amp;$E$155:$E$395,M$155:M$395),"")</f>
        <v/>
      </c>
      <c r="N730" s="84" t="s">
        <v>282</v>
      </c>
      <c r="O730" s="84" t="s">
        <v>282</v>
      </c>
      <c r="P730" s="84" t="s">
        <v>282</v>
      </c>
      <c r="Q730" s="84" t="s">
        <v>282</v>
      </c>
      <c r="R730" s="84" t="s">
        <v>282</v>
      </c>
      <c r="S730" s="90">
        <f ca="1" t="shared" si="181"/>
        <v>395</v>
      </c>
      <c r="T730" s="90" cm="1">
        <f ca="1" t="array" ref="T730">IFERROR(SUMPRODUCT(F730:M730,$F$154:$M$154)+IFERROR(N730*SUMPRODUCT(O730:R730,$O$154:$R$154),0),"")</f>
        <v>5695</v>
      </c>
      <c r="V730" s="94" t="str">
        <f t="shared" si="182"/>
        <v/>
      </c>
      <c r="W730" t="str">
        <f ca="1" t="shared" si="177"/>
        <v/>
      </c>
      <c r="X730" s="94" t="str">
        <f t="shared" si="183"/>
        <v>{61,320}</v>
      </c>
      <c r="Y730" s="94" t="str">
        <f t="shared" si="184"/>
        <v/>
      </c>
      <c r="Z730" s="94" t="str">
        <f t="shared" si="185"/>
        <v>{6030003,5}</v>
      </c>
      <c r="AA730" s="94" t="str">
        <f ca="1" t="shared" si="186"/>
        <v/>
      </c>
      <c r="AB730" s="94" t="str">
        <f ca="1" t="shared" si="187"/>
        <v/>
      </c>
      <c r="AE730" s="94" t="str">
        <f t="shared" si="188"/>
        <v>{2,1375}</v>
      </c>
      <c r="AH730" t="str">
        <f ca="1" t="shared" si="178"/>
        <v>[{61,320},{6030003,5},{2,1375}]</v>
      </c>
    </row>
    <row r="731" spans="4:34">
      <c r="D731" s="81" t="str">
        <f ca="1" t="shared" si="179"/>
        <v>至臻Ⅰ</v>
      </c>
      <c r="E731" s="84">
        <f t="shared" si="180"/>
        <v>8</v>
      </c>
      <c r="F731" s="84">
        <f>CEILING(F730*1.5,5)</f>
        <v>480</v>
      </c>
      <c r="G731" s="84">
        <f>CEILING(G729*1.5,5)</f>
        <v>625</v>
      </c>
      <c r="H731" s="84">
        <f>1</f>
        <v>1</v>
      </c>
      <c r="I731" s="84">
        <f t="shared" si="189"/>
        <v>1375</v>
      </c>
      <c r="J731" s="84" t="str" cm="1">
        <f ca="1" t="array" ref="J731">IF($E731&lt;7,_xlfn.XLOOKUP($D731&amp;$E731,$D$155:$D$395&amp;$E$155:$E$395,J$155:J$395),"")</f>
        <v/>
      </c>
      <c r="K731" s="84" t="str" cm="1">
        <f ca="1" t="array" ref="K731">IF($E731&lt;7,_xlfn.XLOOKUP($D731&amp;$E731,$D$155:$D$395&amp;$E$155:$E$395,K$155:K$395),"")</f>
        <v/>
      </c>
      <c r="L731" s="84" t="str" cm="1">
        <f ca="1" t="array" ref="L731">IF($E731&lt;7,_xlfn.XLOOKUP($D731&amp;$E731,$D$155:$D$395&amp;$E$155:$E$395,L$155:L$395),"")</f>
        <v/>
      </c>
      <c r="M731" s="84" t="str" cm="1">
        <f ca="1" t="array" ref="M731">IF($E731&lt;7,_xlfn.XLOOKUP($D731&amp;$E731,$D$155:$D$395&amp;$E$155:$E$395,M$155:M$395),"")</f>
        <v/>
      </c>
      <c r="N731" s="84">
        <v>8</v>
      </c>
      <c r="O731" s="84">
        <v>0</v>
      </c>
      <c r="P731" s="84">
        <v>0</v>
      </c>
      <c r="Q731" s="84">
        <v>0.37</v>
      </c>
      <c r="R731" s="84">
        <v>0.63</v>
      </c>
      <c r="S731" s="90">
        <f ca="1" t="shared" si="181"/>
        <v>395</v>
      </c>
      <c r="T731" s="90" cm="1">
        <f ca="1" t="array" ref="T731">IFERROR(SUMPRODUCT(F731:M731,$F$154:$M$154)+IFERROR(N731*SUMPRODUCT(O731:R731,$O$154:$R$154),0),"")</f>
        <v>13062</v>
      </c>
      <c r="V731" s="94" t="str">
        <f t="shared" si="182"/>
        <v>{62,1}</v>
      </c>
      <c r="W731" t="str">
        <f ca="1" t="shared" si="177"/>
        <v>{6020036,8}</v>
      </c>
      <c r="X731" s="94" t="str">
        <f t="shared" si="183"/>
        <v>{61,480}</v>
      </c>
      <c r="Y731" s="94" t="str">
        <f t="shared" si="184"/>
        <v>{63,625}</v>
      </c>
      <c r="Z731" s="94" t="str">
        <f ca="1" t="shared" si="185"/>
        <v/>
      </c>
      <c r="AA731" s="94" t="str">
        <f ca="1" t="shared" si="186"/>
        <v/>
      </c>
      <c r="AB731" s="94" t="str">
        <f ca="1" t="shared" si="187"/>
        <v/>
      </c>
      <c r="AE731" s="94" t="str">
        <f t="shared" si="188"/>
        <v>{2,1375}</v>
      </c>
      <c r="AH731" t="str">
        <f ca="1" t="shared" si="178"/>
        <v>[{62,1},{6020036,8},{61,480},{63,625},{2,1375}]</v>
      </c>
    </row>
    <row r="732" spans="4:34">
      <c r="D732" s="81" t="str">
        <f ca="1" t="shared" si="179"/>
        <v>至臻Ⅱ</v>
      </c>
      <c r="E732" s="84">
        <f t="shared" si="180"/>
        <v>1</v>
      </c>
      <c r="F732" s="84">
        <f>F724+5</f>
        <v>260</v>
      </c>
      <c r="G732" s="84"/>
      <c r="H732" s="84"/>
      <c r="I732" s="84">
        <f t="shared" si="189"/>
        <v>1400</v>
      </c>
      <c r="J732" s="84">
        <v>4</v>
      </c>
      <c r="K732" s="84" cm="1">
        <f ca="1" t="array" ref="K732">IF($E732&lt;7,_xlfn.XLOOKUP($D732&amp;$E732,$D$155:$D$395&amp;$E$155:$E$395,K$155:K$395),"")</f>
        <v>0</v>
      </c>
      <c r="L732" s="84" cm="1">
        <f ca="1" t="array" ref="L732">IF($E732&lt;7,_xlfn.XLOOKUP($D732&amp;$E732,$D$155:$D$395&amp;$E$155:$E$395,L$155:L$395),"")</f>
        <v>0</v>
      </c>
      <c r="M732" s="84" cm="1">
        <f ca="1" t="array" ref="M732">IF($E732&lt;7,_xlfn.XLOOKUP($D732&amp;$E732,$D$155:$D$395&amp;$E$155:$E$395,M$155:M$395),"")</f>
        <v>0</v>
      </c>
      <c r="N732" s="84" t="s">
        <v>282</v>
      </c>
      <c r="O732" s="84" t="s">
        <v>282</v>
      </c>
      <c r="P732" s="84" t="s">
        <v>282</v>
      </c>
      <c r="Q732" s="84" t="s">
        <v>282</v>
      </c>
      <c r="R732" s="84" t="s">
        <v>282</v>
      </c>
      <c r="S732" s="90">
        <f ca="1" t="shared" si="181"/>
        <v>405</v>
      </c>
      <c r="T732" s="90" cm="1">
        <f ca="1" t="array" ref="T732">IFERROR(SUMPRODUCT(F732:M732,$F$154:$M$154)+IFERROR(N732*SUMPRODUCT(O732:R732,$O$154:$R$154),0),"")</f>
        <v>2460</v>
      </c>
      <c r="V732" s="94" t="str">
        <f t="shared" si="182"/>
        <v/>
      </c>
      <c r="W732" t="str">
        <f ca="1" t="shared" si="177"/>
        <v/>
      </c>
      <c r="X732" s="94" t="str">
        <f t="shared" si="183"/>
        <v>{61,260}</v>
      </c>
      <c r="Y732" s="94" t="str">
        <f t="shared" si="184"/>
        <v/>
      </c>
      <c r="Z732" s="94" t="str">
        <f ca="1" t="shared" si="185"/>
        <v/>
      </c>
      <c r="AA732" s="94" t="str">
        <f ca="1" t="shared" si="186"/>
        <v/>
      </c>
      <c r="AB732" s="94" t="str">
        <f t="shared" si="187"/>
        <v>{6030001,4}</v>
      </c>
      <c r="AE732" s="94" t="str">
        <f t="shared" si="188"/>
        <v>{2,1400}</v>
      </c>
      <c r="AH732" t="str">
        <f ca="1" t="shared" si="178"/>
        <v>[{61,260},{6030001,4},{2,1400}]</v>
      </c>
    </row>
    <row r="733" spans="4:34">
      <c r="D733" s="81" t="str">
        <f ca="1" t="shared" si="179"/>
        <v>至臻Ⅱ</v>
      </c>
      <c r="E733" s="84">
        <f t="shared" si="180"/>
        <v>2</v>
      </c>
      <c r="F733" s="84">
        <f>F725+5</f>
        <v>260</v>
      </c>
      <c r="G733" s="84">
        <f>G725+5</f>
        <v>280</v>
      </c>
      <c r="H733" s="84"/>
      <c r="I733" s="84">
        <f t="shared" si="189"/>
        <v>1400</v>
      </c>
      <c r="J733" s="84" cm="1">
        <f ca="1" t="array" ref="J733">IF($E733&lt;7,_xlfn.XLOOKUP($D733&amp;$E733,$D$155:$D$395&amp;$E$155:$E$395,J$155:J$395),"")</f>
        <v>0</v>
      </c>
      <c r="K733" s="84" cm="1">
        <f ca="1" t="array" ref="K733">IF($E733&lt;7,_xlfn.XLOOKUP($D733&amp;$E733,$D$155:$D$395&amp;$E$155:$E$395,K$155:K$395),"")</f>
        <v>0</v>
      </c>
      <c r="L733" s="84" cm="1">
        <f ca="1" t="array" ref="L733">IF($E733&lt;7,_xlfn.XLOOKUP($D733&amp;$E733,$D$155:$D$395&amp;$E$155:$E$395,L$155:L$395),"")</f>
        <v>0</v>
      </c>
      <c r="M733" s="84" cm="1">
        <f ca="1" t="array" ref="M733">IF($E733&lt;7,_xlfn.XLOOKUP($D733&amp;$E733,$D$155:$D$395&amp;$E$155:$E$395,M$155:M$395),"")</f>
        <v>0</v>
      </c>
      <c r="N733" s="84" t="s">
        <v>282</v>
      </c>
      <c r="O733" s="84" t="s">
        <v>282</v>
      </c>
      <c r="P733" s="84" t="s">
        <v>282</v>
      </c>
      <c r="Q733" s="84" t="s">
        <v>282</v>
      </c>
      <c r="R733" s="84" t="s">
        <v>282</v>
      </c>
      <c r="S733" s="90">
        <f ca="1" t="shared" si="181"/>
        <v>405</v>
      </c>
      <c r="T733" s="90" cm="1">
        <f ca="1" t="array" ref="T733">IFERROR(SUMPRODUCT(F733:M733,$F$154:$M$154)+IFERROR(N733*SUMPRODUCT(O733:R733,$O$154:$R$154),0),"")</f>
        <v>1940</v>
      </c>
      <c r="V733" s="94" t="str">
        <f t="shared" si="182"/>
        <v/>
      </c>
      <c r="W733" t="str">
        <f ca="1" t="shared" si="177"/>
        <v/>
      </c>
      <c r="X733" s="94" t="str">
        <f t="shared" si="183"/>
        <v>{61,260}</v>
      </c>
      <c r="Y733" s="94" t="str">
        <f t="shared" si="184"/>
        <v>{63,280}</v>
      </c>
      <c r="Z733" s="94" t="str">
        <f ca="1" t="shared" si="185"/>
        <v/>
      </c>
      <c r="AA733" s="94" t="str">
        <f ca="1" t="shared" si="186"/>
        <v/>
      </c>
      <c r="AB733" s="94" t="str">
        <f ca="1" t="shared" si="187"/>
        <v/>
      </c>
      <c r="AE733" s="94" t="str">
        <f t="shared" si="188"/>
        <v>{2,1400}</v>
      </c>
      <c r="AH733" t="str">
        <f ca="1" t="shared" si="178"/>
        <v>[{61,260},{63,280},{2,1400}]</v>
      </c>
    </row>
    <row r="734" spans="4:34">
      <c r="D734" s="81" t="str">
        <f ca="1" t="shared" ref="D734:D765" si="190">IF(E733=8,OFFSET($D$111,MATCH(D733,$D$112:$D$151,0)+1,0),D733)</f>
        <v>至臻Ⅱ</v>
      </c>
      <c r="E734" s="84">
        <f t="shared" ref="E734:E765" si="191">IF(E733=8,1,E733+1)</f>
        <v>3</v>
      </c>
      <c r="F734" s="84">
        <f>F726+5</f>
        <v>260</v>
      </c>
      <c r="G734" s="84"/>
      <c r="H734" s="84"/>
      <c r="I734" s="84">
        <f t="shared" si="189"/>
        <v>1400</v>
      </c>
      <c r="J734" s="84">
        <v>5</v>
      </c>
      <c r="K734" s="84"/>
      <c r="L734" s="84" cm="1">
        <f ca="1" t="array" ref="L734">IF($E734&lt;7,_xlfn.XLOOKUP($D734&amp;$E734,$D$155:$D$395&amp;$E$155:$E$395,L$155:L$395),"")</f>
        <v>0</v>
      </c>
      <c r="M734" s="84" cm="1">
        <f ca="1" t="array" ref="M734">IF($E734&lt;7,_xlfn.XLOOKUP($D734&amp;$E734,$D$155:$D$395&amp;$E$155:$E$395,M$155:M$395),"")</f>
        <v>0</v>
      </c>
      <c r="N734" s="84" t="s">
        <v>282</v>
      </c>
      <c r="O734" s="84" t="s">
        <v>282</v>
      </c>
      <c r="P734" s="84" t="s">
        <v>282</v>
      </c>
      <c r="Q734" s="84" t="s">
        <v>282</v>
      </c>
      <c r="R734" s="84" t="s">
        <v>282</v>
      </c>
      <c r="S734" s="90">
        <f ca="1" t="shared" si="181"/>
        <v>405</v>
      </c>
      <c r="T734" s="90" cm="1">
        <f ca="1" t="array" ref="T734">IFERROR(SUMPRODUCT(F734:M734,$F$154:$M$154)+IFERROR(N734*SUMPRODUCT(O734:R734,$O$154:$R$154),0),"")</f>
        <v>2660</v>
      </c>
      <c r="V734" s="94" t="str">
        <f t="shared" si="182"/>
        <v/>
      </c>
      <c r="W734" t="str">
        <f ca="1" t="shared" si="177"/>
        <v/>
      </c>
      <c r="X734" s="94" t="str">
        <f t="shared" si="183"/>
        <v>{61,260}</v>
      </c>
      <c r="Y734" s="94" t="str">
        <f t="shared" si="184"/>
        <v/>
      </c>
      <c r="Z734" s="94" t="str">
        <f ca="1" t="shared" si="185"/>
        <v/>
      </c>
      <c r="AA734" s="94" t="str">
        <f t="shared" si="186"/>
        <v/>
      </c>
      <c r="AB734" s="94" t="str">
        <f t="shared" si="187"/>
        <v>{6030001,5}</v>
      </c>
      <c r="AE734" s="94" t="str">
        <f t="shared" si="188"/>
        <v>{2,1400}</v>
      </c>
      <c r="AH734" t="str">
        <f ca="1" t="shared" si="178"/>
        <v>[{61,260},{6030001,5},{2,1400}]</v>
      </c>
    </row>
    <row r="735" spans="4:34">
      <c r="D735" s="81" t="str">
        <f ca="1" t="shared" si="190"/>
        <v>至臻Ⅱ</v>
      </c>
      <c r="E735" s="84">
        <f t="shared" si="191"/>
        <v>4</v>
      </c>
      <c r="F735" s="84">
        <f>CEILING(F736*1.25,5)</f>
        <v>410</v>
      </c>
      <c r="G735" s="84">
        <f>CEILING(G733*1.5,5)</f>
        <v>420</v>
      </c>
      <c r="H735" s="84"/>
      <c r="I735" s="84">
        <f t="shared" si="189"/>
        <v>1400</v>
      </c>
      <c r="J735" s="84" cm="1">
        <f ca="1" t="array" ref="J735">IF($E735&lt;7,_xlfn.XLOOKUP($D735&amp;$E735,$D$155:$D$395&amp;$E$155:$E$395,J$155:J$395),"")</f>
        <v>0</v>
      </c>
      <c r="K735" s="84" cm="1">
        <f ca="1" t="array" ref="K735">IF($E735&lt;7,_xlfn.XLOOKUP($D735&amp;$E735,$D$155:$D$395&amp;$E$155:$E$395,K$155:K$395),"")</f>
        <v>0</v>
      </c>
      <c r="L735" s="84" cm="1">
        <f ca="1" t="array" ref="L735">IF($E735&lt;7,_xlfn.XLOOKUP($D735&amp;$E735,$D$155:$D$395&amp;$E$155:$E$395,L$155:L$395),"")</f>
        <v>0</v>
      </c>
      <c r="M735" s="84" cm="1">
        <f ca="1" t="array" ref="M735">IF($E735&lt;7,_xlfn.XLOOKUP($D735&amp;$E735,$D$155:$D$395&amp;$E$155:$E$395,M$155:M$395),"")</f>
        <v>0</v>
      </c>
      <c r="N735" s="84" t="s">
        <v>282</v>
      </c>
      <c r="O735" s="84" t="s">
        <v>282</v>
      </c>
      <c r="P735" s="84" t="s">
        <v>282</v>
      </c>
      <c r="Q735" s="84" t="s">
        <v>282</v>
      </c>
      <c r="R735" s="84" t="s">
        <v>282</v>
      </c>
      <c r="S735" s="90">
        <f ca="1" t="shared" si="181"/>
        <v>405</v>
      </c>
      <c r="T735" s="90" cm="1">
        <f ca="1" t="array" ref="T735">IFERROR(SUMPRODUCT(F735:M735,$F$154:$M$154)+IFERROR(N735*SUMPRODUCT(O735:R735,$O$154:$R$154),0),"")</f>
        <v>2230</v>
      </c>
      <c r="V735" s="94" t="str">
        <f t="shared" si="182"/>
        <v/>
      </c>
      <c r="W735" t="str">
        <f ca="1" t="shared" si="177"/>
        <v/>
      </c>
      <c r="X735" s="94" t="str">
        <f t="shared" si="183"/>
        <v>{61,410}</v>
      </c>
      <c r="Y735" s="94" t="str">
        <f t="shared" si="184"/>
        <v>{63,420}</v>
      </c>
      <c r="Z735" s="94" t="str">
        <f ca="1" t="shared" si="185"/>
        <v/>
      </c>
      <c r="AA735" s="94" t="str">
        <f ca="1" t="shared" si="186"/>
        <v/>
      </c>
      <c r="AB735" s="94" t="str">
        <f ca="1" t="shared" si="187"/>
        <v/>
      </c>
      <c r="AE735" s="94" t="str">
        <f t="shared" si="188"/>
        <v>{2,1400}</v>
      </c>
      <c r="AH735" t="str">
        <f ca="1" t="shared" si="178"/>
        <v>[{61,410},{63,420},{2,1400}]</v>
      </c>
    </row>
    <row r="736" spans="4:34">
      <c r="D736" s="81" t="str">
        <f ca="1" t="shared" si="190"/>
        <v>至臻Ⅱ</v>
      </c>
      <c r="E736" s="84">
        <f t="shared" si="191"/>
        <v>5</v>
      </c>
      <c r="F736" s="84">
        <f>CEILING(F732*1.25,5)</f>
        <v>325</v>
      </c>
      <c r="G736" s="84"/>
      <c r="H736" s="84"/>
      <c r="I736" s="84">
        <f t="shared" si="189"/>
        <v>1400</v>
      </c>
      <c r="J736" s="84" cm="1">
        <f ca="1" t="array" ref="J736">IF($E736&lt;7,_xlfn.XLOOKUP($D736&amp;$E736,$D$155:$D$395&amp;$E$155:$E$395,J$155:J$395),"")</f>
        <v>0</v>
      </c>
      <c r="K736" s="84">
        <v>6</v>
      </c>
      <c r="L736" s="84"/>
      <c r="M736" s="84" cm="1">
        <f ca="1" t="array" ref="M736">IF($E736&lt;7,_xlfn.XLOOKUP($D736&amp;$E736,$D$155:$D$395&amp;$E$155:$E$395,M$155:M$395),"")</f>
        <v>0</v>
      </c>
      <c r="N736" s="84" t="s">
        <v>282</v>
      </c>
      <c r="O736" s="84" t="s">
        <v>282</v>
      </c>
      <c r="P736" s="84" t="s">
        <v>282</v>
      </c>
      <c r="Q736" s="84" t="s">
        <v>282</v>
      </c>
      <c r="R736" s="84" t="s">
        <v>282</v>
      </c>
      <c r="S736" s="90">
        <f ca="1" t="shared" si="181"/>
        <v>405</v>
      </c>
      <c r="T736" s="90" cm="1">
        <f ca="1" t="array" ref="T736">IFERROR(SUMPRODUCT(F736:M736,$F$154:$M$154)+IFERROR(N736*SUMPRODUCT(O736:R736,$O$154:$R$154),0),"")</f>
        <v>4125</v>
      </c>
      <c r="V736" s="94" t="str">
        <f t="shared" si="182"/>
        <v/>
      </c>
      <c r="W736" t="str">
        <f ca="1" t="shared" si="177"/>
        <v/>
      </c>
      <c r="X736" s="94" t="str">
        <f t="shared" si="183"/>
        <v>{61,325}</v>
      </c>
      <c r="Y736" s="94" t="str">
        <f t="shared" si="184"/>
        <v/>
      </c>
      <c r="Z736" s="94" t="str">
        <f t="shared" si="185"/>
        <v/>
      </c>
      <c r="AA736" s="94" t="str">
        <f t="shared" si="186"/>
        <v>{6030002,6}</v>
      </c>
      <c r="AB736" s="94" t="str">
        <f ca="1" t="shared" si="187"/>
        <v/>
      </c>
      <c r="AE736" s="94" t="str">
        <f t="shared" si="188"/>
        <v>{2,1400}</v>
      </c>
      <c r="AH736" t="str">
        <f ca="1" t="shared" si="178"/>
        <v>[{61,325},{6030002,6},{2,1400}]</v>
      </c>
    </row>
    <row r="737" spans="4:34">
      <c r="D737" s="81" t="str">
        <f ca="1" t="shared" si="190"/>
        <v>至臻Ⅱ</v>
      </c>
      <c r="E737" s="84">
        <f t="shared" si="191"/>
        <v>6</v>
      </c>
      <c r="F737" s="84">
        <f>CEILING(F733*1.25,5)</f>
        <v>325</v>
      </c>
      <c r="G737" s="84">
        <f>G735</f>
        <v>420</v>
      </c>
      <c r="H737" s="84"/>
      <c r="I737" s="84">
        <f t="shared" si="189"/>
        <v>1400</v>
      </c>
      <c r="J737" s="84" cm="1">
        <f ca="1" t="array" ref="J737">IF($E737&lt;7,_xlfn.XLOOKUP($D737&amp;$E737,$D$155:$D$395&amp;$E$155:$E$395,J$155:J$395),"")</f>
        <v>0</v>
      </c>
      <c r="K737" s="84" cm="1">
        <f ca="1" t="array" ref="K737">IF($E737&lt;7,_xlfn.XLOOKUP($D737&amp;$E737,$D$155:$D$395&amp;$E$155:$E$395,K$155:K$395),"")</f>
        <v>0</v>
      </c>
      <c r="L737" s="84" cm="1">
        <f ca="1" t="array" ref="L737">IF($E737&lt;7,_xlfn.XLOOKUP($D737&amp;$E737,$D$155:$D$395&amp;$E$155:$E$395,L$155:L$395),"")</f>
        <v>0</v>
      </c>
      <c r="M737" s="84" cm="1">
        <f ca="1" t="array" ref="M737">IF($E737&lt;7,_xlfn.XLOOKUP($D737&amp;$E737,$D$155:$D$395&amp;$E$155:$E$395,M$155:M$395),"")</f>
        <v>0</v>
      </c>
      <c r="N737" s="84" t="s">
        <v>282</v>
      </c>
      <c r="O737" s="84" t="s">
        <v>282</v>
      </c>
      <c r="P737" s="84" t="s">
        <v>282</v>
      </c>
      <c r="Q737" s="84" t="s">
        <v>282</v>
      </c>
      <c r="R737" s="84" t="s">
        <v>282</v>
      </c>
      <c r="S737" s="90">
        <f ca="1" t="shared" si="181"/>
        <v>405</v>
      </c>
      <c r="T737" s="90" cm="1">
        <f ca="1" t="array" ref="T737">IFERROR(SUMPRODUCT(F737:M737,$F$154:$M$154)+IFERROR(N737*SUMPRODUCT(O737:R737,$O$154:$R$154),0),"")</f>
        <v>2145</v>
      </c>
      <c r="V737" s="94" t="str">
        <f t="shared" si="182"/>
        <v/>
      </c>
      <c r="W737" t="str">
        <f ca="1" t="shared" si="177"/>
        <v/>
      </c>
      <c r="X737" s="94" t="str">
        <f t="shared" si="183"/>
        <v>{61,325}</v>
      </c>
      <c r="Y737" s="94" t="str">
        <f t="shared" si="184"/>
        <v>{63,420}</v>
      </c>
      <c r="Z737" s="94" t="str">
        <f ca="1" t="shared" si="185"/>
        <v/>
      </c>
      <c r="AA737" s="94" t="str">
        <f ca="1" t="shared" si="186"/>
        <v/>
      </c>
      <c r="AB737" s="94" t="str">
        <f ca="1" t="shared" si="187"/>
        <v/>
      </c>
      <c r="AE737" s="94" t="str">
        <f t="shared" si="188"/>
        <v>{2,1400}</v>
      </c>
      <c r="AH737" t="str">
        <f ca="1" t="shared" si="178"/>
        <v>[{61,325},{63,420},{2,1400}]</v>
      </c>
    </row>
    <row r="738" spans="4:34">
      <c r="D738" s="81" t="str">
        <f ca="1" t="shared" si="190"/>
        <v>至臻Ⅱ</v>
      </c>
      <c r="E738" s="84">
        <f t="shared" si="191"/>
        <v>7</v>
      </c>
      <c r="F738" s="84">
        <f>CEILING(F734*1.25,5)</f>
        <v>325</v>
      </c>
      <c r="G738" s="84"/>
      <c r="H738" s="84"/>
      <c r="I738" s="84">
        <f t="shared" si="189"/>
        <v>1400</v>
      </c>
      <c r="J738" s="84" t="str" cm="1">
        <f ca="1" t="array" ref="J738">IF($E738&lt;7,_xlfn.XLOOKUP($D738&amp;$E738,$D$155:$D$395&amp;$E$155:$E$395,J$155:J$395),"")</f>
        <v/>
      </c>
      <c r="K738" s="84" t="str" cm="1">
        <f ca="1" t="array" ref="K738">IF($E738&lt;7,_xlfn.XLOOKUP($D738&amp;$E738,$D$155:$D$395&amp;$E$155:$E$395,K$155:K$395),"")</f>
        <v/>
      </c>
      <c r="L738" s="84">
        <v>5</v>
      </c>
      <c r="M738" s="84" t="str" cm="1">
        <f ca="1" t="array" ref="M738">IF($E738&lt;7,_xlfn.XLOOKUP($D738&amp;$E738,$D$155:$D$395&amp;$E$155:$E$395,M$155:M$395),"")</f>
        <v/>
      </c>
      <c r="N738" s="84" t="s">
        <v>282</v>
      </c>
      <c r="O738" s="84" t="s">
        <v>282</v>
      </c>
      <c r="P738" s="84" t="s">
        <v>282</v>
      </c>
      <c r="Q738" s="84" t="s">
        <v>282</v>
      </c>
      <c r="R738" s="84" t="s">
        <v>282</v>
      </c>
      <c r="S738" s="90">
        <f ca="1" t="shared" si="181"/>
        <v>405</v>
      </c>
      <c r="T738" s="90" cm="1">
        <f ca="1" t="array" ref="T738">IFERROR(SUMPRODUCT(F738:M738,$F$154:$M$154)+IFERROR(N738*SUMPRODUCT(O738:R738,$O$154:$R$154),0),"")</f>
        <v>5725</v>
      </c>
      <c r="V738" s="94" t="str">
        <f t="shared" si="182"/>
        <v/>
      </c>
      <c r="W738" t="str">
        <f ca="1" t="shared" si="177"/>
        <v/>
      </c>
      <c r="X738" s="94" t="str">
        <f t="shared" si="183"/>
        <v>{61,325}</v>
      </c>
      <c r="Y738" s="94" t="str">
        <f t="shared" si="184"/>
        <v/>
      </c>
      <c r="Z738" s="94" t="str">
        <f t="shared" si="185"/>
        <v>{6030003,5}</v>
      </c>
      <c r="AA738" s="94" t="str">
        <f ca="1" t="shared" si="186"/>
        <v/>
      </c>
      <c r="AB738" s="94" t="str">
        <f ca="1" t="shared" si="187"/>
        <v/>
      </c>
      <c r="AE738" s="94" t="str">
        <f t="shared" si="188"/>
        <v>{2,1400}</v>
      </c>
      <c r="AH738" t="str">
        <f ca="1" t="shared" si="178"/>
        <v>[{61,325},{6030003,5},{2,1400}]</v>
      </c>
    </row>
    <row r="739" spans="4:34">
      <c r="D739" s="81" t="str">
        <f ca="1" t="shared" si="190"/>
        <v>至臻Ⅱ</v>
      </c>
      <c r="E739" s="84">
        <f t="shared" si="191"/>
        <v>8</v>
      </c>
      <c r="F739" s="84">
        <f>CEILING(F738*1.5,5)</f>
        <v>490</v>
      </c>
      <c r="G739" s="84">
        <f>CEILING(G737*1.5,5)</f>
        <v>630</v>
      </c>
      <c r="H739" s="84">
        <f>1</f>
        <v>1</v>
      </c>
      <c r="I739" s="84">
        <f t="shared" si="189"/>
        <v>1400</v>
      </c>
      <c r="J739" s="84" t="str" cm="1">
        <f ca="1" t="array" ref="J739">IF($E739&lt;7,_xlfn.XLOOKUP($D739&amp;$E739,$D$155:$D$395&amp;$E$155:$E$395,J$155:J$395),"")</f>
        <v/>
      </c>
      <c r="K739" s="84" t="str" cm="1">
        <f ca="1" t="array" ref="K739">IF($E739&lt;7,_xlfn.XLOOKUP($D739&amp;$E739,$D$155:$D$395&amp;$E$155:$E$395,K$155:K$395),"")</f>
        <v/>
      </c>
      <c r="L739" s="84" t="str" cm="1">
        <f ca="1" t="array" ref="L739">IF($E739&lt;7,_xlfn.XLOOKUP($D739&amp;$E739,$D$155:$D$395&amp;$E$155:$E$395,L$155:L$395),"")</f>
        <v/>
      </c>
      <c r="M739" s="84" t="str" cm="1">
        <f ca="1" t="array" ref="M739">IF($E739&lt;7,_xlfn.XLOOKUP($D739&amp;$E739,$D$155:$D$395&amp;$E$155:$E$395,M$155:M$395),"")</f>
        <v/>
      </c>
      <c r="N739" s="84">
        <v>8</v>
      </c>
      <c r="O739" s="84">
        <v>0</v>
      </c>
      <c r="P739" s="84">
        <v>0</v>
      </c>
      <c r="Q739" s="84">
        <v>0.34</v>
      </c>
      <c r="R739" s="84">
        <v>0.66</v>
      </c>
      <c r="S739" s="90">
        <f ca="1" t="shared" si="181"/>
        <v>405</v>
      </c>
      <c r="T739" s="90" cm="1">
        <f ca="1" t="array" ref="T739">IFERROR(SUMPRODUCT(F739:M739,$F$154:$M$154)+IFERROR(N739*SUMPRODUCT(O739:R739,$O$154:$R$154),0),"")</f>
        <v>13294</v>
      </c>
      <c r="V739" s="94" t="str">
        <f t="shared" si="182"/>
        <v>{62,1}</v>
      </c>
      <c r="W739" t="str">
        <f ca="1" t="shared" si="177"/>
        <v>{6020037,8}</v>
      </c>
      <c r="X739" s="94" t="str">
        <f t="shared" si="183"/>
        <v>{61,490}</v>
      </c>
      <c r="Y739" s="94" t="str">
        <f t="shared" si="184"/>
        <v>{63,630}</v>
      </c>
      <c r="Z739" s="94" t="str">
        <f ca="1" t="shared" si="185"/>
        <v/>
      </c>
      <c r="AA739" s="94" t="str">
        <f ca="1" t="shared" si="186"/>
        <v/>
      </c>
      <c r="AB739" s="94" t="str">
        <f ca="1" t="shared" si="187"/>
        <v/>
      </c>
      <c r="AE739" s="94" t="str">
        <f t="shared" si="188"/>
        <v>{2,1400}</v>
      </c>
      <c r="AH739" t="str">
        <f ca="1" t="shared" si="178"/>
        <v>[{62,1},{6020037,8},{61,490},{63,630},{2,1400}]</v>
      </c>
    </row>
    <row r="740" spans="4:34">
      <c r="D740" s="81" t="str">
        <f ca="1" t="shared" si="190"/>
        <v>至臻Ⅲ</v>
      </c>
      <c r="E740" s="84">
        <f t="shared" si="191"/>
        <v>1</v>
      </c>
      <c r="F740" s="84">
        <f>F732+5</f>
        <v>265</v>
      </c>
      <c r="G740" s="84"/>
      <c r="H740" s="84"/>
      <c r="I740" s="84">
        <f t="shared" si="189"/>
        <v>1425</v>
      </c>
      <c r="J740" s="84">
        <v>4</v>
      </c>
      <c r="K740" s="84" cm="1">
        <f ca="1" t="array" ref="K740">IF($E740&lt;7,_xlfn.XLOOKUP($D740&amp;$E740,$D$155:$D$395&amp;$E$155:$E$395,K$155:K$395),"")</f>
        <v>0</v>
      </c>
      <c r="L740" s="84" cm="1">
        <f ca="1" t="array" ref="L740">IF($E740&lt;7,_xlfn.XLOOKUP($D740&amp;$E740,$D$155:$D$395&amp;$E$155:$E$395,L$155:L$395),"")</f>
        <v>0</v>
      </c>
      <c r="M740" s="84" cm="1">
        <f ca="1" t="array" ref="M740">IF($E740&lt;7,_xlfn.XLOOKUP($D740&amp;$E740,$D$155:$D$395&amp;$E$155:$E$395,M$155:M$395),"")</f>
        <v>0</v>
      </c>
      <c r="N740" s="84" t="s">
        <v>282</v>
      </c>
      <c r="O740" s="84" t="s">
        <v>282</v>
      </c>
      <c r="P740" s="84" t="s">
        <v>282</v>
      </c>
      <c r="Q740" s="84" t="s">
        <v>282</v>
      </c>
      <c r="R740" s="84" t="s">
        <v>282</v>
      </c>
      <c r="S740" s="90">
        <f ca="1" t="shared" si="181"/>
        <v>415</v>
      </c>
      <c r="T740" s="90" cm="1">
        <f ca="1" t="array" ref="T740">IFERROR(SUMPRODUCT(F740:M740,$F$154:$M$154)+IFERROR(N740*SUMPRODUCT(O740:R740,$O$154:$R$154),0),"")</f>
        <v>2490</v>
      </c>
      <c r="V740" s="94" t="str">
        <f t="shared" si="182"/>
        <v/>
      </c>
      <c r="W740" t="str">
        <f ca="1" t="shared" si="177"/>
        <v/>
      </c>
      <c r="X740" s="94" t="str">
        <f t="shared" si="183"/>
        <v>{61,265}</v>
      </c>
      <c r="Y740" s="94" t="str">
        <f t="shared" si="184"/>
        <v/>
      </c>
      <c r="Z740" s="94" t="str">
        <f ca="1" t="shared" si="185"/>
        <v/>
      </c>
      <c r="AA740" s="94" t="str">
        <f ca="1" t="shared" si="186"/>
        <v/>
      </c>
      <c r="AB740" s="94" t="str">
        <f t="shared" si="187"/>
        <v>{6030001,4}</v>
      </c>
      <c r="AE740" s="94" t="str">
        <f t="shared" si="188"/>
        <v>{2,1425}</v>
      </c>
      <c r="AH740" t="str">
        <f ca="1" t="shared" si="178"/>
        <v>[{61,265},{6030001,4},{2,1425}]</v>
      </c>
    </row>
    <row r="741" spans="4:34">
      <c r="D741" s="81" t="str">
        <f ca="1" t="shared" si="190"/>
        <v>至臻Ⅲ</v>
      </c>
      <c r="E741" s="84">
        <f t="shared" si="191"/>
        <v>2</v>
      </c>
      <c r="F741" s="84">
        <f>F733+5</f>
        <v>265</v>
      </c>
      <c r="G741" s="84">
        <f>G733+5</f>
        <v>285</v>
      </c>
      <c r="H741" s="84"/>
      <c r="I741" s="84">
        <f t="shared" si="189"/>
        <v>1425</v>
      </c>
      <c r="J741" s="84" cm="1">
        <f ca="1" t="array" ref="J741">IF($E741&lt;7,_xlfn.XLOOKUP($D741&amp;$E741,$D$155:$D$395&amp;$E$155:$E$395,J$155:J$395),"")</f>
        <v>0</v>
      </c>
      <c r="K741" s="84" cm="1">
        <f ca="1" t="array" ref="K741">IF($E741&lt;7,_xlfn.XLOOKUP($D741&amp;$E741,$D$155:$D$395&amp;$E$155:$E$395,K$155:K$395),"")</f>
        <v>0</v>
      </c>
      <c r="L741" s="84" cm="1">
        <f ca="1" t="array" ref="L741">IF($E741&lt;7,_xlfn.XLOOKUP($D741&amp;$E741,$D$155:$D$395&amp;$E$155:$E$395,L$155:L$395),"")</f>
        <v>0</v>
      </c>
      <c r="M741" s="84" cm="1">
        <f ca="1" t="array" ref="M741">IF($E741&lt;7,_xlfn.XLOOKUP($D741&amp;$E741,$D$155:$D$395&amp;$E$155:$E$395,M$155:M$395),"")</f>
        <v>0</v>
      </c>
      <c r="N741" s="84" t="s">
        <v>282</v>
      </c>
      <c r="O741" s="84" t="s">
        <v>282</v>
      </c>
      <c r="P741" s="84" t="s">
        <v>282</v>
      </c>
      <c r="Q741" s="84" t="s">
        <v>282</v>
      </c>
      <c r="R741" s="84" t="s">
        <v>282</v>
      </c>
      <c r="S741" s="90">
        <f ca="1" t="shared" si="181"/>
        <v>415</v>
      </c>
      <c r="T741" s="90" cm="1">
        <f ca="1" t="array" ref="T741">IFERROR(SUMPRODUCT(F741:M741,$F$154:$M$154)+IFERROR(N741*SUMPRODUCT(O741:R741,$O$154:$R$154),0),"")</f>
        <v>1975</v>
      </c>
      <c r="V741" s="94" t="str">
        <f t="shared" si="182"/>
        <v/>
      </c>
      <c r="W741" t="str">
        <f ca="1" t="shared" si="177"/>
        <v/>
      </c>
      <c r="X741" s="94" t="str">
        <f t="shared" si="183"/>
        <v>{61,265}</v>
      </c>
      <c r="Y741" s="94" t="str">
        <f t="shared" si="184"/>
        <v>{63,285}</v>
      </c>
      <c r="Z741" s="94" t="str">
        <f ca="1" t="shared" si="185"/>
        <v/>
      </c>
      <c r="AA741" s="94" t="str">
        <f ca="1" t="shared" si="186"/>
        <v/>
      </c>
      <c r="AB741" s="94" t="str">
        <f ca="1" t="shared" si="187"/>
        <v/>
      </c>
      <c r="AE741" s="94" t="str">
        <f t="shared" si="188"/>
        <v>{2,1425}</v>
      </c>
      <c r="AH741" t="str">
        <f ca="1" t="shared" si="178"/>
        <v>[{61,265},{63,285},{2,1425}]</v>
      </c>
    </row>
    <row r="742" spans="4:34">
      <c r="D742" s="81" t="str">
        <f ca="1" t="shared" si="190"/>
        <v>至臻Ⅲ</v>
      </c>
      <c r="E742" s="84">
        <f t="shared" si="191"/>
        <v>3</v>
      </c>
      <c r="F742" s="84">
        <f>F734+5</f>
        <v>265</v>
      </c>
      <c r="G742" s="84"/>
      <c r="H742" s="84"/>
      <c r="I742" s="84">
        <f t="shared" si="189"/>
        <v>1425</v>
      </c>
      <c r="J742" s="84">
        <v>5</v>
      </c>
      <c r="K742" s="84"/>
      <c r="L742" s="84" cm="1">
        <f ca="1" t="array" ref="L742">IF($E742&lt;7,_xlfn.XLOOKUP($D742&amp;$E742,$D$155:$D$395&amp;$E$155:$E$395,L$155:L$395),"")</f>
        <v>0</v>
      </c>
      <c r="M742" s="84" cm="1">
        <f ca="1" t="array" ref="M742">IF($E742&lt;7,_xlfn.XLOOKUP($D742&amp;$E742,$D$155:$D$395&amp;$E$155:$E$395,M$155:M$395),"")</f>
        <v>0</v>
      </c>
      <c r="N742" s="84" t="s">
        <v>282</v>
      </c>
      <c r="O742" s="84" t="s">
        <v>282</v>
      </c>
      <c r="P742" s="84" t="s">
        <v>282</v>
      </c>
      <c r="Q742" s="84" t="s">
        <v>282</v>
      </c>
      <c r="R742" s="84" t="s">
        <v>282</v>
      </c>
      <c r="S742" s="90">
        <f ca="1" t="shared" si="181"/>
        <v>415</v>
      </c>
      <c r="T742" s="90" cm="1">
        <f ca="1" t="array" ref="T742">IFERROR(SUMPRODUCT(F742:M742,$F$154:$M$154)+IFERROR(N742*SUMPRODUCT(O742:R742,$O$154:$R$154),0),"")</f>
        <v>2690</v>
      </c>
      <c r="V742" s="94" t="str">
        <f t="shared" si="182"/>
        <v/>
      </c>
      <c r="W742" t="str">
        <f ca="1" t="shared" si="177"/>
        <v/>
      </c>
      <c r="X742" s="94" t="str">
        <f t="shared" si="183"/>
        <v>{61,265}</v>
      </c>
      <c r="Y742" s="94" t="str">
        <f t="shared" si="184"/>
        <v/>
      </c>
      <c r="Z742" s="94" t="str">
        <f ca="1" t="shared" si="185"/>
        <v/>
      </c>
      <c r="AA742" s="94" t="str">
        <f t="shared" si="186"/>
        <v/>
      </c>
      <c r="AB742" s="94" t="str">
        <f t="shared" si="187"/>
        <v>{6030001,5}</v>
      </c>
      <c r="AE742" s="94" t="str">
        <f t="shared" si="188"/>
        <v>{2,1425}</v>
      </c>
      <c r="AH742" t="str">
        <f ca="1" t="shared" si="178"/>
        <v>[{61,265},{6030001,5},{2,1425}]</v>
      </c>
    </row>
    <row r="743" spans="4:34">
      <c r="D743" s="81" t="str">
        <f ca="1" t="shared" si="190"/>
        <v>至臻Ⅲ</v>
      </c>
      <c r="E743" s="84">
        <f t="shared" si="191"/>
        <v>4</v>
      </c>
      <c r="F743" s="84">
        <f>CEILING(F744*1.25,5)</f>
        <v>420</v>
      </c>
      <c r="G743" s="84">
        <f>CEILING(G741*1.5,5)</f>
        <v>430</v>
      </c>
      <c r="H743" s="84"/>
      <c r="I743" s="84">
        <f t="shared" si="189"/>
        <v>1425</v>
      </c>
      <c r="J743" s="84" cm="1">
        <f ca="1" t="array" ref="J743">IF($E743&lt;7,_xlfn.XLOOKUP($D743&amp;$E743,$D$155:$D$395&amp;$E$155:$E$395,J$155:J$395),"")</f>
        <v>0</v>
      </c>
      <c r="K743" s="84" cm="1">
        <f ca="1" t="array" ref="K743">IF($E743&lt;7,_xlfn.XLOOKUP($D743&amp;$E743,$D$155:$D$395&amp;$E$155:$E$395,K$155:K$395),"")</f>
        <v>0</v>
      </c>
      <c r="L743" s="84" cm="1">
        <f ca="1" t="array" ref="L743">IF($E743&lt;7,_xlfn.XLOOKUP($D743&amp;$E743,$D$155:$D$395&amp;$E$155:$E$395,L$155:L$395),"")</f>
        <v>0</v>
      </c>
      <c r="M743" s="84" cm="1">
        <f ca="1" t="array" ref="M743">IF($E743&lt;7,_xlfn.XLOOKUP($D743&amp;$E743,$D$155:$D$395&amp;$E$155:$E$395,M$155:M$395),"")</f>
        <v>0</v>
      </c>
      <c r="N743" s="84" t="s">
        <v>282</v>
      </c>
      <c r="O743" s="84" t="s">
        <v>282</v>
      </c>
      <c r="P743" s="84" t="s">
        <v>282</v>
      </c>
      <c r="Q743" s="84" t="s">
        <v>282</v>
      </c>
      <c r="R743" s="84" t="s">
        <v>282</v>
      </c>
      <c r="S743" s="90">
        <f ca="1" t="shared" si="181"/>
        <v>415</v>
      </c>
      <c r="T743" s="90" cm="1">
        <f ca="1" t="array" ref="T743">IFERROR(SUMPRODUCT(F743:M743,$F$154:$M$154)+IFERROR(N743*SUMPRODUCT(O743:R743,$O$154:$R$154),0),"")</f>
        <v>2275</v>
      </c>
      <c r="V743" s="94" t="str">
        <f t="shared" si="182"/>
        <v/>
      </c>
      <c r="W743" t="str">
        <f ca="1" t="shared" si="177"/>
        <v/>
      </c>
      <c r="X743" s="94" t="str">
        <f t="shared" si="183"/>
        <v>{61,420}</v>
      </c>
      <c r="Y743" s="94" t="str">
        <f t="shared" si="184"/>
        <v>{63,430}</v>
      </c>
      <c r="Z743" s="94" t="str">
        <f ca="1" t="shared" si="185"/>
        <v/>
      </c>
      <c r="AA743" s="94" t="str">
        <f ca="1" t="shared" si="186"/>
        <v/>
      </c>
      <c r="AB743" s="94" t="str">
        <f ca="1" t="shared" si="187"/>
        <v/>
      </c>
      <c r="AE743" s="94" t="str">
        <f t="shared" si="188"/>
        <v>{2,1425}</v>
      </c>
      <c r="AH743" t="str">
        <f ca="1" t="shared" si="178"/>
        <v>[{61,420},{63,430},{2,1425}]</v>
      </c>
    </row>
    <row r="744" spans="4:34">
      <c r="D744" s="81" t="str">
        <f ca="1" t="shared" si="190"/>
        <v>至臻Ⅲ</v>
      </c>
      <c r="E744" s="84">
        <f t="shared" si="191"/>
        <v>5</v>
      </c>
      <c r="F744" s="84">
        <f>CEILING(F740*1.25,5)</f>
        <v>335</v>
      </c>
      <c r="G744" s="84"/>
      <c r="H744" s="84"/>
      <c r="I744" s="84">
        <f t="shared" si="189"/>
        <v>1425</v>
      </c>
      <c r="J744" s="84" cm="1">
        <f ca="1" t="array" ref="J744">IF($E744&lt;7,_xlfn.XLOOKUP($D744&amp;$E744,$D$155:$D$395&amp;$E$155:$E$395,J$155:J$395),"")</f>
        <v>0</v>
      </c>
      <c r="K744" s="84">
        <v>6</v>
      </c>
      <c r="L744" s="84"/>
      <c r="M744" s="84" cm="1">
        <f ca="1" t="array" ref="M744">IF($E744&lt;7,_xlfn.XLOOKUP($D744&amp;$E744,$D$155:$D$395&amp;$E$155:$E$395,M$155:M$395),"")</f>
        <v>0</v>
      </c>
      <c r="N744" s="84" t="s">
        <v>282</v>
      </c>
      <c r="O744" s="84" t="s">
        <v>282</v>
      </c>
      <c r="P744" s="84" t="s">
        <v>282</v>
      </c>
      <c r="Q744" s="84" t="s">
        <v>282</v>
      </c>
      <c r="R744" s="84" t="s">
        <v>282</v>
      </c>
      <c r="S744" s="90">
        <f ca="1" t="shared" si="181"/>
        <v>415</v>
      </c>
      <c r="T744" s="90" cm="1">
        <f ca="1" t="array" ref="T744">IFERROR(SUMPRODUCT(F744:M744,$F$154:$M$154)+IFERROR(N744*SUMPRODUCT(O744:R744,$O$154:$R$154),0),"")</f>
        <v>4160</v>
      </c>
      <c r="V744" s="94" t="str">
        <f t="shared" si="182"/>
        <v/>
      </c>
      <c r="W744" t="str">
        <f ca="1" t="shared" si="177"/>
        <v/>
      </c>
      <c r="X744" s="94" t="str">
        <f t="shared" si="183"/>
        <v>{61,335}</v>
      </c>
      <c r="Y744" s="94" t="str">
        <f t="shared" si="184"/>
        <v/>
      </c>
      <c r="Z744" s="94" t="str">
        <f t="shared" si="185"/>
        <v/>
      </c>
      <c r="AA744" s="94" t="str">
        <f t="shared" si="186"/>
        <v>{6030002,6}</v>
      </c>
      <c r="AB744" s="94" t="str">
        <f ca="1" t="shared" si="187"/>
        <v/>
      </c>
      <c r="AE744" s="94" t="str">
        <f t="shared" si="188"/>
        <v>{2,1425}</v>
      </c>
      <c r="AH744" t="str">
        <f ca="1" t="shared" si="178"/>
        <v>[{61,335},{6030002,6},{2,1425}]</v>
      </c>
    </row>
    <row r="745" spans="4:34">
      <c r="D745" s="81" t="str">
        <f ca="1" t="shared" si="190"/>
        <v>至臻Ⅲ</v>
      </c>
      <c r="E745" s="84">
        <f t="shared" si="191"/>
        <v>6</v>
      </c>
      <c r="F745" s="84">
        <f>CEILING(F741*1.25,5)</f>
        <v>335</v>
      </c>
      <c r="G745" s="84">
        <f>G743</f>
        <v>430</v>
      </c>
      <c r="H745" s="84"/>
      <c r="I745" s="84">
        <f t="shared" si="189"/>
        <v>1425</v>
      </c>
      <c r="J745" s="84" cm="1">
        <f ca="1" t="array" ref="J745">IF($E745&lt;7,_xlfn.XLOOKUP($D745&amp;$E745,$D$155:$D$395&amp;$E$155:$E$395,J$155:J$395),"")</f>
        <v>0</v>
      </c>
      <c r="K745" s="84" cm="1">
        <f ca="1" t="array" ref="K745">IF($E745&lt;7,_xlfn.XLOOKUP($D745&amp;$E745,$D$155:$D$395&amp;$E$155:$E$395,K$155:K$395),"")</f>
        <v>0</v>
      </c>
      <c r="L745" s="84" cm="1">
        <f ca="1" t="array" ref="L745">IF($E745&lt;7,_xlfn.XLOOKUP($D745&amp;$E745,$D$155:$D$395&amp;$E$155:$E$395,L$155:L$395),"")</f>
        <v>0</v>
      </c>
      <c r="M745" s="84" cm="1">
        <f ca="1" t="array" ref="M745">IF($E745&lt;7,_xlfn.XLOOKUP($D745&amp;$E745,$D$155:$D$395&amp;$E$155:$E$395,M$155:M$395),"")</f>
        <v>0</v>
      </c>
      <c r="N745" s="84" t="s">
        <v>282</v>
      </c>
      <c r="O745" s="84" t="s">
        <v>282</v>
      </c>
      <c r="P745" s="84" t="s">
        <v>282</v>
      </c>
      <c r="Q745" s="84" t="s">
        <v>282</v>
      </c>
      <c r="R745" s="84" t="s">
        <v>282</v>
      </c>
      <c r="S745" s="90">
        <f ca="1" t="shared" si="181"/>
        <v>415</v>
      </c>
      <c r="T745" s="90" cm="1">
        <f ca="1" t="array" ref="T745">IFERROR(SUMPRODUCT(F745:M745,$F$154:$M$154)+IFERROR(N745*SUMPRODUCT(O745:R745,$O$154:$R$154),0),"")</f>
        <v>2190</v>
      </c>
      <c r="V745" s="94" t="str">
        <f t="shared" si="182"/>
        <v/>
      </c>
      <c r="W745" t="str">
        <f ca="1" t="shared" si="177"/>
        <v/>
      </c>
      <c r="X745" s="94" t="str">
        <f t="shared" si="183"/>
        <v>{61,335}</v>
      </c>
      <c r="Y745" s="94" t="str">
        <f t="shared" si="184"/>
        <v>{63,430}</v>
      </c>
      <c r="Z745" s="94" t="str">
        <f ca="1" t="shared" si="185"/>
        <v/>
      </c>
      <c r="AA745" s="94" t="str">
        <f ca="1" t="shared" si="186"/>
        <v/>
      </c>
      <c r="AB745" s="94" t="str">
        <f ca="1" t="shared" si="187"/>
        <v/>
      </c>
      <c r="AE745" s="94" t="str">
        <f t="shared" si="188"/>
        <v>{2,1425}</v>
      </c>
      <c r="AH745" t="str">
        <f ca="1" t="shared" si="178"/>
        <v>[{61,335},{63,430},{2,1425}]</v>
      </c>
    </row>
    <row r="746" spans="4:34">
      <c r="D746" s="81" t="str">
        <f ca="1" t="shared" si="190"/>
        <v>至臻Ⅲ</v>
      </c>
      <c r="E746" s="84">
        <f t="shared" si="191"/>
        <v>7</v>
      </c>
      <c r="F746" s="84">
        <f>CEILING(F742*1.25,5)</f>
        <v>335</v>
      </c>
      <c r="G746" s="84"/>
      <c r="H746" s="84"/>
      <c r="I746" s="84">
        <f t="shared" si="189"/>
        <v>1425</v>
      </c>
      <c r="J746" s="84" t="str" cm="1">
        <f ca="1" t="array" ref="J746">IF($E746&lt;7,_xlfn.XLOOKUP($D746&amp;$E746,$D$155:$D$395&amp;$E$155:$E$395,J$155:J$395),"")</f>
        <v/>
      </c>
      <c r="K746" s="84" t="str" cm="1">
        <f ca="1" t="array" ref="K746">IF($E746&lt;7,_xlfn.XLOOKUP($D746&amp;$E746,$D$155:$D$395&amp;$E$155:$E$395,K$155:K$395),"")</f>
        <v/>
      </c>
      <c r="L746" s="84">
        <v>5</v>
      </c>
      <c r="M746" s="84" t="str" cm="1">
        <f ca="1" t="array" ref="M746">IF($E746&lt;7,_xlfn.XLOOKUP($D746&amp;$E746,$D$155:$D$395&amp;$E$155:$E$395,M$155:M$395),"")</f>
        <v/>
      </c>
      <c r="N746" s="84" t="s">
        <v>282</v>
      </c>
      <c r="O746" s="84" t="s">
        <v>282</v>
      </c>
      <c r="P746" s="84" t="s">
        <v>282</v>
      </c>
      <c r="Q746" s="84" t="s">
        <v>282</v>
      </c>
      <c r="R746" s="84" t="s">
        <v>282</v>
      </c>
      <c r="S746" s="90">
        <f ca="1" t="shared" si="181"/>
        <v>415</v>
      </c>
      <c r="T746" s="90" cm="1">
        <f ca="1" t="array" ref="T746">IFERROR(SUMPRODUCT(F746:M746,$F$154:$M$154)+IFERROR(N746*SUMPRODUCT(O746:R746,$O$154:$R$154),0),"")</f>
        <v>5760</v>
      </c>
      <c r="V746" s="94" t="str">
        <f t="shared" si="182"/>
        <v/>
      </c>
      <c r="W746" t="str">
        <f ca="1" t="shared" si="177"/>
        <v/>
      </c>
      <c r="X746" s="94" t="str">
        <f t="shared" si="183"/>
        <v>{61,335}</v>
      </c>
      <c r="Y746" s="94" t="str">
        <f t="shared" si="184"/>
        <v/>
      </c>
      <c r="Z746" s="94" t="str">
        <f t="shared" si="185"/>
        <v>{6030003,5}</v>
      </c>
      <c r="AA746" s="94" t="str">
        <f ca="1" t="shared" si="186"/>
        <v/>
      </c>
      <c r="AB746" s="94" t="str">
        <f ca="1" t="shared" si="187"/>
        <v/>
      </c>
      <c r="AE746" s="94" t="str">
        <f t="shared" si="188"/>
        <v>{2,1425}</v>
      </c>
      <c r="AH746" t="str">
        <f ca="1" t="shared" si="178"/>
        <v>[{61,335},{6030003,5},{2,1425}]</v>
      </c>
    </row>
    <row r="747" spans="4:34">
      <c r="D747" s="81" t="str">
        <f ca="1" t="shared" si="190"/>
        <v>至臻Ⅲ</v>
      </c>
      <c r="E747" s="84">
        <f t="shared" si="191"/>
        <v>8</v>
      </c>
      <c r="F747" s="84">
        <f>CEILING(F746*1.5,5)</f>
        <v>505</v>
      </c>
      <c r="G747" s="84">
        <f>CEILING(G745*1.5,5)</f>
        <v>645</v>
      </c>
      <c r="H747" s="84">
        <f>1</f>
        <v>1</v>
      </c>
      <c r="I747" s="84">
        <f t="shared" si="189"/>
        <v>1425</v>
      </c>
      <c r="J747" s="84" t="str" cm="1">
        <f ca="1" t="array" ref="J747">IF($E747&lt;7,_xlfn.XLOOKUP($D747&amp;$E747,$D$155:$D$395&amp;$E$155:$E$395,J$155:J$395),"")</f>
        <v/>
      </c>
      <c r="K747" s="84" t="str" cm="1">
        <f ca="1" t="array" ref="K747">IF($E747&lt;7,_xlfn.XLOOKUP($D747&amp;$E747,$D$155:$D$395&amp;$E$155:$E$395,K$155:K$395),"")</f>
        <v/>
      </c>
      <c r="L747" s="84" t="str" cm="1">
        <f ca="1" t="array" ref="L747">IF($E747&lt;7,_xlfn.XLOOKUP($D747&amp;$E747,$D$155:$D$395&amp;$E$155:$E$395,L$155:L$395),"")</f>
        <v/>
      </c>
      <c r="M747" s="84" t="str" cm="1">
        <f ca="1" t="array" ref="M747">IF($E747&lt;7,_xlfn.XLOOKUP($D747&amp;$E747,$D$155:$D$395&amp;$E$155:$E$395,M$155:M$395),"")</f>
        <v/>
      </c>
      <c r="N747" s="84">
        <v>8</v>
      </c>
      <c r="O747" s="84">
        <v>0</v>
      </c>
      <c r="P747" s="84">
        <v>0</v>
      </c>
      <c r="Q747" s="84">
        <v>0.31</v>
      </c>
      <c r="R747" s="84">
        <v>0.69</v>
      </c>
      <c r="S747" s="90">
        <f ca="1" t="shared" si="181"/>
        <v>415</v>
      </c>
      <c r="T747" s="90" cm="1">
        <f ca="1" t="array" ref="T747">IFERROR(SUMPRODUCT(F747:M747,$F$154:$M$154)+IFERROR(N747*SUMPRODUCT(O747:R747,$O$154:$R$154),0),"")</f>
        <v>13541</v>
      </c>
      <c r="V747" s="94" t="str">
        <f t="shared" si="182"/>
        <v>{62,1}</v>
      </c>
      <c r="W747" t="str">
        <f ca="1" t="shared" si="177"/>
        <v>{6020038,8}</v>
      </c>
      <c r="X747" s="94" t="str">
        <f t="shared" si="183"/>
        <v>{61,505}</v>
      </c>
      <c r="Y747" s="94" t="str">
        <f t="shared" si="184"/>
        <v>{63,645}</v>
      </c>
      <c r="Z747" s="94" t="str">
        <f ca="1" t="shared" si="185"/>
        <v/>
      </c>
      <c r="AA747" s="94" t="str">
        <f ca="1" t="shared" si="186"/>
        <v/>
      </c>
      <c r="AB747" s="94" t="str">
        <f ca="1" t="shared" si="187"/>
        <v/>
      </c>
      <c r="AE747" s="94" t="str">
        <f t="shared" si="188"/>
        <v>{2,1425}</v>
      </c>
      <c r="AH747" t="str">
        <f ca="1" t="shared" si="178"/>
        <v>[{62,1},{6020038,8},{61,505},{63,645},{2,1425}]</v>
      </c>
    </row>
    <row r="748" spans="4:34">
      <c r="D748" s="81" t="str">
        <f ca="1" t="shared" si="190"/>
        <v>至臻Ⅳ</v>
      </c>
      <c r="E748" s="84">
        <f t="shared" si="191"/>
        <v>1</v>
      </c>
      <c r="F748" s="84">
        <f>F740+5</f>
        <v>270</v>
      </c>
      <c r="G748" s="84"/>
      <c r="H748" s="84"/>
      <c r="I748" s="84">
        <f t="shared" si="189"/>
        <v>1450</v>
      </c>
      <c r="J748" s="84">
        <v>4</v>
      </c>
      <c r="K748" s="84" cm="1">
        <f ca="1" t="array" ref="K748">IF($E748&lt;7,_xlfn.XLOOKUP($D748&amp;$E748,$D$155:$D$395&amp;$E$155:$E$395,K$155:K$395),"")</f>
        <v>0</v>
      </c>
      <c r="L748" s="84" cm="1">
        <f ca="1" t="array" ref="L748">IF($E748&lt;7,_xlfn.XLOOKUP($D748&amp;$E748,$D$155:$D$395&amp;$E$155:$E$395,L$155:L$395),"")</f>
        <v>0</v>
      </c>
      <c r="M748" s="84" cm="1">
        <f ca="1" t="array" ref="M748">IF($E748&lt;7,_xlfn.XLOOKUP($D748&amp;$E748,$D$155:$D$395&amp;$E$155:$E$395,M$155:M$395),"")</f>
        <v>0</v>
      </c>
      <c r="N748" s="84" t="s">
        <v>282</v>
      </c>
      <c r="O748" s="84" t="s">
        <v>282</v>
      </c>
      <c r="P748" s="84" t="s">
        <v>282</v>
      </c>
      <c r="Q748" s="84" t="s">
        <v>282</v>
      </c>
      <c r="R748" s="84" t="s">
        <v>282</v>
      </c>
      <c r="S748" s="90">
        <f ca="1" t="shared" si="181"/>
        <v>425</v>
      </c>
      <c r="T748" s="90" cm="1">
        <f ca="1" t="array" ref="T748">IFERROR(SUMPRODUCT(F748:M748,$F$154:$M$154)+IFERROR(N748*SUMPRODUCT(O748:R748,$O$154:$R$154),0),"")</f>
        <v>2520</v>
      </c>
      <c r="V748" s="94" t="str">
        <f t="shared" si="182"/>
        <v/>
      </c>
      <c r="W748" t="str">
        <f ca="1" t="shared" si="177"/>
        <v/>
      </c>
      <c r="X748" s="94" t="str">
        <f t="shared" si="183"/>
        <v>{61,270}</v>
      </c>
      <c r="Y748" s="94" t="str">
        <f t="shared" si="184"/>
        <v/>
      </c>
      <c r="Z748" s="94" t="str">
        <f ca="1" t="shared" si="185"/>
        <v/>
      </c>
      <c r="AA748" s="94" t="str">
        <f ca="1" t="shared" si="186"/>
        <v/>
      </c>
      <c r="AB748" s="94" t="str">
        <f t="shared" si="187"/>
        <v>{6030001,4}</v>
      </c>
      <c r="AE748" s="94" t="str">
        <f t="shared" si="188"/>
        <v>{2,1450}</v>
      </c>
      <c r="AH748" t="str">
        <f ca="1" t="shared" si="178"/>
        <v>[{61,270},{6030001,4},{2,1450}]</v>
      </c>
    </row>
    <row r="749" spans="4:34">
      <c r="D749" s="81" t="str">
        <f ca="1" t="shared" si="190"/>
        <v>至臻Ⅳ</v>
      </c>
      <c r="E749" s="84">
        <f t="shared" si="191"/>
        <v>2</v>
      </c>
      <c r="F749" s="84">
        <f>F741+5</f>
        <v>270</v>
      </c>
      <c r="G749" s="84">
        <f>G741+5</f>
        <v>290</v>
      </c>
      <c r="H749" s="84"/>
      <c r="I749" s="84">
        <f t="shared" si="189"/>
        <v>1450</v>
      </c>
      <c r="J749" s="84" cm="1">
        <f ca="1" t="array" ref="J749">IF($E749&lt;7,_xlfn.XLOOKUP($D749&amp;$E749,$D$155:$D$395&amp;$E$155:$E$395,J$155:J$395),"")</f>
        <v>0</v>
      </c>
      <c r="K749" s="84" cm="1">
        <f ca="1" t="array" ref="K749">IF($E749&lt;7,_xlfn.XLOOKUP($D749&amp;$E749,$D$155:$D$395&amp;$E$155:$E$395,K$155:K$395),"")</f>
        <v>0</v>
      </c>
      <c r="L749" s="84" cm="1">
        <f ca="1" t="array" ref="L749">IF($E749&lt;7,_xlfn.XLOOKUP($D749&amp;$E749,$D$155:$D$395&amp;$E$155:$E$395,L$155:L$395),"")</f>
        <v>0</v>
      </c>
      <c r="M749" s="84" cm="1">
        <f ca="1" t="array" ref="M749">IF($E749&lt;7,_xlfn.XLOOKUP($D749&amp;$E749,$D$155:$D$395&amp;$E$155:$E$395,M$155:M$395),"")</f>
        <v>0</v>
      </c>
      <c r="N749" s="84" t="s">
        <v>282</v>
      </c>
      <c r="O749" s="84" t="s">
        <v>282</v>
      </c>
      <c r="P749" s="84" t="s">
        <v>282</v>
      </c>
      <c r="Q749" s="84" t="s">
        <v>282</v>
      </c>
      <c r="R749" s="84" t="s">
        <v>282</v>
      </c>
      <c r="S749" s="90">
        <f ca="1" t="shared" si="181"/>
        <v>425</v>
      </c>
      <c r="T749" s="90" cm="1">
        <f ca="1" t="array" ref="T749">IFERROR(SUMPRODUCT(F749:M749,$F$154:$M$154)+IFERROR(N749*SUMPRODUCT(O749:R749,$O$154:$R$154),0),"")</f>
        <v>2010</v>
      </c>
      <c r="V749" s="94" t="str">
        <f t="shared" si="182"/>
        <v/>
      </c>
      <c r="W749" t="str">
        <f ca="1" t="shared" si="177"/>
        <v/>
      </c>
      <c r="X749" s="94" t="str">
        <f t="shared" si="183"/>
        <v>{61,270}</v>
      </c>
      <c r="Y749" s="94" t="str">
        <f t="shared" si="184"/>
        <v>{63,290}</v>
      </c>
      <c r="Z749" s="94" t="str">
        <f ca="1" t="shared" si="185"/>
        <v/>
      </c>
      <c r="AA749" s="94" t="str">
        <f ca="1" t="shared" si="186"/>
        <v/>
      </c>
      <c r="AB749" s="94" t="str">
        <f ca="1" t="shared" si="187"/>
        <v/>
      </c>
      <c r="AE749" s="94" t="str">
        <f t="shared" si="188"/>
        <v>{2,1450}</v>
      </c>
      <c r="AH749" t="str">
        <f ca="1" t="shared" si="178"/>
        <v>[{61,270},{63,290},{2,1450}]</v>
      </c>
    </row>
    <row r="750" spans="4:34">
      <c r="D750" s="81" t="str">
        <f ca="1" t="shared" si="190"/>
        <v>至臻Ⅳ</v>
      </c>
      <c r="E750" s="84">
        <f t="shared" si="191"/>
        <v>3</v>
      </c>
      <c r="F750" s="84">
        <f>F742+5</f>
        <v>270</v>
      </c>
      <c r="G750" s="84"/>
      <c r="H750" s="84"/>
      <c r="I750" s="84">
        <f t="shared" si="189"/>
        <v>1450</v>
      </c>
      <c r="J750" s="84">
        <v>5</v>
      </c>
      <c r="K750" s="84"/>
      <c r="L750" s="84" cm="1">
        <f ca="1" t="array" ref="L750">IF($E750&lt;7,_xlfn.XLOOKUP($D750&amp;$E750,$D$155:$D$395&amp;$E$155:$E$395,L$155:L$395),"")</f>
        <v>0</v>
      </c>
      <c r="M750" s="84" cm="1">
        <f ca="1" t="array" ref="M750">IF($E750&lt;7,_xlfn.XLOOKUP($D750&amp;$E750,$D$155:$D$395&amp;$E$155:$E$395,M$155:M$395),"")</f>
        <v>0</v>
      </c>
      <c r="N750" s="84" t="s">
        <v>282</v>
      </c>
      <c r="O750" s="84" t="s">
        <v>282</v>
      </c>
      <c r="P750" s="84" t="s">
        <v>282</v>
      </c>
      <c r="Q750" s="84" t="s">
        <v>282</v>
      </c>
      <c r="R750" s="84" t="s">
        <v>282</v>
      </c>
      <c r="S750" s="90">
        <f ca="1" t="shared" si="181"/>
        <v>425</v>
      </c>
      <c r="T750" s="90" cm="1">
        <f ca="1" t="array" ref="T750">IFERROR(SUMPRODUCT(F750:M750,$F$154:$M$154)+IFERROR(N750*SUMPRODUCT(O750:R750,$O$154:$R$154),0),"")</f>
        <v>2720</v>
      </c>
      <c r="V750" s="94" t="str">
        <f t="shared" si="182"/>
        <v/>
      </c>
      <c r="W750" t="str">
        <f ca="1" t="shared" si="177"/>
        <v/>
      </c>
      <c r="X750" s="94" t="str">
        <f t="shared" si="183"/>
        <v>{61,270}</v>
      </c>
      <c r="Y750" s="94" t="str">
        <f t="shared" si="184"/>
        <v/>
      </c>
      <c r="Z750" s="94" t="str">
        <f ca="1" t="shared" si="185"/>
        <v/>
      </c>
      <c r="AA750" s="94" t="str">
        <f t="shared" si="186"/>
        <v/>
      </c>
      <c r="AB750" s="94" t="str">
        <f t="shared" si="187"/>
        <v>{6030001,5}</v>
      </c>
      <c r="AE750" s="94" t="str">
        <f t="shared" si="188"/>
        <v>{2,1450}</v>
      </c>
      <c r="AH750" t="str">
        <f ca="1" t="shared" si="178"/>
        <v>[{61,270},{6030001,5},{2,1450}]</v>
      </c>
    </row>
    <row r="751" spans="4:34">
      <c r="D751" s="81" t="str">
        <f ca="1" t="shared" si="190"/>
        <v>至臻Ⅳ</v>
      </c>
      <c r="E751" s="84">
        <f t="shared" si="191"/>
        <v>4</v>
      </c>
      <c r="F751" s="84">
        <f>CEILING(F752*1.25,5)</f>
        <v>425</v>
      </c>
      <c r="G751" s="84">
        <f>CEILING(G749*1.5,5)</f>
        <v>435</v>
      </c>
      <c r="H751" s="84"/>
      <c r="I751" s="84">
        <f t="shared" si="189"/>
        <v>1450</v>
      </c>
      <c r="J751" s="84" cm="1">
        <f ca="1" t="array" ref="J751">IF($E751&lt;7,_xlfn.XLOOKUP($D751&amp;$E751,$D$155:$D$395&amp;$E$155:$E$395,J$155:J$395),"")</f>
        <v>0</v>
      </c>
      <c r="K751" s="84" cm="1">
        <f ca="1" t="array" ref="K751">IF($E751&lt;7,_xlfn.XLOOKUP($D751&amp;$E751,$D$155:$D$395&amp;$E$155:$E$395,K$155:K$395),"")</f>
        <v>0</v>
      </c>
      <c r="L751" s="84" cm="1">
        <f ca="1" t="array" ref="L751">IF($E751&lt;7,_xlfn.XLOOKUP($D751&amp;$E751,$D$155:$D$395&amp;$E$155:$E$395,L$155:L$395),"")</f>
        <v>0</v>
      </c>
      <c r="M751" s="84" cm="1">
        <f ca="1" t="array" ref="M751">IF($E751&lt;7,_xlfn.XLOOKUP($D751&amp;$E751,$D$155:$D$395&amp;$E$155:$E$395,M$155:M$395),"")</f>
        <v>0</v>
      </c>
      <c r="N751" s="84" t="s">
        <v>282</v>
      </c>
      <c r="O751" s="84" t="s">
        <v>282</v>
      </c>
      <c r="P751" s="84" t="s">
        <v>282</v>
      </c>
      <c r="Q751" s="84" t="s">
        <v>282</v>
      </c>
      <c r="R751" s="84" t="s">
        <v>282</v>
      </c>
      <c r="S751" s="90">
        <f ca="1" t="shared" si="181"/>
        <v>425</v>
      </c>
      <c r="T751" s="90" cm="1">
        <f ca="1" t="array" ref="T751">IFERROR(SUMPRODUCT(F751:M751,$F$154:$M$154)+IFERROR(N751*SUMPRODUCT(O751:R751,$O$154:$R$154),0),"")</f>
        <v>2310</v>
      </c>
      <c r="V751" s="94" t="str">
        <f t="shared" si="182"/>
        <v/>
      </c>
      <c r="W751" t="str">
        <f ca="1" t="shared" si="177"/>
        <v/>
      </c>
      <c r="X751" s="94" t="str">
        <f t="shared" si="183"/>
        <v>{61,425}</v>
      </c>
      <c r="Y751" s="94" t="str">
        <f t="shared" si="184"/>
        <v>{63,435}</v>
      </c>
      <c r="Z751" s="94" t="str">
        <f ca="1" t="shared" si="185"/>
        <v/>
      </c>
      <c r="AA751" s="94" t="str">
        <f ca="1" t="shared" si="186"/>
        <v/>
      </c>
      <c r="AB751" s="94" t="str">
        <f ca="1" t="shared" si="187"/>
        <v/>
      </c>
      <c r="AE751" s="94" t="str">
        <f t="shared" si="188"/>
        <v>{2,1450}</v>
      </c>
      <c r="AH751" t="str">
        <f ca="1" t="shared" si="178"/>
        <v>[{61,425},{63,435},{2,1450}]</v>
      </c>
    </row>
    <row r="752" spans="4:34">
      <c r="D752" s="81" t="str">
        <f ca="1" t="shared" si="190"/>
        <v>至臻Ⅳ</v>
      </c>
      <c r="E752" s="84">
        <f t="shared" si="191"/>
        <v>5</v>
      </c>
      <c r="F752" s="84">
        <f>CEILING(F748*1.25,5)</f>
        <v>340</v>
      </c>
      <c r="G752" s="84"/>
      <c r="H752" s="84"/>
      <c r="I752" s="84">
        <f t="shared" si="189"/>
        <v>1450</v>
      </c>
      <c r="J752" s="84" cm="1">
        <f ca="1" t="array" ref="J752">IF($E752&lt;7,_xlfn.XLOOKUP($D752&amp;$E752,$D$155:$D$395&amp;$E$155:$E$395,J$155:J$395),"")</f>
        <v>0</v>
      </c>
      <c r="K752" s="84">
        <v>6</v>
      </c>
      <c r="L752" s="84"/>
      <c r="M752" s="84" cm="1">
        <f ca="1" t="array" ref="M752">IF($E752&lt;7,_xlfn.XLOOKUP($D752&amp;$E752,$D$155:$D$395&amp;$E$155:$E$395,M$155:M$395),"")</f>
        <v>0</v>
      </c>
      <c r="N752" s="84" t="s">
        <v>282</v>
      </c>
      <c r="O752" s="84" t="s">
        <v>282</v>
      </c>
      <c r="P752" s="84" t="s">
        <v>282</v>
      </c>
      <c r="Q752" s="84" t="s">
        <v>282</v>
      </c>
      <c r="R752" s="84" t="s">
        <v>282</v>
      </c>
      <c r="S752" s="90">
        <f ca="1" t="shared" si="181"/>
        <v>425</v>
      </c>
      <c r="T752" s="90" cm="1">
        <f ca="1" t="array" ref="T752">IFERROR(SUMPRODUCT(F752:M752,$F$154:$M$154)+IFERROR(N752*SUMPRODUCT(O752:R752,$O$154:$R$154),0),"")</f>
        <v>4190</v>
      </c>
      <c r="V752" s="94" t="str">
        <f t="shared" si="182"/>
        <v/>
      </c>
      <c r="W752" t="str">
        <f ca="1" t="shared" si="177"/>
        <v/>
      </c>
      <c r="X752" s="94" t="str">
        <f t="shared" si="183"/>
        <v>{61,340}</v>
      </c>
      <c r="Y752" s="94" t="str">
        <f t="shared" si="184"/>
        <v/>
      </c>
      <c r="Z752" s="94" t="str">
        <f t="shared" si="185"/>
        <v/>
      </c>
      <c r="AA752" s="94" t="str">
        <f t="shared" si="186"/>
        <v>{6030002,6}</v>
      </c>
      <c r="AB752" s="94" t="str">
        <f ca="1" t="shared" si="187"/>
        <v/>
      </c>
      <c r="AE752" s="94" t="str">
        <f t="shared" si="188"/>
        <v>{2,1450}</v>
      </c>
      <c r="AH752" t="str">
        <f ca="1" t="shared" si="178"/>
        <v>[{61,340},{6030002,6},{2,1450}]</v>
      </c>
    </row>
    <row r="753" spans="4:34">
      <c r="D753" s="81" t="str">
        <f ca="1" t="shared" si="190"/>
        <v>至臻Ⅳ</v>
      </c>
      <c r="E753" s="84">
        <f t="shared" si="191"/>
        <v>6</v>
      </c>
      <c r="F753" s="84">
        <f>CEILING(F749*1.25,5)</f>
        <v>340</v>
      </c>
      <c r="G753" s="84">
        <f>G751</f>
        <v>435</v>
      </c>
      <c r="H753" s="84"/>
      <c r="I753" s="84">
        <f t="shared" si="189"/>
        <v>1450</v>
      </c>
      <c r="J753" s="84" cm="1">
        <f ca="1" t="array" ref="J753">IF($E753&lt;7,_xlfn.XLOOKUP($D753&amp;$E753,$D$155:$D$395&amp;$E$155:$E$395,J$155:J$395),"")</f>
        <v>0</v>
      </c>
      <c r="K753" s="84" cm="1">
        <f ca="1" t="array" ref="K753">IF($E753&lt;7,_xlfn.XLOOKUP($D753&amp;$E753,$D$155:$D$395&amp;$E$155:$E$395,K$155:K$395),"")</f>
        <v>0</v>
      </c>
      <c r="L753" s="84" cm="1">
        <f ca="1" t="array" ref="L753">IF($E753&lt;7,_xlfn.XLOOKUP($D753&amp;$E753,$D$155:$D$395&amp;$E$155:$E$395,L$155:L$395),"")</f>
        <v>0</v>
      </c>
      <c r="M753" s="84" cm="1">
        <f ca="1" t="array" ref="M753">IF($E753&lt;7,_xlfn.XLOOKUP($D753&amp;$E753,$D$155:$D$395&amp;$E$155:$E$395,M$155:M$395),"")</f>
        <v>0</v>
      </c>
      <c r="N753" s="84" t="s">
        <v>282</v>
      </c>
      <c r="O753" s="84" t="s">
        <v>282</v>
      </c>
      <c r="P753" s="84" t="s">
        <v>282</v>
      </c>
      <c r="Q753" s="84" t="s">
        <v>282</v>
      </c>
      <c r="R753" s="84" t="s">
        <v>282</v>
      </c>
      <c r="S753" s="90">
        <f ca="1" t="shared" si="181"/>
        <v>425</v>
      </c>
      <c r="T753" s="90" cm="1">
        <f ca="1" t="array" ref="T753">IFERROR(SUMPRODUCT(F753:M753,$F$154:$M$154)+IFERROR(N753*SUMPRODUCT(O753:R753,$O$154:$R$154),0),"")</f>
        <v>2225</v>
      </c>
      <c r="V753" s="94" t="str">
        <f t="shared" si="182"/>
        <v/>
      </c>
      <c r="W753" t="str">
        <f ca="1" t="shared" si="177"/>
        <v/>
      </c>
      <c r="X753" s="94" t="str">
        <f t="shared" si="183"/>
        <v>{61,340}</v>
      </c>
      <c r="Y753" s="94" t="str">
        <f t="shared" si="184"/>
        <v>{63,435}</v>
      </c>
      <c r="Z753" s="94" t="str">
        <f ca="1" t="shared" si="185"/>
        <v/>
      </c>
      <c r="AA753" s="94" t="str">
        <f ca="1" t="shared" si="186"/>
        <v/>
      </c>
      <c r="AB753" s="94" t="str">
        <f ca="1" t="shared" si="187"/>
        <v/>
      </c>
      <c r="AE753" s="94" t="str">
        <f t="shared" si="188"/>
        <v>{2,1450}</v>
      </c>
      <c r="AH753" t="str">
        <f ca="1" t="shared" si="178"/>
        <v>[{61,340},{63,435},{2,1450}]</v>
      </c>
    </row>
    <row r="754" spans="4:34">
      <c r="D754" s="81" t="str">
        <f ca="1" t="shared" si="190"/>
        <v>至臻Ⅳ</v>
      </c>
      <c r="E754" s="84">
        <f t="shared" si="191"/>
        <v>7</v>
      </c>
      <c r="F754" s="84">
        <f>CEILING(F750*1.25,5)</f>
        <v>340</v>
      </c>
      <c r="G754" s="84"/>
      <c r="H754" s="84"/>
      <c r="I754" s="84">
        <f t="shared" si="189"/>
        <v>1450</v>
      </c>
      <c r="J754" s="84" t="str" cm="1">
        <f ca="1" t="array" ref="J754">IF($E754&lt;7,_xlfn.XLOOKUP($D754&amp;$E754,$D$155:$D$395&amp;$E$155:$E$395,J$155:J$395),"")</f>
        <v/>
      </c>
      <c r="K754" s="84" t="str" cm="1">
        <f ca="1" t="array" ref="K754">IF($E754&lt;7,_xlfn.XLOOKUP($D754&amp;$E754,$D$155:$D$395&amp;$E$155:$E$395,K$155:K$395),"")</f>
        <v/>
      </c>
      <c r="L754" s="84">
        <v>5</v>
      </c>
      <c r="M754" s="84" t="str" cm="1">
        <f ca="1" t="array" ref="M754">IF($E754&lt;7,_xlfn.XLOOKUP($D754&amp;$E754,$D$155:$D$395&amp;$E$155:$E$395,M$155:M$395),"")</f>
        <v/>
      </c>
      <c r="N754" s="84" t="s">
        <v>282</v>
      </c>
      <c r="O754" s="84" t="s">
        <v>282</v>
      </c>
      <c r="P754" s="84" t="s">
        <v>282</v>
      </c>
      <c r="Q754" s="84" t="s">
        <v>282</v>
      </c>
      <c r="R754" s="84" t="s">
        <v>282</v>
      </c>
      <c r="S754" s="90">
        <f ca="1" t="shared" si="181"/>
        <v>425</v>
      </c>
      <c r="T754" s="90" cm="1">
        <f ca="1" t="array" ref="T754">IFERROR(SUMPRODUCT(F754:M754,$F$154:$M$154)+IFERROR(N754*SUMPRODUCT(O754:R754,$O$154:$R$154),0),"")</f>
        <v>5790</v>
      </c>
      <c r="V754" s="94" t="str">
        <f t="shared" si="182"/>
        <v/>
      </c>
      <c r="W754" t="str">
        <f ca="1" t="shared" si="177"/>
        <v/>
      </c>
      <c r="X754" s="94" t="str">
        <f t="shared" si="183"/>
        <v>{61,340}</v>
      </c>
      <c r="Y754" s="94" t="str">
        <f t="shared" si="184"/>
        <v/>
      </c>
      <c r="Z754" s="94" t="str">
        <f t="shared" si="185"/>
        <v>{6030003,5}</v>
      </c>
      <c r="AA754" s="94" t="str">
        <f ca="1" t="shared" si="186"/>
        <v/>
      </c>
      <c r="AB754" s="94" t="str">
        <f ca="1" t="shared" si="187"/>
        <v/>
      </c>
      <c r="AE754" s="94" t="str">
        <f t="shared" si="188"/>
        <v>{2,1450}</v>
      </c>
      <c r="AH754" t="str">
        <f ca="1" t="shared" si="178"/>
        <v>[{61,340},{6030003,5},{2,1450}]</v>
      </c>
    </row>
    <row r="755" spans="4:34">
      <c r="D755" s="81" t="str">
        <f ca="1" t="shared" si="190"/>
        <v>至臻Ⅳ</v>
      </c>
      <c r="E755" s="84">
        <f t="shared" si="191"/>
        <v>8</v>
      </c>
      <c r="F755" s="84">
        <f>CEILING(F754*1.5,5)</f>
        <v>510</v>
      </c>
      <c r="G755" s="84">
        <f>CEILING(G753*1.5,5)</f>
        <v>655</v>
      </c>
      <c r="H755" s="84">
        <f>1</f>
        <v>1</v>
      </c>
      <c r="I755" s="84">
        <f t="shared" si="189"/>
        <v>1450</v>
      </c>
      <c r="J755" s="84" t="str" cm="1">
        <f ca="1" t="array" ref="J755">IF($E755&lt;7,_xlfn.XLOOKUP($D755&amp;$E755,$D$155:$D$395&amp;$E$155:$E$395,J$155:J$395),"")</f>
        <v/>
      </c>
      <c r="K755" s="84" t="str" cm="1">
        <f ca="1" t="array" ref="K755">IF($E755&lt;7,_xlfn.XLOOKUP($D755&amp;$E755,$D$155:$D$395&amp;$E$155:$E$395,K$155:K$395),"")</f>
        <v/>
      </c>
      <c r="L755" s="84" t="str" cm="1">
        <f ca="1" t="array" ref="L755">IF($E755&lt;7,_xlfn.XLOOKUP($D755&amp;$E755,$D$155:$D$395&amp;$E$155:$E$395,L$155:L$395),"")</f>
        <v/>
      </c>
      <c r="M755" s="84" t="str" cm="1">
        <f ca="1" t="array" ref="M755">IF($E755&lt;7,_xlfn.XLOOKUP($D755&amp;$E755,$D$155:$D$395&amp;$E$155:$E$395,M$155:M$395),"")</f>
        <v/>
      </c>
      <c r="N755" s="84">
        <v>8</v>
      </c>
      <c r="O755" s="84">
        <v>0</v>
      </c>
      <c r="P755" s="84">
        <v>0</v>
      </c>
      <c r="Q755" s="84">
        <v>0.28</v>
      </c>
      <c r="R755" s="84">
        <v>0.72</v>
      </c>
      <c r="S755" s="90">
        <f ca="1" t="shared" si="181"/>
        <v>425</v>
      </c>
      <c r="T755" s="90" cm="1">
        <f ca="1" t="array" ref="T755">IFERROR(SUMPRODUCT(F755:M755,$F$154:$M$154)+IFERROR(N755*SUMPRODUCT(O755:R755,$O$154:$R$154),0),"")</f>
        <v>13773</v>
      </c>
      <c r="V755" s="94" t="str">
        <f t="shared" si="182"/>
        <v>{62,1}</v>
      </c>
      <c r="W755" t="str">
        <f ca="1" t="shared" si="177"/>
        <v>{6020039,8}</v>
      </c>
      <c r="X755" s="94" t="str">
        <f t="shared" si="183"/>
        <v>{61,510}</v>
      </c>
      <c r="Y755" s="94" t="str">
        <f t="shared" si="184"/>
        <v>{63,655}</v>
      </c>
      <c r="Z755" s="94" t="str">
        <f ca="1" t="shared" si="185"/>
        <v/>
      </c>
      <c r="AA755" s="94" t="str">
        <f ca="1" t="shared" si="186"/>
        <v/>
      </c>
      <c r="AB755" s="94" t="str">
        <f ca="1" t="shared" si="187"/>
        <v/>
      </c>
      <c r="AE755" s="94" t="str">
        <f t="shared" si="188"/>
        <v>{2,1450}</v>
      </c>
      <c r="AH755" t="str">
        <f ca="1" t="shared" si="178"/>
        <v>[{62,1},{6020039,8},{61,510},{63,655},{2,1450}]</v>
      </c>
    </row>
    <row r="756" spans="4:34">
      <c r="D756" s="81" t="str">
        <f ca="1" t="shared" si="190"/>
        <v>至臻Ⅴ</v>
      </c>
      <c r="E756" s="84">
        <f t="shared" si="191"/>
        <v>1</v>
      </c>
      <c r="F756" s="84">
        <f>F748+5</f>
        <v>275</v>
      </c>
      <c r="G756" s="84"/>
      <c r="H756" s="84"/>
      <c r="I756" s="84">
        <f t="shared" si="189"/>
        <v>1475</v>
      </c>
      <c r="J756" s="84">
        <v>4</v>
      </c>
      <c r="K756" s="84" cm="1">
        <f ca="1" t="array" ref="K756">IF($E756&lt;7,_xlfn.XLOOKUP($D756&amp;$E756,$D$155:$D$395&amp;$E$155:$E$395,K$155:K$395),"")</f>
        <v>0</v>
      </c>
      <c r="L756" s="84" cm="1">
        <f ca="1" t="array" ref="L756">IF($E756&lt;7,_xlfn.XLOOKUP($D756&amp;$E756,$D$155:$D$395&amp;$E$155:$E$395,L$155:L$395),"")</f>
        <v>0</v>
      </c>
      <c r="M756" s="84" cm="1">
        <f ca="1" t="array" ref="M756">IF($E756&lt;7,_xlfn.XLOOKUP($D756&amp;$E756,$D$155:$D$395&amp;$E$155:$E$395,M$155:M$395),"")</f>
        <v>0</v>
      </c>
      <c r="N756" s="84" t="s">
        <v>282</v>
      </c>
      <c r="O756" s="84" t="s">
        <v>282</v>
      </c>
      <c r="P756" s="84" t="s">
        <v>282</v>
      </c>
      <c r="Q756" s="84" t="s">
        <v>282</v>
      </c>
      <c r="R756" s="84" t="s">
        <v>282</v>
      </c>
      <c r="S756" s="90">
        <f ca="1" t="shared" si="181"/>
        <v>435</v>
      </c>
      <c r="T756" s="90" cm="1">
        <f ca="1" t="array" ref="T756">IFERROR(SUMPRODUCT(F756:M756,$F$154:$M$154)+IFERROR(N756*SUMPRODUCT(O756:R756,$O$154:$R$154),0),"")</f>
        <v>2550</v>
      </c>
      <c r="V756" s="94" t="str">
        <f t="shared" si="182"/>
        <v/>
      </c>
      <c r="W756" t="str">
        <f ca="1" t="shared" si="177"/>
        <v/>
      </c>
      <c r="X756" s="94" t="str">
        <f t="shared" si="183"/>
        <v>{61,275}</v>
      </c>
      <c r="Y756" s="94" t="str">
        <f t="shared" si="184"/>
        <v/>
      </c>
      <c r="Z756" s="94" t="str">
        <f ca="1" t="shared" si="185"/>
        <v/>
      </c>
      <c r="AA756" s="94" t="str">
        <f ca="1" t="shared" si="186"/>
        <v/>
      </c>
      <c r="AB756" s="94" t="str">
        <f t="shared" si="187"/>
        <v>{6030001,4}</v>
      </c>
      <c r="AE756" s="94" t="str">
        <f t="shared" si="188"/>
        <v>{2,1475}</v>
      </c>
      <c r="AH756" t="str">
        <f ca="1" t="shared" si="178"/>
        <v>[{61,275},{6030001,4},{2,1475}]</v>
      </c>
    </row>
    <row r="757" spans="4:34">
      <c r="D757" s="81" t="str">
        <f ca="1" t="shared" si="190"/>
        <v>至臻Ⅴ</v>
      </c>
      <c r="E757" s="84">
        <f t="shared" si="191"/>
        <v>2</v>
      </c>
      <c r="F757" s="84">
        <f>F749+5</f>
        <v>275</v>
      </c>
      <c r="G757" s="84">
        <f>G749+5</f>
        <v>295</v>
      </c>
      <c r="H757" s="84"/>
      <c r="I757" s="84">
        <f t="shared" si="189"/>
        <v>1475</v>
      </c>
      <c r="J757" s="84" cm="1">
        <f ca="1" t="array" ref="J757">IF($E757&lt;7,_xlfn.XLOOKUP($D757&amp;$E757,$D$155:$D$395&amp;$E$155:$E$395,J$155:J$395),"")</f>
        <v>0</v>
      </c>
      <c r="K757" s="84" cm="1">
        <f ca="1" t="array" ref="K757">IF($E757&lt;7,_xlfn.XLOOKUP($D757&amp;$E757,$D$155:$D$395&amp;$E$155:$E$395,K$155:K$395),"")</f>
        <v>0</v>
      </c>
      <c r="L757" s="84" cm="1">
        <f ca="1" t="array" ref="L757">IF($E757&lt;7,_xlfn.XLOOKUP($D757&amp;$E757,$D$155:$D$395&amp;$E$155:$E$395,L$155:L$395),"")</f>
        <v>0</v>
      </c>
      <c r="M757" s="84" cm="1">
        <f ca="1" t="array" ref="M757">IF($E757&lt;7,_xlfn.XLOOKUP($D757&amp;$E757,$D$155:$D$395&amp;$E$155:$E$395,M$155:M$395),"")</f>
        <v>0</v>
      </c>
      <c r="N757" s="84" t="s">
        <v>282</v>
      </c>
      <c r="O757" s="84" t="s">
        <v>282</v>
      </c>
      <c r="P757" s="84" t="s">
        <v>282</v>
      </c>
      <c r="Q757" s="84" t="s">
        <v>282</v>
      </c>
      <c r="R757" s="84" t="s">
        <v>282</v>
      </c>
      <c r="S757" s="90">
        <f ca="1" t="shared" si="181"/>
        <v>435</v>
      </c>
      <c r="T757" s="90" cm="1">
        <f ca="1" t="array" ref="T757">IFERROR(SUMPRODUCT(F757:M757,$F$154:$M$154)+IFERROR(N757*SUMPRODUCT(O757:R757,$O$154:$R$154),0),"")</f>
        <v>2045</v>
      </c>
      <c r="V757" s="94" t="str">
        <f t="shared" si="182"/>
        <v/>
      </c>
      <c r="W757" t="str">
        <f ca="1" t="shared" si="177"/>
        <v/>
      </c>
      <c r="X757" s="94" t="str">
        <f t="shared" si="183"/>
        <v>{61,275}</v>
      </c>
      <c r="Y757" s="94" t="str">
        <f t="shared" si="184"/>
        <v>{63,295}</v>
      </c>
      <c r="Z757" s="94" t="str">
        <f ca="1" t="shared" si="185"/>
        <v/>
      </c>
      <c r="AA757" s="94" t="str">
        <f ca="1" t="shared" si="186"/>
        <v/>
      </c>
      <c r="AB757" s="94" t="str">
        <f ca="1" t="shared" si="187"/>
        <v/>
      </c>
      <c r="AE757" s="94" t="str">
        <f t="shared" si="188"/>
        <v>{2,1475}</v>
      </c>
      <c r="AH757" t="str">
        <f ca="1" t="shared" si="178"/>
        <v>[{61,275},{63,295},{2,1475}]</v>
      </c>
    </row>
    <row r="758" spans="4:34">
      <c r="D758" s="81" t="str">
        <f ca="1" t="shared" si="190"/>
        <v>至臻Ⅴ</v>
      </c>
      <c r="E758" s="84">
        <f t="shared" si="191"/>
        <v>3</v>
      </c>
      <c r="F758" s="84">
        <f>F750+5</f>
        <v>275</v>
      </c>
      <c r="G758" s="84"/>
      <c r="H758" s="84"/>
      <c r="I758" s="84">
        <f t="shared" si="189"/>
        <v>1475</v>
      </c>
      <c r="J758" s="84">
        <v>5</v>
      </c>
      <c r="K758" s="84"/>
      <c r="L758" s="84" cm="1">
        <f ca="1" t="array" ref="L758">IF($E758&lt;7,_xlfn.XLOOKUP($D758&amp;$E758,$D$155:$D$395&amp;$E$155:$E$395,L$155:L$395),"")</f>
        <v>0</v>
      </c>
      <c r="M758" s="84" cm="1">
        <f ca="1" t="array" ref="M758">IF($E758&lt;7,_xlfn.XLOOKUP($D758&amp;$E758,$D$155:$D$395&amp;$E$155:$E$395,M$155:M$395),"")</f>
        <v>0</v>
      </c>
      <c r="N758" s="84" t="s">
        <v>282</v>
      </c>
      <c r="O758" s="84" t="s">
        <v>282</v>
      </c>
      <c r="P758" s="84" t="s">
        <v>282</v>
      </c>
      <c r="Q758" s="84" t="s">
        <v>282</v>
      </c>
      <c r="R758" s="84" t="s">
        <v>282</v>
      </c>
      <c r="S758" s="90">
        <f ca="1" t="shared" si="181"/>
        <v>435</v>
      </c>
      <c r="T758" s="90" cm="1">
        <f ca="1" t="array" ref="T758">IFERROR(SUMPRODUCT(F758:M758,$F$154:$M$154)+IFERROR(N758*SUMPRODUCT(O758:R758,$O$154:$R$154),0),"")</f>
        <v>2750</v>
      </c>
      <c r="V758" s="94" t="str">
        <f t="shared" si="182"/>
        <v/>
      </c>
      <c r="W758" t="str">
        <f ca="1" t="shared" si="177"/>
        <v/>
      </c>
      <c r="X758" s="94" t="str">
        <f t="shared" si="183"/>
        <v>{61,275}</v>
      </c>
      <c r="Y758" s="94" t="str">
        <f t="shared" si="184"/>
        <v/>
      </c>
      <c r="Z758" s="94" t="str">
        <f ca="1" t="shared" si="185"/>
        <v/>
      </c>
      <c r="AA758" s="94" t="str">
        <f t="shared" si="186"/>
        <v/>
      </c>
      <c r="AB758" s="94" t="str">
        <f t="shared" si="187"/>
        <v>{6030001,5}</v>
      </c>
      <c r="AE758" s="94" t="str">
        <f t="shared" si="188"/>
        <v>{2,1475}</v>
      </c>
      <c r="AH758" t="str">
        <f ca="1" t="shared" si="178"/>
        <v>[{61,275},{6030001,5},{2,1475}]</v>
      </c>
    </row>
    <row r="759" spans="4:34">
      <c r="D759" s="81" t="str">
        <f ca="1" t="shared" si="190"/>
        <v>至臻Ⅴ</v>
      </c>
      <c r="E759" s="84">
        <f t="shared" si="191"/>
        <v>4</v>
      </c>
      <c r="F759" s="84">
        <f>CEILING(F760*1.25,5)</f>
        <v>435</v>
      </c>
      <c r="G759" s="84">
        <f>CEILING(G757*1.5,5)</f>
        <v>445</v>
      </c>
      <c r="H759" s="84"/>
      <c r="I759" s="84">
        <f t="shared" si="189"/>
        <v>1475</v>
      </c>
      <c r="J759" s="84" cm="1">
        <f ca="1" t="array" ref="J759">IF($E759&lt;7,_xlfn.XLOOKUP($D759&amp;$E759,$D$155:$D$395&amp;$E$155:$E$395,J$155:J$395),"")</f>
        <v>0</v>
      </c>
      <c r="K759" s="84" cm="1">
        <f ca="1" t="array" ref="K759">IF($E759&lt;7,_xlfn.XLOOKUP($D759&amp;$E759,$D$155:$D$395&amp;$E$155:$E$395,K$155:K$395),"")</f>
        <v>0</v>
      </c>
      <c r="L759" s="84" cm="1">
        <f ca="1" t="array" ref="L759">IF($E759&lt;7,_xlfn.XLOOKUP($D759&amp;$E759,$D$155:$D$395&amp;$E$155:$E$395,L$155:L$395),"")</f>
        <v>0</v>
      </c>
      <c r="M759" s="84" cm="1">
        <f ca="1" t="array" ref="M759">IF($E759&lt;7,_xlfn.XLOOKUP($D759&amp;$E759,$D$155:$D$395&amp;$E$155:$E$395,M$155:M$395),"")</f>
        <v>0</v>
      </c>
      <c r="N759" s="84" t="s">
        <v>282</v>
      </c>
      <c r="O759" s="84" t="s">
        <v>282</v>
      </c>
      <c r="P759" s="84" t="s">
        <v>282</v>
      </c>
      <c r="Q759" s="84" t="s">
        <v>282</v>
      </c>
      <c r="R759" s="84" t="s">
        <v>282</v>
      </c>
      <c r="S759" s="90">
        <f ca="1" t="shared" si="181"/>
        <v>435</v>
      </c>
      <c r="T759" s="90" cm="1">
        <f ca="1" t="array" ref="T759">IFERROR(SUMPRODUCT(F759:M759,$F$154:$M$154)+IFERROR(N759*SUMPRODUCT(O759:R759,$O$154:$R$154),0),"")</f>
        <v>2355</v>
      </c>
      <c r="V759" s="94" t="str">
        <f t="shared" si="182"/>
        <v/>
      </c>
      <c r="W759" t="str">
        <f ca="1" t="shared" si="177"/>
        <v/>
      </c>
      <c r="X759" s="94" t="str">
        <f t="shared" si="183"/>
        <v>{61,435}</v>
      </c>
      <c r="Y759" s="94" t="str">
        <f t="shared" si="184"/>
        <v>{63,445}</v>
      </c>
      <c r="Z759" s="94" t="str">
        <f ca="1" t="shared" si="185"/>
        <v/>
      </c>
      <c r="AA759" s="94" t="str">
        <f ca="1" t="shared" si="186"/>
        <v/>
      </c>
      <c r="AB759" s="94" t="str">
        <f ca="1" t="shared" si="187"/>
        <v/>
      </c>
      <c r="AE759" s="94" t="str">
        <f t="shared" si="188"/>
        <v>{2,1475}</v>
      </c>
      <c r="AH759" t="str">
        <f ca="1" t="shared" si="178"/>
        <v>[{61,435},{63,445},{2,1475}]</v>
      </c>
    </row>
    <row r="760" spans="4:34">
      <c r="D760" s="81" t="str">
        <f ca="1" t="shared" si="190"/>
        <v>至臻Ⅴ</v>
      </c>
      <c r="E760" s="84">
        <f t="shared" si="191"/>
        <v>5</v>
      </c>
      <c r="F760" s="84">
        <f>CEILING(F756*1.25,5)</f>
        <v>345</v>
      </c>
      <c r="G760" s="84"/>
      <c r="H760" s="84"/>
      <c r="I760" s="84">
        <f t="shared" si="189"/>
        <v>1475</v>
      </c>
      <c r="J760" s="84" cm="1">
        <f ca="1" t="array" ref="J760">IF($E760&lt;7,_xlfn.XLOOKUP($D760&amp;$E760,$D$155:$D$395&amp;$E$155:$E$395,J$155:J$395),"")</f>
        <v>0</v>
      </c>
      <c r="K760" s="84">
        <v>6</v>
      </c>
      <c r="L760" s="84"/>
      <c r="M760" s="84" cm="1">
        <f ca="1" t="array" ref="M760">IF($E760&lt;7,_xlfn.XLOOKUP($D760&amp;$E760,$D$155:$D$395&amp;$E$155:$E$395,M$155:M$395),"")</f>
        <v>0</v>
      </c>
      <c r="N760" s="84" t="s">
        <v>282</v>
      </c>
      <c r="O760" s="84" t="s">
        <v>282</v>
      </c>
      <c r="P760" s="84" t="s">
        <v>282</v>
      </c>
      <c r="Q760" s="84" t="s">
        <v>282</v>
      </c>
      <c r="R760" s="84" t="s">
        <v>282</v>
      </c>
      <c r="S760" s="90">
        <f ca="1" t="shared" si="181"/>
        <v>435</v>
      </c>
      <c r="T760" s="90" cm="1">
        <f ca="1" t="array" ref="T760">IFERROR(SUMPRODUCT(F760:M760,$F$154:$M$154)+IFERROR(N760*SUMPRODUCT(O760:R760,$O$154:$R$154),0),"")</f>
        <v>4220</v>
      </c>
      <c r="V760" s="94" t="str">
        <f t="shared" si="182"/>
        <v/>
      </c>
      <c r="W760" t="str">
        <f ca="1" t="shared" si="177"/>
        <v/>
      </c>
      <c r="X760" s="94" t="str">
        <f t="shared" si="183"/>
        <v>{61,345}</v>
      </c>
      <c r="Y760" s="94" t="str">
        <f t="shared" si="184"/>
        <v/>
      </c>
      <c r="Z760" s="94" t="str">
        <f t="shared" si="185"/>
        <v/>
      </c>
      <c r="AA760" s="94" t="str">
        <f t="shared" si="186"/>
        <v>{6030002,6}</v>
      </c>
      <c r="AB760" s="94" t="str">
        <f ca="1" t="shared" si="187"/>
        <v/>
      </c>
      <c r="AE760" s="94" t="str">
        <f t="shared" si="188"/>
        <v>{2,1475}</v>
      </c>
      <c r="AH760" t="str">
        <f ca="1" t="shared" si="178"/>
        <v>[{61,345},{6030002,6},{2,1475}]</v>
      </c>
    </row>
    <row r="761" spans="4:34">
      <c r="D761" s="81" t="str">
        <f ca="1" t="shared" si="190"/>
        <v>至臻Ⅴ</v>
      </c>
      <c r="E761" s="84">
        <f t="shared" si="191"/>
        <v>6</v>
      </c>
      <c r="F761" s="84">
        <f>CEILING(F757*1.25,5)</f>
        <v>345</v>
      </c>
      <c r="G761" s="84">
        <f>G759</f>
        <v>445</v>
      </c>
      <c r="H761" s="84"/>
      <c r="I761" s="84">
        <f t="shared" si="189"/>
        <v>1475</v>
      </c>
      <c r="J761" s="84" cm="1">
        <f ca="1" t="array" ref="J761">IF($E761&lt;7,_xlfn.XLOOKUP($D761&amp;$E761,$D$155:$D$395&amp;$E$155:$E$395,J$155:J$395),"")</f>
        <v>0</v>
      </c>
      <c r="K761" s="84" cm="1">
        <f ca="1" t="array" ref="K761">IF($E761&lt;7,_xlfn.XLOOKUP($D761&amp;$E761,$D$155:$D$395&amp;$E$155:$E$395,K$155:K$395),"")</f>
        <v>0</v>
      </c>
      <c r="L761" s="84" cm="1">
        <f ca="1" t="array" ref="L761">IF($E761&lt;7,_xlfn.XLOOKUP($D761&amp;$E761,$D$155:$D$395&amp;$E$155:$E$395,L$155:L$395),"")</f>
        <v>0</v>
      </c>
      <c r="M761" s="84" cm="1">
        <f ca="1" t="array" ref="M761">IF($E761&lt;7,_xlfn.XLOOKUP($D761&amp;$E761,$D$155:$D$395&amp;$E$155:$E$395,M$155:M$395),"")</f>
        <v>0</v>
      </c>
      <c r="N761" s="84" t="s">
        <v>282</v>
      </c>
      <c r="O761" s="84" t="s">
        <v>282</v>
      </c>
      <c r="P761" s="84" t="s">
        <v>282</v>
      </c>
      <c r="Q761" s="84" t="s">
        <v>282</v>
      </c>
      <c r="R761" s="84" t="s">
        <v>282</v>
      </c>
      <c r="S761" s="90">
        <f ca="1" t="shared" si="181"/>
        <v>435</v>
      </c>
      <c r="T761" s="90" cm="1">
        <f ca="1" t="array" ref="T761">IFERROR(SUMPRODUCT(F761:M761,$F$154:$M$154)+IFERROR(N761*SUMPRODUCT(O761:R761,$O$154:$R$154),0),"")</f>
        <v>2265</v>
      </c>
      <c r="V761" s="94" t="str">
        <f t="shared" si="182"/>
        <v/>
      </c>
      <c r="W761" t="str">
        <f ca="1" t="shared" si="177"/>
        <v/>
      </c>
      <c r="X761" s="94" t="str">
        <f t="shared" si="183"/>
        <v>{61,345}</v>
      </c>
      <c r="Y761" s="94" t="str">
        <f t="shared" si="184"/>
        <v>{63,445}</v>
      </c>
      <c r="Z761" s="94" t="str">
        <f ca="1" t="shared" si="185"/>
        <v/>
      </c>
      <c r="AA761" s="94" t="str">
        <f ca="1" t="shared" si="186"/>
        <v/>
      </c>
      <c r="AB761" s="94" t="str">
        <f ca="1" t="shared" si="187"/>
        <v/>
      </c>
      <c r="AE761" s="94" t="str">
        <f t="shared" si="188"/>
        <v>{2,1475}</v>
      </c>
      <c r="AH761" t="str">
        <f ca="1" t="shared" si="178"/>
        <v>[{61,345},{63,445},{2,1475}]</v>
      </c>
    </row>
    <row r="762" spans="4:34">
      <c r="D762" s="81" t="str">
        <f ca="1" t="shared" si="190"/>
        <v>至臻Ⅴ</v>
      </c>
      <c r="E762" s="84">
        <f t="shared" si="191"/>
        <v>7</v>
      </c>
      <c r="F762" s="84">
        <f>CEILING(F758*1.25,5)</f>
        <v>345</v>
      </c>
      <c r="G762" s="84"/>
      <c r="H762" s="84"/>
      <c r="I762" s="84">
        <f t="shared" si="189"/>
        <v>1475</v>
      </c>
      <c r="J762" s="84" t="str" cm="1">
        <f ca="1" t="array" ref="J762">IF($E762&lt;7,_xlfn.XLOOKUP($D762&amp;$E762,$D$155:$D$395&amp;$E$155:$E$395,J$155:J$395),"")</f>
        <v/>
      </c>
      <c r="K762" s="84" t="str" cm="1">
        <f ca="1" t="array" ref="K762">IF($E762&lt;7,_xlfn.XLOOKUP($D762&amp;$E762,$D$155:$D$395&amp;$E$155:$E$395,K$155:K$395),"")</f>
        <v/>
      </c>
      <c r="L762" s="84">
        <v>5</v>
      </c>
      <c r="M762" s="84" t="str" cm="1">
        <f ca="1" t="array" ref="M762">IF($E762&lt;7,_xlfn.XLOOKUP($D762&amp;$E762,$D$155:$D$395&amp;$E$155:$E$395,M$155:M$395),"")</f>
        <v/>
      </c>
      <c r="N762" s="84" t="s">
        <v>282</v>
      </c>
      <c r="O762" s="84" t="s">
        <v>282</v>
      </c>
      <c r="P762" s="84" t="s">
        <v>282</v>
      </c>
      <c r="Q762" s="84" t="s">
        <v>282</v>
      </c>
      <c r="R762" s="84" t="s">
        <v>282</v>
      </c>
      <c r="S762" s="90">
        <f ca="1" t="shared" si="181"/>
        <v>435</v>
      </c>
      <c r="T762" s="90" cm="1">
        <f ca="1" t="array" ref="T762">IFERROR(SUMPRODUCT(F762:M762,$F$154:$M$154)+IFERROR(N762*SUMPRODUCT(O762:R762,$O$154:$R$154),0),"")</f>
        <v>5820</v>
      </c>
      <c r="V762" s="94" t="str">
        <f t="shared" si="182"/>
        <v/>
      </c>
      <c r="W762" t="str">
        <f ca="1" t="shared" si="177"/>
        <v/>
      </c>
      <c r="X762" s="94" t="str">
        <f t="shared" si="183"/>
        <v>{61,345}</v>
      </c>
      <c r="Y762" s="94" t="str">
        <f t="shared" si="184"/>
        <v/>
      </c>
      <c r="Z762" s="94" t="str">
        <f t="shared" si="185"/>
        <v>{6030003,5}</v>
      </c>
      <c r="AA762" s="94" t="str">
        <f ca="1" t="shared" si="186"/>
        <v/>
      </c>
      <c r="AB762" s="94" t="str">
        <f ca="1" t="shared" si="187"/>
        <v/>
      </c>
      <c r="AE762" s="94" t="str">
        <f t="shared" si="188"/>
        <v>{2,1475}</v>
      </c>
      <c r="AH762" t="str">
        <f ca="1" t="shared" si="178"/>
        <v>[{61,345},{6030003,5},{2,1475}]</v>
      </c>
    </row>
    <row r="763" spans="4:34">
      <c r="D763" s="81" t="str">
        <f ca="1" t="shared" si="190"/>
        <v>至臻Ⅴ</v>
      </c>
      <c r="E763" s="84">
        <f t="shared" si="191"/>
        <v>8</v>
      </c>
      <c r="F763" s="84">
        <f>CEILING(F762*1.5,5)</f>
        <v>520</v>
      </c>
      <c r="G763" s="84">
        <f>CEILING(G761*1.5,5)</f>
        <v>670</v>
      </c>
      <c r="H763" s="84">
        <f>1</f>
        <v>1</v>
      </c>
      <c r="I763" s="84">
        <f t="shared" si="189"/>
        <v>1475</v>
      </c>
      <c r="J763" s="84" t="str" cm="1">
        <f ca="1" t="array" ref="J763">IF($E763&lt;7,_xlfn.XLOOKUP($D763&amp;$E763,$D$155:$D$395&amp;$E$155:$E$395,J$155:J$395),"")</f>
        <v/>
      </c>
      <c r="K763" s="84" t="str" cm="1">
        <f ca="1" t="array" ref="K763">IF($E763&lt;7,_xlfn.XLOOKUP($D763&amp;$E763,$D$155:$D$395&amp;$E$155:$E$395,K$155:K$395),"")</f>
        <v/>
      </c>
      <c r="L763" s="84" t="str" cm="1">
        <f ca="1" t="array" ref="L763">IF($E763&lt;7,_xlfn.XLOOKUP($D763&amp;$E763,$D$155:$D$395&amp;$E$155:$E$395,L$155:L$395),"")</f>
        <v/>
      </c>
      <c r="M763" s="84" t="str" cm="1">
        <f ca="1" t="array" ref="M763">IF($E763&lt;7,_xlfn.XLOOKUP($D763&amp;$E763,$D$155:$D$395&amp;$E$155:$E$395,M$155:M$395),"")</f>
        <v/>
      </c>
      <c r="N763" s="84">
        <v>8</v>
      </c>
      <c r="O763" s="84">
        <v>0</v>
      </c>
      <c r="P763" s="84">
        <v>0</v>
      </c>
      <c r="Q763" s="84">
        <v>0.25</v>
      </c>
      <c r="R763" s="84">
        <v>0.75</v>
      </c>
      <c r="S763" s="90">
        <f ca="1" t="shared" si="181"/>
        <v>435</v>
      </c>
      <c r="T763" s="90" cm="1">
        <f ca="1" t="array" ref="T763">IFERROR(SUMPRODUCT(F763:M763,$F$154:$M$154)+IFERROR(N763*SUMPRODUCT(O763:R763,$O$154:$R$154),0),"")</f>
        <v>14015</v>
      </c>
      <c r="V763" s="94" t="str">
        <f t="shared" si="182"/>
        <v>{62,1}</v>
      </c>
      <c r="W763" t="str">
        <f ca="1" t="shared" si="177"/>
        <v>{6020040,8}</v>
      </c>
      <c r="X763" s="94" t="str">
        <f t="shared" si="183"/>
        <v>{61,520}</v>
      </c>
      <c r="Y763" s="94" t="str">
        <f t="shared" si="184"/>
        <v>{63,670}</v>
      </c>
      <c r="Z763" s="94" t="str">
        <f ca="1" t="shared" si="185"/>
        <v/>
      </c>
      <c r="AA763" s="94" t="str">
        <f ca="1" t="shared" si="186"/>
        <v/>
      </c>
      <c r="AB763" s="94" t="str">
        <f ca="1" t="shared" si="187"/>
        <v/>
      </c>
      <c r="AE763" s="94" t="str">
        <f t="shared" si="188"/>
        <v>{2,1475}</v>
      </c>
      <c r="AH763" t="str">
        <f ca="1" t="shared" si="178"/>
        <v>[{62,1},{6020040,8},{61,520},{63,670},{2,1475}]</v>
      </c>
    </row>
    <row r="766" spans="4:34">
      <c r="D766" s="2" t="s">
        <v>283</v>
      </c>
      <c r="E766" s="64" t="s">
        <v>284</v>
      </c>
      <c r="F766" s="64" t="s">
        <v>285</v>
      </c>
      <c r="G766" s="64" t="s">
        <v>31</v>
      </c>
      <c r="L766" s="2" t="s">
        <v>286</v>
      </c>
      <c r="M766" s="64" t="s">
        <v>287</v>
      </c>
      <c r="N766" s="64" t="s">
        <v>225</v>
      </c>
      <c r="O766" s="64" t="s">
        <v>288</v>
      </c>
      <c r="P766" s="64" t="s">
        <v>289</v>
      </c>
      <c r="Q766" s="64" t="s">
        <v>225</v>
      </c>
    </row>
    <row r="767" spans="4:34">
      <c r="D767" s="81" t="s">
        <v>238</v>
      </c>
      <c r="E767" s="84">
        <v>4</v>
      </c>
      <c r="F767" s="36" t="s">
        <v>52</v>
      </c>
      <c r="G767" s="36">
        <v>1</v>
      </c>
      <c r="H767" s="36">
        <f>_xlfn.XLOOKUP(F767,价值表!F:F,价值表!E:E)</f>
        <v>6040001</v>
      </c>
      <c r="I767" s="11" t="str">
        <f>"{"&amp;H767&amp;","&amp;G767&amp;"}"</f>
        <v>{6040001,1}</v>
      </c>
      <c r="L767" s="81">
        <v>1</v>
      </c>
      <c r="M767" s="36" t="s">
        <v>32</v>
      </c>
      <c r="N767" s="36">
        <v>100</v>
      </c>
      <c r="O767" s="95">
        <f>_xlfn.XLOOKUP(M767,价值表!F:F,价值表!E:E)</f>
        <v>63</v>
      </c>
      <c r="P767" s="70">
        <v>20</v>
      </c>
      <c r="Q767" t="str">
        <f>"[{"&amp;O767&amp;","&amp;P767&amp;"}]"</f>
        <v>[{63,20}]</v>
      </c>
      <c r="R767" t="str">
        <f>"[{61,"&amp;N767&amp;"}]"</f>
        <v>[{61,100}]</v>
      </c>
    </row>
    <row r="768" spans="4:34">
      <c r="D768" s="81" t="s">
        <v>238</v>
      </c>
      <c r="E768" s="84">
        <v>8</v>
      </c>
      <c r="F768" s="36" t="s">
        <v>178</v>
      </c>
      <c r="G768" s="36">
        <v>2</v>
      </c>
      <c r="H768" s="36">
        <f>_xlfn.XLOOKUP(F768,价值表!F:F,价值表!E:E)</f>
        <v>62</v>
      </c>
      <c r="I768" s="11" t="str">
        <f t="shared" ref="I768:I799" si="192">"{"&amp;H768&amp;","&amp;G768&amp;"}"</f>
        <v>{62,2}</v>
      </c>
      <c r="L768" s="81">
        <v>2</v>
      </c>
      <c r="M768" s="36" t="s">
        <v>290</v>
      </c>
      <c r="N768" s="36">
        <v>100</v>
      </c>
      <c r="O768" s="95">
        <f>_xlfn.XLOOKUP(M768,价值表!F:F,价值表!E:E)</f>
        <v>60</v>
      </c>
      <c r="P768" s="70">
        <v>1</v>
      </c>
      <c r="Q768" t="str">
        <f t="shared" ref="Q768:Q810" si="193">"[{"&amp;O768&amp;","&amp;P768&amp;"}]"</f>
        <v>[{60,1}]</v>
      </c>
      <c r="R768" t="str">
        <f t="shared" ref="R768:R810" si="194">"[{61,"&amp;N768&amp;"}]"</f>
        <v>[{61,100}]</v>
      </c>
    </row>
    <row r="769" spans="4:18">
      <c r="D769" s="81" t="s">
        <v>239</v>
      </c>
      <c r="E769" s="84">
        <f>E767</f>
        <v>4</v>
      </c>
      <c r="F769" s="36" t="s">
        <v>291</v>
      </c>
      <c r="G769" s="36">
        <v>380</v>
      </c>
      <c r="H769" s="36">
        <f>_xlfn.XLOOKUP(F769,价值表!F:F,价值表!E:E)</f>
        <v>61</v>
      </c>
      <c r="I769" s="11" t="str">
        <f t="shared" si="192"/>
        <v>{61,380}</v>
      </c>
      <c r="L769" s="81">
        <v>3</v>
      </c>
      <c r="M769" s="96" t="s">
        <v>292</v>
      </c>
      <c r="N769" s="95">
        <v>250</v>
      </c>
      <c r="O769" s="95">
        <v>6000011</v>
      </c>
      <c r="P769" s="95">
        <v>5</v>
      </c>
      <c r="Q769" t="str">
        <f t="shared" si="193"/>
        <v>[{6000011,5}]</v>
      </c>
      <c r="R769" t="str">
        <f t="shared" si="194"/>
        <v>[{61,250}]</v>
      </c>
    </row>
    <row r="770" spans="4:18">
      <c r="D770" s="81" t="s">
        <v>239</v>
      </c>
      <c r="E770" s="84">
        <f t="shared" ref="E770:E801" si="195">E768</f>
        <v>8</v>
      </c>
      <c r="F770" s="36" t="s">
        <v>35</v>
      </c>
      <c r="G770" s="36">
        <v>5</v>
      </c>
      <c r="H770" s="36">
        <f>_xlfn.XLOOKUP(F770,价值表!F:F,价值表!E:E)</f>
        <v>6030002</v>
      </c>
      <c r="I770" s="11" t="str">
        <f t="shared" si="192"/>
        <v>{6030002,5}</v>
      </c>
      <c r="L770" s="81">
        <v>4</v>
      </c>
      <c r="M770" s="96" t="s">
        <v>293</v>
      </c>
      <c r="N770" s="95">
        <v>250</v>
      </c>
      <c r="O770" s="95">
        <v>6000012</v>
      </c>
      <c r="P770" s="95">
        <v>5</v>
      </c>
      <c r="Q770" t="str">
        <f t="shared" si="193"/>
        <v>[{6000012,5}]</v>
      </c>
      <c r="R770" t="str">
        <f t="shared" si="194"/>
        <v>[{61,250}]</v>
      </c>
    </row>
    <row r="771" spans="4:18">
      <c r="D771" s="81" t="s">
        <v>240</v>
      </c>
      <c r="E771" s="84">
        <f t="shared" si="195"/>
        <v>4</v>
      </c>
      <c r="F771" s="36" t="s">
        <v>178</v>
      </c>
      <c r="G771" s="36">
        <v>2</v>
      </c>
      <c r="H771" s="36">
        <f>_xlfn.XLOOKUP(F771,价值表!F:F,价值表!E:E)</f>
        <v>62</v>
      </c>
      <c r="I771" s="11" t="str">
        <f t="shared" si="192"/>
        <v>{62,2}</v>
      </c>
      <c r="L771" s="81">
        <v>5</v>
      </c>
      <c r="M771" s="96" t="s">
        <v>294</v>
      </c>
      <c r="N771" s="95">
        <v>250</v>
      </c>
      <c r="O771" s="95">
        <v>6000013</v>
      </c>
      <c r="P771" s="95">
        <v>5</v>
      </c>
      <c r="Q771" t="str">
        <f t="shared" si="193"/>
        <v>[{6000013,5}]</v>
      </c>
      <c r="R771" t="str">
        <f t="shared" si="194"/>
        <v>[{61,250}]</v>
      </c>
    </row>
    <row r="772" spans="4:18">
      <c r="D772" s="81" t="s">
        <v>240</v>
      </c>
      <c r="E772" s="84">
        <f t="shared" si="195"/>
        <v>8</v>
      </c>
      <c r="F772" s="36" t="s">
        <v>291</v>
      </c>
      <c r="G772" s="36">
        <v>600</v>
      </c>
      <c r="H772" s="36">
        <f>_xlfn.XLOOKUP(F772,价值表!F:F,价值表!E:E)</f>
        <v>61</v>
      </c>
      <c r="I772" s="11" t="str">
        <f t="shared" si="192"/>
        <v>{61,600}</v>
      </c>
      <c r="L772" s="81">
        <v>6</v>
      </c>
      <c r="M772" s="96" t="s">
        <v>295</v>
      </c>
      <c r="N772" s="95">
        <v>500</v>
      </c>
      <c r="O772" s="95">
        <v>6000014</v>
      </c>
      <c r="P772" s="95">
        <v>5</v>
      </c>
      <c r="Q772" t="str">
        <f t="shared" si="193"/>
        <v>[{6000014,5}]</v>
      </c>
      <c r="R772" t="str">
        <f t="shared" si="194"/>
        <v>[{61,500}]</v>
      </c>
    </row>
    <row r="773" spans="4:18">
      <c r="D773" s="81" t="s">
        <v>241</v>
      </c>
      <c r="E773" s="84">
        <f t="shared" si="195"/>
        <v>4</v>
      </c>
      <c r="F773" s="36" t="s">
        <v>35</v>
      </c>
      <c r="G773" s="36">
        <v>5</v>
      </c>
      <c r="H773" s="36">
        <f>_xlfn.XLOOKUP(F773,价值表!F:F,价值表!E:E)</f>
        <v>6030002</v>
      </c>
      <c r="I773" s="11" t="str">
        <f t="shared" si="192"/>
        <v>{6030002,5}</v>
      </c>
      <c r="L773" s="81">
        <v>7</v>
      </c>
      <c r="M773" s="96" t="s">
        <v>296</v>
      </c>
      <c r="N773" s="95">
        <v>500</v>
      </c>
      <c r="O773" s="95">
        <v>6000015</v>
      </c>
      <c r="P773" s="95">
        <v>5</v>
      </c>
      <c r="Q773" t="str">
        <f t="shared" si="193"/>
        <v>[{6000015,5}]</v>
      </c>
      <c r="R773" t="str">
        <f t="shared" si="194"/>
        <v>[{61,500}]</v>
      </c>
    </row>
    <row r="774" spans="4:18">
      <c r="D774" s="81" t="s">
        <v>241</v>
      </c>
      <c r="E774" s="84">
        <f t="shared" si="195"/>
        <v>8</v>
      </c>
      <c r="F774" s="36" t="s">
        <v>290</v>
      </c>
      <c r="G774" s="36">
        <v>1</v>
      </c>
      <c r="H774" s="36">
        <f>_xlfn.XLOOKUP(F774,价值表!F:F,价值表!E:E)</f>
        <v>60</v>
      </c>
      <c r="I774" s="11" t="str">
        <f t="shared" si="192"/>
        <v>{60,1}</v>
      </c>
      <c r="L774" s="81">
        <v>8</v>
      </c>
      <c r="M774" s="96" t="s">
        <v>297</v>
      </c>
      <c r="N774" s="95">
        <v>500</v>
      </c>
      <c r="O774" s="95">
        <v>6000016</v>
      </c>
      <c r="P774" s="95">
        <v>5</v>
      </c>
      <c r="Q774" t="str">
        <f t="shared" si="193"/>
        <v>[{6000016,5}]</v>
      </c>
      <c r="R774" t="str">
        <f t="shared" si="194"/>
        <v>[{61,500}]</v>
      </c>
    </row>
    <row r="775" spans="4:18">
      <c r="D775" s="81" t="s">
        <v>242</v>
      </c>
      <c r="E775" s="84">
        <f t="shared" si="195"/>
        <v>4</v>
      </c>
      <c r="F775" s="36" t="s">
        <v>291</v>
      </c>
      <c r="G775" s="36">
        <v>480</v>
      </c>
      <c r="H775" s="36">
        <f>_xlfn.XLOOKUP(F775,价值表!F:F,价值表!E:E)</f>
        <v>61</v>
      </c>
      <c r="I775" s="11" t="str">
        <f t="shared" si="192"/>
        <v>{61,480}</v>
      </c>
      <c r="L775" s="81">
        <v>9</v>
      </c>
      <c r="M775" s="96" t="s">
        <v>298</v>
      </c>
      <c r="N775" s="95">
        <v>500</v>
      </c>
      <c r="O775" s="95">
        <v>6000017</v>
      </c>
      <c r="P775" s="95">
        <v>5</v>
      </c>
      <c r="Q775" t="str">
        <f t="shared" si="193"/>
        <v>[{6000017,5}]</v>
      </c>
      <c r="R775" t="str">
        <f t="shared" si="194"/>
        <v>[{61,500}]</v>
      </c>
    </row>
    <row r="776" spans="4:18">
      <c r="D776" s="81" t="s">
        <v>242</v>
      </c>
      <c r="E776" s="84">
        <f t="shared" si="195"/>
        <v>8</v>
      </c>
      <c r="F776" s="36" t="s">
        <v>178</v>
      </c>
      <c r="G776" s="36">
        <v>3</v>
      </c>
      <c r="H776" s="36">
        <f>_xlfn.XLOOKUP(F776,价值表!F:F,价值表!E:E)</f>
        <v>62</v>
      </c>
      <c r="I776" s="11" t="str">
        <f t="shared" si="192"/>
        <v>{62,3}</v>
      </c>
      <c r="L776" s="81">
        <v>10</v>
      </c>
      <c r="M776" s="96" t="s">
        <v>299</v>
      </c>
      <c r="N776" s="95">
        <v>1250</v>
      </c>
      <c r="O776" s="95">
        <v>6000018</v>
      </c>
      <c r="P776" s="95">
        <v>5</v>
      </c>
      <c r="Q776" t="str">
        <f t="shared" si="193"/>
        <v>[{6000018,5}]</v>
      </c>
      <c r="R776" t="str">
        <f t="shared" si="194"/>
        <v>[{61,1250}]</v>
      </c>
    </row>
    <row r="777" spans="4:18">
      <c r="D777" s="81" t="s">
        <v>243</v>
      </c>
      <c r="E777" s="84">
        <f t="shared" si="195"/>
        <v>4</v>
      </c>
      <c r="F777" s="36" t="s">
        <v>178</v>
      </c>
      <c r="G777" s="36">
        <v>2</v>
      </c>
      <c r="H777" s="36">
        <f>_xlfn.XLOOKUP(F777,价值表!F:F,价值表!E:E)</f>
        <v>62</v>
      </c>
      <c r="I777" s="11" t="str">
        <f t="shared" si="192"/>
        <v>{62,2}</v>
      </c>
      <c r="L777" s="81">
        <v>11</v>
      </c>
      <c r="M777" s="96" t="s">
        <v>300</v>
      </c>
      <c r="N777" s="95">
        <v>1250</v>
      </c>
      <c r="O777" s="95">
        <v>6000019</v>
      </c>
      <c r="P777" s="95">
        <v>5</v>
      </c>
      <c r="Q777" t="str">
        <f t="shared" si="193"/>
        <v>[{6000019,5}]</v>
      </c>
      <c r="R777" t="str">
        <f t="shared" si="194"/>
        <v>[{61,1250}]</v>
      </c>
    </row>
    <row r="778" spans="4:18">
      <c r="D778" s="81" t="s">
        <v>243</v>
      </c>
      <c r="E778" s="84">
        <f t="shared" si="195"/>
        <v>8</v>
      </c>
      <c r="F778" s="36" t="s">
        <v>53</v>
      </c>
      <c r="G778" s="36">
        <v>1</v>
      </c>
      <c r="H778" s="36">
        <f>_xlfn.XLOOKUP(F778,价值表!F:F,价值表!E:E)</f>
        <v>6040002</v>
      </c>
      <c r="I778" s="11" t="str">
        <f t="shared" si="192"/>
        <v>{6040002,1}</v>
      </c>
      <c r="L778" s="81">
        <v>12</v>
      </c>
      <c r="M778" s="96" t="s">
        <v>301</v>
      </c>
      <c r="N778" s="95">
        <v>1250</v>
      </c>
      <c r="O778" s="95">
        <v>6000020</v>
      </c>
      <c r="P778" s="95">
        <v>5</v>
      </c>
      <c r="Q778" t="str">
        <f t="shared" si="193"/>
        <v>[{6000020,5}]</v>
      </c>
      <c r="R778" t="str">
        <f t="shared" si="194"/>
        <v>[{61,1250}]</v>
      </c>
    </row>
    <row r="779" spans="4:18">
      <c r="D779" s="81" t="s">
        <v>244</v>
      </c>
      <c r="E779" s="84">
        <f t="shared" si="195"/>
        <v>4</v>
      </c>
      <c r="F779" s="36" t="s">
        <v>53</v>
      </c>
      <c r="G779" s="36">
        <v>1</v>
      </c>
      <c r="H779" s="36">
        <f>_xlfn.XLOOKUP(F779,价值表!F:F,价值表!E:E)</f>
        <v>6040002</v>
      </c>
      <c r="I779" s="11" t="str">
        <f t="shared" si="192"/>
        <v>{6040002,1}</v>
      </c>
      <c r="L779" s="81">
        <v>13</v>
      </c>
      <c r="M779" s="96" t="s">
        <v>302</v>
      </c>
      <c r="N779" s="95">
        <v>1250</v>
      </c>
      <c r="O779" s="95">
        <v>6000021</v>
      </c>
      <c r="P779" s="95">
        <v>5</v>
      </c>
      <c r="Q779" t="str">
        <f t="shared" si="193"/>
        <v>[{6000021,5}]</v>
      </c>
      <c r="R779" t="str">
        <f t="shared" si="194"/>
        <v>[{61,1250}]</v>
      </c>
    </row>
    <row r="780" spans="4:18">
      <c r="D780" s="81" t="s">
        <v>244</v>
      </c>
      <c r="E780" s="84">
        <f t="shared" si="195"/>
        <v>8</v>
      </c>
      <c r="F780" s="36" t="s">
        <v>291</v>
      </c>
      <c r="G780" s="36">
        <v>780</v>
      </c>
      <c r="H780" s="36">
        <f>_xlfn.XLOOKUP(F780,价值表!F:F,价值表!E:E)</f>
        <v>61</v>
      </c>
      <c r="I780" s="11" t="str">
        <f t="shared" si="192"/>
        <v>{61,780}</v>
      </c>
      <c r="L780" s="81">
        <v>14</v>
      </c>
      <c r="M780" s="96" t="s">
        <v>303</v>
      </c>
      <c r="N780" s="95">
        <v>1250</v>
      </c>
      <c r="O780" s="95">
        <v>6000022</v>
      </c>
      <c r="P780" s="95">
        <v>5</v>
      </c>
      <c r="Q780" t="str">
        <f t="shared" si="193"/>
        <v>[{6000022,5}]</v>
      </c>
      <c r="R780" t="str">
        <f t="shared" si="194"/>
        <v>[{61,1250}]</v>
      </c>
    </row>
    <row r="781" spans="4:18">
      <c r="D781" s="81" t="s">
        <v>245</v>
      </c>
      <c r="E781" s="84">
        <f t="shared" si="195"/>
        <v>4</v>
      </c>
      <c r="F781" s="36" t="s">
        <v>291</v>
      </c>
      <c r="G781" s="36">
        <v>560</v>
      </c>
      <c r="H781" s="36">
        <f>_xlfn.XLOOKUP(F781,价值表!F:F,价值表!E:E)</f>
        <v>61</v>
      </c>
      <c r="I781" s="11" t="str">
        <f t="shared" si="192"/>
        <v>{61,560}</v>
      </c>
      <c r="L781" s="81">
        <v>15</v>
      </c>
      <c r="M781" s="96" t="s">
        <v>304</v>
      </c>
      <c r="N781" s="95">
        <v>1250</v>
      </c>
      <c r="O781" s="95">
        <v>6000023</v>
      </c>
      <c r="P781" s="95">
        <v>5</v>
      </c>
      <c r="Q781" t="str">
        <f t="shared" si="193"/>
        <v>[{6000023,5}]</v>
      </c>
      <c r="R781" t="str">
        <f t="shared" si="194"/>
        <v>[{61,1250}]</v>
      </c>
    </row>
    <row r="782" spans="4:18">
      <c r="D782" s="81" t="s">
        <v>245</v>
      </c>
      <c r="E782" s="84">
        <f t="shared" si="195"/>
        <v>8</v>
      </c>
      <c r="F782" s="36" t="s">
        <v>290</v>
      </c>
      <c r="G782" s="36">
        <v>1</v>
      </c>
      <c r="H782" s="36">
        <f>_xlfn.XLOOKUP(F782,价值表!F:F,价值表!E:E)</f>
        <v>60</v>
      </c>
      <c r="I782" s="11" t="str">
        <f t="shared" si="192"/>
        <v>{60,1}</v>
      </c>
      <c r="L782" s="81">
        <v>16</v>
      </c>
      <c r="M782" s="96" t="s">
        <v>305</v>
      </c>
      <c r="N782" s="95">
        <v>3750</v>
      </c>
      <c r="O782" s="95">
        <v>6000024</v>
      </c>
      <c r="P782" s="95">
        <v>5</v>
      </c>
      <c r="Q782" t="str">
        <f t="shared" si="193"/>
        <v>[{6000024,5}]</v>
      </c>
      <c r="R782" t="str">
        <f t="shared" si="194"/>
        <v>[{61,3750}]</v>
      </c>
    </row>
    <row r="783" spans="4:18">
      <c r="D783" s="81" t="s">
        <v>246</v>
      </c>
      <c r="E783" s="84">
        <f t="shared" si="195"/>
        <v>4</v>
      </c>
      <c r="F783" s="36" t="s">
        <v>178</v>
      </c>
      <c r="G783" s="36">
        <v>2</v>
      </c>
      <c r="H783" s="36">
        <f>_xlfn.XLOOKUP(F783,价值表!F:F,价值表!E:E)</f>
        <v>62</v>
      </c>
      <c r="I783" s="11" t="str">
        <f t="shared" si="192"/>
        <v>{62,2}</v>
      </c>
      <c r="L783" s="81">
        <v>17</v>
      </c>
      <c r="M783" s="96" t="s">
        <v>306</v>
      </c>
      <c r="N783" s="95">
        <v>3750</v>
      </c>
      <c r="O783" s="95">
        <v>6000025</v>
      </c>
      <c r="P783" s="95">
        <v>5</v>
      </c>
      <c r="Q783" t="str">
        <f t="shared" si="193"/>
        <v>[{6000025,5}]</v>
      </c>
      <c r="R783" t="str">
        <f t="shared" si="194"/>
        <v>[{61,3750}]</v>
      </c>
    </row>
    <row r="784" spans="4:18">
      <c r="D784" s="81" t="s">
        <v>246</v>
      </c>
      <c r="E784" s="84">
        <f t="shared" si="195"/>
        <v>8</v>
      </c>
      <c r="F784" s="36" t="s">
        <v>36</v>
      </c>
      <c r="G784" s="36">
        <v>5</v>
      </c>
      <c r="H784" s="36">
        <f>_xlfn.XLOOKUP(F784,价值表!F:F,价值表!E:E)</f>
        <v>6030003</v>
      </c>
      <c r="I784" s="11" t="str">
        <f t="shared" si="192"/>
        <v>{6030003,5}</v>
      </c>
      <c r="L784" s="81">
        <v>18</v>
      </c>
      <c r="M784" s="96" t="s">
        <v>307</v>
      </c>
      <c r="N784" s="95">
        <v>3750</v>
      </c>
      <c r="O784" s="95">
        <v>6000026</v>
      </c>
      <c r="P784" s="95">
        <v>5</v>
      </c>
      <c r="Q784" t="str">
        <f t="shared" si="193"/>
        <v>[{6000026,5}]</v>
      </c>
      <c r="R784" t="str">
        <f t="shared" si="194"/>
        <v>[{61,3750}]</v>
      </c>
    </row>
    <row r="785" spans="4:19">
      <c r="D785" s="81" t="s">
        <v>247</v>
      </c>
      <c r="E785" s="84">
        <f t="shared" si="195"/>
        <v>4</v>
      </c>
      <c r="F785" s="36" t="s">
        <v>291</v>
      </c>
      <c r="G785" s="36">
        <v>620</v>
      </c>
      <c r="H785" s="36">
        <f>_xlfn.XLOOKUP(F785,价值表!F:F,价值表!E:E)</f>
        <v>61</v>
      </c>
      <c r="I785" s="11" t="str">
        <f t="shared" si="192"/>
        <v>{61,620}</v>
      </c>
      <c r="L785" s="81">
        <v>19</v>
      </c>
      <c r="M785" s="96" t="s">
        <v>308</v>
      </c>
      <c r="N785" s="95">
        <v>3750</v>
      </c>
      <c r="O785" s="95">
        <v>6000027</v>
      </c>
      <c r="P785" s="95">
        <v>5</v>
      </c>
      <c r="Q785" t="str">
        <f t="shared" si="193"/>
        <v>[{6000027,5}]</v>
      </c>
      <c r="R785" t="str">
        <f t="shared" si="194"/>
        <v>[{61,3750}]</v>
      </c>
    </row>
    <row r="786" spans="4:19">
      <c r="D786" s="81" t="s">
        <v>247</v>
      </c>
      <c r="E786" s="84">
        <f t="shared" si="195"/>
        <v>8</v>
      </c>
      <c r="F786" s="36" t="s">
        <v>178</v>
      </c>
      <c r="G786" s="36">
        <v>3</v>
      </c>
      <c r="H786" s="36">
        <f>_xlfn.XLOOKUP(F786,价值表!F:F,价值表!E:E)</f>
        <v>62</v>
      </c>
      <c r="I786" s="11" t="str">
        <f t="shared" si="192"/>
        <v>{62,3}</v>
      </c>
      <c r="L786" s="81">
        <v>20</v>
      </c>
      <c r="M786" s="96" t="s">
        <v>309</v>
      </c>
      <c r="N786" s="95">
        <v>3750</v>
      </c>
      <c r="O786" s="95">
        <v>6000028</v>
      </c>
      <c r="P786" s="95">
        <v>5</v>
      </c>
      <c r="Q786" t="str">
        <f t="shared" si="193"/>
        <v>[{6000028,5}]</v>
      </c>
      <c r="R786" t="str">
        <f t="shared" si="194"/>
        <v>[{61,3750}]</v>
      </c>
    </row>
    <row r="787" spans="4:19">
      <c r="D787" s="81" t="s">
        <v>248</v>
      </c>
      <c r="E787" s="84">
        <f t="shared" si="195"/>
        <v>4</v>
      </c>
      <c r="F787" s="36" t="s">
        <v>36</v>
      </c>
      <c r="G787" s="36">
        <v>5</v>
      </c>
      <c r="H787" s="36">
        <f>_xlfn.XLOOKUP(F787,价值表!F:F,价值表!E:E)</f>
        <v>6030003</v>
      </c>
      <c r="I787" s="11" t="str">
        <f t="shared" si="192"/>
        <v>{6030003,5}</v>
      </c>
      <c r="L787" s="81">
        <v>21</v>
      </c>
      <c r="M787" s="96" t="s">
        <v>310</v>
      </c>
      <c r="N787" s="95">
        <v>3750</v>
      </c>
      <c r="O787" s="95">
        <v>6000029</v>
      </c>
      <c r="P787" s="95">
        <v>5</v>
      </c>
      <c r="Q787" t="str">
        <f t="shared" si="193"/>
        <v>[{6000029,5}]</v>
      </c>
      <c r="R787" t="str">
        <f t="shared" si="194"/>
        <v>[{61,3750}]</v>
      </c>
    </row>
    <row r="788" spans="4:19">
      <c r="D788" s="81" t="s">
        <v>248</v>
      </c>
      <c r="E788" s="84">
        <f t="shared" si="195"/>
        <v>8</v>
      </c>
      <c r="F788" s="36" t="s">
        <v>291</v>
      </c>
      <c r="G788" s="36">
        <v>960</v>
      </c>
      <c r="H788" s="36">
        <f>_xlfn.XLOOKUP(F788,价值表!F:F,价值表!E:E)</f>
        <v>61</v>
      </c>
      <c r="I788" s="11" t="str">
        <f t="shared" si="192"/>
        <v>{61,960}</v>
      </c>
      <c r="L788" s="81">
        <v>22</v>
      </c>
      <c r="M788" s="96" t="s">
        <v>311</v>
      </c>
      <c r="N788" s="95">
        <v>3750</v>
      </c>
      <c r="O788" s="95">
        <v>6000030</v>
      </c>
      <c r="P788" s="95">
        <v>5</v>
      </c>
      <c r="Q788" t="str">
        <f t="shared" si="193"/>
        <v>[{6000030,5}]</v>
      </c>
      <c r="R788" t="str">
        <f t="shared" si="194"/>
        <v>[{61,3750}]</v>
      </c>
    </row>
    <row r="789" spans="4:19">
      <c r="D789" s="81" t="s">
        <v>249</v>
      </c>
      <c r="E789" s="84">
        <f t="shared" si="195"/>
        <v>4</v>
      </c>
      <c r="F789" s="36" t="s">
        <v>178</v>
      </c>
      <c r="G789" s="36">
        <v>3</v>
      </c>
      <c r="H789" s="36">
        <f>_xlfn.XLOOKUP(F789,价值表!F:F,价值表!E:E)</f>
        <v>62</v>
      </c>
      <c r="I789" s="11" t="str">
        <f t="shared" si="192"/>
        <v>{62,3}</v>
      </c>
      <c r="L789" s="81">
        <v>23</v>
      </c>
      <c r="M789" s="96" t="s">
        <v>312</v>
      </c>
      <c r="N789" s="95">
        <v>3750</v>
      </c>
      <c r="O789" s="95">
        <v>6000031</v>
      </c>
      <c r="P789" s="95">
        <v>5</v>
      </c>
      <c r="Q789" t="str">
        <f t="shared" si="193"/>
        <v>[{6000031,5}]</v>
      </c>
      <c r="R789" t="str">
        <f t="shared" si="194"/>
        <v>[{61,3750}]</v>
      </c>
    </row>
    <row r="790" spans="4:19">
      <c r="D790" s="81" t="s">
        <v>249</v>
      </c>
      <c r="E790" s="84">
        <f t="shared" si="195"/>
        <v>8</v>
      </c>
      <c r="F790" s="36" t="s">
        <v>36</v>
      </c>
      <c r="G790" s="36">
        <v>5</v>
      </c>
      <c r="H790" s="36">
        <f>_xlfn.XLOOKUP(F790,价值表!F:F,价值表!E:E)</f>
        <v>6030003</v>
      </c>
      <c r="I790" s="11" t="str">
        <f t="shared" si="192"/>
        <v>{6030003,5}</v>
      </c>
      <c r="L790" s="81">
        <v>3</v>
      </c>
      <c r="M790" s="96" t="s">
        <v>292</v>
      </c>
      <c r="N790" s="95">
        <f>N769*2</f>
        <v>500</v>
      </c>
      <c r="O790" s="95">
        <v>6000011</v>
      </c>
      <c r="P790" s="95">
        <v>5</v>
      </c>
      <c r="Q790" t="str">
        <f t="shared" si="193"/>
        <v>[{6000011,5}]</v>
      </c>
      <c r="R790" t="str">
        <f t="shared" si="194"/>
        <v>[{61,500}]</v>
      </c>
      <c r="S790" t="s">
        <v>313</v>
      </c>
    </row>
    <row r="791" spans="4:19">
      <c r="D791" s="81" t="s">
        <v>250</v>
      </c>
      <c r="E791" s="84">
        <f t="shared" si="195"/>
        <v>4</v>
      </c>
      <c r="F791" s="36" t="s">
        <v>36</v>
      </c>
      <c r="G791" s="36">
        <v>5</v>
      </c>
      <c r="H791" s="36">
        <f>_xlfn.XLOOKUP(F791,价值表!F:F,价值表!E:E)</f>
        <v>6030003</v>
      </c>
      <c r="I791" s="11" t="str">
        <f t="shared" si="192"/>
        <v>{6030003,5}</v>
      </c>
      <c r="L791" s="81">
        <v>4</v>
      </c>
      <c r="M791" s="96" t="s">
        <v>293</v>
      </c>
      <c r="N791" s="95">
        <f t="shared" ref="N791:N810" si="196">N770*2</f>
        <v>500</v>
      </c>
      <c r="O791" s="95">
        <v>6000012</v>
      </c>
      <c r="P791" s="95">
        <v>5</v>
      </c>
      <c r="Q791" t="str">
        <f t="shared" si="193"/>
        <v>[{6000012,5}]</v>
      </c>
      <c r="R791" t="str">
        <f t="shared" si="194"/>
        <v>[{61,500}]</v>
      </c>
    </row>
    <row r="792" spans="4:19">
      <c r="D792" s="81" t="s">
        <v>250</v>
      </c>
      <c r="E792" s="84">
        <f t="shared" si="195"/>
        <v>8</v>
      </c>
      <c r="F792" s="36" t="s">
        <v>290</v>
      </c>
      <c r="G792" s="36">
        <v>1</v>
      </c>
      <c r="H792" s="36">
        <f>_xlfn.XLOOKUP(F792,价值表!F:F,价值表!E:E)</f>
        <v>60</v>
      </c>
      <c r="I792" s="11" t="str">
        <f t="shared" si="192"/>
        <v>{60,1}</v>
      </c>
      <c r="L792" s="81">
        <v>5</v>
      </c>
      <c r="M792" s="96" t="s">
        <v>294</v>
      </c>
      <c r="N792" s="95">
        <f t="shared" si="196"/>
        <v>500</v>
      </c>
      <c r="O792" s="95">
        <v>6000013</v>
      </c>
      <c r="P792" s="95">
        <v>5</v>
      </c>
      <c r="Q792" t="str">
        <f t="shared" si="193"/>
        <v>[{6000013,5}]</v>
      </c>
      <c r="R792" t="str">
        <f t="shared" si="194"/>
        <v>[{61,500}]</v>
      </c>
    </row>
    <row r="793" spans="4:19">
      <c r="D793" s="81" t="s">
        <v>251</v>
      </c>
      <c r="E793" s="84">
        <f t="shared" si="195"/>
        <v>4</v>
      </c>
      <c r="F793" s="36" t="s">
        <v>291</v>
      </c>
      <c r="G793" s="36">
        <v>740</v>
      </c>
      <c r="H793" s="36">
        <f>_xlfn.XLOOKUP(F793,价值表!F:F,价值表!E:E)</f>
        <v>61</v>
      </c>
      <c r="I793" s="11" t="str">
        <f t="shared" si="192"/>
        <v>{61,740}</v>
      </c>
      <c r="L793" s="81">
        <v>6</v>
      </c>
      <c r="M793" s="96" t="s">
        <v>295</v>
      </c>
      <c r="N793" s="95">
        <f t="shared" si="196"/>
        <v>1000</v>
      </c>
      <c r="O793" s="95">
        <v>6000014</v>
      </c>
      <c r="P793" s="95">
        <v>5</v>
      </c>
      <c r="Q793" t="str">
        <f t="shared" si="193"/>
        <v>[{6000014,5}]</v>
      </c>
      <c r="R793" t="str">
        <f t="shared" si="194"/>
        <v>[{61,1000}]</v>
      </c>
    </row>
    <row r="794" spans="4:19">
      <c r="D794" s="81" t="s">
        <v>251</v>
      </c>
      <c r="E794" s="84">
        <f t="shared" si="195"/>
        <v>8</v>
      </c>
      <c r="F794" s="36" t="s">
        <v>54</v>
      </c>
      <c r="G794" s="36">
        <v>1</v>
      </c>
      <c r="H794" s="36">
        <f>_xlfn.XLOOKUP(F794,价值表!F:F,价值表!E:E)</f>
        <v>6040003</v>
      </c>
      <c r="I794" s="11" t="str">
        <f t="shared" si="192"/>
        <v>{6040003,1}</v>
      </c>
      <c r="L794" s="81">
        <v>7</v>
      </c>
      <c r="M794" s="96" t="s">
        <v>296</v>
      </c>
      <c r="N794" s="95">
        <f t="shared" si="196"/>
        <v>1000</v>
      </c>
      <c r="O794" s="95">
        <v>6000015</v>
      </c>
      <c r="P794" s="95">
        <v>5</v>
      </c>
      <c r="Q794" t="str">
        <f t="shared" si="193"/>
        <v>[{6000015,5}]</v>
      </c>
      <c r="R794" t="str">
        <f t="shared" si="194"/>
        <v>[{61,1000}]</v>
      </c>
    </row>
    <row r="795" spans="4:19">
      <c r="D795" s="81" t="s">
        <v>252</v>
      </c>
      <c r="E795" s="84">
        <f t="shared" si="195"/>
        <v>4</v>
      </c>
      <c r="F795" s="36" t="s">
        <v>36</v>
      </c>
      <c r="G795" s="36">
        <v>5</v>
      </c>
      <c r="H795" s="36">
        <f>_xlfn.XLOOKUP(F795,价值表!F:F,价值表!E:E)</f>
        <v>6030003</v>
      </c>
      <c r="I795" s="11" t="str">
        <f t="shared" si="192"/>
        <v>{6030003,5}</v>
      </c>
      <c r="L795" s="81">
        <v>8</v>
      </c>
      <c r="M795" s="96" t="s">
        <v>297</v>
      </c>
      <c r="N795" s="95">
        <f t="shared" si="196"/>
        <v>1000</v>
      </c>
      <c r="O795" s="95">
        <v>6000016</v>
      </c>
      <c r="P795" s="95">
        <v>5</v>
      </c>
      <c r="Q795" t="str">
        <f t="shared" si="193"/>
        <v>[{6000016,5}]</v>
      </c>
      <c r="R795" t="str">
        <f t="shared" si="194"/>
        <v>[{61,1000}]</v>
      </c>
    </row>
    <row r="796" spans="4:19">
      <c r="D796" s="81" t="s">
        <v>252</v>
      </c>
      <c r="E796" s="84">
        <f t="shared" si="195"/>
        <v>8</v>
      </c>
      <c r="F796" s="36" t="s">
        <v>291</v>
      </c>
      <c r="G796" s="36">
        <v>1140</v>
      </c>
      <c r="H796" s="36">
        <f>_xlfn.XLOOKUP(F796,价值表!F:F,价值表!E:E)</f>
        <v>61</v>
      </c>
      <c r="I796" s="11" t="str">
        <f t="shared" si="192"/>
        <v>{61,1140}</v>
      </c>
      <c r="L796" s="81">
        <v>9</v>
      </c>
      <c r="M796" s="96" t="s">
        <v>298</v>
      </c>
      <c r="N796" s="95">
        <f t="shared" si="196"/>
        <v>1000</v>
      </c>
      <c r="O796" s="95">
        <v>6000017</v>
      </c>
      <c r="P796" s="95">
        <v>5</v>
      </c>
      <c r="Q796" t="str">
        <f t="shared" si="193"/>
        <v>[{6000017,5}]</v>
      </c>
      <c r="R796" t="str">
        <f t="shared" si="194"/>
        <v>[{61,1000}]</v>
      </c>
    </row>
    <row r="797" spans="4:19">
      <c r="D797" s="81" t="s">
        <v>253</v>
      </c>
      <c r="E797" s="84">
        <f t="shared" si="195"/>
        <v>4</v>
      </c>
      <c r="F797" s="36" t="s">
        <v>178</v>
      </c>
      <c r="G797" s="36">
        <v>3</v>
      </c>
      <c r="H797" s="36">
        <f>_xlfn.XLOOKUP(F797,价值表!F:F,价值表!E:E)</f>
        <v>62</v>
      </c>
      <c r="I797" s="11" t="str">
        <f t="shared" si="192"/>
        <v>{62,3}</v>
      </c>
      <c r="L797" s="81">
        <v>10</v>
      </c>
      <c r="M797" s="96" t="s">
        <v>299</v>
      </c>
      <c r="N797" s="95">
        <f t="shared" si="196"/>
        <v>2500</v>
      </c>
      <c r="O797" s="95">
        <v>6000018</v>
      </c>
      <c r="P797" s="95">
        <v>5</v>
      </c>
      <c r="Q797" t="str">
        <f t="shared" si="193"/>
        <v>[{6000018,5}]</v>
      </c>
      <c r="R797" t="str">
        <f t="shared" si="194"/>
        <v>[{61,2500}]</v>
      </c>
    </row>
    <row r="798" spans="4:19">
      <c r="D798" s="81" t="s">
        <v>253</v>
      </c>
      <c r="E798" s="84">
        <f t="shared" si="195"/>
        <v>8</v>
      </c>
      <c r="F798" s="36" t="s">
        <v>37</v>
      </c>
      <c r="G798" s="36">
        <v>5</v>
      </c>
      <c r="H798" s="36">
        <f>_xlfn.XLOOKUP(F798,价值表!F:F,价值表!E:E)</f>
        <v>6030004</v>
      </c>
      <c r="I798" s="11" t="str">
        <f t="shared" si="192"/>
        <v>{6030004,5}</v>
      </c>
      <c r="L798" s="81">
        <v>11</v>
      </c>
      <c r="M798" s="96" t="s">
        <v>300</v>
      </c>
      <c r="N798" s="95">
        <f t="shared" si="196"/>
        <v>2500</v>
      </c>
      <c r="O798" s="95">
        <v>6000019</v>
      </c>
      <c r="P798" s="95">
        <v>5</v>
      </c>
      <c r="Q798" t="str">
        <f t="shared" si="193"/>
        <v>[{6000019,5}]</v>
      </c>
      <c r="R798" t="str">
        <f t="shared" si="194"/>
        <v>[{61,2500}]</v>
      </c>
    </row>
    <row r="799" spans="4:19">
      <c r="D799" s="81" t="s">
        <v>254</v>
      </c>
      <c r="E799" s="84">
        <f t="shared" si="195"/>
        <v>4</v>
      </c>
      <c r="F799" s="36" t="s">
        <v>54</v>
      </c>
      <c r="G799" s="36">
        <v>1</v>
      </c>
      <c r="H799" s="36">
        <f>_xlfn.XLOOKUP(F799,价值表!F:F,价值表!E:E)</f>
        <v>6040003</v>
      </c>
      <c r="I799" s="11" t="str">
        <f t="shared" si="192"/>
        <v>{6040003,1}</v>
      </c>
      <c r="L799" s="81">
        <v>12</v>
      </c>
      <c r="M799" s="96" t="s">
        <v>301</v>
      </c>
      <c r="N799" s="95">
        <f t="shared" si="196"/>
        <v>2500</v>
      </c>
      <c r="O799" s="95">
        <v>6000020</v>
      </c>
      <c r="P799" s="95">
        <v>5</v>
      </c>
      <c r="Q799" t="str">
        <f t="shared" si="193"/>
        <v>[{6000020,5}]</v>
      </c>
      <c r="R799" t="str">
        <f t="shared" si="194"/>
        <v>[{61,2500}]</v>
      </c>
    </row>
    <row r="800" spans="4:19">
      <c r="D800" s="81" t="s">
        <v>254</v>
      </c>
      <c r="E800" s="84">
        <f t="shared" si="195"/>
        <v>8</v>
      </c>
      <c r="F800" s="36" t="s">
        <v>178</v>
      </c>
      <c r="G800" s="36">
        <v>5</v>
      </c>
      <c r="H800" s="36">
        <f>_xlfn.XLOOKUP(F800,价值表!F:F,价值表!E:E)</f>
        <v>62</v>
      </c>
      <c r="I800" s="11" t="str">
        <f t="shared" ref="I800:I846" si="197">"{"&amp;H800&amp;","&amp;G800&amp;"}"</f>
        <v>{62,5}</v>
      </c>
      <c r="L800" s="81">
        <v>13</v>
      </c>
      <c r="M800" s="96" t="s">
        <v>302</v>
      </c>
      <c r="N800" s="95">
        <f t="shared" si="196"/>
        <v>2500</v>
      </c>
      <c r="O800" s="95">
        <v>6000021</v>
      </c>
      <c r="P800" s="95">
        <v>5</v>
      </c>
      <c r="Q800" t="str">
        <f t="shared" si="193"/>
        <v>[{6000021,5}]</v>
      </c>
      <c r="R800" t="str">
        <f t="shared" si="194"/>
        <v>[{61,2500}]</v>
      </c>
    </row>
    <row r="801" spans="4:18">
      <c r="D801" s="81" t="s">
        <v>255</v>
      </c>
      <c r="E801" s="84">
        <f t="shared" si="195"/>
        <v>4</v>
      </c>
      <c r="F801" s="36" t="s">
        <v>178</v>
      </c>
      <c r="G801" s="36">
        <v>5</v>
      </c>
      <c r="H801" s="36">
        <f>_xlfn.XLOOKUP(F801,价值表!F:F,价值表!E:E)</f>
        <v>62</v>
      </c>
      <c r="I801" s="11" t="str">
        <f t="shared" si="197"/>
        <v>{62,5}</v>
      </c>
      <c r="L801" s="81">
        <v>14</v>
      </c>
      <c r="M801" s="96" t="s">
        <v>303</v>
      </c>
      <c r="N801" s="95">
        <f t="shared" si="196"/>
        <v>2500</v>
      </c>
      <c r="O801" s="95">
        <v>6000022</v>
      </c>
      <c r="P801" s="95">
        <v>5</v>
      </c>
      <c r="Q801" t="str">
        <f t="shared" si="193"/>
        <v>[{6000022,5}]</v>
      </c>
      <c r="R801" t="str">
        <f t="shared" si="194"/>
        <v>[{61,2500}]</v>
      </c>
    </row>
    <row r="802" spans="4:18">
      <c r="D802" s="81" t="s">
        <v>255</v>
      </c>
      <c r="E802" s="84">
        <f t="shared" ref="E802:E846" si="198">E800</f>
        <v>8</v>
      </c>
      <c r="F802" s="36" t="s">
        <v>290</v>
      </c>
      <c r="G802" s="36">
        <v>1</v>
      </c>
      <c r="H802" s="36">
        <f>_xlfn.XLOOKUP(F802,价值表!F:F,价值表!E:E)</f>
        <v>60</v>
      </c>
      <c r="I802" s="11" t="str">
        <f t="shared" si="197"/>
        <v>{60,1}</v>
      </c>
      <c r="L802" s="81">
        <v>15</v>
      </c>
      <c r="M802" s="96" t="s">
        <v>304</v>
      </c>
      <c r="N802" s="95">
        <f t="shared" si="196"/>
        <v>2500</v>
      </c>
      <c r="O802" s="95">
        <v>6000023</v>
      </c>
      <c r="P802" s="95">
        <v>5</v>
      </c>
      <c r="Q802" t="str">
        <f t="shared" si="193"/>
        <v>[{6000023,5}]</v>
      </c>
      <c r="R802" t="str">
        <f t="shared" si="194"/>
        <v>[{61,2500}]</v>
      </c>
    </row>
    <row r="803" spans="4:18">
      <c r="D803" s="81" t="s">
        <v>256</v>
      </c>
      <c r="E803" s="84">
        <f t="shared" si="198"/>
        <v>4</v>
      </c>
      <c r="F803" s="36" t="s">
        <v>178</v>
      </c>
      <c r="G803" s="36">
        <v>5</v>
      </c>
      <c r="H803" s="36">
        <f>_xlfn.XLOOKUP(F803,价值表!F:F,价值表!E:E)</f>
        <v>62</v>
      </c>
      <c r="I803" s="11" t="str">
        <f t="shared" si="197"/>
        <v>{62,5}</v>
      </c>
      <c r="L803" s="81">
        <v>16</v>
      </c>
      <c r="M803" s="96" t="s">
        <v>305</v>
      </c>
      <c r="N803" s="95">
        <f t="shared" si="196"/>
        <v>7500</v>
      </c>
      <c r="O803" s="95">
        <v>6000024</v>
      </c>
      <c r="P803" s="95">
        <v>5</v>
      </c>
      <c r="Q803" t="str">
        <f t="shared" si="193"/>
        <v>[{6000024,5}]</v>
      </c>
      <c r="R803" t="str">
        <f t="shared" si="194"/>
        <v>[{61,7500}]</v>
      </c>
    </row>
    <row r="804" spans="4:18">
      <c r="D804" s="81" t="s">
        <v>256</v>
      </c>
      <c r="E804" s="84">
        <f t="shared" si="198"/>
        <v>8</v>
      </c>
      <c r="F804" s="36" t="s">
        <v>37</v>
      </c>
      <c r="G804" s="36">
        <v>5</v>
      </c>
      <c r="H804" s="36">
        <f>_xlfn.XLOOKUP(F804,价值表!F:F,价值表!E:E)</f>
        <v>6030004</v>
      </c>
      <c r="I804" s="11" t="str">
        <f t="shared" si="197"/>
        <v>{6030004,5}</v>
      </c>
      <c r="L804" s="81">
        <v>17</v>
      </c>
      <c r="M804" s="96" t="s">
        <v>306</v>
      </c>
      <c r="N804" s="95">
        <f t="shared" si="196"/>
        <v>7500</v>
      </c>
      <c r="O804" s="95">
        <v>6000025</v>
      </c>
      <c r="P804" s="95">
        <v>5</v>
      </c>
      <c r="Q804" t="str">
        <f t="shared" si="193"/>
        <v>[{6000025,5}]</v>
      </c>
      <c r="R804" t="str">
        <f t="shared" si="194"/>
        <v>[{61,7500}]</v>
      </c>
    </row>
    <row r="805" spans="4:18">
      <c r="D805" s="81" t="s">
        <v>257</v>
      </c>
      <c r="E805" s="84">
        <f t="shared" si="198"/>
        <v>4</v>
      </c>
      <c r="F805" s="36" t="s">
        <v>178</v>
      </c>
      <c r="G805" s="36">
        <v>5</v>
      </c>
      <c r="H805" s="36">
        <f>_xlfn.XLOOKUP(F805,价值表!F:F,价值表!E:E)</f>
        <v>62</v>
      </c>
      <c r="I805" s="11" t="str">
        <f t="shared" si="197"/>
        <v>{62,5}</v>
      </c>
      <c r="L805" s="81">
        <v>18</v>
      </c>
      <c r="M805" s="96" t="s">
        <v>307</v>
      </c>
      <c r="N805" s="95">
        <f t="shared" si="196"/>
        <v>7500</v>
      </c>
      <c r="O805" s="95">
        <v>6000026</v>
      </c>
      <c r="P805" s="95">
        <v>5</v>
      </c>
      <c r="Q805" t="str">
        <f t="shared" si="193"/>
        <v>[{6000026,5}]</v>
      </c>
      <c r="R805" t="str">
        <f t="shared" si="194"/>
        <v>[{61,7500}]</v>
      </c>
    </row>
    <row r="806" spans="4:18">
      <c r="D806" s="81" t="s">
        <v>257</v>
      </c>
      <c r="E806" s="84">
        <f t="shared" si="198"/>
        <v>8</v>
      </c>
      <c r="F806" s="36" t="s">
        <v>178</v>
      </c>
      <c r="G806" s="36">
        <v>5</v>
      </c>
      <c r="H806" s="36">
        <f>_xlfn.XLOOKUP(F806,价值表!F:F,价值表!E:E)</f>
        <v>62</v>
      </c>
      <c r="I806" s="11" t="str">
        <f t="shared" si="197"/>
        <v>{62,5}</v>
      </c>
      <c r="L806" s="81">
        <v>19</v>
      </c>
      <c r="M806" s="96" t="s">
        <v>308</v>
      </c>
      <c r="N806" s="95">
        <f t="shared" si="196"/>
        <v>7500</v>
      </c>
      <c r="O806" s="95">
        <v>6000027</v>
      </c>
      <c r="P806" s="95">
        <v>5</v>
      </c>
      <c r="Q806" t="str">
        <f t="shared" si="193"/>
        <v>[{6000027,5}]</v>
      </c>
      <c r="R806" t="str">
        <f t="shared" si="194"/>
        <v>[{61,7500}]</v>
      </c>
    </row>
    <row r="807" spans="4:18">
      <c r="D807" s="81" t="s">
        <v>258</v>
      </c>
      <c r="E807" s="84">
        <f t="shared" si="198"/>
        <v>4</v>
      </c>
      <c r="F807" s="36" t="s">
        <v>178</v>
      </c>
      <c r="G807" s="36">
        <v>5</v>
      </c>
      <c r="H807" s="36">
        <f>_xlfn.XLOOKUP(F807,价值表!F:F,价值表!E:E)</f>
        <v>62</v>
      </c>
      <c r="I807" s="11" t="str">
        <f t="shared" si="197"/>
        <v>{62,5}</v>
      </c>
      <c r="L807" s="81">
        <v>20</v>
      </c>
      <c r="M807" s="96" t="s">
        <v>309</v>
      </c>
      <c r="N807" s="95">
        <f t="shared" si="196"/>
        <v>7500</v>
      </c>
      <c r="O807" s="95">
        <v>6000028</v>
      </c>
      <c r="P807" s="95">
        <v>5</v>
      </c>
      <c r="Q807" t="str">
        <f t="shared" si="193"/>
        <v>[{6000028,5}]</v>
      </c>
      <c r="R807" t="str">
        <f t="shared" si="194"/>
        <v>[{61,7500}]</v>
      </c>
    </row>
    <row r="808" spans="4:18">
      <c r="D808" s="81" t="s">
        <v>258</v>
      </c>
      <c r="E808" s="84">
        <f t="shared" si="198"/>
        <v>8</v>
      </c>
      <c r="F808" s="36" t="s">
        <v>37</v>
      </c>
      <c r="G808" s="36">
        <v>5</v>
      </c>
      <c r="H808" s="36">
        <f>_xlfn.XLOOKUP(F808,价值表!F:F,价值表!E:E)</f>
        <v>6030004</v>
      </c>
      <c r="I808" s="11" t="str">
        <f t="shared" si="197"/>
        <v>{6030004,5}</v>
      </c>
      <c r="L808" s="81">
        <v>21</v>
      </c>
      <c r="M808" s="96" t="s">
        <v>310</v>
      </c>
      <c r="N808" s="95">
        <f t="shared" si="196"/>
        <v>7500</v>
      </c>
      <c r="O808" s="95">
        <v>6000029</v>
      </c>
      <c r="P808" s="95">
        <v>5</v>
      </c>
      <c r="Q808" t="str">
        <f t="shared" si="193"/>
        <v>[{6000029,5}]</v>
      </c>
      <c r="R808" t="str">
        <f t="shared" si="194"/>
        <v>[{61,7500}]</v>
      </c>
    </row>
    <row r="809" spans="4:18">
      <c r="D809" s="81" t="s">
        <v>259</v>
      </c>
      <c r="E809" s="84">
        <f t="shared" si="198"/>
        <v>4</v>
      </c>
      <c r="F809" s="36" t="s">
        <v>178</v>
      </c>
      <c r="G809" s="36">
        <v>5</v>
      </c>
      <c r="H809" s="36">
        <f>_xlfn.XLOOKUP(F809,价值表!F:F,价值表!E:E)</f>
        <v>62</v>
      </c>
      <c r="I809" s="11" t="str">
        <f t="shared" si="197"/>
        <v>{62,5}</v>
      </c>
      <c r="L809" s="81">
        <v>22</v>
      </c>
      <c r="M809" s="96" t="s">
        <v>311</v>
      </c>
      <c r="N809" s="95">
        <f t="shared" si="196"/>
        <v>7500</v>
      </c>
      <c r="O809" s="95">
        <v>6000030</v>
      </c>
      <c r="P809" s="95">
        <v>5</v>
      </c>
      <c r="Q809" t="str">
        <f t="shared" si="193"/>
        <v>[{6000030,5}]</v>
      </c>
      <c r="R809" t="str">
        <f t="shared" si="194"/>
        <v>[{61,7500}]</v>
      </c>
    </row>
    <row r="810" spans="4:18">
      <c r="D810" s="81" t="s">
        <v>259</v>
      </c>
      <c r="E810" s="84">
        <f t="shared" si="198"/>
        <v>8</v>
      </c>
      <c r="F810" s="36" t="s">
        <v>178</v>
      </c>
      <c r="G810" s="36">
        <v>5</v>
      </c>
      <c r="H810" s="36">
        <f>_xlfn.XLOOKUP(F810,价值表!F:F,价值表!E:E)</f>
        <v>62</v>
      </c>
      <c r="I810" s="11" t="str">
        <f t="shared" si="197"/>
        <v>{62,5}</v>
      </c>
      <c r="L810" s="81">
        <v>23</v>
      </c>
      <c r="M810" s="96" t="s">
        <v>312</v>
      </c>
      <c r="N810" s="95">
        <f t="shared" si="196"/>
        <v>7500</v>
      </c>
      <c r="O810" s="95">
        <v>6000031</v>
      </c>
      <c r="P810" s="95">
        <v>5</v>
      </c>
      <c r="Q810" t="str">
        <f t="shared" si="193"/>
        <v>[{6000031,5}]</v>
      </c>
      <c r="R810" t="str">
        <f t="shared" si="194"/>
        <v>[{61,7500}]</v>
      </c>
    </row>
    <row r="811" spans="4:18">
      <c r="D811" s="81" t="s">
        <v>260</v>
      </c>
      <c r="E811" s="84">
        <f t="shared" si="198"/>
        <v>4</v>
      </c>
      <c r="F811" s="36" t="s">
        <v>178</v>
      </c>
      <c r="G811" s="36">
        <v>5</v>
      </c>
      <c r="H811" s="36">
        <f>_xlfn.XLOOKUP(F811,价值表!F:F,价值表!E:E)</f>
        <v>62</v>
      </c>
      <c r="I811" s="11" t="str">
        <f t="shared" si="197"/>
        <v>{62,5}</v>
      </c>
    </row>
    <row r="812" spans="4:18">
      <c r="D812" s="81" t="s">
        <v>260</v>
      </c>
      <c r="E812" s="84">
        <f t="shared" si="198"/>
        <v>8</v>
      </c>
      <c r="F812" s="36" t="s">
        <v>37</v>
      </c>
      <c r="G812" s="36">
        <v>5</v>
      </c>
      <c r="H812" s="36">
        <f>_xlfn.XLOOKUP(F812,价值表!F:F,价值表!E:E)</f>
        <v>6030004</v>
      </c>
      <c r="I812" s="11" t="str">
        <f t="shared" si="197"/>
        <v>{6030004,5}</v>
      </c>
    </row>
    <row r="813" spans="4:18">
      <c r="D813" s="81" t="s">
        <v>261</v>
      </c>
      <c r="E813" s="84">
        <f t="shared" si="198"/>
        <v>4</v>
      </c>
      <c r="F813" s="36" t="s">
        <v>178</v>
      </c>
      <c r="G813" s="36">
        <v>5</v>
      </c>
      <c r="H813" s="36">
        <f>_xlfn.XLOOKUP(F813,价值表!F:F,价值表!E:E)</f>
        <v>62</v>
      </c>
      <c r="I813" s="11" t="str">
        <f t="shared" si="197"/>
        <v>{62,5}</v>
      </c>
    </row>
    <row r="814" spans="4:18">
      <c r="D814" s="81" t="s">
        <v>261</v>
      </c>
      <c r="E814" s="84">
        <f t="shared" si="198"/>
        <v>8</v>
      </c>
      <c r="F814" s="36" t="s">
        <v>178</v>
      </c>
      <c r="G814" s="36">
        <v>5</v>
      </c>
      <c r="H814" s="36">
        <f>_xlfn.XLOOKUP(F814,价值表!F:F,价值表!E:E)</f>
        <v>62</v>
      </c>
      <c r="I814" s="11" t="str">
        <f t="shared" si="197"/>
        <v>{62,5}</v>
      </c>
    </row>
    <row r="815" spans="4:18">
      <c r="D815" s="81" t="s">
        <v>262</v>
      </c>
      <c r="E815" s="84">
        <f t="shared" si="198"/>
        <v>4</v>
      </c>
      <c r="F815" s="36" t="s">
        <v>178</v>
      </c>
      <c r="G815" s="36">
        <v>5</v>
      </c>
      <c r="H815" s="36">
        <f>_xlfn.XLOOKUP(F815,价值表!F:F,价值表!E:E)</f>
        <v>62</v>
      </c>
      <c r="I815" s="11" t="str">
        <f t="shared" si="197"/>
        <v>{62,5}</v>
      </c>
    </row>
    <row r="816" spans="4:18">
      <c r="D816" s="81" t="s">
        <v>262</v>
      </c>
      <c r="E816" s="84">
        <f t="shared" si="198"/>
        <v>8</v>
      </c>
      <c r="F816" s="36" t="s">
        <v>178</v>
      </c>
      <c r="G816" s="36">
        <v>5</v>
      </c>
      <c r="H816" s="36">
        <f>_xlfn.XLOOKUP(F816,价值表!F:F,价值表!E:E)</f>
        <v>62</v>
      </c>
      <c r="I816" s="11" t="str">
        <f t="shared" si="197"/>
        <v>{62,5}</v>
      </c>
    </row>
    <row r="817" spans="4:9">
      <c r="D817" s="81" t="s">
        <v>263</v>
      </c>
      <c r="E817" s="84">
        <f t="shared" si="198"/>
        <v>4</v>
      </c>
      <c r="F817" s="36" t="s">
        <v>178</v>
      </c>
      <c r="G817" s="36">
        <v>5</v>
      </c>
      <c r="H817" s="36">
        <f>_xlfn.XLOOKUP(F817,价值表!F:F,价值表!E:E)</f>
        <v>62</v>
      </c>
      <c r="I817" s="11" t="str">
        <f t="shared" si="197"/>
        <v>{62,5}</v>
      </c>
    </row>
    <row r="818" spans="4:9">
      <c r="D818" s="81" t="s">
        <v>263</v>
      </c>
      <c r="E818" s="84">
        <f t="shared" si="198"/>
        <v>8</v>
      </c>
      <c r="F818" s="36" t="s">
        <v>178</v>
      </c>
      <c r="G818" s="36">
        <v>5</v>
      </c>
      <c r="H818" s="36">
        <f>_xlfn.XLOOKUP(F818,价值表!F:F,价值表!E:E)</f>
        <v>62</v>
      </c>
      <c r="I818" s="11" t="str">
        <f t="shared" si="197"/>
        <v>{62,5}</v>
      </c>
    </row>
    <row r="819" spans="4:9">
      <c r="D819" s="81" t="s">
        <v>264</v>
      </c>
      <c r="E819" s="84">
        <f t="shared" si="198"/>
        <v>4</v>
      </c>
      <c r="F819" s="36" t="s">
        <v>178</v>
      </c>
      <c r="G819" s="36">
        <v>5</v>
      </c>
      <c r="H819" s="36">
        <f>_xlfn.XLOOKUP(F819,价值表!F:F,价值表!E:E)</f>
        <v>62</v>
      </c>
      <c r="I819" s="11" t="str">
        <f t="shared" si="197"/>
        <v>{62,5}</v>
      </c>
    </row>
    <row r="820" spans="4:9">
      <c r="D820" s="81" t="s">
        <v>264</v>
      </c>
      <c r="E820" s="84">
        <f t="shared" si="198"/>
        <v>8</v>
      </c>
      <c r="F820" s="36" t="s">
        <v>178</v>
      </c>
      <c r="G820" s="36">
        <v>5</v>
      </c>
      <c r="H820" s="36">
        <f>_xlfn.XLOOKUP(F820,价值表!F:F,价值表!E:E)</f>
        <v>62</v>
      </c>
      <c r="I820" s="11" t="str">
        <f t="shared" si="197"/>
        <v>{62,5}</v>
      </c>
    </row>
    <row r="821" spans="4:9">
      <c r="D821" s="81" t="s">
        <v>265</v>
      </c>
      <c r="E821" s="84">
        <f t="shared" si="198"/>
        <v>4</v>
      </c>
      <c r="F821" s="36" t="s">
        <v>178</v>
      </c>
      <c r="G821" s="36">
        <v>5</v>
      </c>
      <c r="H821" s="36">
        <f>_xlfn.XLOOKUP(F821,价值表!F:F,价值表!E:E)</f>
        <v>62</v>
      </c>
      <c r="I821" s="11" t="str">
        <f t="shared" si="197"/>
        <v>{62,5}</v>
      </c>
    </row>
    <row r="822" spans="4:9">
      <c r="D822" s="81" t="s">
        <v>265</v>
      </c>
      <c r="E822" s="84">
        <f t="shared" si="198"/>
        <v>8</v>
      </c>
      <c r="F822" s="36" t="s">
        <v>178</v>
      </c>
      <c r="G822" s="36">
        <v>5</v>
      </c>
      <c r="H822" s="36">
        <f>_xlfn.XLOOKUP(F822,价值表!F:F,价值表!E:E)</f>
        <v>62</v>
      </c>
      <c r="I822" s="11" t="str">
        <f t="shared" si="197"/>
        <v>{62,5}</v>
      </c>
    </row>
    <row r="823" spans="4:9">
      <c r="D823" s="81" t="s">
        <v>266</v>
      </c>
      <c r="E823" s="84">
        <f t="shared" si="198"/>
        <v>4</v>
      </c>
      <c r="F823" s="36" t="s">
        <v>178</v>
      </c>
      <c r="G823" s="36">
        <v>5</v>
      </c>
      <c r="H823" s="36">
        <f>_xlfn.XLOOKUP(F823,价值表!F:F,价值表!E:E)</f>
        <v>62</v>
      </c>
      <c r="I823" s="11" t="str">
        <f t="shared" si="197"/>
        <v>{62,5}</v>
      </c>
    </row>
    <row r="824" spans="4:9">
      <c r="D824" s="81" t="s">
        <v>266</v>
      </c>
      <c r="E824" s="84">
        <f t="shared" si="198"/>
        <v>8</v>
      </c>
      <c r="F824" s="36" t="s">
        <v>178</v>
      </c>
      <c r="G824" s="36">
        <v>5</v>
      </c>
      <c r="H824" s="36">
        <f>_xlfn.XLOOKUP(F824,价值表!F:F,价值表!E:E)</f>
        <v>62</v>
      </c>
      <c r="I824" s="11" t="str">
        <f t="shared" si="197"/>
        <v>{62,5}</v>
      </c>
    </row>
    <row r="825" spans="4:9">
      <c r="D825" s="81" t="s">
        <v>267</v>
      </c>
      <c r="E825" s="84">
        <f t="shared" si="198"/>
        <v>4</v>
      </c>
      <c r="F825" s="36" t="s">
        <v>178</v>
      </c>
      <c r="G825" s="36">
        <v>5</v>
      </c>
      <c r="H825" s="36">
        <f>_xlfn.XLOOKUP(F825,价值表!F:F,价值表!E:E)</f>
        <v>62</v>
      </c>
      <c r="I825" s="11" t="str">
        <f t="shared" si="197"/>
        <v>{62,5}</v>
      </c>
    </row>
    <row r="826" spans="4:9">
      <c r="D826" s="81" t="s">
        <v>267</v>
      </c>
      <c r="E826" s="84">
        <f t="shared" si="198"/>
        <v>8</v>
      </c>
      <c r="F826" s="36" t="s">
        <v>178</v>
      </c>
      <c r="G826" s="36">
        <v>5</v>
      </c>
      <c r="H826" s="36">
        <f>_xlfn.XLOOKUP(F826,价值表!F:F,价值表!E:E)</f>
        <v>62</v>
      </c>
      <c r="I826" s="11" t="str">
        <f t="shared" si="197"/>
        <v>{62,5}</v>
      </c>
    </row>
    <row r="827" spans="4:9">
      <c r="D827" s="81" t="s">
        <v>268</v>
      </c>
      <c r="E827" s="84">
        <f t="shared" si="198"/>
        <v>4</v>
      </c>
      <c r="F827" s="36" t="s">
        <v>178</v>
      </c>
      <c r="G827" s="36">
        <v>5</v>
      </c>
      <c r="H827" s="36">
        <f>_xlfn.XLOOKUP(F827,价值表!F:F,价值表!E:E)</f>
        <v>62</v>
      </c>
      <c r="I827" s="11" t="str">
        <f t="shared" si="197"/>
        <v>{62,5}</v>
      </c>
    </row>
    <row r="828" spans="4:9">
      <c r="D828" s="81" t="s">
        <v>268</v>
      </c>
      <c r="E828" s="84">
        <f t="shared" si="198"/>
        <v>8</v>
      </c>
      <c r="F828" s="36" t="s">
        <v>178</v>
      </c>
      <c r="G828" s="36">
        <v>5</v>
      </c>
      <c r="H828" s="36">
        <f>_xlfn.XLOOKUP(F828,价值表!F:F,价值表!E:E)</f>
        <v>62</v>
      </c>
      <c r="I828" s="11" t="str">
        <f t="shared" si="197"/>
        <v>{62,5}</v>
      </c>
    </row>
    <row r="829" spans="4:9">
      <c r="D829" s="81" t="s">
        <v>269</v>
      </c>
      <c r="E829" s="84">
        <f t="shared" si="198"/>
        <v>4</v>
      </c>
      <c r="F829" s="36" t="s">
        <v>178</v>
      </c>
      <c r="G829" s="36">
        <v>5</v>
      </c>
      <c r="H829" s="36">
        <f>_xlfn.XLOOKUP(F829,价值表!F:F,价值表!E:E)</f>
        <v>62</v>
      </c>
      <c r="I829" s="11" t="str">
        <f t="shared" si="197"/>
        <v>{62,5}</v>
      </c>
    </row>
    <row r="830" spans="4:9">
      <c r="D830" s="81" t="s">
        <v>269</v>
      </c>
      <c r="E830" s="84">
        <f t="shared" si="198"/>
        <v>8</v>
      </c>
      <c r="F830" s="36" t="s">
        <v>178</v>
      </c>
      <c r="G830" s="36">
        <v>5</v>
      </c>
      <c r="H830" s="36">
        <f>_xlfn.XLOOKUP(F830,价值表!F:F,价值表!E:E)</f>
        <v>62</v>
      </c>
      <c r="I830" s="11" t="str">
        <f t="shared" si="197"/>
        <v>{62,5}</v>
      </c>
    </row>
    <row r="831" spans="4:9">
      <c r="D831" s="81" t="s">
        <v>270</v>
      </c>
      <c r="E831" s="84">
        <f t="shared" si="198"/>
        <v>4</v>
      </c>
      <c r="F831" s="36" t="s">
        <v>178</v>
      </c>
      <c r="G831" s="36">
        <v>5</v>
      </c>
      <c r="H831" s="36">
        <f>_xlfn.XLOOKUP(F831,价值表!F:F,价值表!E:E)</f>
        <v>62</v>
      </c>
      <c r="I831" s="11" t="str">
        <f t="shared" si="197"/>
        <v>{62,5}</v>
      </c>
    </row>
    <row r="832" spans="4:9">
      <c r="D832" s="81" t="s">
        <v>270</v>
      </c>
      <c r="E832" s="84">
        <f t="shared" si="198"/>
        <v>8</v>
      </c>
      <c r="F832" s="36" t="s">
        <v>178</v>
      </c>
      <c r="G832" s="36">
        <v>5</v>
      </c>
      <c r="H832" s="36">
        <f>_xlfn.XLOOKUP(F832,价值表!F:F,价值表!E:E)</f>
        <v>62</v>
      </c>
      <c r="I832" s="11" t="str">
        <f t="shared" si="197"/>
        <v>{62,5}</v>
      </c>
    </row>
    <row r="833" spans="4:9">
      <c r="D833" s="81" t="s">
        <v>271</v>
      </c>
      <c r="E833" s="84">
        <f t="shared" si="198"/>
        <v>4</v>
      </c>
      <c r="F833" s="36" t="s">
        <v>178</v>
      </c>
      <c r="G833" s="36">
        <v>5</v>
      </c>
      <c r="H833" s="36">
        <f>_xlfn.XLOOKUP(F833,价值表!F:F,价值表!E:E)</f>
        <v>62</v>
      </c>
      <c r="I833" s="11" t="str">
        <f t="shared" si="197"/>
        <v>{62,5}</v>
      </c>
    </row>
    <row r="834" spans="4:9">
      <c r="D834" s="81" t="s">
        <v>271</v>
      </c>
      <c r="E834" s="84">
        <f t="shared" si="198"/>
        <v>8</v>
      </c>
      <c r="F834" s="36" t="s">
        <v>178</v>
      </c>
      <c r="G834" s="36">
        <v>5</v>
      </c>
      <c r="H834" s="36">
        <f>_xlfn.XLOOKUP(F834,价值表!F:F,价值表!E:E)</f>
        <v>62</v>
      </c>
      <c r="I834" s="11" t="str">
        <f t="shared" si="197"/>
        <v>{62,5}</v>
      </c>
    </row>
    <row r="835" spans="4:9">
      <c r="D835" s="81" t="s">
        <v>272</v>
      </c>
      <c r="E835" s="84">
        <f t="shared" si="198"/>
        <v>4</v>
      </c>
      <c r="F835" s="36" t="s">
        <v>178</v>
      </c>
      <c r="G835" s="36">
        <v>5</v>
      </c>
      <c r="H835" s="36">
        <f>_xlfn.XLOOKUP(F835,价值表!F:F,价值表!E:E)</f>
        <v>62</v>
      </c>
      <c r="I835" s="11" t="str">
        <f t="shared" si="197"/>
        <v>{62,5}</v>
      </c>
    </row>
    <row r="836" spans="4:9">
      <c r="D836" s="81" t="s">
        <v>272</v>
      </c>
      <c r="E836" s="84">
        <f t="shared" si="198"/>
        <v>8</v>
      </c>
      <c r="F836" s="36" t="s">
        <v>178</v>
      </c>
      <c r="G836" s="36">
        <v>5</v>
      </c>
      <c r="H836" s="36">
        <f>_xlfn.XLOOKUP(F836,价值表!F:F,价值表!E:E)</f>
        <v>62</v>
      </c>
      <c r="I836" s="11" t="str">
        <f t="shared" si="197"/>
        <v>{62,5}</v>
      </c>
    </row>
    <row r="837" spans="4:9">
      <c r="D837" s="81" t="s">
        <v>273</v>
      </c>
      <c r="E837" s="84">
        <f t="shared" si="198"/>
        <v>4</v>
      </c>
      <c r="F837" s="36" t="s">
        <v>178</v>
      </c>
      <c r="G837" s="36">
        <v>5</v>
      </c>
      <c r="H837" s="36">
        <f>_xlfn.XLOOKUP(F837,价值表!F:F,价值表!E:E)</f>
        <v>62</v>
      </c>
      <c r="I837" s="11" t="str">
        <f t="shared" si="197"/>
        <v>{62,5}</v>
      </c>
    </row>
    <row r="838" spans="4:9">
      <c r="D838" s="81" t="s">
        <v>273</v>
      </c>
      <c r="E838" s="84">
        <f t="shared" si="198"/>
        <v>8</v>
      </c>
      <c r="F838" s="36" t="s">
        <v>178</v>
      </c>
      <c r="G838" s="36">
        <v>5</v>
      </c>
      <c r="H838" s="36">
        <f>_xlfn.XLOOKUP(F838,价值表!F:F,价值表!E:E)</f>
        <v>62</v>
      </c>
      <c r="I838" s="11" t="str">
        <f t="shared" si="197"/>
        <v>{62,5}</v>
      </c>
    </row>
    <row r="839" spans="4:9">
      <c r="D839" s="81" t="s">
        <v>274</v>
      </c>
      <c r="E839" s="84">
        <f t="shared" si="198"/>
        <v>4</v>
      </c>
      <c r="F839" s="36" t="s">
        <v>178</v>
      </c>
      <c r="G839" s="36">
        <v>5</v>
      </c>
      <c r="H839" s="36">
        <f>_xlfn.XLOOKUP(F839,价值表!F:F,价值表!E:E)</f>
        <v>62</v>
      </c>
      <c r="I839" s="11" t="str">
        <f t="shared" si="197"/>
        <v>{62,5}</v>
      </c>
    </row>
    <row r="840" spans="4:9">
      <c r="D840" s="81" t="s">
        <v>274</v>
      </c>
      <c r="E840" s="84">
        <f t="shared" si="198"/>
        <v>8</v>
      </c>
      <c r="F840" s="36" t="s">
        <v>178</v>
      </c>
      <c r="G840" s="36">
        <v>5</v>
      </c>
      <c r="H840" s="36">
        <f>_xlfn.XLOOKUP(F840,价值表!F:F,价值表!E:E)</f>
        <v>62</v>
      </c>
      <c r="I840" s="11" t="str">
        <f t="shared" si="197"/>
        <v>{62,5}</v>
      </c>
    </row>
    <row r="841" spans="4:9">
      <c r="D841" s="81" t="s">
        <v>275</v>
      </c>
      <c r="E841" s="84">
        <f t="shared" si="198"/>
        <v>4</v>
      </c>
      <c r="F841" s="36" t="s">
        <v>178</v>
      </c>
      <c r="G841" s="36">
        <v>5</v>
      </c>
      <c r="H841" s="36">
        <f>_xlfn.XLOOKUP(F841,价值表!F:F,价值表!E:E)</f>
        <v>62</v>
      </c>
      <c r="I841" s="11" t="str">
        <f t="shared" si="197"/>
        <v>{62,5}</v>
      </c>
    </row>
    <row r="842" spans="4:9">
      <c r="D842" s="81" t="s">
        <v>275</v>
      </c>
      <c r="E842" s="84">
        <f t="shared" si="198"/>
        <v>8</v>
      </c>
      <c r="F842" s="36" t="s">
        <v>178</v>
      </c>
      <c r="G842" s="36">
        <v>5</v>
      </c>
      <c r="H842" s="36">
        <f>_xlfn.XLOOKUP(F842,价值表!F:F,价值表!E:E)</f>
        <v>62</v>
      </c>
      <c r="I842" s="11" t="str">
        <f t="shared" si="197"/>
        <v>{62,5}</v>
      </c>
    </row>
    <row r="843" spans="4:9">
      <c r="D843" s="81" t="s">
        <v>276</v>
      </c>
      <c r="E843" s="84">
        <f t="shared" si="198"/>
        <v>4</v>
      </c>
      <c r="F843" s="36" t="s">
        <v>178</v>
      </c>
      <c r="G843" s="36">
        <v>5</v>
      </c>
      <c r="H843" s="36">
        <f>_xlfn.XLOOKUP(F843,价值表!F:F,价值表!E:E)</f>
        <v>62</v>
      </c>
      <c r="I843" s="11" t="str">
        <f t="shared" si="197"/>
        <v>{62,5}</v>
      </c>
    </row>
    <row r="844" spans="4:9">
      <c r="D844" s="81" t="s">
        <v>276</v>
      </c>
      <c r="E844" s="84">
        <f t="shared" si="198"/>
        <v>8</v>
      </c>
      <c r="F844" s="36" t="s">
        <v>178</v>
      </c>
      <c r="G844" s="36">
        <v>5</v>
      </c>
      <c r="H844" s="36">
        <f>_xlfn.XLOOKUP(F844,价值表!F:F,价值表!E:E)</f>
        <v>62</v>
      </c>
      <c r="I844" s="11" t="str">
        <f t="shared" si="197"/>
        <v>{62,5}</v>
      </c>
    </row>
    <row r="845" spans="4:9">
      <c r="D845" s="81" t="s">
        <v>277</v>
      </c>
      <c r="E845" s="84">
        <f t="shared" si="198"/>
        <v>4</v>
      </c>
      <c r="F845" s="36" t="s">
        <v>178</v>
      </c>
      <c r="G845" s="36">
        <v>5</v>
      </c>
      <c r="H845" s="36">
        <f>_xlfn.XLOOKUP(F845,价值表!F:F,价值表!E:E)</f>
        <v>62</v>
      </c>
      <c r="I845" s="11" t="str">
        <f t="shared" si="197"/>
        <v>{62,5}</v>
      </c>
    </row>
    <row r="846" spans="4:9">
      <c r="D846" s="81" t="s">
        <v>277</v>
      </c>
      <c r="E846" s="84">
        <f t="shared" si="198"/>
        <v>8</v>
      </c>
      <c r="F846" s="36" t="s">
        <v>178</v>
      </c>
      <c r="G846" s="36">
        <v>5</v>
      </c>
      <c r="H846" s="36">
        <f>_xlfn.XLOOKUP(F846,价值表!F:F,价值表!E:E)</f>
        <v>62</v>
      </c>
      <c r="I846" s="11" t="str">
        <f t="shared" si="197"/>
        <v>{62,5}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D306"/>
  <sheetViews>
    <sheetView tabSelected="1" zoomScale="85" zoomScaleNormal="85" topLeftCell="H1" workbookViewId="0">
      <selection activeCell="U40" sqref="U40"/>
    </sheetView>
  </sheetViews>
  <sheetFormatPr defaultColWidth="9.14285714285714" defaultRowHeight="16.5"/>
  <cols>
    <col min="2" max="2" width="2.71428571428571" customWidth="1"/>
    <col min="3" max="3" width="12.8571428571429"/>
    <col min="4" max="6" width="10.9142857142857" style="11" customWidth="1"/>
    <col min="7" max="7" width="10.9142857142857" style="26" customWidth="1"/>
    <col min="8" max="9" width="10.9142857142857" style="11" customWidth="1"/>
    <col min="10" max="18" width="10.9142857142857" style="11" hidden="1" customWidth="1"/>
    <col min="19" max="22" width="10.9142857142857" style="11" customWidth="1"/>
    <col min="23" max="26" width="10.9142857142857" customWidth="1"/>
    <col min="27" max="28" width="10.9142857142857" style="11" customWidth="1"/>
    <col min="29" max="57" width="10.9142857142857" customWidth="1"/>
    <col min="58" max="58" width="9.57142857142857"/>
    <col min="59" max="60" width="12.5714285714286" customWidth="1"/>
    <col min="61" max="61" width="13.7142857142857" customWidth="1"/>
    <col min="62" max="66" width="9.57142857142857"/>
    <col min="78" max="78" width="10.5714285714286"/>
    <col min="79" max="85" width="9.57142857142857"/>
  </cols>
  <sheetData>
    <row r="1" spans="1:49">
      <c r="A1" s="27" t="s">
        <v>24</v>
      </c>
      <c r="B1" s="27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49">
      <c r="A2" s="29"/>
      <c r="B2" s="29"/>
      <c r="C2" s="30"/>
      <c r="D2" s="31"/>
      <c r="E2" s="31"/>
      <c r="F2" s="31"/>
      <c r="G2" s="3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49">
      <c r="A3" s="33"/>
      <c r="B3" s="34"/>
      <c r="C3" s="35" t="s">
        <v>175</v>
      </c>
      <c r="D3" s="36"/>
      <c r="E3" s="36"/>
      <c r="T3" s="31"/>
      <c r="AC3" s="37"/>
    </row>
    <row r="4" spans="1:49">
      <c r="A4" s="33"/>
      <c r="B4" s="36"/>
      <c r="C4" s="35"/>
      <c r="D4" s="36"/>
      <c r="E4" s="36"/>
      <c r="S4" s="11">
        <f ca="1">MATCH(OFFSET($D36,0,MATCH($D$5,$E$6:$H$6,0)),载具产出!$E$112:$E$151,1)</f>
        <v>5</v>
      </c>
      <c r="T4" s="31"/>
      <c r="AC4" s="37"/>
    </row>
    <row r="5" s="1" customFormat="1" spans="1:49">
      <c r="D5" s="1" t="s">
        <v>181</v>
      </c>
      <c r="F5" s="1" t="s">
        <v>314</v>
      </c>
      <c r="G5" s="38"/>
      <c r="J5" s="1" t="s">
        <v>315</v>
      </c>
      <c r="K5" s="1">
        <f>_xlfn.XLOOKUP(K6,价值表!$F:$F,价值表!$E:$E)</f>
        <v>62</v>
      </c>
      <c r="L5" s="1">
        <f>_xlfn.XLOOKUP(L6,价值表!$F:$F,价值表!$E:$E)</f>
        <v>63</v>
      </c>
      <c r="M5" s="1">
        <f>_xlfn.XLOOKUP(M6,价值表!$F:$F,价值表!$E:$E)</f>
        <v>2</v>
      </c>
      <c r="N5" s="1">
        <f>_xlfn.XLOOKUP(N6,价值表!$F:$F,价值表!$E:$E)</f>
        <v>6030001</v>
      </c>
      <c r="O5" s="1">
        <f>_xlfn.XLOOKUP(O6,价值表!$F:$F,价值表!$E:$E)</f>
        <v>6030002</v>
      </c>
      <c r="P5" s="1">
        <f>_xlfn.XLOOKUP(P6,价值表!$F:$F,价值表!$E:$E)</f>
        <v>6030003</v>
      </c>
      <c r="Q5" s="1">
        <f>_xlfn.XLOOKUP(Q6,价值表!$F:$F,价值表!$E:$E)</f>
        <v>6030004</v>
      </c>
      <c r="T5" s="1" t="s">
        <v>316</v>
      </c>
      <c r="AE5" s="1" t="s">
        <v>206</v>
      </c>
      <c r="AI5" s="1" t="s">
        <v>317</v>
      </c>
      <c r="AK5" s="1" t="s">
        <v>207</v>
      </c>
      <c r="AO5" s="1" t="s">
        <v>187</v>
      </c>
      <c r="AS5" s="1" t="s">
        <v>318</v>
      </c>
    </row>
    <row r="6" spans="1:49">
      <c r="A6" s="33"/>
      <c r="B6" s="36"/>
      <c r="C6" s="35"/>
      <c r="D6" s="3" t="s">
        <v>319</v>
      </c>
      <c r="E6" s="3" t="s">
        <v>179</v>
      </c>
      <c r="F6" s="3" t="s">
        <v>180</v>
      </c>
      <c r="G6" s="3" t="s">
        <v>181</v>
      </c>
      <c r="H6" s="3" t="s">
        <v>182</v>
      </c>
      <c r="I6" s="3" t="s">
        <v>320</v>
      </c>
      <c r="J6" s="3" t="s">
        <v>321</v>
      </c>
      <c r="K6" s="2" t="s">
        <v>178</v>
      </c>
      <c r="L6" s="3" t="s">
        <v>32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322</v>
      </c>
      <c r="S6" s="3" t="s">
        <v>323</v>
      </c>
      <c r="T6" s="2" t="s">
        <v>32</v>
      </c>
      <c r="U6" s="2" t="s">
        <v>178</v>
      </c>
      <c r="V6" s="2" t="s">
        <v>33</v>
      </c>
      <c r="W6" s="2" t="s">
        <v>324</v>
      </c>
      <c r="X6" s="2" t="s">
        <v>325</v>
      </c>
      <c r="Y6" s="2" t="s">
        <v>326</v>
      </c>
      <c r="Z6" s="2" t="s">
        <v>327</v>
      </c>
      <c r="AA6" s="2" t="s">
        <v>34</v>
      </c>
      <c r="AB6" s="2" t="s">
        <v>35</v>
      </c>
      <c r="AC6" s="2" t="s">
        <v>36</v>
      </c>
      <c r="AD6" s="2" t="s">
        <v>37</v>
      </c>
      <c r="AE6" s="2" t="s">
        <v>34</v>
      </c>
      <c r="AF6" s="2" t="s">
        <v>35</v>
      </c>
      <c r="AG6" s="2" t="s">
        <v>36</v>
      </c>
      <c r="AH6" s="2" t="s">
        <v>37</v>
      </c>
      <c r="AI6" s="2" t="s">
        <v>178</v>
      </c>
      <c r="AJ6" s="2" t="s">
        <v>328</v>
      </c>
      <c r="AK6" s="2" t="s">
        <v>34</v>
      </c>
      <c r="AL6" s="2" t="s">
        <v>35</v>
      </c>
      <c r="AM6" s="2" t="s">
        <v>36</v>
      </c>
      <c r="AN6" s="2" t="s">
        <v>37</v>
      </c>
      <c r="AO6" s="2" t="s">
        <v>34</v>
      </c>
      <c r="AP6" s="2" t="s">
        <v>35</v>
      </c>
      <c r="AQ6" s="2" t="s">
        <v>36</v>
      </c>
      <c r="AR6" s="2" t="s">
        <v>37</v>
      </c>
      <c r="AS6" s="2" t="s">
        <v>52</v>
      </c>
      <c r="AT6" s="2" t="s">
        <v>53</v>
      </c>
      <c r="AU6" s="2" t="s">
        <v>54</v>
      </c>
      <c r="AV6" s="2" t="s">
        <v>55</v>
      </c>
      <c r="AW6" s="39"/>
    </row>
    <row r="7" hidden="1" spans="1:49">
      <c r="A7" s="33"/>
      <c r="B7" s="36"/>
      <c r="C7" s="35"/>
      <c r="D7" s="40">
        <v>1</v>
      </c>
      <c r="E7" s="40">
        <v>12</v>
      </c>
      <c r="F7" s="40">
        <v>16</v>
      </c>
      <c r="G7" s="41">
        <v>20</v>
      </c>
      <c r="H7" s="40">
        <v>25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AA7" s="40"/>
      <c r="AB7" s="40"/>
      <c r="AC7" s="40"/>
      <c r="AD7" s="40"/>
    </row>
    <row r="8" hidden="1" spans="1:49">
      <c r="A8" s="33"/>
      <c r="B8" s="11"/>
      <c r="C8" s="35"/>
      <c r="D8" s="40">
        <v>2</v>
      </c>
      <c r="E8" s="40">
        <v>18</v>
      </c>
      <c r="F8" s="40">
        <v>24</v>
      </c>
      <c r="G8" s="41">
        <v>30</v>
      </c>
      <c r="H8" s="40">
        <v>37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AA8" s="40"/>
      <c r="AB8" s="40"/>
      <c r="AC8" s="40"/>
      <c r="AD8" s="40"/>
    </row>
    <row r="9" hidden="1" spans="1:49">
      <c r="A9" s="33"/>
      <c r="B9" s="11"/>
      <c r="C9" s="42"/>
      <c r="D9" s="40">
        <v>3</v>
      </c>
      <c r="E9" s="40">
        <v>23</v>
      </c>
      <c r="F9" s="40">
        <v>29</v>
      </c>
      <c r="G9" s="41">
        <v>35</v>
      </c>
      <c r="H9" s="40">
        <v>43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AA9" s="40"/>
      <c r="AB9" s="40"/>
      <c r="AC9" s="40"/>
      <c r="AD9" s="40"/>
    </row>
    <row r="10" hidden="1" spans="1:49">
      <c r="A10" s="33"/>
      <c r="B10" s="11"/>
      <c r="C10" s="42"/>
      <c r="D10" s="40">
        <v>4</v>
      </c>
      <c r="E10" s="40">
        <v>26</v>
      </c>
      <c r="F10" s="40">
        <v>34</v>
      </c>
      <c r="G10" s="41">
        <v>42</v>
      </c>
      <c r="H10" s="40">
        <v>52</v>
      </c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AA10" s="40"/>
      <c r="AB10" s="40"/>
      <c r="AC10" s="40"/>
      <c r="AD10" s="40"/>
    </row>
    <row r="11" hidden="1" spans="1:49">
      <c r="A11" s="33"/>
      <c r="B11" s="11"/>
      <c r="C11" s="42"/>
      <c r="D11" s="40">
        <v>5</v>
      </c>
      <c r="E11" s="40">
        <v>29</v>
      </c>
      <c r="F11" s="40">
        <v>38</v>
      </c>
      <c r="G11" s="41">
        <v>46</v>
      </c>
      <c r="H11" s="40">
        <v>57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AA11" s="40"/>
      <c r="AB11" s="40"/>
      <c r="AC11" s="40"/>
      <c r="AD11" s="40"/>
    </row>
    <row r="12" hidden="1" spans="1:49">
      <c r="A12" s="33"/>
      <c r="B12" s="11"/>
      <c r="C12" s="42"/>
      <c r="D12" s="40">
        <v>6</v>
      </c>
      <c r="E12" s="40">
        <v>31</v>
      </c>
      <c r="F12" s="40">
        <v>41</v>
      </c>
      <c r="G12" s="41">
        <v>49</v>
      </c>
      <c r="H12" s="40">
        <v>61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AA12" s="40"/>
      <c r="AB12" s="40"/>
      <c r="AC12" s="40"/>
      <c r="AD12" s="40"/>
    </row>
    <row r="13" hidden="1" spans="1:49">
      <c r="A13" s="33"/>
      <c r="B13" s="11"/>
      <c r="C13" s="42"/>
      <c r="D13" s="40">
        <v>7</v>
      </c>
      <c r="E13" s="40">
        <v>33</v>
      </c>
      <c r="F13" s="40">
        <v>44</v>
      </c>
      <c r="G13" s="41">
        <v>52</v>
      </c>
      <c r="H13" s="40">
        <v>65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AA13" s="40"/>
      <c r="AB13" s="40"/>
      <c r="AC13" s="40"/>
      <c r="AD13" s="40"/>
    </row>
    <row r="14" hidden="1" spans="1:49">
      <c r="A14" s="33"/>
      <c r="B14" s="11"/>
      <c r="C14" s="42"/>
      <c r="D14" s="40">
        <v>8</v>
      </c>
      <c r="E14" s="40">
        <v>36</v>
      </c>
      <c r="F14" s="40">
        <v>47</v>
      </c>
      <c r="G14" s="41">
        <v>55</v>
      </c>
      <c r="H14" s="40">
        <v>68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AA14" s="40"/>
      <c r="AB14" s="40"/>
      <c r="AC14" s="40"/>
      <c r="AD14" s="40"/>
    </row>
    <row r="15" hidden="1" spans="1:49">
      <c r="A15" s="33"/>
      <c r="B15" s="11"/>
      <c r="C15" s="42"/>
      <c r="D15" s="40">
        <v>9</v>
      </c>
      <c r="E15" s="40">
        <v>39</v>
      </c>
      <c r="F15" s="40">
        <v>49</v>
      </c>
      <c r="G15" s="41">
        <v>58</v>
      </c>
      <c r="H15" s="40">
        <v>72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AA15" s="40"/>
      <c r="AB15" s="40"/>
      <c r="AC15" s="40"/>
      <c r="AD15" s="40"/>
    </row>
    <row r="16" hidden="1" spans="1:49">
      <c r="A16" s="33"/>
      <c r="B16" s="11"/>
      <c r="C16" s="42"/>
      <c r="D16" s="40">
        <v>10</v>
      </c>
      <c r="E16" s="40">
        <v>41</v>
      </c>
      <c r="F16" s="40">
        <v>52</v>
      </c>
      <c r="G16" s="41">
        <v>61</v>
      </c>
      <c r="H16" s="40">
        <v>76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AA16" s="40"/>
      <c r="AB16" s="40"/>
      <c r="AC16" s="40"/>
      <c r="AD16" s="40"/>
    </row>
    <row r="17" hidden="1" spans="1:30">
      <c r="A17" s="33"/>
      <c r="B17" s="11"/>
      <c r="C17" s="42"/>
      <c r="D17" s="40">
        <v>11</v>
      </c>
      <c r="E17" s="40">
        <v>43</v>
      </c>
      <c r="F17" s="40">
        <v>54</v>
      </c>
      <c r="G17" s="41">
        <v>64</v>
      </c>
      <c r="H17" s="40">
        <v>80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AA17" s="40"/>
      <c r="AB17" s="40"/>
      <c r="AC17" s="40"/>
      <c r="AD17" s="40"/>
    </row>
    <row r="18" hidden="1" spans="1:30">
      <c r="D18" s="40">
        <v>12</v>
      </c>
      <c r="E18" s="40">
        <v>45</v>
      </c>
      <c r="F18" s="40">
        <v>56</v>
      </c>
      <c r="G18" s="41">
        <v>66</v>
      </c>
      <c r="H18" s="40">
        <v>82</v>
      </c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AA18" s="40"/>
      <c r="AB18" s="40"/>
      <c r="AC18" s="40"/>
      <c r="AD18" s="40"/>
    </row>
    <row r="19" hidden="1" spans="1:30">
      <c r="D19" s="40">
        <v>13</v>
      </c>
      <c r="E19" s="40">
        <v>47</v>
      </c>
      <c r="F19" s="40">
        <v>58</v>
      </c>
      <c r="G19" s="41">
        <v>68</v>
      </c>
      <c r="H19" s="40">
        <v>85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AA19" s="40"/>
      <c r="AB19" s="40"/>
      <c r="AC19" s="40"/>
      <c r="AD19" s="40"/>
    </row>
    <row r="20" hidden="1" spans="1:30">
      <c r="D20" s="40">
        <v>14</v>
      </c>
      <c r="E20" s="40">
        <v>48</v>
      </c>
      <c r="F20" s="40">
        <v>60</v>
      </c>
      <c r="G20" s="41">
        <v>70</v>
      </c>
      <c r="H20" s="40">
        <v>87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AA20" s="40"/>
      <c r="AB20" s="40"/>
      <c r="AC20" s="40"/>
      <c r="AD20" s="40"/>
    </row>
    <row r="21" hidden="1" spans="1:30">
      <c r="D21" s="40">
        <v>15</v>
      </c>
      <c r="E21" s="40">
        <v>50</v>
      </c>
      <c r="F21" s="40">
        <v>61</v>
      </c>
      <c r="G21" s="41">
        <v>71</v>
      </c>
      <c r="H21" s="40">
        <v>88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AA21" s="40"/>
      <c r="AB21" s="40"/>
      <c r="AC21" s="40"/>
      <c r="AD21" s="40"/>
    </row>
    <row r="22" hidden="1" spans="1:30">
      <c r="D22" s="40">
        <v>16</v>
      </c>
      <c r="E22" s="40">
        <v>51</v>
      </c>
      <c r="F22" s="40">
        <v>62</v>
      </c>
      <c r="G22" s="41">
        <v>72</v>
      </c>
      <c r="H22" s="40">
        <v>90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AA22" s="40"/>
      <c r="AB22" s="40"/>
      <c r="AC22" s="40"/>
      <c r="AD22" s="40"/>
    </row>
    <row r="23" hidden="1" spans="1:30">
      <c r="D23" s="40">
        <v>17</v>
      </c>
      <c r="E23" s="40">
        <v>53</v>
      </c>
      <c r="F23" s="40">
        <v>63</v>
      </c>
      <c r="G23" s="41">
        <v>73</v>
      </c>
      <c r="H23" s="40">
        <v>91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AA23" s="40"/>
      <c r="AB23" s="40"/>
      <c r="AC23" s="40"/>
      <c r="AD23" s="40"/>
    </row>
    <row r="24" hidden="1" spans="1:30">
      <c r="D24" s="40">
        <v>18</v>
      </c>
      <c r="E24" s="40">
        <v>54</v>
      </c>
      <c r="F24" s="40">
        <v>64</v>
      </c>
      <c r="G24" s="41">
        <v>74</v>
      </c>
      <c r="H24" s="40">
        <v>92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AA24" s="40"/>
      <c r="AB24" s="40"/>
      <c r="AC24" s="40"/>
      <c r="AD24" s="40"/>
    </row>
    <row r="25" hidden="1" spans="1:30">
      <c r="D25" s="40">
        <v>19</v>
      </c>
      <c r="E25" s="40">
        <v>55</v>
      </c>
      <c r="F25" s="40">
        <v>65</v>
      </c>
      <c r="G25" s="41">
        <v>75</v>
      </c>
      <c r="H25" s="40">
        <v>93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AA25" s="40"/>
      <c r="AB25" s="40"/>
      <c r="AC25" s="40"/>
      <c r="AD25" s="40"/>
    </row>
    <row r="26" hidden="1" spans="1:30">
      <c r="D26" s="40">
        <v>20</v>
      </c>
      <c r="E26" s="40">
        <v>56</v>
      </c>
      <c r="F26" s="40">
        <v>66</v>
      </c>
      <c r="G26" s="41">
        <v>76</v>
      </c>
      <c r="H26" s="40">
        <v>95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AA26" s="40"/>
      <c r="AB26" s="40"/>
      <c r="AC26" s="40"/>
      <c r="AD26" s="40"/>
    </row>
    <row r="27" hidden="1" spans="1:30">
      <c r="D27" s="40">
        <v>21</v>
      </c>
      <c r="E27" s="40">
        <v>57</v>
      </c>
      <c r="F27" s="40">
        <v>67</v>
      </c>
      <c r="G27" s="41">
        <v>77</v>
      </c>
      <c r="H27" s="40">
        <v>96</v>
      </c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AA27" s="40"/>
      <c r="AB27" s="40"/>
      <c r="AC27" s="40"/>
      <c r="AD27" s="40"/>
    </row>
    <row r="28" hidden="1" spans="1:30">
      <c r="D28" s="40">
        <v>22</v>
      </c>
      <c r="E28" s="40">
        <v>58</v>
      </c>
      <c r="F28" s="40">
        <v>68</v>
      </c>
      <c r="G28" s="41">
        <v>78</v>
      </c>
      <c r="H28" s="40">
        <v>97</v>
      </c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AA28" s="40"/>
      <c r="AB28" s="40"/>
      <c r="AC28" s="40"/>
      <c r="AD28" s="40"/>
    </row>
    <row r="29" hidden="1" spans="1:30">
      <c r="D29" s="40">
        <v>23</v>
      </c>
      <c r="E29" s="40">
        <v>59</v>
      </c>
      <c r="F29" s="40">
        <v>69</v>
      </c>
      <c r="G29" s="41">
        <v>79</v>
      </c>
      <c r="H29" s="40">
        <v>98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AA29" s="40"/>
      <c r="AB29" s="40"/>
      <c r="AC29" s="40"/>
      <c r="AD29" s="40"/>
    </row>
    <row r="30" hidden="1" spans="1:30">
      <c r="D30" s="40">
        <v>24</v>
      </c>
      <c r="E30" s="40">
        <v>60</v>
      </c>
      <c r="F30" s="40">
        <v>70</v>
      </c>
      <c r="G30" s="41">
        <v>80</v>
      </c>
      <c r="H30" s="40">
        <v>100</v>
      </c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AA30" s="40"/>
      <c r="AB30" s="40"/>
      <c r="AC30" s="40"/>
      <c r="AD30" s="40"/>
    </row>
    <row r="31" hidden="1" spans="1:30">
      <c r="D31" s="40">
        <v>25</v>
      </c>
      <c r="E31" s="40">
        <v>61</v>
      </c>
      <c r="F31" s="40">
        <v>71</v>
      </c>
      <c r="G31" s="41">
        <v>81</v>
      </c>
      <c r="H31" s="40">
        <v>101</v>
      </c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AA31" s="40"/>
      <c r="AB31" s="40"/>
      <c r="AC31" s="40"/>
      <c r="AD31" s="40"/>
    </row>
    <row r="32" hidden="1" spans="1:30">
      <c r="D32" s="40">
        <v>26</v>
      </c>
      <c r="E32" s="40">
        <v>62</v>
      </c>
      <c r="F32" s="40">
        <v>72</v>
      </c>
      <c r="G32" s="41">
        <v>82</v>
      </c>
      <c r="H32" s="40">
        <v>102</v>
      </c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AA32" s="40"/>
      <c r="AB32" s="40"/>
      <c r="AC32" s="40"/>
      <c r="AD32" s="40"/>
    </row>
    <row r="33" hidden="1" spans="3:56">
      <c r="D33" s="40">
        <v>27</v>
      </c>
      <c r="E33" s="40">
        <v>63</v>
      </c>
      <c r="F33" s="40">
        <v>73</v>
      </c>
      <c r="G33" s="41">
        <v>83</v>
      </c>
      <c r="H33" s="40">
        <v>103</v>
      </c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AA33" s="40"/>
      <c r="AB33" s="40"/>
      <c r="AC33" s="40"/>
      <c r="AD33" s="40"/>
    </row>
    <row r="34" hidden="1" spans="3:56">
      <c r="D34" s="40">
        <v>28</v>
      </c>
      <c r="E34" s="40">
        <v>64</v>
      </c>
      <c r="F34" s="40">
        <v>74</v>
      </c>
      <c r="G34" s="41">
        <v>84</v>
      </c>
      <c r="H34" s="40">
        <v>105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AA34" s="40"/>
      <c r="AB34" s="40"/>
      <c r="AC34" s="40"/>
      <c r="AD34" s="40"/>
    </row>
    <row r="35" hidden="1" spans="3:56">
      <c r="D35" s="40">
        <v>29</v>
      </c>
      <c r="E35" s="40">
        <v>65</v>
      </c>
      <c r="F35" s="40">
        <v>75</v>
      </c>
      <c r="G35" s="41">
        <v>85</v>
      </c>
      <c r="H35" s="40">
        <v>106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AA35" s="40"/>
      <c r="AB35" s="40"/>
      <c r="AC35" s="40"/>
      <c r="AD35" s="40"/>
    </row>
    <row r="36" spans="3:56">
      <c r="C36">
        <f ca="1">W36/G36</f>
        <v>73.953488372093</v>
      </c>
      <c r="D36" s="40">
        <v>30</v>
      </c>
      <c r="E36" s="40">
        <v>66</v>
      </c>
      <c r="F36" s="40">
        <v>76</v>
      </c>
      <c r="G36" s="41">
        <v>86</v>
      </c>
      <c r="H36" s="40">
        <v>107</v>
      </c>
      <c r="I36" s="40">
        <v>118</v>
      </c>
      <c r="J36" s="40">
        <f>MIN(INT(E36*(30-(D36-30))/30+(D36-30)/30*H36),H36)</f>
        <v>66</v>
      </c>
      <c r="K36" s="40">
        <f ca="1">SUM(U$36:U36)-SUM(OFFSET(载具产出!H$399,0,0,$R36+1,1))</f>
        <v>6</v>
      </c>
      <c r="L36" s="40">
        <f ca="1">SUM(T$36:T36)-SUM(OFFSET(载具产出!G$399,0,0,$R36+1,1))</f>
        <v>125</v>
      </c>
      <c r="M36" s="40">
        <v>0</v>
      </c>
      <c r="N36" s="40">
        <f ca="1">SUM(AA$36:AA36)-SUM(OFFSET(载具产出!J$399,0,0,$R36+1,1))</f>
        <v>2.6</v>
      </c>
      <c r="O36" s="40">
        <f ca="1">SUM(AB$36:AB36)-SUM(OFFSET(载具产出!K$399,0,0,$R36+1,1))</f>
        <v>21.92</v>
      </c>
      <c r="P36" s="40">
        <f ca="1">SUM(AC$36:AC36)-SUM(OFFSET(载具产出!L$399,0,0,$R36+1,1))</f>
        <v>0.48</v>
      </c>
      <c r="Q36" s="40">
        <f ca="1">SUM(AD$36:AD36)-SUM(OFFSET(载具产出!M$399,0,0,$R36+1,1))</f>
        <v>0</v>
      </c>
      <c r="R36" s="40">
        <v>1</v>
      </c>
      <c r="S36" s="40" t="str">
        <f ca="1">OFFSET(载具产出!$D$111,IFERROR(MATCH(OFFSET($D36,0,MATCH($D$5,$E$6:$H$6,0)),载具产出!$E$112:$E$151,1),0),0)</f>
        <v>精良Ⅴ</v>
      </c>
      <c r="T36" s="40">
        <f ca="1">OFFSET(载具产出!$F$399,IFERROR(MATCH(OFFSET($D36,0,MATCH($D$5,$E$6:$H$6,0)),载具产出!$E$400:$E$439,1),0),MATCH(T$6,载具产出!$G$399:$O$399,0))</f>
        <v>750</v>
      </c>
      <c r="U36" s="40">
        <v>7</v>
      </c>
      <c r="V36" s="40">
        <f ca="1">OFFSET(载具产出!$F$399,IFERROR(MATCH(OFFSET($D36,0,MATCH($D$5,$E$6:$H$6,0)),载具产出!$E$400:$E$439,1),0),MATCH(V$6,载具产出!$G$399:$O$399,0))</f>
        <v>4800</v>
      </c>
      <c r="W36" s="43">
        <f ca="1">_xlfn.XLOOKUP(Z36,载具属性!$E$98:$E$497,载具属性!$G$98:$G$497)+6000+OFFSET(载具属性!L$33,AS36,0)*载具属性!M$30+OFFSET(载具属性!M$33,AT36,0)*载具属性!N$30+OFFSET(载具属性!N$33,AU36,0)*载具属性!O$30+OFFSET(载具属性!O$33,AV36,0)*载具属性!P$30</f>
        <v>6360</v>
      </c>
      <c r="X36" s="43">
        <f ca="1">_xlfn.XLOOKUP(Z36,载具属性!$E$98:$E$497,载具属性!$G$98:$G$497)</f>
        <v>300</v>
      </c>
      <c r="Y36" s="43">
        <f ca="1">OFFSET(载具属性!L$33,AS36,0)*载具属性!M$30+OFFSET(载具属性!M$33,AT36,0)*载具属性!N$30+OFFSET(载具属性!N$33,AU36,0)*载具属性!O$30+OFFSET(载具属性!O$33,AV36,0)*载具属性!P$30</f>
        <v>60</v>
      </c>
      <c r="Z36" s="40">
        <f ca="1">MATCH(SUM($T$7:T36),载具属性!$I$98:$I$497,1)</f>
        <v>7</v>
      </c>
      <c r="AA36" s="40">
        <f ca="1">OFFSET(载具产出!$F$399,IFERROR(MATCH(OFFSET($D36,0,MATCH($D$5,$E$6:$H$6,0)),载具产出!$E$112:$E$151,1),0),MATCH(AA$6,载具产出!$G$111:$O$111,0))*2</f>
        <v>27.6</v>
      </c>
      <c r="AB36" s="40">
        <f ca="1">OFFSET(载具产出!$F$399,IFERROR(MATCH(OFFSET($D36,0,MATCH($D$5,$E$6:$H$6,0)),载具产出!$E$112:$E$151,1),0),MATCH(AB$6,载具产出!$G$111:$O$111,0))*2</f>
        <v>21.92</v>
      </c>
      <c r="AC36" s="40">
        <f ca="1">OFFSET(载具产出!$F$399,IFERROR(MATCH(OFFSET($D36,0,MATCH($D$5,$E$6:$H$6,0)),载具产出!$E$112:$E$151,1),0),MATCH(AC$6,载具产出!$G$111:$O$111,0))*2</f>
        <v>0.48</v>
      </c>
      <c r="AD36" s="40">
        <f ca="1">OFFSET(载具产出!$F$399,IFERROR(MATCH(OFFSET($D36,0,MATCH($D$5,$E$6:$H$6,0)),载具产出!$E$112:$E$151,1),0),MATCH(AD$6,载具产出!$G$111:$O$111,0))*2</f>
        <v>0</v>
      </c>
      <c r="AE36" s="44">
        <f ca="1">SUM(AA$36:AA36)/3</f>
        <v>9.2</v>
      </c>
      <c r="AF36" s="44">
        <f ca="1">SUM(AB$36:AB36)/3</f>
        <v>7.30666666666667</v>
      </c>
      <c r="AG36" s="44">
        <f ca="1">SUM(AC$36:AC36)/3</f>
        <v>0.16</v>
      </c>
      <c r="AH36" s="44">
        <f ca="1">SUM(AD$36:AD36)/3</f>
        <v>0</v>
      </c>
      <c r="AI36" s="44">
        <f>_xlfn.XLOOKUP($D$5,载具产出!$D$71:$D$75,载具产出!$E$71:$E$75)*(D36-30+1)</f>
        <v>11.7619047619048</v>
      </c>
      <c r="AJ36" s="44">
        <f>IFERROR(MATCH(_xlfn.XLOOKUP($D$5,载具产出!$D$71:$D$75,载具产出!$E$71:$E$75)*(D36-30+1)*10,载具产出!$E$60:$E$67,1),0)+1</f>
        <v>1</v>
      </c>
      <c r="AK36" s="44">
        <f ca="1">IF($AJ36=1,($AI36)*(10*OFFSET(载具产出!$D$45,MATCH(AK$6,$AK$6:$AN$6,0)-1,$AJ36)+OFFSET(载具产出!$D$49,MATCH(AK$6,$AK$6:$AN$6,0)-1,$AJ36)*OFFSET(载具产出!$N$49,MATCH(AK$6,$AK$6:$AN$6,0)-1,0)),OFFSET(载具产出!F$59,$AJ36-1,0)*10+OFFSET(载具产出!J$59,$AJ36-1,0)+($AI36*10-_xlfn.XLOOKUP($AJ36-1,载具产出!$D$59:$D$67,载具产出!$E$59:$E$67))/10*(10*OFFSET(载具产出!$D$45,MATCH(AK$6,$AK$6:$AN$6,0)-1,$AJ36)+OFFSET(载具产出!$D$49,MATCH(AK$6,$AK$6:$AN$6,0)-1,$AJ36)*OFFSET(载具产出!$N$49,MATCH(AK$6,$AK$6:$AN$6,0)-1,0)))</f>
        <v>35.2857142857144</v>
      </c>
      <c r="AL36" s="44">
        <f ca="1">IF($AJ36=1,($AI36)*(10*OFFSET(载具产出!$D$45,MATCH(AL$6,$AK$6:$AN$6,0)-1,$AJ36)+OFFSET(载具产出!$D$49,MATCH(AL$6,$AK$6:$AN$6,0)-1,$AJ36)*OFFSET(载具产出!$N$49,MATCH(AL$6,$AK$6:$AN$6,0)-1,0)),OFFSET(载具产出!G$59,$AJ36-1,0)*10+OFFSET(载具产出!K$59,$AJ36-1,0)+($AI36*10-_xlfn.XLOOKUP($AJ36-1,载具产出!$D$59:$D$67,载具产出!$E$59:$E$67))/10*(10*OFFSET(载具产出!$D$45,MATCH(AL$6,$AK$6:$AN$6,0)-1,$AJ36)+OFFSET(载具产出!$D$49,MATCH(AL$6,$AK$6:$AN$6,0)-1,$AJ36)*OFFSET(载具产出!$N$49,MATCH(AL$6,$AK$6:$AN$6,0)-1,0)))</f>
        <v>8.5861904761905</v>
      </c>
      <c r="AM36" s="44">
        <f ca="1">IF($AJ36=1,($AI36)*(10*OFFSET(载具产出!$D$45,MATCH(AM$6,$AK$6:$AN$6,0)-1,$AJ36)+OFFSET(载具产出!$D$49,MATCH(AM$6,$AK$6:$AN$6,0)-1,$AJ36)*OFFSET(载具产出!$N$49,MATCH(AM$6,$AK$6:$AN$6,0)-1,0)),OFFSET(载具产出!H$59,$AJ36-1,0)*10+OFFSET(载具产出!L$59,$AJ36-1,0)+($AI36*10-_xlfn.XLOOKUP($AJ36-1,载具产出!$D$59:$D$67,载具产出!$E$59:$E$67))/10*(10*OFFSET(载具产出!$D$45,MATCH(AM$6,$AK$6:$AN$6,0)-1,$AJ36)+OFFSET(载具产出!$D$49,MATCH(AM$6,$AK$6:$AN$6,0)-1,$AJ36)*OFFSET(载具产出!$N$49,MATCH(AM$6,$AK$6:$AN$6,0)-1,0)))</f>
        <v>0</v>
      </c>
      <c r="AN36" s="44">
        <f ca="1">IF($AJ36=1,($AI36)*(10*OFFSET(载具产出!$D$45,MATCH(AN$6,$AK$6:$AN$6,0)-1,$AJ36)+OFFSET(载具产出!$D$49,MATCH(AN$6,$AK$6:$AN$6,0)-1,$AJ36)*OFFSET(载具产出!$N$49,MATCH(AN$6,$AK$6:$AN$6,0)-1,0)),OFFSET(载具产出!I$59,$AJ36-1,0)*10+OFFSET(载具产出!M$59,$AJ36-1,0)+($AI36*10-_xlfn.XLOOKUP($AJ36-1,载具产出!$D$59:$D$67,载具产出!$E$59:$E$67))/10*(10*OFFSET(载具产出!$D$45,MATCH(AN$6,$AK$6:$AN$6,0)-1,$AJ36)+OFFSET(载具产出!$D$49,MATCH(AN$6,$AK$6:$AN$6,0)-1,$AJ36)*OFFSET(载具产出!$N$49,MATCH(AN$6,$AK$6:$AN$6,0)-1,0)))</f>
        <v>0</v>
      </c>
      <c r="AO36" s="44">
        <f ca="1">AE36+AK36</f>
        <v>44.4857142857144</v>
      </c>
      <c r="AP36" s="44">
        <f ca="1">AF36+AL36</f>
        <v>15.8928571428572</v>
      </c>
      <c r="AQ36" s="44">
        <f ca="1">AG36+AM36</f>
        <v>0.16</v>
      </c>
      <c r="AR36" s="44">
        <f ca="1">AH36+AN36</f>
        <v>0</v>
      </c>
      <c r="AS36" s="45">
        <f ca="1">IFERROR(MATCH(AO36/载具产出!R$58,载具属性!$G$33:$G$92,1),0)</f>
        <v>1</v>
      </c>
      <c r="AT36" s="45">
        <f ca="1">IFERROR(MATCH(AP36/载具产出!S$58,载具属性!$G$33:$G$92,1),0)</f>
        <v>0</v>
      </c>
      <c r="AU36" s="45">
        <f ca="1">IFERROR(MATCH(AQ36/载具产出!T$58,载具属性!$G$33:$G$92,1),0)</f>
        <v>0</v>
      </c>
      <c r="AV36" s="45">
        <f ca="1">IFERROR(MATCH(AR36/载具产出!U$58,载具属性!$G$33:$G$92,1),0)</f>
        <v>0</v>
      </c>
      <c r="AW36" s="46" t="str">
        <f ca="1">"["&amp;_xlfn.TEXTJOIN(",",1,AX36:BD36)&amp;"]"</f>
        <v>[{62,6},{63,125},{6030001,2},{6030002,21}]</v>
      </c>
      <c r="AX36" t="str">
        <f ca="1" t="shared" ref="AX36:BD36" si="0">IF(INT(K36)&lt;=0,"","{"&amp;K$5&amp;","&amp;INT(K36)&amp;"}")</f>
        <v>{62,6}</v>
      </c>
      <c r="AY36" t="str">
        <f ca="1" t="shared" si="0"/>
        <v>{63,125}</v>
      </c>
      <c r="AZ36" t="str">
        <f t="shared" si="0"/>
        <v/>
      </c>
      <c r="BA36" t="str">
        <f ca="1" t="shared" si="0"/>
        <v>{6030001,2}</v>
      </c>
      <c r="BB36" t="str">
        <f ca="1" t="shared" si="0"/>
        <v>{6030002,21}</v>
      </c>
      <c r="BC36" t="str">
        <f ca="1" t="shared" si="0"/>
        <v/>
      </c>
      <c r="BD36" t="str">
        <f ca="1" t="shared" si="0"/>
        <v/>
      </c>
    </row>
    <row r="37" spans="3:56">
      <c r="C37">
        <f ca="1" t="shared" ref="C37:C100" si="1">W37/G37</f>
        <v>77.4712643678161</v>
      </c>
      <c r="D37" s="40">
        <v>31</v>
      </c>
      <c r="E37" s="40">
        <v>67</v>
      </c>
      <c r="F37" s="40">
        <v>77</v>
      </c>
      <c r="G37" s="41">
        <v>87</v>
      </c>
      <c r="H37" s="40">
        <v>108</v>
      </c>
      <c r="I37" s="40">
        <v>118</v>
      </c>
      <c r="J37" s="40">
        <f t="shared" ref="J37:J49" si="2">MIN(INT(E37*(30-(D37-30))/30+(D37-30)/30*H37),H37)</f>
        <v>68</v>
      </c>
      <c r="K37" s="40">
        <f ca="1">SUM(U$36:U37)-SUM(OFFSET(载具产出!H$399,0,0,$R37+1,1))</f>
        <v>13</v>
      </c>
      <c r="L37" s="40">
        <f ca="1">SUM(T$36:T37)-SUM(OFFSET(载具产出!G$399,0,0,$R37+1,1))</f>
        <v>875</v>
      </c>
      <c r="M37" s="40">
        <f ca="1">SUM(V$36:V37)/2-SUM(OFFSET(载具产出!I$399,0,0,$R37+1,1))</f>
        <v>800</v>
      </c>
      <c r="N37" s="40">
        <f ca="1">SUM(AA$36:AA37)-SUM(OFFSET(载具产出!J$399,0,0,$R37+1,1))</f>
        <v>30.2</v>
      </c>
      <c r="O37" s="40">
        <f ca="1">SUM(AB$36:AB37)-SUM(OFFSET(载具产出!K$399,0,0,$R37+1,1))</f>
        <v>43.84</v>
      </c>
      <c r="P37" s="40">
        <f ca="1">SUM(AC$36:AC37)-SUM(OFFSET(载具产出!L$399,0,0,$R37+1,1))</f>
        <v>0.96</v>
      </c>
      <c r="Q37" s="40">
        <f ca="1">SUM(AD$36:AD37)-SUM(OFFSET(载具产出!M$399,0,0,$R37+1,1))</f>
        <v>0</v>
      </c>
      <c r="R37" s="40">
        <v>1</v>
      </c>
      <c r="S37" s="40" t="str">
        <f ca="1">OFFSET(载具产出!$D$111,IFERROR(MATCH(OFFSET($D37,0,MATCH($D$5,$E$6:$H$6,0)),载具产出!$E$112:$E$151,1),0),0)</f>
        <v>精良Ⅴ</v>
      </c>
      <c r="T37" s="40">
        <f ca="1">OFFSET(载具产出!$F$399,IFERROR(MATCH(OFFSET($D37,0,MATCH($D$5,$E$6:$H$6,0)),载具产出!$E$400:$E$439,1),0),MATCH(T$6,载具产出!$G$399:$O$399,0))</f>
        <v>750</v>
      </c>
      <c r="U37" s="40">
        <v>7</v>
      </c>
      <c r="V37" s="40">
        <f ca="1">OFFSET(载具产出!$F$399,IFERROR(MATCH(OFFSET($D37,0,MATCH($D$5,$E$6:$H$6,0)),载具产出!$E$400:$E$439,1),0),MATCH(V$6,载具产出!$G$399:$O$399,0))</f>
        <v>4800</v>
      </c>
      <c r="W37" s="43">
        <f ca="1">_xlfn.XLOOKUP(Z37,载具属性!$E$98:$E$497,载具属性!$G$98:$G$497)+6000+OFFSET(载具属性!L$33,AS37,0)*载具属性!M$30+OFFSET(载具属性!M$33,AT37,0)*载具属性!N$30+OFFSET(载具属性!N$33,AU37,0)*载具属性!O$30+OFFSET(载具属性!O$33,AV37,0)*载具属性!P$30</f>
        <v>6740</v>
      </c>
      <c r="X37" s="43">
        <f ca="1">_xlfn.XLOOKUP(Z37,载具属性!$E$98:$E$497,载具属性!$G$98:$G$497)</f>
        <v>500</v>
      </c>
      <c r="Y37" s="43">
        <f ca="1">OFFSET(载具属性!L$33,AS37,0)*载具属性!M$30+OFFSET(载具属性!M$33,AT37,0)*载具属性!N$30+OFFSET(载具属性!N$33,AU37,0)*载具属性!O$30+OFFSET(载具属性!O$33,AV37,0)*载具属性!P$30</f>
        <v>240</v>
      </c>
      <c r="Z37" s="40">
        <f ca="1">MATCH(SUM($T$7:T37),载具属性!$I$98:$I$497,1)</f>
        <v>11</v>
      </c>
      <c r="AA37" s="40">
        <f ca="1">OFFSET(载具产出!$F$399,IFERROR(MATCH(OFFSET($D37,0,MATCH($D$5,$E$6:$H$6,0)),载具产出!$E$112:$E$151,1),0),MATCH(AA$6,载具产出!$G$111:$O$111,0))*2</f>
        <v>27.6</v>
      </c>
      <c r="AB37" s="40">
        <f ca="1">OFFSET(载具产出!$F$399,IFERROR(MATCH(OFFSET($D37,0,MATCH($D$5,$E$6:$H$6,0)),载具产出!$E$112:$E$151,1),0),MATCH(AB$6,载具产出!$G$111:$O$111,0))*2</f>
        <v>21.92</v>
      </c>
      <c r="AC37" s="40">
        <f ca="1">OFFSET(载具产出!$F$399,IFERROR(MATCH(OFFSET($D37,0,MATCH($D$5,$E$6:$H$6,0)),载具产出!$E$112:$E$151,1),0),MATCH(AC$6,载具产出!$G$111:$O$111,0))*2</f>
        <v>0.48</v>
      </c>
      <c r="AD37" s="40">
        <f ca="1">OFFSET(载具产出!$F$399,IFERROR(MATCH(OFFSET($D37,0,MATCH($D$5,$E$6:$H$6,0)),载具产出!$E$112:$E$151,1),0),MATCH(AD$6,载具产出!$G$111:$O$111,0))*2</f>
        <v>0</v>
      </c>
      <c r="AE37" s="44">
        <f ca="1">SUM(AA$36:AA37)/3</f>
        <v>18.4</v>
      </c>
      <c r="AF37" s="44">
        <f ca="1">SUM(AB$36:AB37)/3</f>
        <v>14.6133333333333</v>
      </c>
      <c r="AG37" s="44">
        <f ca="1">SUM(AC$36:AC37)/3</f>
        <v>0.32</v>
      </c>
      <c r="AH37" s="44">
        <f ca="1">SUM(AD$36:AD37)/3</f>
        <v>0</v>
      </c>
      <c r="AI37" s="44">
        <f>_xlfn.XLOOKUP($D$5,载具产出!$D$71:$D$75,载具产出!$E$71:$E$75)*(D37-30+1)</f>
        <v>23.5238095238096</v>
      </c>
      <c r="AJ37" s="44">
        <f>IFERROR(MATCH(_xlfn.XLOOKUP($D$5,载具产出!$D$71:$D$75,载具产出!$E$71:$E$75)*(D37-30+1)*10,载具产出!$E$60:$E$67,1),0)+1</f>
        <v>1</v>
      </c>
      <c r="AK37" s="44">
        <f ca="1">IF($AJ37=1,($AI37)*(10*OFFSET(载具产出!$D$45,MATCH(AK$6,$AK$6:$AN$6,0)-1,$AJ37)+OFFSET(载具产出!$D$49,MATCH(AK$6,$AK$6:$AN$6,0)-1,$AJ37)*OFFSET(载具产出!$N$49,MATCH(AK$6,$AK$6:$AN$6,0)-1,0)),OFFSET(载具产出!F$59,$AJ37-1,0)*10+OFFSET(载具产出!J$59,$AJ37-1,0)+($AI37*10-_xlfn.XLOOKUP($AJ37-1,载具产出!$D$59:$D$67,载具产出!$E$59:$E$67))/10*(10*OFFSET(载具产出!$D$45,MATCH(AK$6,$AK$6:$AN$6,0)-1,$AJ37)+OFFSET(载具产出!$D$49,MATCH(AK$6,$AK$6:$AN$6,0)-1,$AJ37)*OFFSET(载具产出!$N$49,MATCH(AK$6,$AK$6:$AN$6,0)-1,0)))</f>
        <v>70.5714285714288</v>
      </c>
      <c r="AL37" s="44">
        <f ca="1">IF($AJ37=1,($AI37)*(10*OFFSET(载具产出!$D$45,MATCH(AL$6,$AK$6:$AN$6,0)-1,$AJ37)+OFFSET(载具产出!$D$49,MATCH(AL$6,$AK$6:$AN$6,0)-1,$AJ37)*OFFSET(载具产出!$N$49,MATCH(AL$6,$AK$6:$AN$6,0)-1,0)),OFFSET(载具产出!G$59,$AJ37-1,0)*10+OFFSET(载具产出!K$59,$AJ37-1,0)+($AI37*10-_xlfn.XLOOKUP($AJ37-1,载具产出!$D$59:$D$67,载具产出!$E$59:$E$67))/10*(10*OFFSET(载具产出!$D$45,MATCH(AL$6,$AK$6:$AN$6,0)-1,$AJ37)+OFFSET(载具产出!$D$49,MATCH(AL$6,$AK$6:$AN$6,0)-1,$AJ37)*OFFSET(载具产出!$N$49,MATCH(AL$6,$AK$6:$AN$6,0)-1,0)))</f>
        <v>17.172380952381</v>
      </c>
      <c r="AM37" s="44">
        <f ca="1">IF($AJ37=1,($AI37)*(10*OFFSET(载具产出!$D$45,MATCH(AM$6,$AK$6:$AN$6,0)-1,$AJ37)+OFFSET(载具产出!$D$49,MATCH(AM$6,$AK$6:$AN$6,0)-1,$AJ37)*OFFSET(载具产出!$N$49,MATCH(AM$6,$AK$6:$AN$6,0)-1,0)),OFFSET(载具产出!H$59,$AJ37-1,0)*10+OFFSET(载具产出!L$59,$AJ37-1,0)+($AI37*10-_xlfn.XLOOKUP($AJ37-1,载具产出!$D$59:$D$67,载具产出!$E$59:$E$67))/10*(10*OFFSET(载具产出!$D$45,MATCH(AM$6,$AK$6:$AN$6,0)-1,$AJ37)+OFFSET(载具产出!$D$49,MATCH(AM$6,$AK$6:$AN$6,0)-1,$AJ37)*OFFSET(载具产出!$N$49,MATCH(AM$6,$AK$6:$AN$6,0)-1,0)))</f>
        <v>0</v>
      </c>
      <c r="AN37" s="44">
        <f ca="1">IF($AJ37=1,($AI37)*(10*OFFSET(载具产出!$D$45,MATCH(AN$6,$AK$6:$AN$6,0)-1,$AJ37)+OFFSET(载具产出!$D$49,MATCH(AN$6,$AK$6:$AN$6,0)-1,$AJ37)*OFFSET(载具产出!$N$49,MATCH(AN$6,$AK$6:$AN$6,0)-1,0)),OFFSET(载具产出!I$59,$AJ37-1,0)*10+OFFSET(载具产出!M$59,$AJ37-1,0)+($AI37*10-_xlfn.XLOOKUP($AJ37-1,载具产出!$D$59:$D$67,载具产出!$E$59:$E$67))/10*(10*OFFSET(载具产出!$D$45,MATCH(AN$6,$AK$6:$AN$6,0)-1,$AJ37)+OFFSET(载具产出!$D$49,MATCH(AN$6,$AK$6:$AN$6,0)-1,$AJ37)*OFFSET(载具产出!$N$49,MATCH(AN$6,$AK$6:$AN$6,0)-1,0)))</f>
        <v>0</v>
      </c>
      <c r="AO37" s="44">
        <f ca="1" t="shared" ref="AO37:AO100" si="3">AE37+AK37</f>
        <v>88.9714285714288</v>
      </c>
      <c r="AP37" s="44">
        <f ca="1" t="shared" ref="AP37:AP100" si="4">AF37+AL37</f>
        <v>31.7857142857143</v>
      </c>
      <c r="AQ37" s="44">
        <f ca="1" t="shared" ref="AQ37:AQ100" si="5">AG37+AM37</f>
        <v>0.32</v>
      </c>
      <c r="AR37" s="44">
        <f ca="1" t="shared" ref="AR37:AR100" si="6">AH37+AN37</f>
        <v>0</v>
      </c>
      <c r="AS37" s="45">
        <f ca="1">IFERROR(MATCH(AO37/载具产出!R$58,载具属性!$G$33:$G$92,1),0)</f>
        <v>4</v>
      </c>
      <c r="AT37" s="45">
        <f ca="1">IFERROR(MATCH(AP37/载具产出!S$58,载具属性!$G$33:$G$92,1),0)</f>
        <v>0</v>
      </c>
      <c r="AU37" s="45">
        <f ca="1">IFERROR(MATCH(AQ37/载具产出!T$58,载具属性!$G$33:$G$92,1),0)</f>
        <v>0</v>
      </c>
      <c r="AV37" s="45">
        <f ca="1">IFERROR(MATCH(AR37/载具产出!U$58,载具属性!$G$33:$G$92,1),0)</f>
        <v>0</v>
      </c>
      <c r="AW37" s="46" t="str">
        <f ca="1" t="shared" ref="AW37:AW100" si="7">"["&amp;_xlfn.TEXTJOIN(",",1,AX37:BD37)&amp;"]"</f>
        <v>[{62,13},{63,875},{2,800},{6030001,30},{6030002,43}]</v>
      </c>
      <c r="AX37" t="str">
        <f ca="1" t="shared" ref="AX37:AX100" si="8">IF(INT(K37)&lt;=0,"","{"&amp;K$5&amp;","&amp;INT(K37)&amp;"}")</f>
        <v>{62,13}</v>
      </c>
      <c r="AY37" t="str">
        <f ca="1" t="shared" ref="AY37:AY100" si="9">IF(INT(L37)&lt;=0,"","{"&amp;L$5&amp;","&amp;INT(L37)&amp;"}")</f>
        <v>{63,875}</v>
      </c>
      <c r="AZ37" t="str">
        <f ca="1" t="shared" ref="AZ37:AZ100" si="10">IF(INT(M37)&lt;=0,"","{"&amp;M$5&amp;","&amp;INT(M37)&amp;"}")</f>
        <v>{2,800}</v>
      </c>
      <c r="BA37" t="str">
        <f ca="1" t="shared" ref="BA37:BA100" si="11">IF(INT(N37)&lt;=0,"","{"&amp;N$5&amp;","&amp;INT(N37)&amp;"}")</f>
        <v>{6030001,30}</v>
      </c>
      <c r="BB37" t="str">
        <f ca="1" t="shared" ref="BB37:BB100" si="12">IF(INT(O37)&lt;=0,"","{"&amp;O$5&amp;","&amp;INT(O37)&amp;"}")</f>
        <v>{6030002,43}</v>
      </c>
      <c r="BC37" t="str">
        <f ca="1" t="shared" ref="BC37:BC100" si="13">IF(INT(P37)&lt;=0,"","{"&amp;P$5&amp;","&amp;INT(P37)&amp;"}")</f>
        <v/>
      </c>
      <c r="BD37" t="str">
        <f ca="1" t="shared" ref="BD37:BD100" si="14">IF(INT(Q37)&lt;=0,"","{"&amp;Q$5&amp;","&amp;INT(Q37)&amp;"}")</f>
        <v/>
      </c>
    </row>
    <row r="38" spans="3:56">
      <c r="C38">
        <f ca="1" t="shared" si="1"/>
        <v>80.6818181818182</v>
      </c>
      <c r="D38" s="40">
        <v>32</v>
      </c>
      <c r="E38" s="40">
        <v>68</v>
      </c>
      <c r="F38" s="40">
        <v>78</v>
      </c>
      <c r="G38" s="41">
        <v>88</v>
      </c>
      <c r="H38" s="40">
        <v>110</v>
      </c>
      <c r="I38" s="40">
        <v>121</v>
      </c>
      <c r="J38" s="40">
        <f t="shared" si="2"/>
        <v>70</v>
      </c>
      <c r="K38" s="40">
        <f ca="1">SUM(U$36:U38)-SUM(OFFSET(载具产出!H$399,0,0,$R38+1,1))</f>
        <v>20</v>
      </c>
      <c r="L38" s="40">
        <f ca="1">SUM(T$36:T38)-SUM(OFFSET(载具产出!G$399,0,0,$R38+1,1))</f>
        <v>1625</v>
      </c>
      <c r="M38" s="40">
        <f ca="1">SUM(V$36:V38)/2-SUM(OFFSET(载具产出!I$399,0,0,$R38+1,1))</f>
        <v>3200</v>
      </c>
      <c r="N38" s="40">
        <f ca="1">SUM(AA$36:AA38)-SUM(OFFSET(载具产出!J$399,0,0,$R38+1,1))</f>
        <v>57.8</v>
      </c>
      <c r="O38" s="40">
        <f ca="1">SUM(AB$36:AB38)-SUM(OFFSET(载具产出!K$399,0,0,$R38+1,1))</f>
        <v>65.76</v>
      </c>
      <c r="P38" s="40">
        <f ca="1">SUM(AC$36:AC38)-SUM(OFFSET(载具产出!L$399,0,0,$R38+1,1))</f>
        <v>1.44</v>
      </c>
      <c r="Q38" s="40">
        <f ca="1">SUM(AD$36:AD38)-SUM(OFFSET(载具产出!M$399,0,0,$R38+1,1))</f>
        <v>0</v>
      </c>
      <c r="R38" s="40">
        <v>1</v>
      </c>
      <c r="S38" s="40" t="str">
        <f ca="1">OFFSET(载具产出!$D$111,IFERROR(MATCH(OFFSET($D38,0,MATCH($D$5,$E$6:$H$6,0)),载具产出!$E$112:$E$151,1),0),0)</f>
        <v>精良Ⅴ</v>
      </c>
      <c r="T38" s="40">
        <f ca="1">OFFSET(载具产出!$F$399,IFERROR(MATCH(OFFSET($D38,0,MATCH($D$5,$E$6:$H$6,0)),载具产出!$E$400:$E$439,1),0),MATCH(T$6,载具产出!$G$399:$O$399,0))</f>
        <v>750</v>
      </c>
      <c r="U38" s="40">
        <v>7</v>
      </c>
      <c r="V38" s="40">
        <f ca="1">OFFSET(载具产出!$F$399,IFERROR(MATCH(OFFSET($D38,0,MATCH($D$5,$E$6:$H$6,0)),载具产出!$E$400:$E$439,1),0),MATCH(V$6,载具产出!$G$399:$O$399,0))</f>
        <v>4800</v>
      </c>
      <c r="W38" s="43">
        <f ca="1">_xlfn.XLOOKUP(Z38,载具属性!$E$98:$E$497,载具属性!$G$98:$G$497)+6000+OFFSET(载具属性!L$33,AS38,0)*载具属性!M$30+OFFSET(载具属性!M$33,AT38,0)*载具属性!N$30+OFFSET(载具属性!N$33,AU38,0)*载具属性!O$30+OFFSET(载具属性!O$33,AV38,0)*载具属性!P$30</f>
        <v>7100</v>
      </c>
      <c r="X38" s="43">
        <f ca="1">_xlfn.XLOOKUP(Z38,载具属性!$E$98:$E$497,载具属性!$G$98:$G$497)</f>
        <v>650</v>
      </c>
      <c r="Y38" s="43">
        <f ca="1">OFFSET(载具属性!L$33,AS38,0)*载具属性!M$30+OFFSET(载具属性!M$33,AT38,0)*载具属性!N$30+OFFSET(载具属性!N$33,AU38,0)*载具属性!O$30+OFFSET(载具属性!O$33,AV38,0)*载具属性!P$30</f>
        <v>450</v>
      </c>
      <c r="Z38" s="40">
        <f ca="1">MATCH(SUM($T$7:T38),载具属性!$I$98:$I$497,1)</f>
        <v>14</v>
      </c>
      <c r="AA38" s="40">
        <f ca="1">OFFSET(载具产出!$F$399,IFERROR(MATCH(OFFSET($D38,0,MATCH($D$5,$E$6:$H$6,0)),载具产出!$E$112:$E$151,1),0),MATCH(AA$6,载具产出!$G$111:$O$111,0))*2</f>
        <v>27.6</v>
      </c>
      <c r="AB38" s="40">
        <f ca="1">OFFSET(载具产出!$F$399,IFERROR(MATCH(OFFSET($D38,0,MATCH($D$5,$E$6:$H$6,0)),载具产出!$E$112:$E$151,1),0),MATCH(AB$6,载具产出!$G$111:$O$111,0))*2</f>
        <v>21.92</v>
      </c>
      <c r="AC38" s="40">
        <f ca="1">OFFSET(载具产出!$F$399,IFERROR(MATCH(OFFSET($D38,0,MATCH($D$5,$E$6:$H$6,0)),载具产出!$E$112:$E$151,1),0),MATCH(AC$6,载具产出!$G$111:$O$111,0))*2</f>
        <v>0.48</v>
      </c>
      <c r="AD38" s="40">
        <f ca="1">OFFSET(载具产出!$F$399,IFERROR(MATCH(OFFSET($D38,0,MATCH($D$5,$E$6:$H$6,0)),载具产出!$E$112:$E$151,1),0),MATCH(AD$6,载具产出!$G$111:$O$111,0))*2</f>
        <v>0</v>
      </c>
      <c r="AE38" s="44">
        <f ca="1">SUM(AA$36:AA38)/3</f>
        <v>27.6</v>
      </c>
      <c r="AF38" s="44">
        <f ca="1">SUM(AB$36:AB38)/3</f>
        <v>21.92</v>
      </c>
      <c r="AG38" s="44">
        <f ca="1">SUM(AC$36:AC38)/3</f>
        <v>0.48</v>
      </c>
      <c r="AH38" s="44">
        <f ca="1">SUM(AD$36:AD38)/3</f>
        <v>0</v>
      </c>
      <c r="AI38" s="44">
        <f>_xlfn.XLOOKUP($D$5,载具产出!$D$71:$D$75,载具产出!$E$71:$E$75)*(D38-30+1)</f>
        <v>35.2857142857144</v>
      </c>
      <c r="AJ38" s="44">
        <f>IFERROR(MATCH(_xlfn.XLOOKUP($D$5,载具产出!$D$71:$D$75,载具产出!$E$71:$E$75)*(D38-30+1)*10,载具产出!$E$60:$E$67,1),0)+1</f>
        <v>2</v>
      </c>
      <c r="AK38" s="44">
        <f ca="1">IF($AJ38=1,($AI38)*(10*OFFSET(载具产出!$D$45,MATCH(AK$6,$AK$6:$AN$6,0)-1,$AJ38)+OFFSET(载具产出!$D$49,MATCH(AK$6,$AK$6:$AN$6,0)-1,$AJ38)*OFFSET(载具产出!$N$49,MATCH(AK$6,$AK$6:$AN$6,0)-1,0)),OFFSET(载具产出!F$59,$AJ38-1,0)*10+OFFSET(载具产出!J$59,$AJ38-1,0)+($AI38*10-_xlfn.XLOOKUP($AJ38-1,载具产出!$D$59:$D$67,载具产出!$E$59:$E$67))/10*(10*OFFSET(载具产出!$D$45,MATCH(AK$6,$AK$6:$AN$6,0)-1,$AJ38)+OFFSET(载具产出!$D$49,MATCH(AK$6,$AK$6:$AN$6,0)-1,$AJ38)*OFFSET(载具产出!$N$49,MATCH(AK$6,$AK$6:$AN$6,0)-1,0)))</f>
        <v>103.811571428572</v>
      </c>
      <c r="AL38" s="44">
        <f ca="1">IF($AJ38=1,($AI38)*(10*OFFSET(载具产出!$D$45,MATCH(AL$6,$AK$6:$AN$6,0)-1,$AJ38)+OFFSET(载具产出!$D$49,MATCH(AL$6,$AK$6:$AN$6,0)-1,$AJ38)*OFFSET(载具产出!$N$49,MATCH(AL$6,$AK$6:$AN$6,0)-1,0)),OFFSET(载具产出!G$59,$AJ38-1,0)*10+OFFSET(载具产出!K$59,$AJ38-1,0)+($AI38*10-_xlfn.XLOOKUP($AJ38-1,载具产出!$D$59:$D$67,载具产出!$E$59:$E$67))/10*(10*OFFSET(载具产出!$D$45,MATCH(AL$6,$AK$6:$AN$6,0)-1,$AJ38)+OFFSET(载具产出!$D$49,MATCH(AL$6,$AK$6:$AN$6,0)-1,$AJ38)*OFFSET(载具产出!$N$49,MATCH(AL$6,$AK$6:$AN$6,0)-1,0)))</f>
        <v>25.8114285714287</v>
      </c>
      <c r="AM38" s="44">
        <f ca="1">IF($AJ38=1,($AI38)*(10*OFFSET(载具产出!$D$45,MATCH(AM$6,$AK$6:$AN$6,0)-1,$AJ38)+OFFSET(载具产出!$D$49,MATCH(AM$6,$AK$6:$AN$6,0)-1,$AJ38)*OFFSET(载具产出!$N$49,MATCH(AM$6,$AK$6:$AN$6,0)-1,0)),OFFSET(载具产出!H$59,$AJ38-1,0)*10+OFFSET(载具产出!L$59,$AJ38-1,0)+($AI38*10-_xlfn.XLOOKUP($AJ38-1,载具产出!$D$59:$D$67,载具产出!$E$59:$E$67))/10*(10*OFFSET(载具产出!$D$45,MATCH(AM$6,$AK$6:$AN$6,0)-1,$AJ38)+OFFSET(载具产出!$D$49,MATCH(AM$6,$AK$6:$AN$6,0)-1,$AJ38)*OFFSET(载具产出!$N$49,MATCH(AM$6,$AK$6:$AN$6,0)-1,0)))</f>
        <v>1.9451428571429</v>
      </c>
      <c r="AN38" s="44">
        <f ca="1">IF($AJ38=1,($AI38)*(10*OFFSET(载具产出!$D$45,MATCH(AN$6,$AK$6:$AN$6,0)-1,$AJ38)+OFFSET(载具产出!$D$49,MATCH(AN$6,$AK$6:$AN$6,0)-1,$AJ38)*OFFSET(载具产出!$N$49,MATCH(AN$6,$AK$6:$AN$6,0)-1,0)),OFFSET(载具产出!I$59,$AJ38-1,0)*10+OFFSET(载具产出!M$59,$AJ38-1,0)+($AI38*10-_xlfn.XLOOKUP($AJ38-1,载具产出!$D$59:$D$67,载具产出!$E$59:$E$67))/10*(10*OFFSET(载具产出!$D$45,MATCH(AN$6,$AK$6:$AN$6,0)-1,$AJ38)+OFFSET(载具产出!$D$49,MATCH(AN$6,$AK$6:$AN$6,0)-1,$AJ38)*OFFSET(载具产出!$N$49,MATCH(AN$6,$AK$6:$AN$6,0)-1,0)))</f>
        <v>0</v>
      </c>
      <c r="AO38" s="44">
        <f ca="1" t="shared" si="3"/>
        <v>131.411571428572</v>
      </c>
      <c r="AP38" s="44">
        <f ca="1" t="shared" si="4"/>
        <v>47.7314285714287</v>
      </c>
      <c r="AQ38" s="44">
        <f ca="1" t="shared" si="5"/>
        <v>2.4251428571429</v>
      </c>
      <c r="AR38" s="44">
        <f ca="1" t="shared" si="6"/>
        <v>0</v>
      </c>
      <c r="AS38" s="45">
        <f ca="1">IFERROR(MATCH(AO38/载具产出!R$58,载具属性!$G$33:$G$92,1),0)</f>
        <v>6</v>
      </c>
      <c r="AT38" s="45">
        <f ca="1">IFERROR(MATCH(AP38/载具产出!S$58,载具属性!$G$33:$G$92,1),0)</f>
        <v>1</v>
      </c>
      <c r="AU38" s="45">
        <f ca="1">IFERROR(MATCH(AQ38/载具产出!T$58,载具属性!$G$33:$G$92,1),0)</f>
        <v>0</v>
      </c>
      <c r="AV38" s="45">
        <f ca="1">IFERROR(MATCH(AR38/载具产出!U$58,载具属性!$G$33:$G$92,1),0)</f>
        <v>0</v>
      </c>
      <c r="AW38" s="46" t="str">
        <f ca="1" t="shared" si="7"/>
        <v>[{62,20},{63,1625},{2,3200},{6030001,57},{6030002,65},{6030003,1}]</v>
      </c>
      <c r="AX38" t="str">
        <f ca="1" t="shared" si="8"/>
        <v>{62,20}</v>
      </c>
      <c r="AY38" t="str">
        <f ca="1" t="shared" si="9"/>
        <v>{63,1625}</v>
      </c>
      <c r="AZ38" t="str">
        <f ca="1" t="shared" si="10"/>
        <v>{2,3200}</v>
      </c>
      <c r="BA38" t="str">
        <f ca="1" t="shared" si="11"/>
        <v>{6030001,57}</v>
      </c>
      <c r="BB38" t="str">
        <f ca="1" t="shared" si="12"/>
        <v>{6030002,65}</v>
      </c>
      <c r="BC38" t="str">
        <f ca="1" t="shared" si="13"/>
        <v>{6030003,1}</v>
      </c>
      <c r="BD38" t="str">
        <f ca="1" t="shared" si="14"/>
        <v/>
      </c>
    </row>
    <row r="39" spans="3:56">
      <c r="C39">
        <f ca="1" t="shared" si="1"/>
        <v>83.1460674157303</v>
      </c>
      <c r="D39" s="40">
        <v>33</v>
      </c>
      <c r="E39" s="40">
        <v>69</v>
      </c>
      <c r="F39" s="40">
        <v>79</v>
      </c>
      <c r="G39" s="41">
        <v>89</v>
      </c>
      <c r="H39" s="40">
        <v>111</v>
      </c>
      <c r="I39" s="40">
        <v>122</v>
      </c>
      <c r="J39" s="40">
        <f t="shared" si="2"/>
        <v>73</v>
      </c>
      <c r="K39" s="40">
        <f ca="1">SUM(U$36:U39)-SUM(OFFSET(载具产出!H$399,0,0,$R39+1,1))</f>
        <v>27</v>
      </c>
      <c r="L39" s="40">
        <f ca="1">SUM(T$36:T39)-SUM(OFFSET(载具产出!G$399,0,0,$R39+1,1))</f>
        <v>2375</v>
      </c>
      <c r="M39" s="40">
        <f ca="1">SUM(V$36:V39)/2-SUM(OFFSET(载具产出!I$399,0,0,$R39+1,1))</f>
        <v>5600</v>
      </c>
      <c r="N39" s="40">
        <f ca="1">SUM(AA$36:AA39)-SUM(OFFSET(载具产出!J$399,0,0,$R39+1,1))</f>
        <v>85.4</v>
      </c>
      <c r="O39" s="40">
        <f ca="1">SUM(AB$36:AB39)-SUM(OFFSET(载具产出!K$399,0,0,$R39+1,1))</f>
        <v>87.68</v>
      </c>
      <c r="P39" s="40">
        <f ca="1">SUM(AC$36:AC39)-SUM(OFFSET(载具产出!L$399,0,0,$R39+1,1))</f>
        <v>1.92</v>
      </c>
      <c r="Q39" s="40">
        <f ca="1">SUM(AD$36:AD39)-SUM(OFFSET(载具产出!M$399,0,0,$R39+1,1))</f>
        <v>0</v>
      </c>
      <c r="R39" s="40">
        <v>1</v>
      </c>
      <c r="S39" s="40" t="str">
        <f ca="1">OFFSET(载具产出!$D$111,IFERROR(MATCH(OFFSET($D39,0,MATCH($D$5,$E$6:$H$6,0)),载具产出!$E$112:$E$151,1),0),0)</f>
        <v>精良Ⅴ</v>
      </c>
      <c r="T39" s="40">
        <f ca="1">OFFSET(载具产出!$F$399,IFERROR(MATCH(OFFSET($D39,0,MATCH($D$5,$E$6:$H$6,0)),载具产出!$E$400:$E$439,1),0),MATCH(T$6,载具产出!$G$399:$O$399,0))</f>
        <v>750</v>
      </c>
      <c r="U39" s="40">
        <v>7</v>
      </c>
      <c r="V39" s="40">
        <f ca="1">OFFSET(载具产出!$F$399,IFERROR(MATCH(OFFSET($D39,0,MATCH($D$5,$E$6:$H$6,0)),载具产出!$E$400:$E$439,1),0),MATCH(V$6,载具产出!$G$399:$O$399,0))</f>
        <v>4800</v>
      </c>
      <c r="W39" s="43">
        <f ca="1">_xlfn.XLOOKUP(Z39,载具属性!$E$98:$E$497,载具属性!$G$98:$G$497)+6000+OFFSET(载具属性!L$33,AS39,0)*载具属性!M$30+OFFSET(载具属性!M$33,AT39,0)*载具属性!N$30+OFFSET(载具属性!N$33,AU39,0)*载具属性!O$30+OFFSET(载具属性!O$33,AV39,0)*载具属性!P$30</f>
        <v>7400</v>
      </c>
      <c r="X39" s="43">
        <f ca="1">_xlfn.XLOOKUP(Z39,载具属性!$E$98:$E$497,载具属性!$G$98:$G$497)</f>
        <v>800</v>
      </c>
      <c r="Y39" s="43">
        <f ca="1">OFFSET(载具属性!L$33,AS39,0)*载具属性!M$30+OFFSET(载具属性!M$33,AT39,0)*载具属性!N$30+OFFSET(载具属性!N$33,AU39,0)*载具属性!O$30+OFFSET(载具属性!O$33,AV39,0)*载具属性!P$30</f>
        <v>600</v>
      </c>
      <c r="Z39" s="40">
        <f ca="1">MATCH(SUM($T$7:T39),载具属性!$I$98:$I$497,1)</f>
        <v>17</v>
      </c>
      <c r="AA39" s="40">
        <f ca="1">OFFSET(载具产出!$F$399,IFERROR(MATCH(OFFSET($D39,0,MATCH($D$5,$E$6:$H$6,0)),载具产出!$E$112:$E$151,1),0),MATCH(AA$6,载具产出!$G$111:$O$111,0))*2</f>
        <v>27.6</v>
      </c>
      <c r="AB39" s="40">
        <f ca="1">OFFSET(载具产出!$F$399,IFERROR(MATCH(OFFSET($D39,0,MATCH($D$5,$E$6:$H$6,0)),载具产出!$E$112:$E$151,1),0),MATCH(AB$6,载具产出!$G$111:$O$111,0))*2</f>
        <v>21.92</v>
      </c>
      <c r="AC39" s="40">
        <f ca="1">OFFSET(载具产出!$F$399,IFERROR(MATCH(OFFSET($D39,0,MATCH($D$5,$E$6:$H$6,0)),载具产出!$E$112:$E$151,1),0),MATCH(AC$6,载具产出!$G$111:$O$111,0))*2</f>
        <v>0.48</v>
      </c>
      <c r="AD39" s="40">
        <f ca="1">OFFSET(载具产出!$F$399,IFERROR(MATCH(OFFSET($D39,0,MATCH($D$5,$E$6:$H$6,0)),载具产出!$E$112:$E$151,1),0),MATCH(AD$6,载具产出!$G$111:$O$111,0))*2</f>
        <v>0</v>
      </c>
      <c r="AE39" s="44">
        <f ca="1">SUM(AA$36:AA39)/3</f>
        <v>36.8</v>
      </c>
      <c r="AF39" s="44">
        <f ca="1">SUM(AB$36:AB39)/3</f>
        <v>29.2266666666667</v>
      </c>
      <c r="AG39" s="44">
        <f ca="1">SUM(AC$36:AC39)/3</f>
        <v>0.64</v>
      </c>
      <c r="AH39" s="44">
        <f ca="1">SUM(AD$36:AD39)/3</f>
        <v>0</v>
      </c>
      <c r="AI39" s="44">
        <f>_xlfn.XLOOKUP($D$5,载具产出!$D$71:$D$75,载具产出!$E$71:$E$75)*(D39-30+1)</f>
        <v>47.0476190476192</v>
      </c>
      <c r="AJ39" s="44">
        <f>IFERROR(MATCH(_xlfn.XLOOKUP($D$5,载具产出!$D$71:$D$75,载具产出!$E$71:$E$75)*(D39-30+1)*10,载具产出!$E$60:$E$67,1),0)+1</f>
        <v>2</v>
      </c>
      <c r="AK39" s="44">
        <f ca="1">IF($AJ39=1,($AI39)*(10*OFFSET(载具产出!$D$45,MATCH(AK$6,$AK$6:$AN$6,0)-1,$AJ39)+OFFSET(载具产出!$D$49,MATCH(AK$6,$AK$6:$AN$6,0)-1,$AJ39)*OFFSET(载具产出!$N$49,MATCH(AK$6,$AK$6:$AN$6,0)-1,0)),OFFSET(载具产出!F$59,$AJ39-1,0)*10+OFFSET(载具产出!J$59,$AJ39-1,0)+($AI39*10-_xlfn.XLOOKUP($AJ39-1,载具产出!$D$59:$D$67,载具产出!$E$59:$E$67))/10*(10*OFFSET(载具产出!$D$45,MATCH(AK$6,$AK$6:$AN$6,0)-1,$AJ39)+OFFSET(载具产出!$D$49,MATCH(AK$6,$AK$6:$AN$6,0)-1,$AJ39)*OFFSET(载具产出!$N$49,MATCH(AK$6,$AK$6:$AN$6,0)-1,0)))</f>
        <v>134.545428571429</v>
      </c>
      <c r="AL39" s="44">
        <f ca="1">IF($AJ39=1,($AI39)*(10*OFFSET(载具产出!$D$45,MATCH(AL$6,$AK$6:$AN$6,0)-1,$AJ39)+OFFSET(载具产出!$D$49,MATCH(AL$6,$AK$6:$AN$6,0)-1,$AJ39)*OFFSET(载具产出!$N$49,MATCH(AL$6,$AK$6:$AN$6,0)-1,0)),OFFSET(载具产出!G$59,$AJ39-1,0)*10+OFFSET(载具产出!K$59,$AJ39-1,0)+($AI39*10-_xlfn.XLOOKUP($AJ39-1,载具产出!$D$59:$D$67,载具产出!$E$59:$E$67))/10*(10*OFFSET(载具产出!$D$45,MATCH(AL$6,$AK$6:$AN$6,0)-1,$AJ39)+OFFSET(载具产出!$D$49,MATCH(AL$6,$AK$6:$AN$6,0)-1,$AJ39)*OFFSET(载具产出!$N$49,MATCH(AL$6,$AK$6:$AN$6,0)-1,0)))</f>
        <v>34.5152380952382</v>
      </c>
      <c r="AM39" s="44">
        <f ca="1">IF($AJ39=1,($AI39)*(10*OFFSET(载具产出!$D$45,MATCH(AM$6,$AK$6:$AN$6,0)-1,$AJ39)+OFFSET(载具产出!$D$49,MATCH(AM$6,$AK$6:$AN$6,0)-1,$AJ39)*OFFSET(载具产出!$N$49,MATCH(AM$6,$AK$6:$AN$6,0)-1,0)),OFFSET(载具产出!H$59,$AJ39-1,0)*10+OFFSET(载具产出!L$59,$AJ39-1,0)+($AI39*10-_xlfn.XLOOKUP($AJ39-1,载具产出!$D$59:$D$67,载具产出!$E$59:$E$67))/10*(10*OFFSET(载具产出!$D$45,MATCH(AM$6,$AK$6:$AN$6,0)-1,$AJ39)+OFFSET(载具产出!$D$49,MATCH(AM$6,$AK$6:$AN$6,0)-1,$AJ39)*OFFSET(载具产出!$N$49,MATCH(AM$6,$AK$6:$AN$6,0)-1,0)))</f>
        <v>6.27352380952387</v>
      </c>
      <c r="AN39" s="44">
        <f ca="1">IF($AJ39=1,($AI39)*(10*OFFSET(载具产出!$D$45,MATCH(AN$6,$AK$6:$AN$6,0)-1,$AJ39)+OFFSET(载具产出!$D$49,MATCH(AN$6,$AK$6:$AN$6,0)-1,$AJ39)*OFFSET(载具产出!$N$49,MATCH(AN$6,$AK$6:$AN$6,0)-1,0)),OFFSET(载具产出!I$59,$AJ39-1,0)*10+OFFSET(载具产出!M$59,$AJ39-1,0)+($AI39*10-_xlfn.XLOOKUP($AJ39-1,载具产出!$D$59:$D$67,载具产出!$E$59:$E$67))/10*(10*OFFSET(载具产出!$D$45,MATCH(AN$6,$AK$6:$AN$6,0)-1,$AJ39)+OFFSET(载具产出!$D$49,MATCH(AN$6,$AK$6:$AN$6,0)-1,$AJ39)*OFFSET(载具产出!$N$49,MATCH(AN$6,$AK$6:$AN$6,0)-1,0)))</f>
        <v>0</v>
      </c>
      <c r="AO39" s="44">
        <f ca="1" t="shared" si="3"/>
        <v>171.345428571429</v>
      </c>
      <c r="AP39" s="44">
        <f ca="1" t="shared" si="4"/>
        <v>63.7419047619049</v>
      </c>
      <c r="AQ39" s="44">
        <f ca="1" t="shared" si="5"/>
        <v>6.91352380952387</v>
      </c>
      <c r="AR39" s="44">
        <f ca="1" t="shared" si="6"/>
        <v>0</v>
      </c>
      <c r="AS39" s="45">
        <f ca="1">IFERROR(MATCH(AO39/载具产出!R$58,载具属性!$G$33:$G$92,1),0)</f>
        <v>7</v>
      </c>
      <c r="AT39" s="45">
        <f ca="1">IFERROR(MATCH(AP39/载具产出!S$58,载具属性!$G$33:$G$92,1),0)</f>
        <v>2</v>
      </c>
      <c r="AU39" s="45">
        <f ca="1">IFERROR(MATCH(AQ39/载具产出!T$58,载具属性!$G$33:$G$92,1),0)</f>
        <v>0</v>
      </c>
      <c r="AV39" s="45">
        <f ca="1">IFERROR(MATCH(AR39/载具产出!U$58,载具属性!$G$33:$G$92,1),0)</f>
        <v>0</v>
      </c>
      <c r="AW39" s="46" t="str">
        <f ca="1" t="shared" si="7"/>
        <v>[{62,27},{63,2375},{2,5600},{6030001,85},{6030002,87},{6030003,1}]</v>
      </c>
      <c r="AX39" t="str">
        <f ca="1" t="shared" si="8"/>
        <v>{62,27}</v>
      </c>
      <c r="AY39" t="str">
        <f ca="1" t="shared" si="9"/>
        <v>{63,2375}</v>
      </c>
      <c r="AZ39" t="str">
        <f ca="1" t="shared" si="10"/>
        <v>{2,5600}</v>
      </c>
      <c r="BA39" t="str">
        <f ca="1" t="shared" si="11"/>
        <v>{6030001,85}</v>
      </c>
      <c r="BB39" t="str">
        <f ca="1" t="shared" si="12"/>
        <v>{6030002,87}</v>
      </c>
      <c r="BC39" t="str">
        <f ca="1" t="shared" si="13"/>
        <v>{6030003,1}</v>
      </c>
      <c r="BD39" t="str">
        <f ca="1" t="shared" si="14"/>
        <v/>
      </c>
    </row>
    <row r="40" spans="3:56">
      <c r="C40">
        <f ca="1" t="shared" si="1"/>
        <v>85.2222222222222</v>
      </c>
      <c r="D40" s="40">
        <v>34</v>
      </c>
      <c r="E40" s="40">
        <v>70</v>
      </c>
      <c r="F40" s="40">
        <v>80</v>
      </c>
      <c r="G40" s="41">
        <v>90</v>
      </c>
      <c r="H40" s="40">
        <v>112</v>
      </c>
      <c r="I40" s="40">
        <v>122</v>
      </c>
      <c r="J40" s="40">
        <f t="shared" si="2"/>
        <v>75</v>
      </c>
      <c r="K40" s="40">
        <f ca="1">SUM(U$36:U40)-SUM(OFFSET(载具产出!H$399,0,0,$R40+1,1))</f>
        <v>33</v>
      </c>
      <c r="L40" s="40">
        <f ca="1">SUM(T$36:T40)-SUM(OFFSET(载具产出!G$399,0,0,$R40+1,1))</f>
        <v>2460</v>
      </c>
      <c r="M40" s="40">
        <f ca="1">SUM(V$36:V40)/2-SUM(OFFSET(载具产出!I$399,0,0,$R40+1,1))</f>
        <v>3800</v>
      </c>
      <c r="N40" s="40">
        <f ca="1">SUM(AA$36:AA40)-SUM(OFFSET(载具产出!J$399,0,0,$R40+1,1))</f>
        <v>98.4</v>
      </c>
      <c r="O40" s="40">
        <f ca="1">SUM(AB$36:AB40)-SUM(OFFSET(载具产出!K$399,0,0,$R40+1,1))</f>
        <v>104.2</v>
      </c>
      <c r="P40" s="40">
        <f ca="1">SUM(AC$36:AC40)-SUM(OFFSET(载具产出!L$399,0,0,$R40+1,1))</f>
        <v>2.4</v>
      </c>
      <c r="Q40" s="40">
        <f ca="1">SUM(AD$36:AD40)-SUM(OFFSET(载具产出!M$399,0,0,$R40+1,1))</f>
        <v>0</v>
      </c>
      <c r="R40" s="40">
        <v>2</v>
      </c>
      <c r="S40" s="40" t="str">
        <f ca="1">OFFSET(载具产出!$D$111,IFERROR(MATCH(OFFSET($D40,0,MATCH($D$5,$E$6:$H$6,0)),载具产出!$E$112:$E$151,1),0),0)</f>
        <v>精良Ⅴ</v>
      </c>
      <c r="T40" s="40">
        <f ca="1">OFFSET(载具产出!$F$399,IFERROR(MATCH(OFFSET($D40,0,MATCH($D$5,$E$6:$H$6,0)),载具产出!$E$400:$E$439,1),0),MATCH(T$6,载具产出!$G$399:$O$399,0))</f>
        <v>750</v>
      </c>
      <c r="U40" s="40">
        <v>7</v>
      </c>
      <c r="V40" s="40">
        <f ca="1">OFFSET(载具产出!$F$399,IFERROR(MATCH(OFFSET($D40,0,MATCH($D$5,$E$6:$H$6,0)),载具产出!$E$400:$E$439,1),0),MATCH(V$6,载具产出!$G$399:$O$399,0))</f>
        <v>4800</v>
      </c>
      <c r="W40" s="43">
        <f ca="1">_xlfn.XLOOKUP(Z40,载具属性!$E$98:$E$497,载具属性!$G$98:$G$497)+6000+OFFSET(载具属性!L$33,AS40,0)*载具属性!M$30+OFFSET(载具属性!M$33,AT40,0)*载具属性!N$30+OFFSET(载具属性!N$33,AU40,0)*载具属性!O$30+OFFSET(载具属性!O$33,AV40,0)*载具属性!P$30</f>
        <v>7670</v>
      </c>
      <c r="X40" s="43">
        <f ca="1">_xlfn.XLOOKUP(Z40,载具属性!$E$98:$E$497,载具属性!$G$98:$G$497)</f>
        <v>950</v>
      </c>
      <c r="Y40" s="43">
        <f ca="1">OFFSET(载具属性!L$33,AS40,0)*载具属性!M$30+OFFSET(载具属性!M$33,AT40,0)*载具属性!N$30+OFFSET(载具属性!N$33,AU40,0)*载具属性!O$30+OFFSET(载具属性!O$33,AV40,0)*载具属性!P$30</f>
        <v>720</v>
      </c>
      <c r="Z40" s="40">
        <f ca="1">MATCH(SUM($T$7:T40),载具属性!$I$98:$I$497,1)</f>
        <v>20</v>
      </c>
      <c r="AA40" s="40">
        <f ca="1">OFFSET(载具产出!$F$399,IFERROR(MATCH(OFFSET($D40,0,MATCH($D$5,$E$6:$H$6,0)),载具产出!$E$112:$E$151,1),0),MATCH(AA$6,载具产出!$G$111:$O$111,0))*2</f>
        <v>27.6</v>
      </c>
      <c r="AB40" s="40">
        <f ca="1">OFFSET(载具产出!$F$399,IFERROR(MATCH(OFFSET($D40,0,MATCH($D$5,$E$6:$H$6,0)),载具产出!$E$112:$E$151,1),0),MATCH(AB$6,载具产出!$G$111:$O$111,0))*2</f>
        <v>21.92</v>
      </c>
      <c r="AC40" s="40">
        <f ca="1">OFFSET(载具产出!$F$399,IFERROR(MATCH(OFFSET($D40,0,MATCH($D$5,$E$6:$H$6,0)),载具产出!$E$112:$E$151,1),0),MATCH(AC$6,载具产出!$G$111:$O$111,0))*2</f>
        <v>0.48</v>
      </c>
      <c r="AD40" s="40">
        <f ca="1">OFFSET(载具产出!$F$399,IFERROR(MATCH(OFFSET($D40,0,MATCH($D$5,$E$6:$H$6,0)),载具产出!$E$112:$E$151,1),0),MATCH(AD$6,载具产出!$G$111:$O$111,0))*2</f>
        <v>0</v>
      </c>
      <c r="AE40" s="44">
        <f ca="1">SUM(AA$36:AA40)/3</f>
        <v>46</v>
      </c>
      <c r="AF40" s="44">
        <f ca="1">SUM(AB$36:AB40)/3</f>
        <v>36.5333333333333</v>
      </c>
      <c r="AG40" s="44">
        <f ca="1">SUM(AC$36:AC40)/3</f>
        <v>0.8</v>
      </c>
      <c r="AH40" s="44">
        <f ca="1">SUM(AD$36:AD40)/3</f>
        <v>0</v>
      </c>
      <c r="AI40" s="44">
        <f>_xlfn.XLOOKUP($D$5,载具产出!$D$71:$D$75,载具产出!$E$71:$E$75)*(D40-30+1)</f>
        <v>58.809523809524</v>
      </c>
      <c r="AJ40" s="44">
        <f>IFERROR(MATCH(_xlfn.XLOOKUP($D$5,载具产出!$D$71:$D$75,载具产出!$E$71:$E$75)*(D40-30+1)*10,载具产出!$E$60:$E$67,1),0)+1</f>
        <v>2</v>
      </c>
      <c r="AK40" s="44">
        <f ca="1">IF($AJ40=1,($AI40)*(10*OFFSET(载具产出!$D$45,MATCH(AK$6,$AK$6:$AN$6,0)-1,$AJ40)+OFFSET(载具产出!$D$49,MATCH(AK$6,$AK$6:$AN$6,0)-1,$AJ40)*OFFSET(载具产出!$N$49,MATCH(AK$6,$AK$6:$AN$6,0)-1,0)),OFFSET(载具产出!F$59,$AJ40-1,0)*10+OFFSET(载具产出!J$59,$AJ40-1,0)+($AI40*10-_xlfn.XLOOKUP($AJ40-1,载具产出!$D$59:$D$67,载具产出!$E$59:$E$67))/10*(10*OFFSET(载具产出!$D$45,MATCH(AK$6,$AK$6:$AN$6,0)-1,$AJ40)+OFFSET(载具产出!$D$49,MATCH(AK$6,$AK$6:$AN$6,0)-1,$AJ40)*OFFSET(载具产出!$N$49,MATCH(AK$6,$AK$6:$AN$6,0)-1,0)))</f>
        <v>165.279285714286</v>
      </c>
      <c r="AL40" s="44">
        <f ca="1">IF($AJ40=1,($AI40)*(10*OFFSET(载具产出!$D$45,MATCH(AL$6,$AK$6:$AN$6,0)-1,$AJ40)+OFFSET(载具产出!$D$49,MATCH(AL$6,$AK$6:$AN$6,0)-1,$AJ40)*OFFSET(载具产出!$N$49,MATCH(AL$6,$AK$6:$AN$6,0)-1,0)),OFFSET(载具产出!G$59,$AJ40-1,0)*10+OFFSET(载具产出!K$59,$AJ40-1,0)+($AI40*10-_xlfn.XLOOKUP($AJ40-1,载具产出!$D$59:$D$67,载具产出!$E$59:$E$67))/10*(10*OFFSET(载具产出!$D$45,MATCH(AL$6,$AK$6:$AN$6,0)-1,$AJ40)+OFFSET(载具产出!$D$49,MATCH(AL$6,$AK$6:$AN$6,0)-1,$AJ40)*OFFSET(载具产出!$N$49,MATCH(AL$6,$AK$6:$AN$6,0)-1,0)))</f>
        <v>43.2190476190478</v>
      </c>
      <c r="AM40" s="44">
        <f ca="1">IF($AJ40=1,($AI40)*(10*OFFSET(载具产出!$D$45,MATCH(AM$6,$AK$6:$AN$6,0)-1,$AJ40)+OFFSET(载具产出!$D$49,MATCH(AM$6,$AK$6:$AN$6,0)-1,$AJ40)*OFFSET(载具产出!$N$49,MATCH(AM$6,$AK$6:$AN$6,0)-1,0)),OFFSET(载具产出!H$59,$AJ40-1,0)*10+OFFSET(载具产出!L$59,$AJ40-1,0)+($AI40*10-_xlfn.XLOOKUP($AJ40-1,载具产出!$D$59:$D$67,载具产出!$E$59:$E$67))/10*(10*OFFSET(载具产出!$D$45,MATCH(AM$6,$AK$6:$AN$6,0)-1,$AJ40)+OFFSET(载具产出!$D$49,MATCH(AM$6,$AK$6:$AN$6,0)-1,$AJ40)*OFFSET(载具产出!$N$49,MATCH(AM$6,$AK$6:$AN$6,0)-1,0)))</f>
        <v>10.6019047619048</v>
      </c>
      <c r="AN40" s="44">
        <f ca="1">IF($AJ40=1,($AI40)*(10*OFFSET(载具产出!$D$45,MATCH(AN$6,$AK$6:$AN$6,0)-1,$AJ40)+OFFSET(载具产出!$D$49,MATCH(AN$6,$AK$6:$AN$6,0)-1,$AJ40)*OFFSET(载具产出!$N$49,MATCH(AN$6,$AK$6:$AN$6,0)-1,0)),OFFSET(载具产出!I$59,$AJ40-1,0)*10+OFFSET(载具产出!M$59,$AJ40-1,0)+($AI40*10-_xlfn.XLOOKUP($AJ40-1,载具产出!$D$59:$D$67,载具产出!$E$59:$E$67))/10*(10*OFFSET(载具产出!$D$45,MATCH(AN$6,$AK$6:$AN$6,0)-1,$AJ40)+OFFSET(载具产出!$D$49,MATCH(AN$6,$AK$6:$AN$6,0)-1,$AJ40)*OFFSET(载具产出!$N$49,MATCH(AN$6,$AK$6:$AN$6,0)-1,0)))</f>
        <v>0</v>
      </c>
      <c r="AO40" s="44">
        <f ca="1" t="shared" si="3"/>
        <v>211.279285714286</v>
      </c>
      <c r="AP40" s="44">
        <f ca="1" t="shared" si="4"/>
        <v>79.7523809523811</v>
      </c>
      <c r="AQ40" s="44">
        <f ca="1" t="shared" si="5"/>
        <v>11.4019047619048</v>
      </c>
      <c r="AR40" s="44">
        <f ca="1" t="shared" si="6"/>
        <v>0</v>
      </c>
      <c r="AS40" s="45">
        <f ca="1">IFERROR(MATCH(AO40/载具产出!R$58,载具属性!$G$33:$G$92,1),0)</f>
        <v>9</v>
      </c>
      <c r="AT40" s="45">
        <f ca="1">IFERROR(MATCH(AP40/载具产出!S$58,载具属性!$G$33:$G$92,1),0)</f>
        <v>2</v>
      </c>
      <c r="AU40" s="45">
        <f ca="1">IFERROR(MATCH(AQ40/载具产出!T$58,载具属性!$G$33:$G$92,1),0)</f>
        <v>0</v>
      </c>
      <c r="AV40" s="45">
        <f ca="1">IFERROR(MATCH(AR40/载具产出!U$58,载具属性!$G$33:$G$92,1),0)</f>
        <v>0</v>
      </c>
      <c r="AW40" s="46" t="str">
        <f ca="1" t="shared" si="7"/>
        <v>[{62,33},{63,2460},{2,3800},{6030001,98},{6030002,104},{6030003,2}]</v>
      </c>
      <c r="AX40" t="str">
        <f ca="1" t="shared" si="8"/>
        <v>{62,33}</v>
      </c>
      <c r="AY40" t="str">
        <f ca="1" t="shared" si="9"/>
        <v>{63,2460}</v>
      </c>
      <c r="AZ40" t="str">
        <f ca="1" t="shared" si="10"/>
        <v>{2,3800}</v>
      </c>
      <c r="BA40" t="str">
        <f ca="1" t="shared" si="11"/>
        <v>{6030001,98}</v>
      </c>
      <c r="BB40" t="str">
        <f ca="1" t="shared" si="12"/>
        <v>{6030002,104}</v>
      </c>
      <c r="BC40" t="str">
        <f ca="1" t="shared" si="13"/>
        <v>{6030003,2}</v>
      </c>
      <c r="BD40" t="str">
        <f ca="1" t="shared" si="14"/>
        <v/>
      </c>
    </row>
    <row r="41" spans="3:56">
      <c r="C41">
        <f ca="1" t="shared" si="1"/>
        <v>87.1428571428571</v>
      </c>
      <c r="D41" s="40">
        <v>35</v>
      </c>
      <c r="E41" s="40">
        <v>71</v>
      </c>
      <c r="F41" s="40">
        <v>81</v>
      </c>
      <c r="G41" s="41">
        <v>91</v>
      </c>
      <c r="H41" s="40">
        <v>113</v>
      </c>
      <c r="I41" s="40">
        <v>122</v>
      </c>
      <c r="J41" s="40">
        <f t="shared" si="2"/>
        <v>78</v>
      </c>
      <c r="K41" s="40">
        <f ca="1">SUM(U$36:U41)-SUM(OFFSET(载具产出!H$399,0,0,$R41+1,1))</f>
        <v>40</v>
      </c>
      <c r="L41" s="40">
        <f ca="1">SUM(T$36:T41)-SUM(OFFSET(载具产出!G$399,0,0,$R41+1,1))</f>
        <v>3210</v>
      </c>
      <c r="M41" s="40">
        <f ca="1">SUM(V$36:V41)/2-SUM(OFFSET(载具产出!I$399,0,0,$R41+1,1))</f>
        <v>6200</v>
      </c>
      <c r="N41" s="40">
        <f ca="1">SUM(AA$36:AA41)-SUM(OFFSET(载具产出!J$399,0,0,$R41+1,1))</f>
        <v>126</v>
      </c>
      <c r="O41" s="40">
        <f ca="1">SUM(AB$36:AB41)-SUM(OFFSET(载具产出!K$399,0,0,$R41+1,1))</f>
        <v>126.12</v>
      </c>
      <c r="P41" s="40">
        <f ca="1">SUM(AC$36:AC41)-SUM(OFFSET(载具产出!L$399,0,0,$R41+1,1))</f>
        <v>2.88</v>
      </c>
      <c r="Q41" s="40">
        <f ca="1">SUM(AD$36:AD41)-SUM(OFFSET(载具产出!M$399,0,0,$R41+1,1))</f>
        <v>0</v>
      </c>
      <c r="R41" s="40">
        <v>2</v>
      </c>
      <c r="S41" s="40" t="str">
        <f ca="1">OFFSET(载具产出!$D$111,IFERROR(MATCH(OFFSET($D41,0,MATCH($D$5,$E$6:$H$6,0)),载具产出!$E$112:$E$151,1),0),0)</f>
        <v>精良Ⅴ</v>
      </c>
      <c r="T41" s="40">
        <f ca="1">OFFSET(载具产出!$F$399,IFERROR(MATCH(OFFSET($D41,0,MATCH($D$5,$E$6:$H$6,0)),载具产出!$E$400:$E$439,1),0),MATCH(T$6,载具产出!$G$399:$O$399,0))</f>
        <v>750</v>
      </c>
      <c r="U41" s="40">
        <v>7</v>
      </c>
      <c r="V41" s="40">
        <f ca="1">OFFSET(载具产出!$F$399,IFERROR(MATCH(OFFSET($D41,0,MATCH($D$5,$E$6:$H$6,0)),载具产出!$E$400:$E$439,1),0),MATCH(V$6,载具产出!$G$399:$O$399,0))</f>
        <v>4800</v>
      </c>
      <c r="W41" s="43">
        <f ca="1">_xlfn.XLOOKUP(Z41,载具属性!$E$98:$E$497,载具属性!$G$98:$G$497)+6000+OFFSET(载具属性!L$33,AS41,0)*载具属性!M$30+OFFSET(载具属性!M$33,AT41,0)*载具属性!N$30+OFFSET(载具属性!N$33,AU41,0)*载具属性!O$30+OFFSET(载具属性!O$33,AV41,0)*载具属性!P$30</f>
        <v>7930</v>
      </c>
      <c r="X41" s="43">
        <f ca="1">_xlfn.XLOOKUP(Z41,载具属性!$E$98:$E$497,载具属性!$G$98:$G$497)</f>
        <v>1060</v>
      </c>
      <c r="Y41" s="43">
        <f ca="1">OFFSET(载具属性!L$33,AS41,0)*载具属性!M$30+OFFSET(载具属性!M$33,AT41,0)*载具属性!N$30+OFFSET(载具属性!N$33,AU41,0)*载具属性!O$30+OFFSET(载具属性!O$33,AV41,0)*载具属性!P$30</f>
        <v>870</v>
      </c>
      <c r="Z41" s="40">
        <f ca="1">MATCH(SUM($T$7:T41),载具属性!$I$98:$I$497,1)</f>
        <v>22</v>
      </c>
      <c r="AA41" s="40">
        <f ca="1">OFFSET(载具产出!$F$399,IFERROR(MATCH(OFFSET($D41,0,MATCH($D$5,$E$6:$H$6,0)),载具产出!$E$112:$E$151,1),0),MATCH(AA$6,载具产出!$G$111:$O$111,0))*2</f>
        <v>27.6</v>
      </c>
      <c r="AB41" s="40">
        <f ca="1">OFFSET(载具产出!$F$399,IFERROR(MATCH(OFFSET($D41,0,MATCH($D$5,$E$6:$H$6,0)),载具产出!$E$112:$E$151,1),0),MATCH(AB$6,载具产出!$G$111:$O$111,0))*2</f>
        <v>21.92</v>
      </c>
      <c r="AC41" s="40">
        <f ca="1">OFFSET(载具产出!$F$399,IFERROR(MATCH(OFFSET($D41,0,MATCH($D$5,$E$6:$H$6,0)),载具产出!$E$112:$E$151,1),0),MATCH(AC$6,载具产出!$G$111:$O$111,0))*2</f>
        <v>0.48</v>
      </c>
      <c r="AD41" s="40">
        <f ca="1">OFFSET(载具产出!$F$399,IFERROR(MATCH(OFFSET($D41,0,MATCH($D$5,$E$6:$H$6,0)),载具产出!$E$112:$E$151,1),0),MATCH(AD$6,载具产出!$G$111:$O$111,0))*2</f>
        <v>0</v>
      </c>
      <c r="AE41" s="44">
        <f ca="1">SUM(AA$36:AA41)/3</f>
        <v>55.2</v>
      </c>
      <c r="AF41" s="44">
        <f ca="1">SUM(AB$36:AB41)/3</f>
        <v>43.84</v>
      </c>
      <c r="AG41" s="44">
        <f ca="1">SUM(AC$36:AC41)/3</f>
        <v>0.96</v>
      </c>
      <c r="AH41" s="44">
        <f ca="1">SUM(AD$36:AD41)/3</f>
        <v>0</v>
      </c>
      <c r="AI41" s="44">
        <f>_xlfn.XLOOKUP($D$5,载具产出!$D$71:$D$75,载具产出!$E$71:$E$75)*(D41-30+1)</f>
        <v>70.5714285714288</v>
      </c>
      <c r="AJ41" s="44">
        <f>IFERROR(MATCH(_xlfn.XLOOKUP($D$5,载具产出!$D$71:$D$75,载具产出!$E$71:$E$75)*(D41-30+1)*10,载具产出!$E$60:$E$67,1),0)+1</f>
        <v>3</v>
      </c>
      <c r="AK41" s="44">
        <f ca="1">IF($AJ41=1,($AI41)*(10*OFFSET(载具产出!$D$45,MATCH(AK$6,$AK$6:$AN$6,0)-1,$AJ41)+OFFSET(载具产出!$D$49,MATCH(AK$6,$AK$6:$AN$6,0)-1,$AJ41)*OFFSET(载具产出!$N$49,MATCH(AK$6,$AK$6:$AN$6,0)-1,0)),OFFSET(载具产出!F$59,$AJ41-1,0)*10+OFFSET(载具产出!J$59,$AJ41-1,0)+($AI41*10-_xlfn.XLOOKUP($AJ41-1,载具产出!$D$59:$D$67,载具产出!$E$59:$E$67))/10*(10*OFFSET(载具产出!$D$45,MATCH(AK$6,$AK$6:$AN$6,0)-1,$AJ41)+OFFSET(载具产出!$D$49,MATCH(AK$6,$AK$6:$AN$6,0)-1,$AJ41)*OFFSET(载具产出!$N$49,MATCH(AK$6,$AK$6:$AN$6,0)-1,0)))</f>
        <v>195.664285714286</v>
      </c>
      <c r="AL41" s="44">
        <f ca="1">IF($AJ41=1,($AI41)*(10*OFFSET(载具产出!$D$45,MATCH(AL$6,$AK$6:$AN$6,0)-1,$AJ41)+OFFSET(载具产出!$D$49,MATCH(AL$6,$AK$6:$AN$6,0)-1,$AJ41)*OFFSET(载具产出!$N$49,MATCH(AL$6,$AK$6:$AN$6,0)-1,0)),OFFSET(载具产出!G$59,$AJ41-1,0)*10+OFFSET(载具产出!K$59,$AJ41-1,0)+($AI41*10-_xlfn.XLOOKUP($AJ41-1,载具产出!$D$59:$D$67,载具产出!$E$59:$E$67))/10*(10*OFFSET(载具产出!$D$45,MATCH(AL$6,$AK$6:$AN$6,0)-1,$AJ41)+OFFSET(载具产出!$D$49,MATCH(AL$6,$AK$6:$AN$6,0)-1,$AJ41)*OFFSET(载具产出!$N$49,MATCH(AL$6,$AK$6:$AN$6,0)-1,0)))</f>
        <v>52.3457142857145</v>
      </c>
      <c r="AM41" s="44">
        <f ca="1">IF($AJ41=1,($AI41)*(10*OFFSET(载具产出!$D$45,MATCH(AM$6,$AK$6:$AN$6,0)-1,$AJ41)+OFFSET(载具产出!$D$49,MATCH(AM$6,$AK$6:$AN$6,0)-1,$AJ41)*OFFSET(载具产出!$N$49,MATCH(AM$6,$AK$6:$AN$6,0)-1,0)),OFFSET(载具产出!H$59,$AJ41-1,0)*10+OFFSET(载具产出!L$59,$AJ41-1,0)+($AI41*10-_xlfn.XLOOKUP($AJ41-1,载具产出!$D$59:$D$67,载具产出!$E$59:$E$67))/10*(10*OFFSET(载具产出!$D$45,MATCH(AM$6,$AK$6:$AN$6,0)-1,$AJ41)+OFFSET(载具产出!$D$49,MATCH(AM$6,$AK$6:$AN$6,0)-1,$AJ41)*OFFSET(载具产出!$N$49,MATCH(AM$6,$AK$6:$AN$6,0)-1,0)))</f>
        <v>15.2685714285715</v>
      </c>
      <c r="AN41" s="44">
        <f ca="1">IF($AJ41=1,($AI41)*(10*OFFSET(载具产出!$D$45,MATCH(AN$6,$AK$6:$AN$6,0)-1,$AJ41)+OFFSET(载具产出!$D$49,MATCH(AN$6,$AK$6:$AN$6,0)-1,$AJ41)*OFFSET(载具产出!$N$49,MATCH(AN$6,$AK$6:$AN$6,0)-1,0)),OFFSET(载具产出!I$59,$AJ41-1,0)*10+OFFSET(载具产出!M$59,$AJ41-1,0)+($AI41*10-_xlfn.XLOOKUP($AJ41-1,载具产出!$D$59:$D$67,载具产出!$E$59:$E$67))/10*(10*OFFSET(载具产出!$D$45,MATCH(AN$6,$AK$6:$AN$6,0)-1,$AJ41)+OFFSET(载具产出!$D$49,MATCH(AN$6,$AK$6:$AN$6,0)-1,$AJ41)*OFFSET(载具产出!$N$49,MATCH(AN$6,$AK$6:$AN$6,0)-1,0)))</f>
        <v>0</v>
      </c>
      <c r="AO41" s="44">
        <f ca="1" t="shared" si="3"/>
        <v>250.864285714286</v>
      </c>
      <c r="AP41" s="44">
        <f ca="1" t="shared" si="4"/>
        <v>96.1857142857145</v>
      </c>
      <c r="AQ41" s="44">
        <f ca="1" t="shared" si="5"/>
        <v>16.2285714285715</v>
      </c>
      <c r="AR41" s="44">
        <f ca="1" t="shared" si="6"/>
        <v>0</v>
      </c>
      <c r="AS41" s="45">
        <f ca="1">IFERROR(MATCH(AO41/载具产出!R$58,载具属性!$G$33:$G$92,1),0)</f>
        <v>10</v>
      </c>
      <c r="AT41" s="45">
        <f ca="1">IFERROR(MATCH(AP41/载具产出!S$58,载具属性!$G$33:$G$92,1),0)</f>
        <v>3</v>
      </c>
      <c r="AU41" s="45">
        <f ca="1">IFERROR(MATCH(AQ41/载具产出!T$58,载具属性!$G$33:$G$92,1),0)</f>
        <v>0</v>
      </c>
      <c r="AV41" s="45">
        <f ca="1">IFERROR(MATCH(AR41/载具产出!U$58,载具属性!$G$33:$G$92,1),0)</f>
        <v>0</v>
      </c>
      <c r="AW41" s="46" t="str">
        <f ca="1" t="shared" si="7"/>
        <v>[{62,40},{63,3210},{2,6200},{6030001,126},{6030002,126},{6030003,2}]</v>
      </c>
      <c r="AX41" t="str">
        <f ca="1" t="shared" si="8"/>
        <v>{62,40}</v>
      </c>
      <c r="AY41" t="str">
        <f ca="1" t="shared" si="9"/>
        <v>{63,3210}</v>
      </c>
      <c r="AZ41" t="str">
        <f ca="1" t="shared" si="10"/>
        <v>{2,6200}</v>
      </c>
      <c r="BA41" t="str">
        <f ca="1" t="shared" si="11"/>
        <v>{6030001,126}</v>
      </c>
      <c r="BB41" t="str">
        <f ca="1" t="shared" si="12"/>
        <v>{6030002,126}</v>
      </c>
      <c r="BC41" t="str">
        <f ca="1" t="shared" si="13"/>
        <v>{6030003,2}</v>
      </c>
      <c r="BD41" t="str">
        <f ca="1" t="shared" si="14"/>
        <v/>
      </c>
    </row>
    <row r="42" spans="3:56">
      <c r="C42">
        <f ca="1" t="shared" si="1"/>
        <v>88.3695652173913</v>
      </c>
      <c r="D42" s="40">
        <v>36</v>
      </c>
      <c r="E42" s="40">
        <v>72</v>
      </c>
      <c r="F42" s="40">
        <v>82</v>
      </c>
      <c r="G42" s="41">
        <v>92</v>
      </c>
      <c r="H42" s="40">
        <v>115</v>
      </c>
      <c r="I42" s="40">
        <v>125</v>
      </c>
      <c r="J42" s="40">
        <f t="shared" si="2"/>
        <v>80</v>
      </c>
      <c r="K42" s="40">
        <f ca="1">SUM(U$36:U42)-SUM(OFFSET(载具产出!H$399,0,0,$R42+1,1))</f>
        <v>47</v>
      </c>
      <c r="L42" s="40">
        <f ca="1">SUM(T$36:T42)-SUM(OFFSET(载具产出!G$399,0,0,$R42+1,1))</f>
        <v>3960</v>
      </c>
      <c r="M42" s="40">
        <f ca="1">SUM(V$36:V42)/2-SUM(OFFSET(载具产出!I$399,0,0,$R42+1,1))</f>
        <v>8600</v>
      </c>
      <c r="N42" s="40">
        <f ca="1">SUM(AA$36:AA42)-SUM(OFFSET(载具产出!J$399,0,0,$R42+1,1))</f>
        <v>153.6</v>
      </c>
      <c r="O42" s="40">
        <f ca="1">SUM(AB$36:AB42)-SUM(OFFSET(载具产出!K$399,0,0,$R42+1,1))</f>
        <v>148.04</v>
      </c>
      <c r="P42" s="40">
        <f ca="1">SUM(AC$36:AC42)-SUM(OFFSET(载具产出!L$399,0,0,$R42+1,1))</f>
        <v>3.36</v>
      </c>
      <c r="Q42" s="40">
        <f ca="1">SUM(AD$36:AD42)-SUM(OFFSET(载具产出!M$399,0,0,$R42+1,1))</f>
        <v>0</v>
      </c>
      <c r="R42" s="40">
        <v>2</v>
      </c>
      <c r="S42" s="40" t="str">
        <f ca="1">OFFSET(载具产出!$D$111,IFERROR(MATCH(OFFSET($D42,0,MATCH($D$5,$E$6:$H$6,0)),载具产出!$E$112:$E$151,1),0),0)</f>
        <v>精良Ⅴ</v>
      </c>
      <c r="T42" s="40">
        <f ca="1">OFFSET(载具产出!$F$399,IFERROR(MATCH(OFFSET($D42,0,MATCH($D$5,$E$6:$H$6,0)),载具产出!$E$400:$E$439,1),0),MATCH(T$6,载具产出!$G$399:$O$399,0))</f>
        <v>750</v>
      </c>
      <c r="U42" s="40">
        <v>7</v>
      </c>
      <c r="V42" s="40">
        <f ca="1">OFFSET(载具产出!$F$399,IFERROR(MATCH(OFFSET($D42,0,MATCH($D$5,$E$6:$H$6,0)),载具产出!$E$400:$E$439,1),0),MATCH(V$6,载具产出!$G$399:$O$399,0))</f>
        <v>4800</v>
      </c>
      <c r="W42" s="43">
        <f ca="1">_xlfn.XLOOKUP(Z42,载具属性!$E$98:$E$497,载具属性!$G$98:$G$497)+6000+OFFSET(载具属性!L$33,AS42,0)*载具属性!M$30+OFFSET(载具属性!M$33,AT42,0)*载具属性!N$30+OFFSET(载具属性!N$33,AU42,0)*载具属性!O$30+OFFSET(载具属性!O$33,AV42,0)*载具属性!P$30</f>
        <v>8130</v>
      </c>
      <c r="X42" s="43">
        <f ca="1">_xlfn.XLOOKUP(Z42,载具属性!$E$98:$E$497,载具属性!$G$98:$G$497)</f>
        <v>1170</v>
      </c>
      <c r="Y42" s="43">
        <f ca="1">OFFSET(载具属性!L$33,AS42,0)*载具属性!M$30+OFFSET(载具属性!M$33,AT42,0)*载具属性!N$30+OFFSET(载具属性!N$33,AU42,0)*载具属性!O$30+OFFSET(载具属性!O$33,AV42,0)*载具属性!P$30</f>
        <v>960</v>
      </c>
      <c r="Z42" s="40">
        <f ca="1">MATCH(SUM($T$7:T42),载具属性!$I$98:$I$497,1)</f>
        <v>24</v>
      </c>
      <c r="AA42" s="40">
        <f ca="1">OFFSET(载具产出!$F$399,IFERROR(MATCH(OFFSET($D42,0,MATCH($D$5,$E$6:$H$6,0)),载具产出!$E$112:$E$151,1),0),MATCH(AA$6,载具产出!$G$111:$O$111,0))*2</f>
        <v>27.6</v>
      </c>
      <c r="AB42" s="40">
        <f ca="1">OFFSET(载具产出!$F$399,IFERROR(MATCH(OFFSET($D42,0,MATCH($D$5,$E$6:$H$6,0)),载具产出!$E$112:$E$151,1),0),MATCH(AB$6,载具产出!$G$111:$O$111,0))*2</f>
        <v>21.92</v>
      </c>
      <c r="AC42" s="40">
        <f ca="1">OFFSET(载具产出!$F$399,IFERROR(MATCH(OFFSET($D42,0,MATCH($D$5,$E$6:$H$6,0)),载具产出!$E$112:$E$151,1),0),MATCH(AC$6,载具产出!$G$111:$O$111,0))*2</f>
        <v>0.48</v>
      </c>
      <c r="AD42" s="40">
        <f ca="1">OFFSET(载具产出!$F$399,IFERROR(MATCH(OFFSET($D42,0,MATCH($D$5,$E$6:$H$6,0)),载具产出!$E$112:$E$151,1),0),MATCH(AD$6,载具产出!$G$111:$O$111,0))*2</f>
        <v>0</v>
      </c>
      <c r="AE42" s="44">
        <f ca="1">SUM(AA$36:AA42)/3</f>
        <v>64.4</v>
      </c>
      <c r="AF42" s="44">
        <f ca="1">SUM(AB$36:AB42)/3</f>
        <v>51.1466666666667</v>
      </c>
      <c r="AG42" s="44">
        <f ca="1">SUM(AC$36:AC42)/3</f>
        <v>1.12</v>
      </c>
      <c r="AH42" s="44">
        <f ca="1">SUM(AD$36:AD42)/3</f>
        <v>0</v>
      </c>
      <c r="AI42" s="44">
        <f>_xlfn.XLOOKUP($D$5,载具产出!$D$71:$D$75,载具产出!$E$71:$E$75)*(D42-30+1)</f>
        <v>82.3333333333336</v>
      </c>
      <c r="AJ42" s="44">
        <f>IFERROR(MATCH(_xlfn.XLOOKUP($D$5,载具产出!$D$71:$D$75,载具产出!$E$71:$E$75)*(D42-30+1)*10,载具产出!$E$60:$E$67,1),0)+1</f>
        <v>3</v>
      </c>
      <c r="AK42" s="44">
        <f ca="1">IF($AJ42=1,($AI42)*(10*OFFSET(载具产出!$D$45,MATCH(AK$6,$AK$6:$AN$6,0)-1,$AJ42)+OFFSET(载具产出!$D$49,MATCH(AK$6,$AK$6:$AN$6,0)-1,$AJ42)*OFFSET(载具产出!$N$49,MATCH(AK$6,$AK$6:$AN$6,0)-1,0)),OFFSET(载具产出!F$59,$AJ42-1,0)*10+OFFSET(载具产出!J$59,$AJ42-1,0)+($AI42*10-_xlfn.XLOOKUP($AJ42-1,载具产出!$D$59:$D$67,载具产出!$E$59:$E$67))/10*(10*OFFSET(载具产出!$D$45,MATCH(AK$6,$AK$6:$AN$6,0)-1,$AJ42)+OFFSET(载具产出!$D$49,MATCH(AK$6,$AK$6:$AN$6,0)-1,$AJ42)*OFFSET(载具产出!$N$49,MATCH(AK$6,$AK$6:$AN$6,0)-1,0)))</f>
        <v>226.010000000001</v>
      </c>
      <c r="AL42" s="44">
        <f ca="1">IF($AJ42=1,($AI42)*(10*OFFSET(载具产出!$D$45,MATCH(AL$6,$AK$6:$AN$6,0)-1,$AJ42)+OFFSET(载具产出!$D$49,MATCH(AL$6,$AK$6:$AN$6,0)-1,$AJ42)*OFFSET(载具产出!$N$49,MATCH(AL$6,$AK$6:$AN$6,0)-1,0)),OFFSET(载具产出!G$59,$AJ42-1,0)*10+OFFSET(载具产出!K$59,$AJ42-1,0)+($AI42*10-_xlfn.XLOOKUP($AJ42-1,载具产出!$D$59:$D$67,载具产出!$E$59:$E$67))/10*(10*OFFSET(载具产出!$D$45,MATCH(AL$6,$AK$6:$AN$6,0)-1,$AJ42)+OFFSET(载具产出!$D$49,MATCH(AL$6,$AK$6:$AN$6,0)-1,$AJ42)*OFFSET(载具产出!$N$49,MATCH(AL$6,$AK$6:$AN$6,0)-1,0)))</f>
        <v>61.5200000000002</v>
      </c>
      <c r="AM42" s="44">
        <f ca="1">IF($AJ42=1,($AI42)*(10*OFFSET(载具产出!$D$45,MATCH(AM$6,$AK$6:$AN$6,0)-1,$AJ42)+OFFSET(载具产出!$D$49,MATCH(AM$6,$AK$6:$AN$6,0)-1,$AJ42)*OFFSET(载具产出!$N$49,MATCH(AM$6,$AK$6:$AN$6,0)-1,0)),OFFSET(载具产出!H$59,$AJ42-1,0)*10+OFFSET(载具产出!L$59,$AJ42-1,0)+($AI42*10-_xlfn.XLOOKUP($AJ42-1,载具产出!$D$59:$D$67,载具产出!$E$59:$E$67))/10*(10*OFFSET(载具产出!$D$45,MATCH(AM$6,$AK$6:$AN$6,0)-1,$AJ42)+OFFSET(载具产出!$D$49,MATCH(AM$6,$AK$6:$AN$6,0)-1,$AJ42)*OFFSET(载具产出!$N$49,MATCH(AM$6,$AK$6:$AN$6,0)-1,0)))</f>
        <v>19.9733333333334</v>
      </c>
      <c r="AN42" s="44">
        <f ca="1">IF($AJ42=1,($AI42)*(10*OFFSET(载具产出!$D$45,MATCH(AN$6,$AK$6:$AN$6,0)-1,$AJ42)+OFFSET(载具产出!$D$49,MATCH(AN$6,$AK$6:$AN$6,0)-1,$AJ42)*OFFSET(载具产出!$N$49,MATCH(AN$6,$AK$6:$AN$6,0)-1,0)),OFFSET(载具产出!I$59,$AJ42-1,0)*10+OFFSET(载具产出!M$59,$AJ42-1,0)+($AI42*10-_xlfn.XLOOKUP($AJ42-1,载具产出!$D$59:$D$67,载具产出!$E$59:$E$67))/10*(10*OFFSET(载具产出!$D$45,MATCH(AN$6,$AK$6:$AN$6,0)-1,$AJ42)+OFFSET(载具产出!$D$49,MATCH(AN$6,$AK$6:$AN$6,0)-1,$AJ42)*OFFSET(载具产出!$N$49,MATCH(AN$6,$AK$6:$AN$6,0)-1,0)))</f>
        <v>0</v>
      </c>
      <c r="AO42" s="44">
        <f ca="1" t="shared" si="3"/>
        <v>290.410000000001</v>
      </c>
      <c r="AP42" s="44">
        <f ca="1" t="shared" si="4"/>
        <v>112.666666666667</v>
      </c>
      <c r="AQ42" s="44">
        <f ca="1" t="shared" si="5"/>
        <v>21.0933333333334</v>
      </c>
      <c r="AR42" s="44">
        <f ca="1" t="shared" si="6"/>
        <v>0</v>
      </c>
      <c r="AS42" s="45">
        <f ca="1">IFERROR(MATCH(AO42/载具产出!R$58,载具属性!$G$33:$G$92,1),0)</f>
        <v>10</v>
      </c>
      <c r="AT42" s="45">
        <f ca="1">IFERROR(MATCH(AP42/载具产出!S$58,载具属性!$G$33:$G$92,1),0)</f>
        <v>4</v>
      </c>
      <c r="AU42" s="45">
        <f ca="1">IFERROR(MATCH(AQ42/载具产出!T$58,载具属性!$G$33:$G$92,1),0)</f>
        <v>0</v>
      </c>
      <c r="AV42" s="45">
        <f ca="1">IFERROR(MATCH(AR42/载具产出!U$58,载具属性!$G$33:$G$92,1),0)</f>
        <v>0</v>
      </c>
      <c r="AW42" s="46" t="str">
        <f ca="1" t="shared" si="7"/>
        <v>[{62,47},{63,3960},{2,8600},{6030001,153},{6030002,148},{6030003,3}]</v>
      </c>
      <c r="AX42" t="str">
        <f ca="1" t="shared" si="8"/>
        <v>{62,47}</v>
      </c>
      <c r="AY42" t="str">
        <f ca="1" t="shared" si="9"/>
        <v>{63,3960}</v>
      </c>
      <c r="AZ42" t="str">
        <f ca="1" t="shared" si="10"/>
        <v>{2,8600}</v>
      </c>
      <c r="BA42" t="str">
        <f ca="1" t="shared" si="11"/>
        <v>{6030001,153}</v>
      </c>
      <c r="BB42" t="str">
        <f ca="1" t="shared" si="12"/>
        <v>{6030002,148}</v>
      </c>
      <c r="BC42" t="str">
        <f ca="1" t="shared" si="13"/>
        <v>{6030003,3}</v>
      </c>
      <c r="BD42" t="str">
        <f ca="1" t="shared" si="14"/>
        <v/>
      </c>
    </row>
    <row r="43" spans="3:56">
      <c r="C43">
        <f ca="1" t="shared" si="1"/>
        <v>90.2150537634409</v>
      </c>
      <c r="D43" s="40">
        <v>37</v>
      </c>
      <c r="E43" s="40">
        <v>73</v>
      </c>
      <c r="F43" s="40">
        <v>83</v>
      </c>
      <c r="G43" s="41">
        <v>93</v>
      </c>
      <c r="H43" s="40">
        <v>116</v>
      </c>
      <c r="I43" s="40">
        <v>124</v>
      </c>
      <c r="J43" s="40">
        <f t="shared" si="2"/>
        <v>83</v>
      </c>
      <c r="K43" s="40">
        <f ca="1">SUM(U$36:U43)-SUM(OFFSET(载具产出!H$399,0,0,$R43+1,1))</f>
        <v>54</v>
      </c>
      <c r="L43" s="40">
        <f ca="1">SUM(T$36:T43)-SUM(OFFSET(载具产出!G$399,0,0,$R43+1,1))</f>
        <v>4710</v>
      </c>
      <c r="M43" s="40">
        <f ca="1">SUM(V$36:V43)/2-SUM(OFFSET(载具产出!I$399,0,0,$R43+1,1))</f>
        <v>11000</v>
      </c>
      <c r="N43" s="40">
        <f ca="1">SUM(AA$36:AA43)-SUM(OFFSET(载具产出!J$399,0,0,$R43+1,1))</f>
        <v>181.2</v>
      </c>
      <c r="O43" s="40">
        <f ca="1">SUM(AB$36:AB43)-SUM(OFFSET(载具产出!K$399,0,0,$R43+1,1))</f>
        <v>169.96</v>
      </c>
      <c r="P43" s="40">
        <f ca="1">SUM(AC$36:AC43)-SUM(OFFSET(载具产出!L$399,0,0,$R43+1,1))</f>
        <v>3.84</v>
      </c>
      <c r="Q43" s="40">
        <f ca="1">SUM(AD$36:AD43)-SUM(OFFSET(载具产出!M$399,0,0,$R43+1,1))</f>
        <v>0</v>
      </c>
      <c r="R43" s="40">
        <v>2</v>
      </c>
      <c r="S43" s="40" t="str">
        <f ca="1">OFFSET(载具产出!$D$111,IFERROR(MATCH(OFFSET($D43,0,MATCH($D$5,$E$6:$H$6,0)),载具产出!$E$112:$E$151,1),0),0)</f>
        <v>精良Ⅴ</v>
      </c>
      <c r="T43" s="40">
        <f ca="1">OFFSET(载具产出!$F$399,IFERROR(MATCH(OFFSET($D43,0,MATCH($D$5,$E$6:$H$6,0)),载具产出!$E$400:$E$439,1),0),MATCH(T$6,载具产出!$G$399:$O$399,0))</f>
        <v>750</v>
      </c>
      <c r="U43" s="40">
        <v>7</v>
      </c>
      <c r="V43" s="40">
        <f ca="1">OFFSET(载具产出!$F$399,IFERROR(MATCH(OFFSET($D43,0,MATCH($D$5,$E$6:$H$6,0)),载具产出!$E$400:$E$439,1),0),MATCH(V$6,载具产出!$G$399:$O$399,0))</f>
        <v>4800</v>
      </c>
      <c r="W43" s="43">
        <f ca="1">_xlfn.XLOOKUP(Z43,载具属性!$E$98:$E$497,载具属性!$G$98:$G$497)+6000+OFFSET(载具属性!L$33,AS43,0)*载具属性!M$30+OFFSET(载具属性!M$33,AT43,0)*载具属性!N$30+OFFSET(载具属性!N$33,AU43,0)*载具属性!O$30+OFFSET(载具属性!O$33,AV43,0)*载具属性!P$30</f>
        <v>8390</v>
      </c>
      <c r="X43" s="43">
        <f ca="1">_xlfn.XLOOKUP(Z43,载具属性!$E$98:$E$497,载具属性!$G$98:$G$497)</f>
        <v>1280</v>
      </c>
      <c r="Y43" s="43">
        <f ca="1">OFFSET(载具属性!L$33,AS43,0)*载具属性!M$30+OFFSET(载具属性!M$33,AT43,0)*载具属性!N$30+OFFSET(载具属性!N$33,AU43,0)*载具属性!O$30+OFFSET(载具属性!O$33,AV43,0)*载具属性!P$30</f>
        <v>1110</v>
      </c>
      <c r="Z43" s="40">
        <f ca="1">MATCH(SUM($T$7:T43),载具属性!$I$98:$I$497,1)</f>
        <v>26</v>
      </c>
      <c r="AA43" s="40">
        <f ca="1">OFFSET(载具产出!$F$399,IFERROR(MATCH(OFFSET($D43,0,MATCH($D$5,$E$6:$H$6,0)),载具产出!$E$112:$E$151,1),0),MATCH(AA$6,载具产出!$G$111:$O$111,0))*2</f>
        <v>27.6</v>
      </c>
      <c r="AB43" s="40">
        <f ca="1">OFFSET(载具产出!$F$399,IFERROR(MATCH(OFFSET($D43,0,MATCH($D$5,$E$6:$H$6,0)),载具产出!$E$112:$E$151,1),0),MATCH(AB$6,载具产出!$G$111:$O$111,0))*2</f>
        <v>21.92</v>
      </c>
      <c r="AC43" s="40">
        <f ca="1">OFFSET(载具产出!$F$399,IFERROR(MATCH(OFFSET($D43,0,MATCH($D$5,$E$6:$H$6,0)),载具产出!$E$112:$E$151,1),0),MATCH(AC$6,载具产出!$G$111:$O$111,0))*2</f>
        <v>0.48</v>
      </c>
      <c r="AD43" s="40">
        <f ca="1">OFFSET(载具产出!$F$399,IFERROR(MATCH(OFFSET($D43,0,MATCH($D$5,$E$6:$H$6,0)),载具产出!$E$112:$E$151,1),0),MATCH(AD$6,载具产出!$G$111:$O$111,0))*2</f>
        <v>0</v>
      </c>
      <c r="AE43" s="44">
        <f ca="1">SUM(AA$36:AA43)/3</f>
        <v>73.6</v>
      </c>
      <c r="AF43" s="44">
        <f ca="1">SUM(AB$36:AB43)/3</f>
        <v>58.4533333333333</v>
      </c>
      <c r="AG43" s="44">
        <f ca="1">SUM(AC$36:AC43)/3</f>
        <v>1.28</v>
      </c>
      <c r="AH43" s="44">
        <f ca="1">SUM(AD$36:AD43)/3</f>
        <v>0</v>
      </c>
      <c r="AI43" s="44">
        <f>_xlfn.XLOOKUP($D$5,载具产出!$D$71:$D$75,载具产出!$E$71:$E$75)*(D43-30+1)</f>
        <v>94.0952380952384</v>
      </c>
      <c r="AJ43" s="44">
        <f>IFERROR(MATCH(_xlfn.XLOOKUP($D$5,载具产出!$D$71:$D$75,载具产出!$E$71:$E$75)*(D43-30+1)*10,载具产出!$E$60:$E$67,1),0)+1</f>
        <v>3</v>
      </c>
      <c r="AK43" s="44">
        <f ca="1">IF($AJ43=1,($AI43)*(10*OFFSET(载具产出!$D$45,MATCH(AK$6,$AK$6:$AN$6,0)-1,$AJ43)+OFFSET(载具产出!$D$49,MATCH(AK$6,$AK$6:$AN$6,0)-1,$AJ43)*OFFSET(载具产出!$N$49,MATCH(AK$6,$AK$6:$AN$6,0)-1,0)),OFFSET(载具产出!F$59,$AJ43-1,0)*10+OFFSET(载具产出!J$59,$AJ43-1,0)+($AI43*10-_xlfn.XLOOKUP($AJ43-1,载具产出!$D$59:$D$67,载具产出!$E$59:$E$67))/10*(10*OFFSET(载具产出!$D$45,MATCH(AK$6,$AK$6:$AN$6,0)-1,$AJ43)+OFFSET(载具产出!$D$49,MATCH(AK$6,$AK$6:$AN$6,0)-1,$AJ43)*OFFSET(载具产出!$N$49,MATCH(AK$6,$AK$6:$AN$6,0)-1,0)))</f>
        <v>256.355714285715</v>
      </c>
      <c r="AL43" s="44">
        <f ca="1">IF($AJ43=1,($AI43)*(10*OFFSET(载具产出!$D$45,MATCH(AL$6,$AK$6:$AN$6,0)-1,$AJ43)+OFFSET(载具产出!$D$49,MATCH(AL$6,$AK$6:$AN$6,0)-1,$AJ43)*OFFSET(载具产出!$N$49,MATCH(AL$6,$AK$6:$AN$6,0)-1,0)),OFFSET(载具产出!G$59,$AJ43-1,0)*10+OFFSET(载具产出!K$59,$AJ43-1,0)+($AI43*10-_xlfn.XLOOKUP($AJ43-1,载具产出!$D$59:$D$67,载具产出!$E$59:$E$67))/10*(10*OFFSET(载具产出!$D$45,MATCH(AL$6,$AK$6:$AN$6,0)-1,$AJ43)+OFFSET(载具产出!$D$49,MATCH(AL$6,$AK$6:$AN$6,0)-1,$AJ43)*OFFSET(载具产出!$N$49,MATCH(AL$6,$AK$6:$AN$6,0)-1,0)))</f>
        <v>70.694285714286</v>
      </c>
      <c r="AM43" s="44">
        <f ca="1">IF($AJ43=1,($AI43)*(10*OFFSET(载具产出!$D$45,MATCH(AM$6,$AK$6:$AN$6,0)-1,$AJ43)+OFFSET(载具产出!$D$49,MATCH(AM$6,$AK$6:$AN$6,0)-1,$AJ43)*OFFSET(载具产出!$N$49,MATCH(AM$6,$AK$6:$AN$6,0)-1,0)),OFFSET(载具产出!H$59,$AJ43-1,0)*10+OFFSET(载具产出!L$59,$AJ43-1,0)+($AI43*10-_xlfn.XLOOKUP($AJ43-1,载具产出!$D$59:$D$67,载具产出!$E$59:$E$67))/10*(10*OFFSET(载具产出!$D$45,MATCH(AM$6,$AK$6:$AN$6,0)-1,$AJ43)+OFFSET(载具产出!$D$49,MATCH(AM$6,$AK$6:$AN$6,0)-1,$AJ43)*OFFSET(载具产出!$N$49,MATCH(AM$6,$AK$6:$AN$6,0)-1,0)))</f>
        <v>24.6780952380954</v>
      </c>
      <c r="AN43" s="44">
        <f ca="1">IF($AJ43=1,($AI43)*(10*OFFSET(载具产出!$D$45,MATCH(AN$6,$AK$6:$AN$6,0)-1,$AJ43)+OFFSET(载具产出!$D$49,MATCH(AN$6,$AK$6:$AN$6,0)-1,$AJ43)*OFFSET(载具产出!$N$49,MATCH(AN$6,$AK$6:$AN$6,0)-1,0)),OFFSET(载具产出!I$59,$AJ43-1,0)*10+OFFSET(载具产出!M$59,$AJ43-1,0)+($AI43*10-_xlfn.XLOOKUP($AJ43-1,载具产出!$D$59:$D$67,载具产出!$E$59:$E$67))/10*(10*OFFSET(载具产出!$D$45,MATCH(AN$6,$AK$6:$AN$6,0)-1,$AJ43)+OFFSET(载具产出!$D$49,MATCH(AN$6,$AK$6:$AN$6,0)-1,$AJ43)*OFFSET(载具产出!$N$49,MATCH(AN$6,$AK$6:$AN$6,0)-1,0)))</f>
        <v>0</v>
      </c>
      <c r="AO43" s="44">
        <f ca="1" t="shared" si="3"/>
        <v>329.955714285715</v>
      </c>
      <c r="AP43" s="44">
        <f ca="1" t="shared" si="4"/>
        <v>129.147619047619</v>
      </c>
      <c r="AQ43" s="44">
        <f ca="1" t="shared" si="5"/>
        <v>25.9580952380954</v>
      </c>
      <c r="AR43" s="44">
        <f ca="1" t="shared" si="6"/>
        <v>0</v>
      </c>
      <c r="AS43" s="45">
        <f ca="1">IFERROR(MATCH(AO43/载具产出!R$58,载具属性!$G$33:$G$92,1),0)</f>
        <v>11</v>
      </c>
      <c r="AT43" s="45">
        <f ca="1">IFERROR(MATCH(AP43/载具产出!S$58,载具属性!$G$33:$G$92,1),0)</f>
        <v>5</v>
      </c>
      <c r="AU43" s="45">
        <f ca="1">IFERROR(MATCH(AQ43/载具产出!T$58,载具属性!$G$33:$G$92,1),0)</f>
        <v>0</v>
      </c>
      <c r="AV43" s="45">
        <f ca="1">IFERROR(MATCH(AR43/载具产出!U$58,载具属性!$G$33:$G$92,1),0)</f>
        <v>0</v>
      </c>
      <c r="AW43" s="46" t="str">
        <f ca="1" t="shared" si="7"/>
        <v>[{62,54},{63,4710},{2,11000},{6030001,181},{6030002,169},{6030003,3}]</v>
      </c>
      <c r="AX43" t="str">
        <f ca="1" t="shared" si="8"/>
        <v>{62,54}</v>
      </c>
      <c r="AY43" t="str">
        <f ca="1" t="shared" si="9"/>
        <v>{63,4710}</v>
      </c>
      <c r="AZ43" t="str">
        <f ca="1" t="shared" si="10"/>
        <v>{2,11000}</v>
      </c>
      <c r="BA43" t="str">
        <f ca="1" t="shared" si="11"/>
        <v>{6030001,181}</v>
      </c>
      <c r="BB43" t="str">
        <f ca="1" t="shared" si="12"/>
        <v>{6030002,169}</v>
      </c>
      <c r="BC43" t="str">
        <f ca="1" t="shared" si="13"/>
        <v>{6030003,3}</v>
      </c>
      <c r="BD43" t="str">
        <f ca="1" t="shared" si="14"/>
        <v/>
      </c>
    </row>
    <row r="44" spans="3:56">
      <c r="C44">
        <f ca="1" t="shared" si="1"/>
        <v>90.4255319148936</v>
      </c>
      <c r="D44" s="40">
        <v>38</v>
      </c>
      <c r="E44" s="40">
        <v>74</v>
      </c>
      <c r="F44" s="40">
        <v>84</v>
      </c>
      <c r="G44" s="41">
        <v>94</v>
      </c>
      <c r="H44" s="40">
        <v>117</v>
      </c>
      <c r="I44" s="40">
        <v>130</v>
      </c>
      <c r="J44" s="40">
        <f t="shared" si="2"/>
        <v>85</v>
      </c>
      <c r="K44" s="40">
        <f ca="1">SUM(U$36:U44)-SUM(OFFSET(载具产出!H$399,0,0,$R44+1,1))</f>
        <v>61</v>
      </c>
      <c r="L44" s="40">
        <f ca="1">SUM(T$36:T44)-SUM(OFFSET(载具产出!G$399,0,0,$R44+1,1))</f>
        <v>5460</v>
      </c>
      <c r="M44" s="40">
        <f ca="1">SUM(V$36:V44)/2-SUM(OFFSET(载具产出!I$399,0,0,$R44+1,1))</f>
        <v>13400</v>
      </c>
      <c r="N44" s="40">
        <f ca="1">SUM(AA$36:AA44)-SUM(OFFSET(载具产出!J$399,0,0,$R44+1,1))</f>
        <v>208.8</v>
      </c>
      <c r="O44" s="40">
        <f ca="1">SUM(AB$36:AB44)-SUM(OFFSET(载具产出!K$399,0,0,$R44+1,1))</f>
        <v>191.88</v>
      </c>
      <c r="P44" s="40">
        <f ca="1">SUM(AC$36:AC44)-SUM(OFFSET(载具产出!L$399,0,0,$R44+1,1))</f>
        <v>4.32</v>
      </c>
      <c r="Q44" s="40">
        <f ca="1">SUM(AD$36:AD44)-SUM(OFFSET(载具产出!M$399,0,0,$R44+1,1))</f>
        <v>0</v>
      </c>
      <c r="R44" s="40">
        <v>2</v>
      </c>
      <c r="S44" s="40" t="str">
        <f ca="1">OFFSET(载具产出!$D$111,IFERROR(MATCH(OFFSET($D44,0,MATCH($D$5,$E$6:$H$6,0)),载具产出!$E$112:$E$151,1),0),0)</f>
        <v>精良Ⅴ</v>
      </c>
      <c r="T44" s="40">
        <f ca="1">OFFSET(载具产出!$F$399,IFERROR(MATCH(OFFSET($D44,0,MATCH($D$5,$E$6:$H$6,0)),载具产出!$E$400:$E$439,1),0),MATCH(T$6,载具产出!$G$399:$O$399,0))</f>
        <v>750</v>
      </c>
      <c r="U44" s="40">
        <v>7</v>
      </c>
      <c r="V44" s="40">
        <f ca="1">OFFSET(载具产出!$F$399,IFERROR(MATCH(OFFSET($D44,0,MATCH($D$5,$E$6:$H$6,0)),载具产出!$E$400:$E$439,1),0),MATCH(V$6,载具产出!$G$399:$O$399,0))</f>
        <v>4800</v>
      </c>
      <c r="W44" s="43">
        <f ca="1">_xlfn.XLOOKUP(Z44,载具属性!$E$98:$E$497,载具属性!$G$98:$G$497)+6000+OFFSET(载具属性!L$33,AS44,0)*载具属性!M$30+OFFSET(载具属性!M$33,AT44,0)*载具属性!N$30+OFFSET(载具属性!N$33,AU44,0)*载具属性!O$30+OFFSET(载具属性!O$33,AV44,0)*载具属性!P$30</f>
        <v>8500</v>
      </c>
      <c r="X44" s="43">
        <f ca="1">_xlfn.XLOOKUP(Z44,载具属性!$E$98:$E$497,载具属性!$G$98:$G$497)</f>
        <v>1390</v>
      </c>
      <c r="Y44" s="43">
        <f ca="1">OFFSET(载具属性!L$33,AS44,0)*载具属性!M$30+OFFSET(载具属性!M$33,AT44,0)*载具属性!N$30+OFFSET(载具属性!N$33,AU44,0)*载具属性!O$30+OFFSET(载具属性!O$33,AV44,0)*载具属性!P$30</f>
        <v>1110</v>
      </c>
      <c r="Z44" s="40">
        <f ca="1">MATCH(SUM($T$7:T44),载具属性!$I$98:$I$497,1)</f>
        <v>28</v>
      </c>
      <c r="AA44" s="40">
        <f ca="1">OFFSET(载具产出!$F$399,IFERROR(MATCH(OFFSET($D44,0,MATCH($D$5,$E$6:$H$6,0)),载具产出!$E$112:$E$151,1),0),MATCH(AA$6,载具产出!$G$111:$O$111,0))*2</f>
        <v>27.6</v>
      </c>
      <c r="AB44" s="40">
        <f ca="1">OFFSET(载具产出!$F$399,IFERROR(MATCH(OFFSET($D44,0,MATCH($D$5,$E$6:$H$6,0)),载具产出!$E$112:$E$151,1),0),MATCH(AB$6,载具产出!$G$111:$O$111,0))*2</f>
        <v>21.92</v>
      </c>
      <c r="AC44" s="40">
        <f ca="1">OFFSET(载具产出!$F$399,IFERROR(MATCH(OFFSET($D44,0,MATCH($D$5,$E$6:$H$6,0)),载具产出!$E$112:$E$151,1),0),MATCH(AC$6,载具产出!$G$111:$O$111,0))*2</f>
        <v>0.48</v>
      </c>
      <c r="AD44" s="40">
        <f ca="1">OFFSET(载具产出!$F$399,IFERROR(MATCH(OFFSET($D44,0,MATCH($D$5,$E$6:$H$6,0)),载具产出!$E$112:$E$151,1),0),MATCH(AD$6,载具产出!$G$111:$O$111,0))*2</f>
        <v>0</v>
      </c>
      <c r="AE44" s="44">
        <f ca="1">SUM(AA$36:AA44)/3</f>
        <v>82.8</v>
      </c>
      <c r="AF44" s="44">
        <f ca="1">SUM(AB$36:AB44)/3</f>
        <v>65.76</v>
      </c>
      <c r="AG44" s="44">
        <f ca="1">SUM(AC$36:AC44)/3</f>
        <v>1.44</v>
      </c>
      <c r="AH44" s="44">
        <f ca="1">SUM(AD$36:AD44)/3</f>
        <v>0</v>
      </c>
      <c r="AI44" s="44">
        <f>_xlfn.XLOOKUP($D$5,载具产出!$D$71:$D$75,载具产出!$E$71:$E$75)*(D44-30+1)</f>
        <v>105.857142857143</v>
      </c>
      <c r="AJ44" s="44">
        <f>IFERROR(MATCH(_xlfn.XLOOKUP($D$5,载具产出!$D$71:$D$75,载具产出!$E$71:$E$75)*(D44-30+1)*10,载具产出!$E$60:$E$67,1),0)+1</f>
        <v>3</v>
      </c>
      <c r="AK44" s="44">
        <f ca="1">IF($AJ44=1,($AI44)*(10*OFFSET(载具产出!$D$45,MATCH(AK$6,$AK$6:$AN$6,0)-1,$AJ44)+OFFSET(载具产出!$D$49,MATCH(AK$6,$AK$6:$AN$6,0)-1,$AJ44)*OFFSET(载具产出!$N$49,MATCH(AK$6,$AK$6:$AN$6,0)-1,0)),OFFSET(载具产出!F$59,$AJ44-1,0)*10+OFFSET(载具产出!J$59,$AJ44-1,0)+($AI44*10-_xlfn.XLOOKUP($AJ44-1,载具产出!$D$59:$D$67,载具产出!$E$59:$E$67))/10*(10*OFFSET(载具产出!$D$45,MATCH(AK$6,$AK$6:$AN$6,0)-1,$AJ44)+OFFSET(载具产出!$D$49,MATCH(AK$6,$AK$6:$AN$6,0)-1,$AJ44)*OFFSET(载具产出!$N$49,MATCH(AK$6,$AK$6:$AN$6,0)-1,0)))</f>
        <v>286.701428571429</v>
      </c>
      <c r="AL44" s="44">
        <f ca="1">IF($AJ44=1,($AI44)*(10*OFFSET(载具产出!$D$45,MATCH(AL$6,$AK$6:$AN$6,0)-1,$AJ44)+OFFSET(载具产出!$D$49,MATCH(AL$6,$AK$6:$AN$6,0)-1,$AJ44)*OFFSET(载具产出!$N$49,MATCH(AL$6,$AK$6:$AN$6,0)-1,0)),OFFSET(载具产出!G$59,$AJ44-1,0)*10+OFFSET(载具产出!K$59,$AJ44-1,0)+($AI44*10-_xlfn.XLOOKUP($AJ44-1,载具产出!$D$59:$D$67,载具产出!$E$59:$E$67))/10*(10*OFFSET(载具产出!$D$45,MATCH(AL$6,$AK$6:$AN$6,0)-1,$AJ44)+OFFSET(载具产出!$D$49,MATCH(AL$6,$AK$6:$AN$6,0)-1,$AJ44)*OFFSET(载具产出!$N$49,MATCH(AL$6,$AK$6:$AN$6,0)-1,0)))</f>
        <v>79.8685714285715</v>
      </c>
      <c r="AM44" s="44">
        <f ca="1">IF($AJ44=1,($AI44)*(10*OFFSET(载具产出!$D$45,MATCH(AM$6,$AK$6:$AN$6,0)-1,$AJ44)+OFFSET(载具产出!$D$49,MATCH(AM$6,$AK$6:$AN$6,0)-1,$AJ44)*OFFSET(载具产出!$N$49,MATCH(AM$6,$AK$6:$AN$6,0)-1,0)),OFFSET(载具产出!H$59,$AJ44-1,0)*10+OFFSET(载具产出!L$59,$AJ44-1,0)+($AI44*10-_xlfn.XLOOKUP($AJ44-1,载具产出!$D$59:$D$67,载具产出!$E$59:$E$67))/10*(10*OFFSET(载具产出!$D$45,MATCH(AM$6,$AK$6:$AN$6,0)-1,$AJ44)+OFFSET(载具产出!$D$49,MATCH(AM$6,$AK$6:$AN$6,0)-1,$AJ44)*OFFSET(载具产出!$N$49,MATCH(AM$6,$AK$6:$AN$6,0)-1,0)))</f>
        <v>29.3828571428572</v>
      </c>
      <c r="AN44" s="44">
        <f ca="1">IF($AJ44=1,($AI44)*(10*OFFSET(载具产出!$D$45,MATCH(AN$6,$AK$6:$AN$6,0)-1,$AJ44)+OFFSET(载具产出!$D$49,MATCH(AN$6,$AK$6:$AN$6,0)-1,$AJ44)*OFFSET(载具产出!$N$49,MATCH(AN$6,$AK$6:$AN$6,0)-1,0)),OFFSET(载具产出!I$59,$AJ44-1,0)*10+OFFSET(载具产出!M$59,$AJ44-1,0)+($AI44*10-_xlfn.XLOOKUP($AJ44-1,载具产出!$D$59:$D$67,载具产出!$E$59:$E$67))/10*(10*OFFSET(载具产出!$D$45,MATCH(AN$6,$AK$6:$AN$6,0)-1,$AJ44)+OFFSET(载具产出!$D$49,MATCH(AN$6,$AK$6:$AN$6,0)-1,$AJ44)*OFFSET(载具产出!$N$49,MATCH(AN$6,$AK$6:$AN$6,0)-1,0)))</f>
        <v>0</v>
      </c>
      <c r="AO44" s="44">
        <f ca="1" t="shared" si="3"/>
        <v>369.501428571429</v>
      </c>
      <c r="AP44" s="44">
        <f ca="1" t="shared" si="4"/>
        <v>145.628571428572</v>
      </c>
      <c r="AQ44" s="44">
        <f ca="1" t="shared" si="5"/>
        <v>30.8228571428572</v>
      </c>
      <c r="AR44" s="44">
        <f ca="1" t="shared" si="6"/>
        <v>0</v>
      </c>
      <c r="AS44" s="45">
        <f ca="1">IFERROR(MATCH(AO44/载具产出!R$58,载具属性!$G$33:$G$92,1),0)</f>
        <v>11</v>
      </c>
      <c r="AT44" s="45">
        <f ca="1">IFERROR(MATCH(AP44/载具产出!S$58,载具属性!$G$33:$G$92,1),0)</f>
        <v>5</v>
      </c>
      <c r="AU44" s="45">
        <f ca="1">IFERROR(MATCH(AQ44/载具产出!T$58,载具属性!$G$33:$G$92,1),0)</f>
        <v>0</v>
      </c>
      <c r="AV44" s="45">
        <f ca="1">IFERROR(MATCH(AR44/载具产出!U$58,载具属性!$G$33:$G$92,1),0)</f>
        <v>0</v>
      </c>
      <c r="AW44" s="46" t="str">
        <f ca="1" t="shared" si="7"/>
        <v>[{62,61},{63,5460},{2,13400},{6030001,208},{6030002,191},{6030003,4}]</v>
      </c>
      <c r="AX44" t="str">
        <f ca="1" t="shared" si="8"/>
        <v>{62,61}</v>
      </c>
      <c r="AY44" t="str">
        <f ca="1" t="shared" si="9"/>
        <v>{63,5460}</v>
      </c>
      <c r="AZ44" t="str">
        <f ca="1" t="shared" si="10"/>
        <v>{2,13400}</v>
      </c>
      <c r="BA44" t="str">
        <f ca="1" t="shared" si="11"/>
        <v>{6030001,208}</v>
      </c>
      <c r="BB44" t="str">
        <f ca="1" t="shared" si="12"/>
        <v>{6030002,191}</v>
      </c>
      <c r="BC44" t="str">
        <f ca="1" t="shared" si="13"/>
        <v>{6030003,4}</v>
      </c>
      <c r="BD44" t="str">
        <f ca="1" t="shared" si="14"/>
        <v/>
      </c>
    </row>
    <row r="45" spans="3:56">
      <c r="C45">
        <f ca="1" t="shared" si="1"/>
        <v>92.2105263157895</v>
      </c>
      <c r="D45" s="40">
        <v>39</v>
      </c>
      <c r="E45" s="40">
        <v>75</v>
      </c>
      <c r="F45" s="40">
        <v>85</v>
      </c>
      <c r="G45" s="41">
        <v>95</v>
      </c>
      <c r="H45" s="40">
        <v>118</v>
      </c>
      <c r="I45" s="40">
        <v>131</v>
      </c>
      <c r="J45" s="40">
        <f t="shared" si="2"/>
        <v>87</v>
      </c>
      <c r="K45" s="40">
        <f ca="1">SUM(U$36:U45)-SUM(OFFSET(载具产出!H$399,0,0,$R45+1,1))</f>
        <v>68</v>
      </c>
      <c r="L45" s="40">
        <f ca="1">SUM(T$36:T45)-SUM(OFFSET(载具产出!G$399,0,0,$R45+1,1))</f>
        <v>6250</v>
      </c>
      <c r="M45" s="40">
        <f ca="1">SUM(V$36:V45)/2-SUM(OFFSET(载具产出!I$399,0,0,$R45+1,1))</f>
        <v>15900</v>
      </c>
      <c r="N45" s="40">
        <f ca="1">SUM(AA$36:AA45)-SUM(OFFSET(载具产出!J$399,0,0,$R45+1,1))</f>
        <v>234.8</v>
      </c>
      <c r="O45" s="40">
        <f ca="1">SUM(AB$36:AB45)-SUM(OFFSET(载具产出!K$399,0,0,$R45+1,1))</f>
        <v>216.92</v>
      </c>
      <c r="P45" s="40">
        <f ca="1">SUM(AC$36:AC45)-SUM(OFFSET(载具产出!L$399,0,0,$R45+1,1))</f>
        <v>5.28</v>
      </c>
      <c r="Q45" s="40">
        <f ca="1">SUM(AD$36:AD45)-SUM(OFFSET(载具产出!M$399,0,0,$R45+1,1))</f>
        <v>0</v>
      </c>
      <c r="R45" s="40">
        <v>2</v>
      </c>
      <c r="S45" s="40" t="str">
        <f ca="1">OFFSET(载具产出!$D$111,IFERROR(MATCH(OFFSET($D45,0,MATCH($D$5,$E$6:$H$6,0)),载具产出!$E$112:$E$151,1),0),0)</f>
        <v>豪华Ⅰ</v>
      </c>
      <c r="T45" s="40">
        <f ca="1">OFFSET(载具产出!$F$399,IFERROR(MATCH(OFFSET($D45,0,MATCH($D$5,$E$6:$H$6,0)),载具产出!$E$400:$E$439,1),0),MATCH(T$6,载具产出!$G$399:$O$399,0))</f>
        <v>790</v>
      </c>
      <c r="U45" s="40">
        <v>7</v>
      </c>
      <c r="V45" s="40">
        <f ca="1">OFFSET(载具产出!$F$399,IFERROR(MATCH(OFFSET($D45,0,MATCH($D$5,$E$6:$H$6,0)),载具产出!$E$400:$E$439,1),0),MATCH(V$6,载具产出!$G$399:$O$399,0))</f>
        <v>5000</v>
      </c>
      <c r="W45" s="43">
        <f ca="1">_xlfn.XLOOKUP(Z45,载具属性!$E$98:$E$497,载具属性!$G$98:$G$497)+6000+OFFSET(载具属性!L$33,AS45,0)*载具属性!M$30+OFFSET(载具属性!M$33,AT45,0)*载具属性!N$30+OFFSET(载具属性!N$33,AU45,0)*载具属性!O$30+OFFSET(载具属性!O$33,AV45,0)*载具属性!P$30</f>
        <v>8760</v>
      </c>
      <c r="X45" s="43">
        <f ca="1">_xlfn.XLOOKUP(Z45,载具属性!$E$98:$E$497,载具属性!$G$98:$G$497)</f>
        <v>1500</v>
      </c>
      <c r="Y45" s="43">
        <f ca="1">OFFSET(载具属性!L$33,AS45,0)*载具属性!M$30+OFFSET(载具属性!M$33,AT45,0)*载具属性!N$30+OFFSET(载具属性!N$33,AU45,0)*载具属性!O$30+OFFSET(载具属性!O$33,AV45,0)*载具属性!P$30</f>
        <v>1260</v>
      </c>
      <c r="Z45" s="40">
        <f ca="1">MATCH(SUM($T$7:T45),载具属性!$I$98:$I$497,1)</f>
        <v>30</v>
      </c>
      <c r="AA45" s="40">
        <f ca="1">OFFSET(载具产出!$F$399,IFERROR(MATCH(OFFSET($D45,0,MATCH($D$5,$E$6:$H$6,0)),载具产出!$E$112:$E$151,1),0),MATCH(AA$6,载具产出!$G$111:$O$111,0))*2</f>
        <v>26</v>
      </c>
      <c r="AB45" s="40">
        <f ca="1">OFFSET(载具产出!$F$399,IFERROR(MATCH(OFFSET($D45,0,MATCH($D$5,$E$6:$H$6,0)),载具产出!$E$112:$E$151,1),0),MATCH(AB$6,载具产出!$G$111:$O$111,0))*2</f>
        <v>25.04</v>
      </c>
      <c r="AC45" s="40">
        <f ca="1">OFFSET(载具产出!$F$399,IFERROR(MATCH(OFFSET($D45,0,MATCH($D$5,$E$6:$H$6,0)),载具产出!$E$112:$E$151,1),0),MATCH(AC$6,载具产出!$G$111:$O$111,0))*2</f>
        <v>0.96</v>
      </c>
      <c r="AD45" s="40">
        <f ca="1">OFFSET(载具产出!$F$399,IFERROR(MATCH(OFFSET($D45,0,MATCH($D$5,$E$6:$H$6,0)),载具产出!$E$112:$E$151,1),0),MATCH(AD$6,载具产出!$G$111:$O$111,0))*2</f>
        <v>0</v>
      </c>
      <c r="AE45" s="44">
        <f ca="1">SUM(AA$36:AA45)/3</f>
        <v>91.4666666666667</v>
      </c>
      <c r="AF45" s="44">
        <f ca="1">SUM(AB$36:AB45)/3</f>
        <v>74.1066666666667</v>
      </c>
      <c r="AG45" s="44">
        <f ca="1">SUM(AC$36:AC45)/3</f>
        <v>1.76</v>
      </c>
      <c r="AH45" s="44">
        <f ca="1">SUM(AD$36:AD45)/3</f>
        <v>0</v>
      </c>
      <c r="AI45" s="44">
        <f>_xlfn.XLOOKUP($D$5,载具产出!$D$71:$D$75,载具产出!$E$71:$E$75)*(D45-30+1)</f>
        <v>117.619047619048</v>
      </c>
      <c r="AJ45" s="44">
        <f>IFERROR(MATCH(_xlfn.XLOOKUP($D$5,载具产出!$D$71:$D$75,载具产出!$E$71:$E$75)*(D45-30+1)*10,载具产出!$E$60:$E$67,1),0)+1</f>
        <v>3</v>
      </c>
      <c r="AK45" s="44">
        <f ca="1">IF($AJ45=1,($AI45)*(10*OFFSET(载具产出!$D$45,MATCH(AK$6,$AK$6:$AN$6,0)-1,$AJ45)+OFFSET(载具产出!$D$49,MATCH(AK$6,$AK$6:$AN$6,0)-1,$AJ45)*OFFSET(载具产出!$N$49,MATCH(AK$6,$AK$6:$AN$6,0)-1,0)),OFFSET(载具产出!F$59,$AJ45-1,0)*10+OFFSET(载具产出!J$59,$AJ45-1,0)+($AI45*10-_xlfn.XLOOKUP($AJ45-1,载具产出!$D$59:$D$67,载具产出!$E$59:$E$67))/10*(10*OFFSET(载具产出!$D$45,MATCH(AK$6,$AK$6:$AN$6,0)-1,$AJ45)+OFFSET(载具产出!$D$49,MATCH(AK$6,$AK$6:$AN$6,0)-1,$AJ45)*OFFSET(载具产出!$N$49,MATCH(AK$6,$AK$6:$AN$6,0)-1,0)))</f>
        <v>317.047142857144</v>
      </c>
      <c r="AL45" s="44">
        <f ca="1">IF($AJ45=1,($AI45)*(10*OFFSET(载具产出!$D$45,MATCH(AL$6,$AK$6:$AN$6,0)-1,$AJ45)+OFFSET(载具产出!$D$49,MATCH(AL$6,$AK$6:$AN$6,0)-1,$AJ45)*OFFSET(载具产出!$N$49,MATCH(AL$6,$AK$6:$AN$6,0)-1,0)),OFFSET(载具产出!G$59,$AJ45-1,0)*10+OFFSET(载具产出!K$59,$AJ45-1,0)+($AI45*10-_xlfn.XLOOKUP($AJ45-1,载具产出!$D$59:$D$67,载具产出!$E$59:$E$67))/10*(10*OFFSET(载具产出!$D$45,MATCH(AL$6,$AK$6:$AN$6,0)-1,$AJ45)+OFFSET(载具产出!$D$49,MATCH(AL$6,$AK$6:$AN$6,0)-1,$AJ45)*OFFSET(载具产出!$N$49,MATCH(AL$6,$AK$6:$AN$6,0)-1,0)))</f>
        <v>89.0428571428574</v>
      </c>
      <c r="AM45" s="44">
        <f ca="1">IF($AJ45=1,($AI45)*(10*OFFSET(载具产出!$D$45,MATCH(AM$6,$AK$6:$AN$6,0)-1,$AJ45)+OFFSET(载具产出!$D$49,MATCH(AM$6,$AK$6:$AN$6,0)-1,$AJ45)*OFFSET(载具产出!$N$49,MATCH(AM$6,$AK$6:$AN$6,0)-1,0)),OFFSET(载具产出!H$59,$AJ45-1,0)*10+OFFSET(载具产出!L$59,$AJ45-1,0)+($AI45*10-_xlfn.XLOOKUP($AJ45-1,载具产出!$D$59:$D$67,载具产出!$E$59:$E$67))/10*(10*OFFSET(载具产出!$D$45,MATCH(AM$6,$AK$6:$AN$6,0)-1,$AJ45)+OFFSET(载具产出!$D$49,MATCH(AM$6,$AK$6:$AN$6,0)-1,$AJ45)*OFFSET(载具产出!$N$49,MATCH(AM$6,$AK$6:$AN$6,0)-1,0)))</f>
        <v>34.0876190476192</v>
      </c>
      <c r="AN45" s="44">
        <f ca="1">IF($AJ45=1,($AI45)*(10*OFFSET(载具产出!$D$45,MATCH(AN$6,$AK$6:$AN$6,0)-1,$AJ45)+OFFSET(载具产出!$D$49,MATCH(AN$6,$AK$6:$AN$6,0)-1,$AJ45)*OFFSET(载具产出!$N$49,MATCH(AN$6,$AK$6:$AN$6,0)-1,0)),OFFSET(载具产出!I$59,$AJ45-1,0)*10+OFFSET(载具产出!M$59,$AJ45-1,0)+($AI45*10-_xlfn.XLOOKUP($AJ45-1,载具产出!$D$59:$D$67,载具产出!$E$59:$E$67))/10*(10*OFFSET(载具产出!$D$45,MATCH(AN$6,$AK$6:$AN$6,0)-1,$AJ45)+OFFSET(载具产出!$D$49,MATCH(AN$6,$AK$6:$AN$6,0)-1,$AJ45)*OFFSET(载具产出!$N$49,MATCH(AN$6,$AK$6:$AN$6,0)-1,0)))</f>
        <v>0</v>
      </c>
      <c r="AO45" s="44">
        <f ca="1" t="shared" si="3"/>
        <v>408.51380952381</v>
      </c>
      <c r="AP45" s="44">
        <f ca="1" t="shared" si="4"/>
        <v>163.149523809524</v>
      </c>
      <c r="AQ45" s="44">
        <f ca="1" t="shared" si="5"/>
        <v>35.8476190476192</v>
      </c>
      <c r="AR45" s="44">
        <f ca="1" t="shared" si="6"/>
        <v>0</v>
      </c>
      <c r="AS45" s="45">
        <f ca="1">IFERROR(MATCH(AO45/载具产出!R$58,载具属性!$G$33:$G$92,1),0)</f>
        <v>12</v>
      </c>
      <c r="AT45" s="45">
        <f ca="1">IFERROR(MATCH(AP45/载具产出!S$58,载具属性!$G$33:$G$92,1),0)</f>
        <v>6</v>
      </c>
      <c r="AU45" s="45">
        <f ca="1">IFERROR(MATCH(AQ45/载具产出!T$58,载具属性!$G$33:$G$92,1),0)</f>
        <v>0</v>
      </c>
      <c r="AV45" s="45">
        <f ca="1">IFERROR(MATCH(AR45/载具产出!U$58,载具属性!$G$33:$G$92,1),0)</f>
        <v>0</v>
      </c>
      <c r="AW45" s="46" t="str">
        <f ca="1" t="shared" si="7"/>
        <v>[{62,68},{63,6250},{2,15900},{6030001,234},{6030002,216},{6030003,5}]</v>
      </c>
      <c r="AX45" t="str">
        <f ca="1" t="shared" si="8"/>
        <v>{62,68}</v>
      </c>
      <c r="AY45" t="str">
        <f ca="1" t="shared" si="9"/>
        <v>{63,6250}</v>
      </c>
      <c r="AZ45" t="str">
        <f ca="1" t="shared" si="10"/>
        <v>{2,15900}</v>
      </c>
      <c r="BA45" t="str">
        <f ca="1" t="shared" si="11"/>
        <v>{6030001,234}</v>
      </c>
      <c r="BB45" t="str">
        <f ca="1" t="shared" si="12"/>
        <v>{6030002,216}</v>
      </c>
      <c r="BC45" t="str">
        <f ca="1" t="shared" si="13"/>
        <v>{6030003,5}</v>
      </c>
      <c r="BD45" t="str">
        <f ca="1" t="shared" si="14"/>
        <v/>
      </c>
    </row>
    <row r="46" spans="3:56">
      <c r="C46">
        <f ca="1" t="shared" si="1"/>
        <v>91.8229166666667</v>
      </c>
      <c r="D46" s="40">
        <v>40</v>
      </c>
      <c r="E46" s="40">
        <v>76</v>
      </c>
      <c r="F46" s="40">
        <v>86</v>
      </c>
      <c r="G46" s="41">
        <v>96</v>
      </c>
      <c r="H46" s="40">
        <v>120</v>
      </c>
      <c r="I46" s="40">
        <v>131</v>
      </c>
      <c r="J46" s="40">
        <f t="shared" si="2"/>
        <v>90</v>
      </c>
      <c r="K46" s="40">
        <f ca="1">SUM(U$36:U46)-SUM(OFFSET(载具产出!H$399,0,0,$R46+1,1))</f>
        <v>74</v>
      </c>
      <c r="L46" s="40">
        <f ca="1">SUM(T$36:T46)-SUM(OFFSET(载具产出!G$399,0,0,$R46+1,1))</f>
        <v>6350</v>
      </c>
      <c r="M46" s="40">
        <f ca="1">SUM(V$36:V46)/2-SUM(OFFSET(载具产出!I$399,0,0,$R46+1,1))</f>
        <v>14000</v>
      </c>
      <c r="N46" s="40">
        <f ca="1">SUM(AA$36:AA46)-SUM(OFFSET(载具产出!J$399,0,0,$R46+1,1))</f>
        <v>245.8</v>
      </c>
      <c r="O46" s="40">
        <f ca="1">SUM(AB$36:AB46)-SUM(OFFSET(载具产出!K$399,0,0,$R46+1,1))</f>
        <v>234.96</v>
      </c>
      <c r="P46" s="40">
        <f ca="1">SUM(AC$36:AC46)-SUM(OFFSET(载具产出!L$399,0,0,$R46+1,1))</f>
        <v>6.24</v>
      </c>
      <c r="Q46" s="40">
        <f ca="1">SUM(AD$36:AD46)-SUM(OFFSET(载具产出!M$399,0,0,$R46+1,1))</f>
        <v>0</v>
      </c>
      <c r="R46" s="40">
        <v>3</v>
      </c>
      <c r="S46" s="40" t="str">
        <f ca="1">OFFSET(载具产出!$D$111,IFERROR(MATCH(OFFSET($D46,0,MATCH($D$5,$E$6:$H$6,0)),载具产出!$E$112:$E$151,1),0),0)</f>
        <v>豪华Ⅰ</v>
      </c>
      <c r="T46" s="40">
        <f ca="1">OFFSET(载具产出!$F$399,IFERROR(MATCH(OFFSET($D46,0,MATCH($D$5,$E$6:$H$6,0)),载具产出!$E$400:$E$439,1),0),MATCH(T$6,载具产出!$G$399:$O$399,0))</f>
        <v>790</v>
      </c>
      <c r="U46" s="40">
        <v>7</v>
      </c>
      <c r="V46" s="40">
        <f ca="1">OFFSET(载具产出!$F$399,IFERROR(MATCH(OFFSET($D46,0,MATCH($D$5,$E$6:$H$6,0)),载具产出!$E$400:$E$439,1),0),MATCH(V$6,载具产出!$G$399:$O$399,0))</f>
        <v>5000</v>
      </c>
      <c r="W46" s="43">
        <f ca="1">_xlfn.XLOOKUP(Z46,载具属性!$E$98:$E$497,载具属性!$G$98:$G$497)+6000+OFFSET(载具属性!L$33,AS46,0)*载具属性!M$30+OFFSET(载具属性!M$33,AT46,0)*载具属性!N$30+OFFSET(载具属性!N$33,AU46,0)*载具属性!O$30+OFFSET(载具属性!O$33,AV46,0)*载具属性!P$30</f>
        <v>8815</v>
      </c>
      <c r="X46" s="43">
        <f ca="1">_xlfn.XLOOKUP(Z46,载具属性!$E$98:$E$497,载具属性!$G$98:$G$497)</f>
        <v>1555</v>
      </c>
      <c r="Y46" s="43">
        <f ca="1">OFFSET(载具属性!L$33,AS46,0)*载具属性!M$30+OFFSET(载具属性!M$33,AT46,0)*载具属性!N$30+OFFSET(载具属性!N$33,AU46,0)*载具属性!O$30+OFFSET(载具属性!O$33,AV46,0)*载具属性!P$30</f>
        <v>1260</v>
      </c>
      <c r="Z46" s="40">
        <f ca="1">MATCH(SUM($T$7:T46),载具属性!$I$98:$I$497,1)</f>
        <v>31</v>
      </c>
      <c r="AA46" s="40">
        <f ca="1">OFFSET(载具产出!$F$399,IFERROR(MATCH(OFFSET($D46,0,MATCH($D$5,$E$6:$H$6,0)),载具产出!$E$112:$E$151,1),0),MATCH(AA$6,载具产出!$G$111:$O$111,0))*2</f>
        <v>26</v>
      </c>
      <c r="AB46" s="40">
        <f ca="1">OFFSET(载具产出!$F$399,IFERROR(MATCH(OFFSET($D46,0,MATCH($D$5,$E$6:$H$6,0)),载具产出!$E$112:$E$151,1),0),MATCH(AB$6,载具产出!$G$111:$O$111,0))*2</f>
        <v>25.04</v>
      </c>
      <c r="AC46" s="40">
        <f ca="1">OFFSET(载具产出!$F$399,IFERROR(MATCH(OFFSET($D46,0,MATCH($D$5,$E$6:$H$6,0)),载具产出!$E$112:$E$151,1),0),MATCH(AC$6,载具产出!$G$111:$O$111,0))*2</f>
        <v>0.96</v>
      </c>
      <c r="AD46" s="40">
        <f ca="1">OFFSET(载具产出!$F$399,IFERROR(MATCH(OFFSET($D46,0,MATCH($D$5,$E$6:$H$6,0)),载具产出!$E$112:$E$151,1),0),MATCH(AD$6,载具产出!$G$111:$O$111,0))*2</f>
        <v>0</v>
      </c>
      <c r="AE46" s="44">
        <f ca="1">SUM(AA$36:AA46)/3</f>
        <v>100.133333333333</v>
      </c>
      <c r="AF46" s="44">
        <f ca="1">SUM(AB$36:AB46)/3</f>
        <v>82.4533333333333</v>
      </c>
      <c r="AG46" s="44">
        <f ca="1">SUM(AC$36:AC46)/3</f>
        <v>2.08</v>
      </c>
      <c r="AH46" s="44">
        <f ca="1">SUM(AD$36:AD46)/3</f>
        <v>0</v>
      </c>
      <c r="AI46" s="44">
        <f>_xlfn.XLOOKUP($D$5,载具产出!$D$71:$D$75,载具产出!$E$71:$E$75)*(D46-30+1)</f>
        <v>129.380952380953</v>
      </c>
      <c r="AJ46" s="44">
        <f>IFERROR(MATCH(_xlfn.XLOOKUP($D$5,载具产出!$D$71:$D$75,载具产出!$E$71:$E$75)*(D46-30+1)*10,载具产出!$E$60:$E$67,1),0)+1</f>
        <v>4</v>
      </c>
      <c r="AK46" s="44">
        <f ca="1">IF($AJ46=1,($AI46)*(10*OFFSET(载具产出!$D$45,MATCH(AK$6,$AK$6:$AN$6,0)-1,$AJ46)+OFFSET(载具产出!$D$49,MATCH(AK$6,$AK$6:$AN$6,0)-1,$AJ46)*OFFSET(载具产出!$N$49,MATCH(AK$6,$AK$6:$AN$6,0)-1,0)),OFFSET(载具产出!F$59,$AJ46-1,0)*10+OFFSET(载具产出!J$59,$AJ46-1,0)+($AI46*10-_xlfn.XLOOKUP($AJ46-1,载具产出!$D$59:$D$67,载具产出!$E$59:$E$67))/10*(10*OFFSET(载具产出!$D$45,MATCH(AK$6,$AK$6:$AN$6,0)-1,$AJ46)+OFFSET(载具产出!$D$49,MATCH(AK$6,$AK$6:$AN$6,0)-1,$AJ46)*OFFSET(载具产出!$N$49,MATCH(AK$6,$AK$6:$AN$6,0)-1,0)))</f>
        <v>344.691142857144</v>
      </c>
      <c r="AL46" s="44">
        <f ca="1">IF($AJ46=1,($AI46)*(10*OFFSET(载具产出!$D$45,MATCH(AL$6,$AK$6:$AN$6,0)-1,$AJ46)+OFFSET(载具产出!$D$49,MATCH(AL$6,$AK$6:$AN$6,0)-1,$AJ46)*OFFSET(载具产出!$N$49,MATCH(AL$6,$AK$6:$AN$6,0)-1,0)),OFFSET(载具产出!G$59,$AJ46-1,0)*10+OFFSET(载具产出!K$59,$AJ46-1,0)+($AI46*10-_xlfn.XLOOKUP($AJ46-1,载具产出!$D$59:$D$67,载具产出!$E$59:$E$67))/10*(10*OFFSET(载具产出!$D$45,MATCH(AL$6,$AK$6:$AN$6,0)-1,$AJ46)+OFFSET(载具产出!$D$49,MATCH(AL$6,$AK$6:$AN$6,0)-1,$AJ46)*OFFSET(载具产出!$N$49,MATCH(AL$6,$AK$6:$AN$6,0)-1,0)))</f>
        <v>98.5923809523815</v>
      </c>
      <c r="AM46" s="44">
        <f ca="1">IF($AJ46=1,($AI46)*(10*OFFSET(载具产出!$D$45,MATCH(AM$6,$AK$6:$AN$6,0)-1,$AJ46)+OFFSET(载具产出!$D$49,MATCH(AM$6,$AK$6:$AN$6,0)-1,$AJ46)*OFFSET(载具产出!$N$49,MATCH(AM$6,$AK$6:$AN$6,0)-1,0)),OFFSET(载具产出!H$59,$AJ46-1,0)*10+OFFSET(载具产出!L$59,$AJ46-1,0)+($AI46*10-_xlfn.XLOOKUP($AJ46-1,载具产出!$D$59:$D$67,载具产出!$E$59:$E$67))/10*(10*OFFSET(载具产出!$D$45,MATCH(AM$6,$AK$6:$AN$6,0)-1,$AJ46)+OFFSET(载具产出!$D$49,MATCH(AM$6,$AK$6:$AN$6,0)-1,$AJ46)*OFFSET(载具产出!$N$49,MATCH(AM$6,$AK$6:$AN$6,0)-1,0)))</f>
        <v>39.0925714285717</v>
      </c>
      <c r="AN46" s="44">
        <f ca="1">IF($AJ46=1,($AI46)*(10*OFFSET(载具产出!$D$45,MATCH(AN$6,$AK$6:$AN$6,0)-1,$AJ46)+OFFSET(载具产出!$D$49,MATCH(AN$6,$AK$6:$AN$6,0)-1,$AJ46)*OFFSET(载具产出!$N$49,MATCH(AN$6,$AK$6:$AN$6,0)-1,0)),OFFSET(载具产出!I$59,$AJ46-1,0)*10+OFFSET(载具产出!M$59,$AJ46-1,0)+($AI46*10-_xlfn.XLOOKUP($AJ46-1,载具产出!$D$59:$D$67,载具产出!$E$59:$E$67))/10*(10*OFFSET(载具产出!$D$45,MATCH(AN$6,$AK$6:$AN$6,0)-1,$AJ46)+OFFSET(载具产出!$D$49,MATCH(AN$6,$AK$6:$AN$6,0)-1,$AJ46)*OFFSET(载具产出!$N$49,MATCH(AN$6,$AK$6:$AN$6,0)-1,0)))</f>
        <v>1.27580952380961</v>
      </c>
      <c r="AO46" s="44">
        <f ca="1" t="shared" si="3"/>
        <v>444.824476190478</v>
      </c>
      <c r="AP46" s="44">
        <f ca="1" t="shared" si="4"/>
        <v>181.045714285715</v>
      </c>
      <c r="AQ46" s="44">
        <f ca="1" t="shared" si="5"/>
        <v>41.1725714285717</v>
      </c>
      <c r="AR46" s="44">
        <f ca="1" t="shared" si="6"/>
        <v>1.27580952380961</v>
      </c>
      <c r="AS46" s="45">
        <f ca="1">IFERROR(MATCH(AO46/载具产出!R$58,载具属性!$G$33:$G$92,1),0)</f>
        <v>12</v>
      </c>
      <c r="AT46" s="45">
        <f ca="1">IFERROR(MATCH(AP46/载具产出!S$58,载具属性!$G$33:$G$92,1),0)</f>
        <v>6</v>
      </c>
      <c r="AU46" s="45">
        <f ca="1">IFERROR(MATCH(AQ46/载具产出!T$58,载具属性!$G$33:$G$92,1),0)</f>
        <v>0</v>
      </c>
      <c r="AV46" s="45">
        <f ca="1">IFERROR(MATCH(AR46/载具产出!U$58,载具属性!$G$33:$G$92,1),0)</f>
        <v>0</v>
      </c>
      <c r="AW46" s="46" t="str">
        <f ca="1" t="shared" si="7"/>
        <v>[{62,74},{63,6350},{2,14000},{6030001,245},{6030002,234},{6030003,6}]</v>
      </c>
      <c r="AX46" t="str">
        <f ca="1" t="shared" si="8"/>
        <v>{62,74}</v>
      </c>
      <c r="AY46" t="str">
        <f ca="1" t="shared" si="9"/>
        <v>{63,6350}</v>
      </c>
      <c r="AZ46" t="str">
        <f ca="1" t="shared" si="10"/>
        <v>{2,14000}</v>
      </c>
      <c r="BA46" t="str">
        <f ca="1" t="shared" si="11"/>
        <v>{6030001,245}</v>
      </c>
      <c r="BB46" t="str">
        <f ca="1" t="shared" si="12"/>
        <v>{6030002,234}</v>
      </c>
      <c r="BC46" t="str">
        <f ca="1" t="shared" si="13"/>
        <v>{6030003,6}</v>
      </c>
      <c r="BD46" t="str">
        <f ca="1" t="shared" si="14"/>
        <v/>
      </c>
    </row>
    <row r="47" spans="3:56">
      <c r="C47">
        <f ca="1" t="shared" si="1"/>
        <v>92.6288659793814</v>
      </c>
      <c r="D47" s="40">
        <v>41</v>
      </c>
      <c r="E47" s="40">
        <v>77</v>
      </c>
      <c r="F47" s="40">
        <v>87</v>
      </c>
      <c r="G47" s="41">
        <v>97</v>
      </c>
      <c r="H47" s="40">
        <v>121</v>
      </c>
      <c r="I47" s="40">
        <v>136</v>
      </c>
      <c r="J47" s="40">
        <f>MIN(INT(F47*(30-(D47-30))/30+(D47-30)/30*H47),H47)</f>
        <v>99</v>
      </c>
      <c r="K47" s="40">
        <f ca="1">SUM(U$36:U47)-SUM(OFFSET(载具产出!H$399,0,0,$R47+1,1))</f>
        <v>81</v>
      </c>
      <c r="L47" s="40">
        <f ca="1">SUM(T$36:T47)-SUM(OFFSET(载具产出!G$399,0,0,$R47+1,1))</f>
        <v>7140</v>
      </c>
      <c r="M47" s="40">
        <f ca="1">SUM(V$36:V47)/2-SUM(OFFSET(载具产出!I$399,0,0,$R47+1,1))</f>
        <v>16500</v>
      </c>
      <c r="N47" s="40">
        <f ca="1">SUM(AA$36:AA47)-SUM(OFFSET(载具产出!J$399,0,0,$R47+1,1))</f>
        <v>271.8</v>
      </c>
      <c r="O47" s="40">
        <f ca="1">SUM(AB$36:AB47)-SUM(OFFSET(载具产出!K$399,0,0,$R47+1,1))</f>
        <v>260</v>
      </c>
      <c r="P47" s="40">
        <f ca="1">SUM(AC$36:AC47)-SUM(OFFSET(载具产出!L$399,0,0,$R47+1,1))</f>
        <v>7.2</v>
      </c>
      <c r="Q47" s="40">
        <f ca="1">SUM(AD$36:AD47)-SUM(OFFSET(载具产出!M$399,0,0,$R47+1,1))</f>
        <v>0</v>
      </c>
      <c r="R47" s="40">
        <v>3</v>
      </c>
      <c r="S47" s="40" t="str">
        <f ca="1">OFFSET(载具产出!$D$111,IFERROR(MATCH(OFFSET($D47,0,MATCH($D$5,$E$6:$H$6,0)),载具产出!$E$112:$E$151,1),0),0)</f>
        <v>豪华Ⅰ</v>
      </c>
      <c r="T47" s="40">
        <f ca="1">OFFSET(载具产出!$F$399,IFERROR(MATCH(OFFSET($D47,0,MATCH($D$5,$E$6:$H$6,0)),载具产出!$E$400:$E$439,1),0),MATCH(T$6,载具产出!$G$399:$O$399,0))</f>
        <v>790</v>
      </c>
      <c r="U47" s="40">
        <v>7</v>
      </c>
      <c r="V47" s="40">
        <f ca="1">OFFSET(载具产出!$F$399,IFERROR(MATCH(OFFSET($D47,0,MATCH($D$5,$E$6:$H$6,0)),载具产出!$E$400:$E$439,1),0),MATCH(V$6,载具产出!$G$399:$O$399,0))</f>
        <v>5000</v>
      </c>
      <c r="W47" s="43">
        <f ca="1">_xlfn.XLOOKUP(Z47,载具属性!$E$98:$E$497,载具属性!$G$98:$G$497)+6000+OFFSET(载具属性!L$33,AS47,0)*载具属性!M$30+OFFSET(载具属性!M$33,AT47,0)*载具属性!N$30+OFFSET(载具属性!N$33,AU47,0)*载具属性!O$30+OFFSET(载具属性!O$33,AV47,0)*载具属性!P$30</f>
        <v>8985</v>
      </c>
      <c r="X47" s="43">
        <f ca="1">_xlfn.XLOOKUP(Z47,载具属性!$E$98:$E$497,载具属性!$G$98:$G$497)</f>
        <v>1665</v>
      </c>
      <c r="Y47" s="43">
        <f ca="1">OFFSET(载具属性!L$33,AS47,0)*载具属性!M$30+OFFSET(载具属性!M$33,AT47,0)*载具属性!N$30+OFFSET(载具属性!N$33,AU47,0)*载具属性!O$30+OFFSET(载具属性!O$33,AV47,0)*载具属性!P$30</f>
        <v>1320</v>
      </c>
      <c r="Z47" s="40">
        <f ca="1">MATCH(SUM($T$7:T47),载具属性!$I$98:$I$497,1)</f>
        <v>33</v>
      </c>
      <c r="AA47" s="40">
        <f ca="1">OFFSET(载具产出!$F$399,IFERROR(MATCH(OFFSET($D47,0,MATCH($D$5,$E$6:$H$6,0)),载具产出!$E$112:$E$151,1),0),MATCH(AA$6,载具产出!$G$111:$O$111,0))*2</f>
        <v>26</v>
      </c>
      <c r="AB47" s="40">
        <f ca="1">OFFSET(载具产出!$F$399,IFERROR(MATCH(OFFSET($D47,0,MATCH($D$5,$E$6:$H$6,0)),载具产出!$E$112:$E$151,1),0),MATCH(AB$6,载具产出!$G$111:$O$111,0))*2</f>
        <v>25.04</v>
      </c>
      <c r="AC47" s="40">
        <f ca="1">OFFSET(载具产出!$F$399,IFERROR(MATCH(OFFSET($D47,0,MATCH($D$5,$E$6:$H$6,0)),载具产出!$E$112:$E$151,1),0),MATCH(AC$6,载具产出!$G$111:$O$111,0))*2</f>
        <v>0.96</v>
      </c>
      <c r="AD47" s="40">
        <f ca="1">OFFSET(载具产出!$F$399,IFERROR(MATCH(OFFSET($D47,0,MATCH($D$5,$E$6:$H$6,0)),载具产出!$E$112:$E$151,1),0),MATCH(AD$6,载具产出!$G$111:$O$111,0))*2</f>
        <v>0</v>
      </c>
      <c r="AE47" s="44">
        <f ca="1">SUM(AA$36:AA47)/3</f>
        <v>108.8</v>
      </c>
      <c r="AF47" s="44">
        <f ca="1">SUM(AB$36:AB47)/3</f>
        <v>90.8</v>
      </c>
      <c r="AG47" s="44">
        <f ca="1">SUM(AC$36:AC47)/3</f>
        <v>2.4</v>
      </c>
      <c r="AH47" s="44">
        <f ca="1">SUM(AD$36:AD47)/3</f>
        <v>0</v>
      </c>
      <c r="AI47" s="44">
        <f>_xlfn.XLOOKUP($D$5,载具产出!$D$71:$D$75,载具产出!$E$71:$E$75)*(D47-30+1)</f>
        <v>141.142857142858</v>
      </c>
      <c r="AJ47" s="44">
        <f>IFERROR(MATCH(_xlfn.XLOOKUP($D$5,载具产出!$D$71:$D$75,载具产出!$E$71:$E$75)*(D47-30+1)*10,载具产出!$E$60:$E$67,1),0)+1</f>
        <v>4</v>
      </c>
      <c r="AK47" s="44">
        <f ca="1">IF($AJ47=1,($AI47)*(10*OFFSET(载具产出!$D$45,MATCH(AK$6,$AK$6:$AN$6,0)-1,$AJ47)+OFFSET(载具产出!$D$49,MATCH(AK$6,$AK$6:$AN$6,0)-1,$AJ47)*OFFSET(载具产出!$N$49,MATCH(AK$6,$AK$6:$AN$6,0)-1,0)),OFFSET(载具产出!F$59,$AJ47-1,0)*10+OFFSET(载具产出!J$59,$AJ47-1,0)+($AI47*10-_xlfn.XLOOKUP($AJ47-1,载具产出!$D$59:$D$67,载具产出!$E$59:$E$67))/10*(10*OFFSET(载具产出!$D$45,MATCH(AK$6,$AK$6:$AN$6,0)-1,$AJ47)+OFFSET(载具产出!$D$49,MATCH(AK$6,$AK$6:$AN$6,0)-1,$AJ47)*OFFSET(载具产出!$N$49,MATCH(AK$6,$AK$6:$AN$6,0)-1,0)))</f>
        <v>371.649428571431</v>
      </c>
      <c r="AL47" s="44">
        <f ca="1">IF($AJ47=1,($AI47)*(10*OFFSET(载具产出!$D$45,MATCH(AL$6,$AK$6:$AN$6,0)-1,$AJ47)+OFFSET(载具产出!$D$49,MATCH(AL$6,$AK$6:$AN$6,0)-1,$AJ47)*OFFSET(载具产出!$N$49,MATCH(AL$6,$AK$6:$AN$6,0)-1,0)),OFFSET(载具产出!G$59,$AJ47-1,0)*10+OFFSET(载具产出!K$59,$AJ47-1,0)+($AI47*10-_xlfn.XLOOKUP($AJ47-1,载具产出!$D$59:$D$67,载具产出!$E$59:$E$67))/10*(10*OFFSET(载具产出!$D$45,MATCH(AL$6,$AK$6:$AN$6,0)-1,$AJ47)+OFFSET(载具产出!$D$49,MATCH(AL$6,$AK$6:$AN$6,0)-1,$AJ47)*OFFSET(载具产出!$N$49,MATCH(AL$6,$AK$6:$AN$6,0)-1,0)))</f>
        <v>108.237142857144</v>
      </c>
      <c r="AM47" s="44">
        <f ca="1">IF($AJ47=1,($AI47)*(10*OFFSET(载具产出!$D$45,MATCH(AM$6,$AK$6:$AN$6,0)-1,$AJ47)+OFFSET(载具产出!$D$49,MATCH(AM$6,$AK$6:$AN$6,0)-1,$AJ47)*OFFSET(载具产出!$N$49,MATCH(AM$6,$AK$6:$AN$6,0)-1,0)),OFFSET(载具产出!H$59,$AJ47-1,0)*10+OFFSET(载具产出!L$59,$AJ47-1,0)+($AI47*10-_xlfn.XLOOKUP($AJ47-1,载具产出!$D$59:$D$67,载具产出!$E$59:$E$67))/10*(10*OFFSET(载具产出!$D$45,MATCH(AM$6,$AK$6:$AN$6,0)-1,$AJ47)+OFFSET(载具产出!$D$49,MATCH(AM$6,$AK$6:$AN$6,0)-1,$AJ47)*OFFSET(载具产出!$N$49,MATCH(AM$6,$AK$6:$AN$6,0)-1,0)))</f>
        <v>44.1737142857147</v>
      </c>
      <c r="AN47" s="44">
        <f ca="1">IF($AJ47=1,($AI47)*(10*OFFSET(载具产出!$D$45,MATCH(AN$6,$AK$6:$AN$6,0)-1,$AJ47)+OFFSET(载具产出!$D$49,MATCH(AN$6,$AK$6:$AN$6,0)-1,$AJ47)*OFFSET(载具产出!$N$49,MATCH(AN$6,$AK$6:$AN$6,0)-1,0)),OFFSET(载具产出!I$59,$AJ47-1,0)*10+OFFSET(载具产出!M$59,$AJ47-1,0)+($AI47*10-_xlfn.XLOOKUP($AJ47-1,载具产出!$D$59:$D$67,载具产出!$E$59:$E$67))/10*(10*OFFSET(载具产出!$D$45,MATCH(AN$6,$AK$6:$AN$6,0)-1,$AJ47)+OFFSET(载具产出!$D$49,MATCH(AN$6,$AK$6:$AN$6,0)-1,$AJ47)*OFFSET(载具产出!$N$49,MATCH(AN$6,$AK$6:$AN$6,0)-1,0)))</f>
        <v>2.87542857142869</v>
      </c>
      <c r="AO47" s="44">
        <f ca="1" t="shared" si="3"/>
        <v>480.449428571431</v>
      </c>
      <c r="AP47" s="44">
        <f ca="1" t="shared" si="4"/>
        <v>199.037142857144</v>
      </c>
      <c r="AQ47" s="44">
        <f ca="1" t="shared" si="5"/>
        <v>46.5737142857147</v>
      </c>
      <c r="AR47" s="44">
        <f ca="1" t="shared" si="6"/>
        <v>2.87542857142869</v>
      </c>
      <c r="AS47" s="45">
        <f ca="1">IFERROR(MATCH(AO47/载具产出!R$58,载具属性!$G$33:$G$92,1),0)</f>
        <v>13</v>
      </c>
      <c r="AT47" s="45">
        <f ca="1">IFERROR(MATCH(AP47/载具产出!S$58,载具属性!$G$33:$G$92,1),0)</f>
        <v>6</v>
      </c>
      <c r="AU47" s="45">
        <f ca="1">IFERROR(MATCH(AQ47/载具产出!T$58,载具属性!$G$33:$G$92,1),0)</f>
        <v>0</v>
      </c>
      <c r="AV47" s="45">
        <f ca="1">IFERROR(MATCH(AR47/载具产出!U$58,载具属性!$G$33:$G$92,1),0)</f>
        <v>0</v>
      </c>
      <c r="AW47" s="46" t="str">
        <f ca="1" t="shared" si="7"/>
        <v>[{62,81},{63,7140},{2,16500},{6030001,271},{6030002,260},{6030003,7}]</v>
      </c>
      <c r="AX47" t="str">
        <f ca="1" t="shared" si="8"/>
        <v>{62,81}</v>
      </c>
      <c r="AY47" t="str">
        <f ca="1" t="shared" si="9"/>
        <v>{63,7140}</v>
      </c>
      <c r="AZ47" t="str">
        <f ca="1" t="shared" si="10"/>
        <v>{2,16500}</v>
      </c>
      <c r="BA47" t="str">
        <f ca="1" t="shared" si="11"/>
        <v>{6030001,271}</v>
      </c>
      <c r="BB47" t="str">
        <f ca="1" t="shared" si="12"/>
        <v>{6030002,260}</v>
      </c>
      <c r="BC47" t="str">
        <f ca="1" t="shared" si="13"/>
        <v>{6030003,7}</v>
      </c>
      <c r="BD47" t="str">
        <f ca="1" t="shared" si="14"/>
        <v/>
      </c>
    </row>
    <row r="48" spans="3:56">
      <c r="C48">
        <f ca="1" t="shared" si="1"/>
        <v>93.7244897959184</v>
      </c>
      <c r="D48" s="40">
        <v>42</v>
      </c>
      <c r="E48" s="40">
        <v>77</v>
      </c>
      <c r="F48" s="40">
        <v>88</v>
      </c>
      <c r="G48" s="41">
        <v>98</v>
      </c>
      <c r="H48" s="40">
        <v>122</v>
      </c>
      <c r="I48" s="40">
        <v>136</v>
      </c>
      <c r="J48" s="40">
        <f t="shared" ref="J48:J56" si="15">MIN(INT(F48*(30-(D48-30))/30+(D48-30)/30*H48),H48)</f>
        <v>101</v>
      </c>
      <c r="K48" s="40">
        <f ca="1">SUM(U$36:U48)-SUM(OFFSET(载具产出!H$399,0,0,$R48+1,1))</f>
        <v>88</v>
      </c>
      <c r="L48" s="40">
        <f ca="1">SUM(T$36:T48)-SUM(OFFSET(载具产出!G$399,0,0,$R48+1,1))</f>
        <v>7930</v>
      </c>
      <c r="M48" s="40">
        <f ca="1">SUM(V$36:V48)/2-SUM(OFFSET(载具产出!I$399,0,0,$R48+1,1))</f>
        <v>19000</v>
      </c>
      <c r="N48" s="40">
        <f ca="1">SUM(AA$36:AA48)-SUM(OFFSET(载具产出!J$399,0,0,$R48+1,1))</f>
        <v>297.8</v>
      </c>
      <c r="O48" s="40">
        <f ca="1">SUM(AB$36:AB48)-SUM(OFFSET(载具产出!K$399,0,0,$R48+1,1))</f>
        <v>285.04</v>
      </c>
      <c r="P48" s="40">
        <f ca="1">SUM(AC$36:AC48)-SUM(OFFSET(载具产出!L$399,0,0,$R48+1,1))</f>
        <v>8.16</v>
      </c>
      <c r="Q48" s="40">
        <f ca="1">SUM(AD$36:AD48)-SUM(OFFSET(载具产出!M$399,0,0,$R48+1,1))</f>
        <v>0</v>
      </c>
      <c r="R48" s="40">
        <v>3</v>
      </c>
      <c r="S48" s="40" t="str">
        <f ca="1">OFFSET(载具产出!$D$111,IFERROR(MATCH(OFFSET($D48,0,MATCH($D$5,$E$6:$H$6,0)),载具产出!$E$112:$E$151,1),0),0)</f>
        <v>豪华Ⅰ</v>
      </c>
      <c r="T48" s="40">
        <f ca="1">OFFSET(载具产出!$F$399,IFERROR(MATCH(OFFSET($D48,0,MATCH($D$5,$E$6:$H$6,0)),载具产出!$E$400:$E$439,1),0),MATCH(T$6,载具产出!$G$399:$O$399,0))</f>
        <v>790</v>
      </c>
      <c r="U48" s="40">
        <v>7</v>
      </c>
      <c r="V48" s="40">
        <f ca="1">OFFSET(载具产出!$F$399,IFERROR(MATCH(OFFSET($D48,0,MATCH($D$5,$E$6:$H$6,0)),载具产出!$E$400:$E$439,1),0),MATCH(V$6,载具产出!$G$399:$O$399,0))</f>
        <v>5000</v>
      </c>
      <c r="W48" s="43">
        <f ca="1">_xlfn.XLOOKUP(Z48,载具属性!$E$98:$E$497,载具属性!$G$98:$G$497)+6000+OFFSET(载具属性!L$33,AS48,0)*载具属性!M$30+OFFSET(载具属性!M$33,AT48,0)*载具属性!N$30+OFFSET(载具属性!N$33,AU48,0)*载具属性!O$30+OFFSET(载具属性!O$33,AV48,0)*载具属性!P$30</f>
        <v>9185</v>
      </c>
      <c r="X48" s="43">
        <f ca="1">_xlfn.XLOOKUP(Z48,载具属性!$E$98:$E$497,载具属性!$G$98:$G$497)</f>
        <v>1775</v>
      </c>
      <c r="Y48" s="43">
        <f ca="1">OFFSET(载具属性!L$33,AS48,0)*载具属性!M$30+OFFSET(载具属性!M$33,AT48,0)*载具属性!N$30+OFFSET(载具属性!N$33,AU48,0)*载具属性!O$30+OFFSET(载具属性!O$33,AV48,0)*载具属性!P$30</f>
        <v>1410</v>
      </c>
      <c r="Z48" s="40">
        <f ca="1">MATCH(SUM($T$7:T48),载具属性!$I$98:$I$497,1)</f>
        <v>35</v>
      </c>
      <c r="AA48" s="40">
        <f ca="1">OFFSET(载具产出!$F$399,IFERROR(MATCH(OFFSET($D48,0,MATCH($D$5,$E$6:$H$6,0)),载具产出!$E$112:$E$151,1),0),MATCH(AA$6,载具产出!$G$111:$O$111,0))*2</f>
        <v>26</v>
      </c>
      <c r="AB48" s="40">
        <f ca="1">OFFSET(载具产出!$F$399,IFERROR(MATCH(OFFSET($D48,0,MATCH($D$5,$E$6:$H$6,0)),载具产出!$E$112:$E$151,1),0),MATCH(AB$6,载具产出!$G$111:$O$111,0))*2</f>
        <v>25.04</v>
      </c>
      <c r="AC48" s="40">
        <f ca="1">OFFSET(载具产出!$F$399,IFERROR(MATCH(OFFSET($D48,0,MATCH($D$5,$E$6:$H$6,0)),载具产出!$E$112:$E$151,1),0),MATCH(AC$6,载具产出!$G$111:$O$111,0))*2</f>
        <v>0.96</v>
      </c>
      <c r="AD48" s="40">
        <f ca="1">OFFSET(载具产出!$F$399,IFERROR(MATCH(OFFSET($D48,0,MATCH($D$5,$E$6:$H$6,0)),载具产出!$E$112:$E$151,1),0),MATCH(AD$6,载具产出!$G$111:$O$111,0))*2</f>
        <v>0</v>
      </c>
      <c r="AE48" s="44">
        <f ca="1">SUM(AA$36:AA48)/3</f>
        <v>117.466666666667</v>
      </c>
      <c r="AF48" s="44">
        <f ca="1">SUM(AB$36:AB48)/3</f>
        <v>99.1466666666667</v>
      </c>
      <c r="AG48" s="44">
        <f ca="1">SUM(AC$36:AC48)/3</f>
        <v>2.72</v>
      </c>
      <c r="AH48" s="44">
        <f ca="1">SUM(AD$36:AD48)/3</f>
        <v>0</v>
      </c>
      <c r="AI48" s="44">
        <f>_xlfn.XLOOKUP($D$5,载具产出!$D$71:$D$75,载具产出!$E$71:$E$75)*(D48-30+1)</f>
        <v>152.904761904762</v>
      </c>
      <c r="AJ48" s="44">
        <f>IFERROR(MATCH(_xlfn.XLOOKUP($D$5,载具产出!$D$71:$D$75,载具产出!$E$71:$E$75)*(D48-30+1)*10,载具产出!$E$60:$E$67,1),0)+1</f>
        <v>4</v>
      </c>
      <c r="AK48" s="44">
        <f ca="1">IF($AJ48=1,($AI48)*(10*OFFSET(载具产出!$D$45,MATCH(AK$6,$AK$6:$AN$6,0)-1,$AJ48)+OFFSET(载具产出!$D$49,MATCH(AK$6,$AK$6:$AN$6,0)-1,$AJ48)*OFFSET(载具产出!$N$49,MATCH(AK$6,$AK$6:$AN$6,0)-1,0)),OFFSET(载具产出!F$59,$AJ48-1,0)*10+OFFSET(载具产出!J$59,$AJ48-1,0)+($AI48*10-_xlfn.XLOOKUP($AJ48-1,载具产出!$D$59:$D$67,载具产出!$E$59:$E$67))/10*(10*OFFSET(载具产出!$D$45,MATCH(AK$6,$AK$6:$AN$6,0)-1,$AJ48)+OFFSET(载具产出!$D$49,MATCH(AK$6,$AK$6:$AN$6,0)-1,$AJ48)*OFFSET(载具产出!$N$49,MATCH(AK$6,$AK$6:$AN$6,0)-1,0)))</f>
        <v>398.607714285715</v>
      </c>
      <c r="AL48" s="44">
        <f ca="1">IF($AJ48=1,($AI48)*(10*OFFSET(载具产出!$D$45,MATCH(AL$6,$AK$6:$AN$6,0)-1,$AJ48)+OFFSET(载具产出!$D$49,MATCH(AL$6,$AK$6:$AN$6,0)-1,$AJ48)*OFFSET(载具产出!$N$49,MATCH(AL$6,$AK$6:$AN$6,0)-1,0)),OFFSET(载具产出!G$59,$AJ48-1,0)*10+OFFSET(载具产出!K$59,$AJ48-1,0)+($AI48*10-_xlfn.XLOOKUP($AJ48-1,载具产出!$D$59:$D$67,载具产出!$E$59:$E$67))/10*(10*OFFSET(载具产出!$D$45,MATCH(AL$6,$AK$6:$AN$6,0)-1,$AJ48)+OFFSET(载具产出!$D$49,MATCH(AL$6,$AK$6:$AN$6,0)-1,$AJ48)*OFFSET(载具产出!$N$49,MATCH(AL$6,$AK$6:$AN$6,0)-1,0)))</f>
        <v>117.881904761905</v>
      </c>
      <c r="AM48" s="44">
        <f ca="1">IF($AJ48=1,($AI48)*(10*OFFSET(载具产出!$D$45,MATCH(AM$6,$AK$6:$AN$6,0)-1,$AJ48)+OFFSET(载具产出!$D$49,MATCH(AM$6,$AK$6:$AN$6,0)-1,$AJ48)*OFFSET(载具产出!$N$49,MATCH(AM$6,$AK$6:$AN$6,0)-1,0)),OFFSET(载具产出!H$59,$AJ48-1,0)*10+OFFSET(载具产出!L$59,$AJ48-1,0)+($AI48*10-_xlfn.XLOOKUP($AJ48-1,载具产出!$D$59:$D$67,载具产出!$E$59:$E$67))/10*(10*OFFSET(载具产出!$D$45,MATCH(AM$6,$AK$6:$AN$6,0)-1,$AJ48)+OFFSET(载具产出!$D$49,MATCH(AM$6,$AK$6:$AN$6,0)-1,$AJ48)*OFFSET(载具产出!$N$49,MATCH(AM$6,$AK$6:$AN$6,0)-1,0)))</f>
        <v>49.2548571428572</v>
      </c>
      <c r="AN48" s="44">
        <f ca="1">IF($AJ48=1,($AI48)*(10*OFFSET(载具产出!$D$45,MATCH(AN$6,$AK$6:$AN$6,0)-1,$AJ48)+OFFSET(载具产出!$D$49,MATCH(AN$6,$AK$6:$AN$6,0)-1,$AJ48)*OFFSET(载具产出!$N$49,MATCH(AN$6,$AK$6:$AN$6,0)-1,0)),OFFSET(载具产出!I$59,$AJ48-1,0)*10+OFFSET(载具产出!M$59,$AJ48-1,0)+($AI48*10-_xlfn.XLOOKUP($AJ48-1,载具产出!$D$59:$D$67,载具产出!$E$59:$E$67))/10*(10*OFFSET(载具产出!$D$45,MATCH(AN$6,$AK$6:$AN$6,0)-1,$AJ48)+OFFSET(载具产出!$D$49,MATCH(AN$6,$AK$6:$AN$6,0)-1,$AJ48)*OFFSET(载具产出!$N$49,MATCH(AN$6,$AK$6:$AN$6,0)-1,0)))</f>
        <v>4.47504761904763</v>
      </c>
      <c r="AO48" s="44">
        <f ca="1" t="shared" si="3"/>
        <v>516.074380952381</v>
      </c>
      <c r="AP48" s="44">
        <f ca="1" t="shared" si="4"/>
        <v>217.028571428572</v>
      </c>
      <c r="AQ48" s="44">
        <f ca="1" t="shared" si="5"/>
        <v>51.9748571428572</v>
      </c>
      <c r="AR48" s="44">
        <f ca="1" t="shared" si="6"/>
        <v>4.47504761904763</v>
      </c>
      <c r="AS48" s="45">
        <f ca="1">IFERROR(MATCH(AO48/载具产出!R$58,载具属性!$G$33:$G$92,1),0)</f>
        <v>13</v>
      </c>
      <c r="AT48" s="45">
        <f ca="1">IFERROR(MATCH(AP48/载具产出!S$58,载具属性!$G$33:$G$92,1),0)</f>
        <v>7</v>
      </c>
      <c r="AU48" s="45">
        <f ca="1">IFERROR(MATCH(AQ48/载具产出!T$58,载具属性!$G$33:$G$92,1),0)</f>
        <v>0</v>
      </c>
      <c r="AV48" s="45">
        <f ca="1">IFERROR(MATCH(AR48/载具产出!U$58,载具属性!$G$33:$G$92,1),0)</f>
        <v>0</v>
      </c>
      <c r="AW48" s="46" t="str">
        <f ca="1" t="shared" si="7"/>
        <v>[{62,88},{63,7930},{2,19000},{6030001,297},{6030002,285},{6030003,8}]</v>
      </c>
      <c r="AX48" t="str">
        <f ca="1" t="shared" si="8"/>
        <v>{62,88}</v>
      </c>
      <c r="AY48" t="str">
        <f ca="1" t="shared" si="9"/>
        <v>{63,7930}</v>
      </c>
      <c r="AZ48" t="str">
        <f ca="1" t="shared" si="10"/>
        <v>{2,19000}</v>
      </c>
      <c r="BA48" t="str">
        <f ca="1" t="shared" si="11"/>
        <v>{6030001,297}</v>
      </c>
      <c r="BB48" t="str">
        <f ca="1" t="shared" si="12"/>
        <v>{6030002,285}</v>
      </c>
      <c r="BC48" t="str">
        <f ca="1" t="shared" si="13"/>
        <v>{6030003,8}</v>
      </c>
      <c r="BD48" t="str">
        <f ca="1" t="shared" si="14"/>
        <v/>
      </c>
    </row>
    <row r="49" spans="3:56">
      <c r="C49">
        <f ca="1" t="shared" si="1"/>
        <v>93.9393939393939</v>
      </c>
      <c r="D49" s="40">
        <v>43</v>
      </c>
      <c r="E49" s="40">
        <v>78</v>
      </c>
      <c r="F49" s="40">
        <v>88</v>
      </c>
      <c r="G49" s="41">
        <v>99</v>
      </c>
      <c r="H49" s="40">
        <v>123</v>
      </c>
      <c r="I49" s="40">
        <v>136</v>
      </c>
      <c r="J49" s="40">
        <f t="shared" si="15"/>
        <v>103</v>
      </c>
      <c r="K49" s="40">
        <f ca="1">SUM(U$36:U49)-SUM(OFFSET(载具产出!H$399,0,0,$R49+1,1))</f>
        <v>95</v>
      </c>
      <c r="L49" s="40">
        <f ca="1">SUM(T$36:T49)-SUM(OFFSET(载具产出!G$399,0,0,$R49+1,1))</f>
        <v>8720</v>
      </c>
      <c r="M49" s="40">
        <f ca="1">SUM(V$36:V49)/2-SUM(OFFSET(载具产出!I$399,0,0,$R49+1,1))</f>
        <v>21500</v>
      </c>
      <c r="N49" s="40">
        <f ca="1">SUM(AA$36:AA49)-SUM(OFFSET(载具产出!J$399,0,0,$R49+1,1))</f>
        <v>323.8</v>
      </c>
      <c r="O49" s="40">
        <f ca="1">SUM(AB$36:AB49)-SUM(OFFSET(载具产出!K$399,0,0,$R49+1,1))</f>
        <v>310.08</v>
      </c>
      <c r="P49" s="40">
        <f ca="1">SUM(AC$36:AC49)-SUM(OFFSET(载具产出!L$399,0,0,$R49+1,1))</f>
        <v>9.12</v>
      </c>
      <c r="Q49" s="40">
        <f ca="1">SUM(AD$36:AD49)-SUM(OFFSET(载具产出!M$399,0,0,$R49+1,1))</f>
        <v>0</v>
      </c>
      <c r="R49" s="40">
        <v>3</v>
      </c>
      <c r="S49" s="40" t="str">
        <f ca="1">OFFSET(载具产出!$D$111,IFERROR(MATCH(OFFSET($D49,0,MATCH($D$5,$E$6:$H$6,0)),载具产出!$E$112:$E$151,1),0),0)</f>
        <v>豪华Ⅰ</v>
      </c>
      <c r="T49" s="40">
        <f ca="1">OFFSET(载具产出!$F$399,IFERROR(MATCH(OFFSET($D49,0,MATCH($D$5,$E$6:$H$6,0)),载具产出!$E$400:$E$439,1),0),MATCH(T$6,载具产出!$G$399:$O$399,0))</f>
        <v>790</v>
      </c>
      <c r="U49" s="40">
        <v>7</v>
      </c>
      <c r="V49" s="40">
        <f ca="1">OFFSET(载具产出!$F$399,IFERROR(MATCH(OFFSET($D49,0,MATCH($D$5,$E$6:$H$6,0)),载具产出!$E$400:$E$439,1),0),MATCH(V$6,载具产出!$G$399:$O$399,0))</f>
        <v>5000</v>
      </c>
      <c r="W49" s="43">
        <f ca="1">_xlfn.XLOOKUP(Z49,载具属性!$E$98:$E$497,载具属性!$G$98:$G$497)+6000+OFFSET(载具属性!L$33,AS49,0)*载具属性!M$30+OFFSET(载具属性!M$33,AT49,0)*载具属性!N$30+OFFSET(载具属性!N$33,AU49,0)*载具属性!O$30+OFFSET(载具属性!O$33,AV49,0)*载具属性!P$30</f>
        <v>9300</v>
      </c>
      <c r="X49" s="43">
        <f ca="1">_xlfn.XLOOKUP(Z49,载具属性!$E$98:$E$497,载具属性!$G$98:$G$497)</f>
        <v>1830</v>
      </c>
      <c r="Y49" s="43">
        <f ca="1">OFFSET(载具属性!L$33,AS49,0)*载具属性!M$30+OFFSET(载具属性!M$33,AT49,0)*载具属性!N$30+OFFSET(载具属性!N$33,AU49,0)*载具属性!O$30+OFFSET(载具属性!O$33,AV49,0)*载具属性!P$30</f>
        <v>1470</v>
      </c>
      <c r="Z49" s="40">
        <f ca="1">MATCH(SUM($T$7:T49),载具属性!$I$98:$I$497,1)</f>
        <v>36</v>
      </c>
      <c r="AA49" s="40">
        <f ca="1">OFFSET(载具产出!$F$399,IFERROR(MATCH(OFFSET($D49,0,MATCH($D$5,$E$6:$H$6,0)),载具产出!$E$112:$E$151,1),0),MATCH(AA$6,载具产出!$G$111:$O$111,0))*2</f>
        <v>26</v>
      </c>
      <c r="AB49" s="40">
        <f ca="1">OFFSET(载具产出!$F$399,IFERROR(MATCH(OFFSET($D49,0,MATCH($D$5,$E$6:$H$6,0)),载具产出!$E$112:$E$151,1),0),MATCH(AB$6,载具产出!$G$111:$O$111,0))*2</f>
        <v>25.04</v>
      </c>
      <c r="AC49" s="40">
        <f ca="1">OFFSET(载具产出!$F$399,IFERROR(MATCH(OFFSET($D49,0,MATCH($D$5,$E$6:$H$6,0)),载具产出!$E$112:$E$151,1),0),MATCH(AC$6,载具产出!$G$111:$O$111,0))*2</f>
        <v>0.96</v>
      </c>
      <c r="AD49" s="40">
        <f ca="1">OFFSET(载具产出!$F$399,IFERROR(MATCH(OFFSET($D49,0,MATCH($D$5,$E$6:$H$6,0)),载具产出!$E$112:$E$151,1),0),MATCH(AD$6,载具产出!$G$111:$O$111,0))*2</f>
        <v>0</v>
      </c>
      <c r="AE49" s="44">
        <f ca="1">SUM(AA$36:AA49)/3</f>
        <v>126.133333333333</v>
      </c>
      <c r="AF49" s="44">
        <f ca="1">SUM(AB$36:AB49)/3</f>
        <v>107.493333333333</v>
      </c>
      <c r="AG49" s="44">
        <f ca="1">SUM(AC$36:AC49)/3</f>
        <v>3.04</v>
      </c>
      <c r="AH49" s="44">
        <f ca="1">SUM(AD$36:AD49)/3</f>
        <v>0</v>
      </c>
      <c r="AI49" s="44">
        <f>_xlfn.XLOOKUP($D$5,载具产出!$D$71:$D$75,载具产出!$E$71:$E$75)*(D49-30+1)</f>
        <v>164.666666666667</v>
      </c>
      <c r="AJ49" s="44">
        <f>IFERROR(MATCH(_xlfn.XLOOKUP($D$5,载具产出!$D$71:$D$75,载具产出!$E$71:$E$75)*(D49-30+1)*10,载具产出!$E$60:$E$67,1),0)+1</f>
        <v>4</v>
      </c>
      <c r="AK49" s="44">
        <f ca="1">IF($AJ49=1,($AI49)*(10*OFFSET(载具产出!$D$45,MATCH(AK$6,$AK$6:$AN$6,0)-1,$AJ49)+OFFSET(载具产出!$D$49,MATCH(AK$6,$AK$6:$AN$6,0)-1,$AJ49)*OFFSET(载具产出!$N$49,MATCH(AK$6,$AK$6:$AN$6,0)-1,0)),OFFSET(载具产出!F$59,$AJ49-1,0)*10+OFFSET(载具产出!J$59,$AJ49-1,0)+($AI49*10-_xlfn.XLOOKUP($AJ49-1,载具产出!$D$59:$D$67,载具产出!$E$59:$E$67))/10*(10*OFFSET(载具产出!$D$45,MATCH(AK$6,$AK$6:$AN$6,0)-1,$AJ49)+OFFSET(载具产出!$D$49,MATCH(AK$6,$AK$6:$AN$6,0)-1,$AJ49)*OFFSET(载具产出!$N$49,MATCH(AK$6,$AK$6:$AN$6,0)-1,0)))</f>
        <v>425.566000000001</v>
      </c>
      <c r="AL49" s="44">
        <f ca="1">IF($AJ49=1,($AI49)*(10*OFFSET(载具产出!$D$45,MATCH(AL$6,$AK$6:$AN$6,0)-1,$AJ49)+OFFSET(载具产出!$D$49,MATCH(AL$6,$AK$6:$AN$6,0)-1,$AJ49)*OFFSET(载具产出!$N$49,MATCH(AL$6,$AK$6:$AN$6,0)-1,0)),OFFSET(载具产出!G$59,$AJ49-1,0)*10+OFFSET(载具产出!K$59,$AJ49-1,0)+($AI49*10-_xlfn.XLOOKUP($AJ49-1,载具产出!$D$59:$D$67,载具产出!$E$59:$E$67))/10*(10*OFFSET(载具产出!$D$45,MATCH(AL$6,$AK$6:$AN$6,0)-1,$AJ49)+OFFSET(载具产出!$D$49,MATCH(AL$6,$AK$6:$AN$6,0)-1,$AJ49)*OFFSET(载具产出!$N$49,MATCH(AL$6,$AK$6:$AN$6,0)-1,0)))</f>
        <v>127.526666666667</v>
      </c>
      <c r="AM49" s="44">
        <f ca="1">IF($AJ49=1,($AI49)*(10*OFFSET(载具产出!$D$45,MATCH(AM$6,$AK$6:$AN$6,0)-1,$AJ49)+OFFSET(载具产出!$D$49,MATCH(AM$6,$AK$6:$AN$6,0)-1,$AJ49)*OFFSET(载具产出!$N$49,MATCH(AM$6,$AK$6:$AN$6,0)-1,0)),OFFSET(载具产出!H$59,$AJ49-1,0)*10+OFFSET(载具产出!L$59,$AJ49-1,0)+($AI49*10-_xlfn.XLOOKUP($AJ49-1,载具产出!$D$59:$D$67,载具产出!$E$59:$E$67))/10*(10*OFFSET(载具产出!$D$45,MATCH(AM$6,$AK$6:$AN$6,0)-1,$AJ49)+OFFSET(载具产出!$D$49,MATCH(AM$6,$AK$6:$AN$6,0)-1,$AJ49)*OFFSET(载具产出!$N$49,MATCH(AM$6,$AK$6:$AN$6,0)-1,0)))</f>
        <v>54.3360000000001</v>
      </c>
      <c r="AN49" s="44">
        <f ca="1">IF($AJ49=1,($AI49)*(10*OFFSET(载具产出!$D$45,MATCH(AN$6,$AK$6:$AN$6,0)-1,$AJ49)+OFFSET(载具产出!$D$49,MATCH(AN$6,$AK$6:$AN$6,0)-1,$AJ49)*OFFSET(载具产出!$N$49,MATCH(AN$6,$AK$6:$AN$6,0)-1,0)),OFFSET(载具产出!I$59,$AJ49-1,0)*10+OFFSET(载具产出!M$59,$AJ49-1,0)+($AI49*10-_xlfn.XLOOKUP($AJ49-1,载具产出!$D$59:$D$67,载具产出!$E$59:$E$67))/10*(10*OFFSET(载具产出!$D$45,MATCH(AN$6,$AK$6:$AN$6,0)-1,$AJ49)+OFFSET(载具产出!$D$49,MATCH(AN$6,$AK$6:$AN$6,0)-1,$AJ49)*OFFSET(载具产出!$N$49,MATCH(AN$6,$AK$6:$AN$6,0)-1,0)))</f>
        <v>6.07466666666671</v>
      </c>
      <c r="AO49" s="44">
        <f ca="1" t="shared" si="3"/>
        <v>551.699333333334</v>
      </c>
      <c r="AP49" s="44">
        <f ca="1" t="shared" si="4"/>
        <v>235.02</v>
      </c>
      <c r="AQ49" s="44">
        <f ca="1" t="shared" si="5"/>
        <v>57.3760000000001</v>
      </c>
      <c r="AR49" s="44">
        <f ca="1" t="shared" si="6"/>
        <v>6.07466666666671</v>
      </c>
      <c r="AS49" s="45">
        <f ca="1">IFERROR(MATCH(AO49/载具产出!R$58,载具属性!$G$33:$G$92,1),0)</f>
        <v>14</v>
      </c>
      <c r="AT49" s="45">
        <f ca="1">IFERROR(MATCH(AP49/载具产出!S$58,载具属性!$G$33:$G$92,1),0)</f>
        <v>7</v>
      </c>
      <c r="AU49" s="45">
        <f ca="1">IFERROR(MATCH(AQ49/载具产出!T$58,载具属性!$G$33:$G$92,1),0)</f>
        <v>0</v>
      </c>
      <c r="AV49" s="45">
        <f ca="1">IFERROR(MATCH(AR49/载具产出!U$58,载具属性!$G$33:$G$92,1),0)</f>
        <v>0</v>
      </c>
      <c r="AW49" s="46" t="str">
        <f ca="1" t="shared" si="7"/>
        <v>[{62,95},{63,8720},{2,21500},{6030001,323},{6030002,310},{6030003,9}]</v>
      </c>
      <c r="AX49" t="str">
        <f ca="1" t="shared" si="8"/>
        <v>{62,95}</v>
      </c>
      <c r="AY49" t="str">
        <f ca="1" t="shared" si="9"/>
        <v>{63,8720}</v>
      </c>
      <c r="AZ49" t="str">
        <f ca="1" t="shared" si="10"/>
        <v>{2,21500}</v>
      </c>
      <c r="BA49" t="str">
        <f ca="1" t="shared" si="11"/>
        <v>{6030001,323}</v>
      </c>
      <c r="BB49" t="str">
        <f ca="1" t="shared" si="12"/>
        <v>{6030002,310}</v>
      </c>
      <c r="BC49" t="str">
        <f ca="1" t="shared" si="13"/>
        <v>{6030003,9}</v>
      </c>
      <c r="BD49" t="str">
        <f ca="1" t="shared" si="14"/>
        <v/>
      </c>
    </row>
    <row r="50" s="25" customFormat="1" spans="3:56">
      <c r="C50">
        <f ca="1" t="shared" si="1"/>
        <v>96.2</v>
      </c>
      <c r="D50" s="41">
        <v>44</v>
      </c>
      <c r="E50" s="41">
        <v>78</v>
      </c>
      <c r="F50" s="41">
        <v>89</v>
      </c>
      <c r="G50" s="41">
        <v>100</v>
      </c>
      <c r="H50" s="41">
        <v>125</v>
      </c>
      <c r="I50" s="41">
        <v>136</v>
      </c>
      <c r="J50" s="40">
        <f t="shared" si="15"/>
        <v>105</v>
      </c>
      <c r="K50" s="40">
        <f ca="1">SUM(U$36:U50)-SUM(OFFSET(载具产出!H$399,0,0,$R50+1,1))</f>
        <v>102</v>
      </c>
      <c r="L50" s="40">
        <f ca="1">SUM(T$36:T50)-SUM(OFFSET(载具产出!G$399,0,0,$R50+1,1))</f>
        <v>9510</v>
      </c>
      <c r="M50" s="40">
        <f ca="1">SUM(V$36:V50)/2-SUM(OFFSET(载具产出!I$399,0,0,$R50+1,1))</f>
        <v>24000</v>
      </c>
      <c r="N50" s="40">
        <f ca="1">SUM(AA$36:AA50)-SUM(OFFSET(载具产出!J$399,0,0,$R50+1,1))</f>
        <v>349.8</v>
      </c>
      <c r="O50" s="40">
        <f ca="1">SUM(AB$36:AB50)-SUM(OFFSET(载具产出!K$399,0,0,$R50+1,1))</f>
        <v>335.12</v>
      </c>
      <c r="P50" s="40">
        <f ca="1">SUM(AC$36:AC50)-SUM(OFFSET(载具产出!L$399,0,0,$R50+1,1))</f>
        <v>10.08</v>
      </c>
      <c r="Q50" s="40">
        <f ca="1">SUM(AD$36:AD50)-SUM(OFFSET(载具产出!M$399,0,0,$R50+1,1))</f>
        <v>0</v>
      </c>
      <c r="R50" s="40">
        <v>3</v>
      </c>
      <c r="S50" s="41" t="str">
        <f ca="1">OFFSET(载具产出!$D$111,IFERROR(MATCH(OFFSET($D50,0,MATCH($D$5,$E$6:$H$6,0)),载具产出!$E$112:$E$151,1),0),0)</f>
        <v>豪华Ⅰ</v>
      </c>
      <c r="T50" s="40">
        <f ca="1">OFFSET(载具产出!$F$399,IFERROR(MATCH(OFFSET($D50,0,MATCH($D$5,$E$6:$H$6,0)),载具产出!$E$400:$E$439,1),0),MATCH(T$6,载具产出!$G$399:$O$399,0))</f>
        <v>790</v>
      </c>
      <c r="U50" s="40">
        <v>7</v>
      </c>
      <c r="V50" s="40">
        <f ca="1">OFFSET(载具产出!$F$399,IFERROR(MATCH(OFFSET($D50,0,MATCH($D$5,$E$6:$H$6,0)),载具产出!$E$400:$E$439,1),0),MATCH(V$6,载具产出!$G$399:$O$399,0))</f>
        <v>5000</v>
      </c>
      <c r="W50" s="41">
        <f ca="1">_xlfn.XLOOKUP(Z50,载具属性!$E$98:$E$497,载具属性!$G$98:$G$497)+6000+OFFSET(载具属性!L$33,AS50,0)*载具属性!M$30+OFFSET(载具属性!M$33,AT50,0)*载具属性!N$30+OFFSET(载具属性!N$33,AU50,0)*载具属性!O$30+OFFSET(载具属性!O$33,AV50,0)*载具属性!P$30</f>
        <v>9620</v>
      </c>
      <c r="X50" s="41">
        <f ca="1">_xlfn.XLOOKUP(Z50,载具属性!$E$98:$E$497,载具属性!$G$98:$G$497)</f>
        <v>1940</v>
      </c>
      <c r="Y50" s="41">
        <f ca="1">OFFSET(载具属性!L$33,AS50,0)*载具属性!M$30+OFFSET(载具属性!M$33,AT50,0)*载具属性!N$30+OFFSET(载具属性!N$33,AU50,0)*载具属性!O$30+OFFSET(载具属性!O$33,AV50,0)*载具属性!P$30</f>
        <v>1680</v>
      </c>
      <c r="Z50" s="41">
        <f ca="1">MATCH(SUM($T$7:T50),载具属性!$I$98:$I$497,1)</f>
        <v>38</v>
      </c>
      <c r="AA50" s="40">
        <f ca="1">OFFSET(载具产出!$F$399,IFERROR(MATCH(OFFSET($D50,0,MATCH($D$5,$E$6:$H$6,0)),载具产出!$E$112:$E$151,1),0),MATCH(AA$6,载具产出!$G$111:$O$111,0))*2</f>
        <v>26</v>
      </c>
      <c r="AB50" s="40">
        <f ca="1">OFFSET(载具产出!$F$399,IFERROR(MATCH(OFFSET($D50,0,MATCH($D$5,$E$6:$H$6,0)),载具产出!$E$112:$E$151,1),0),MATCH(AB$6,载具产出!$G$111:$O$111,0))*2</f>
        <v>25.04</v>
      </c>
      <c r="AC50" s="40">
        <f ca="1">OFFSET(载具产出!$F$399,IFERROR(MATCH(OFFSET($D50,0,MATCH($D$5,$E$6:$H$6,0)),载具产出!$E$112:$E$151,1),0),MATCH(AC$6,载具产出!$G$111:$O$111,0))*2</f>
        <v>0.96</v>
      </c>
      <c r="AD50" s="40">
        <f ca="1">OFFSET(载具产出!$F$399,IFERROR(MATCH(OFFSET($D50,0,MATCH($D$5,$E$6:$H$6,0)),载具产出!$E$112:$E$151,1),0),MATCH(AD$6,载具产出!$G$111:$O$111,0))*2</f>
        <v>0</v>
      </c>
      <c r="AE50" s="47">
        <f ca="1">SUM(AA$36:AA50)/3</f>
        <v>134.8</v>
      </c>
      <c r="AF50" s="47">
        <f ca="1">SUM(AB$36:AB50)/3</f>
        <v>115.84</v>
      </c>
      <c r="AG50" s="47">
        <f ca="1">SUM(AC$36:AC50)/3</f>
        <v>3.36</v>
      </c>
      <c r="AH50" s="47">
        <f ca="1">SUM(AD$36:AD50)/3</f>
        <v>0</v>
      </c>
      <c r="AI50" s="47">
        <f>_xlfn.XLOOKUP($D$5,载具产出!$D$71:$D$75,载具产出!$E$71:$E$75)*(D50-30+1)</f>
        <v>176.428571428572</v>
      </c>
      <c r="AJ50" s="47">
        <f>IFERROR(MATCH(_xlfn.XLOOKUP($D$5,载具产出!$D$71:$D$75,载具产出!$E$71:$E$75)*(D50-30+1)*10,载具产出!$E$60:$E$67,1),0)+1</f>
        <v>4</v>
      </c>
      <c r="AK50" s="47">
        <f ca="1">IF($AJ50=1,($AI50)*(10*OFFSET(载具产出!$D$45,MATCH(AK$6,$AK$6:$AN$6,0)-1,$AJ50)+OFFSET(载具产出!$D$49,MATCH(AK$6,$AK$6:$AN$6,0)-1,$AJ50)*OFFSET(载具产出!$N$49,MATCH(AK$6,$AK$6:$AN$6,0)-1,0)),OFFSET(载具产出!F$59,$AJ50-1,0)*10+OFFSET(载具产出!J$59,$AJ50-1,0)+($AI50*10-_xlfn.XLOOKUP($AJ50-1,载具产出!$D$59:$D$67,载具产出!$E$59:$E$67))/10*(10*OFFSET(载具产出!$D$45,MATCH(AK$6,$AK$6:$AN$6,0)-1,$AJ50)+OFFSET(载具产出!$D$49,MATCH(AK$6,$AK$6:$AN$6,0)-1,$AJ50)*OFFSET(载具产出!$N$49,MATCH(AK$6,$AK$6:$AN$6,0)-1,0)))</f>
        <v>452.524285714287</v>
      </c>
      <c r="AL50" s="47">
        <f ca="1">IF($AJ50=1,($AI50)*(10*OFFSET(载具产出!$D$45,MATCH(AL$6,$AK$6:$AN$6,0)-1,$AJ50)+OFFSET(载具产出!$D$49,MATCH(AL$6,$AK$6:$AN$6,0)-1,$AJ50)*OFFSET(载具产出!$N$49,MATCH(AL$6,$AK$6:$AN$6,0)-1,0)),OFFSET(载具产出!G$59,$AJ50-1,0)*10+OFFSET(载具产出!K$59,$AJ50-1,0)+($AI50*10-_xlfn.XLOOKUP($AJ50-1,载具产出!$D$59:$D$67,载具产出!$E$59:$E$67))/10*(10*OFFSET(载具产出!$D$45,MATCH(AL$6,$AK$6:$AN$6,0)-1,$AJ50)+OFFSET(载具产出!$D$49,MATCH(AL$6,$AK$6:$AN$6,0)-1,$AJ50)*OFFSET(载具产出!$N$49,MATCH(AL$6,$AK$6:$AN$6,0)-1,0)))</f>
        <v>137.171428571429</v>
      </c>
      <c r="AM50" s="47">
        <f ca="1">IF($AJ50=1,($AI50)*(10*OFFSET(载具产出!$D$45,MATCH(AM$6,$AK$6:$AN$6,0)-1,$AJ50)+OFFSET(载具产出!$D$49,MATCH(AM$6,$AK$6:$AN$6,0)-1,$AJ50)*OFFSET(载具产出!$N$49,MATCH(AM$6,$AK$6:$AN$6,0)-1,0)),OFFSET(载具产出!H$59,$AJ50-1,0)*10+OFFSET(载具产出!L$59,$AJ50-1,0)+($AI50*10-_xlfn.XLOOKUP($AJ50-1,载具产出!$D$59:$D$67,载具产出!$E$59:$E$67))/10*(10*OFFSET(载具产出!$D$45,MATCH(AM$6,$AK$6:$AN$6,0)-1,$AJ50)+OFFSET(载具产出!$D$49,MATCH(AM$6,$AK$6:$AN$6,0)-1,$AJ50)*OFFSET(载具产出!$N$49,MATCH(AM$6,$AK$6:$AN$6,0)-1,0)))</f>
        <v>59.4171428571431</v>
      </c>
      <c r="AN50" s="47">
        <f ca="1">IF($AJ50=1,($AI50)*(10*OFFSET(载具产出!$D$45,MATCH(AN$6,$AK$6:$AN$6,0)-1,$AJ50)+OFFSET(载具产出!$D$49,MATCH(AN$6,$AK$6:$AN$6,0)-1,$AJ50)*OFFSET(载具产出!$N$49,MATCH(AN$6,$AK$6:$AN$6,0)-1,0)),OFFSET(载具产出!I$59,$AJ50-1,0)*10+OFFSET(载具产出!M$59,$AJ50-1,0)+($AI50*10-_xlfn.XLOOKUP($AJ50-1,载具产出!$D$59:$D$67,载具产出!$E$59:$E$67))/10*(10*OFFSET(载具产出!$D$45,MATCH(AN$6,$AK$6:$AN$6,0)-1,$AJ50)+OFFSET(载具产出!$D$49,MATCH(AN$6,$AK$6:$AN$6,0)-1,$AJ50)*OFFSET(载具产出!$N$49,MATCH(AN$6,$AK$6:$AN$6,0)-1,0)))</f>
        <v>7.67428571428579</v>
      </c>
      <c r="AO50" s="47">
        <f ca="1" t="shared" si="3"/>
        <v>587.324285714287</v>
      </c>
      <c r="AP50" s="47">
        <f ca="1" t="shared" si="4"/>
        <v>253.011428571429</v>
      </c>
      <c r="AQ50" s="47">
        <f ca="1" t="shared" si="5"/>
        <v>62.7771428571431</v>
      </c>
      <c r="AR50" s="47">
        <f ca="1" t="shared" si="6"/>
        <v>7.67428571428579</v>
      </c>
      <c r="AS50" s="48">
        <f ca="1">IFERROR(MATCH(AO50/载具产出!R$58,载具属性!$G$33:$G$92,1),0)</f>
        <v>14</v>
      </c>
      <c r="AT50" s="48">
        <f ca="1">IFERROR(MATCH(AP50/载具产出!S$58,载具属性!$G$33:$G$92,1),0)</f>
        <v>8</v>
      </c>
      <c r="AU50" s="48">
        <f ca="1">IFERROR(MATCH(AQ50/载具产出!T$58,载具属性!$G$33:$G$92,1),0)</f>
        <v>1</v>
      </c>
      <c r="AV50" s="48">
        <f ca="1">IFERROR(MATCH(AR50/载具产出!U$58,载具属性!$G$33:$G$92,1),0)</f>
        <v>0</v>
      </c>
      <c r="AW50" s="46" t="str">
        <f ca="1" t="shared" si="7"/>
        <v>[{62,102},{63,9510},{2,24000},{6030001,349},{6030002,335},{6030003,10}]</v>
      </c>
      <c r="AX50" t="str">
        <f ca="1" t="shared" si="8"/>
        <v>{62,102}</v>
      </c>
      <c r="AY50" t="str">
        <f ca="1" t="shared" si="9"/>
        <v>{63,9510}</v>
      </c>
      <c r="AZ50" t="str">
        <f ca="1" t="shared" si="10"/>
        <v>{2,24000}</v>
      </c>
      <c r="BA50" t="str">
        <f ca="1" t="shared" si="11"/>
        <v>{6030001,349}</v>
      </c>
      <c r="BB50" t="str">
        <f ca="1" t="shared" si="12"/>
        <v>{6030002,335}</v>
      </c>
      <c r="BC50" t="str">
        <f ca="1" t="shared" si="13"/>
        <v>{6030003,10}</v>
      </c>
      <c r="BD50" t="str">
        <f ca="1" t="shared" si="14"/>
        <v/>
      </c>
    </row>
    <row r="51" spans="3:56">
      <c r="C51">
        <f ca="1" t="shared" si="1"/>
        <v>96.3861386138614</v>
      </c>
      <c r="D51" s="40">
        <v>45</v>
      </c>
      <c r="E51" s="40">
        <v>79</v>
      </c>
      <c r="F51" s="40">
        <v>90</v>
      </c>
      <c r="G51" s="41">
        <v>101</v>
      </c>
      <c r="H51" s="40">
        <v>126</v>
      </c>
      <c r="I51" s="40">
        <v>136</v>
      </c>
      <c r="J51" s="40">
        <f t="shared" si="15"/>
        <v>108</v>
      </c>
      <c r="K51" s="40">
        <f ca="1">SUM(U$36:U51)-SUM(OFFSET(载具产出!H$399,0,0,$R51+1,1))</f>
        <v>108</v>
      </c>
      <c r="L51" s="40">
        <f ca="1">SUM(T$36:T51)-SUM(OFFSET(载具产出!G$399,0,0,$R51+1,1))</f>
        <v>9570</v>
      </c>
      <c r="M51" s="40">
        <f ca="1">SUM(V$36:V51)/2-SUM(OFFSET(载具产出!I$399,0,0,$R51+1,1))</f>
        <v>21900</v>
      </c>
      <c r="N51" s="40">
        <f ca="1">SUM(AA$36:AA51)-SUM(OFFSET(载具产出!J$399,0,0,$R51+1,1))</f>
        <v>362.4</v>
      </c>
      <c r="O51" s="40">
        <f ca="1">SUM(AB$36:AB51)-SUM(OFFSET(载具产出!K$399,0,0,$R51+1,1))</f>
        <v>350.56</v>
      </c>
      <c r="P51" s="40">
        <f ca="1">SUM(AC$36:AC51)-SUM(OFFSET(载具产出!L$399,0,0,$R51+1,1))</f>
        <v>11.04</v>
      </c>
      <c r="Q51" s="40">
        <f ca="1">SUM(AD$36:AD51)-SUM(OFFSET(载具产出!M$399,0,0,$R51+1,1))</f>
        <v>0</v>
      </c>
      <c r="R51" s="40">
        <v>4</v>
      </c>
      <c r="S51" s="40" t="str">
        <f ca="1">OFFSET(载具产出!$D$111,IFERROR(MATCH(OFFSET($D51,0,MATCH($D$5,$E$6:$H$6,0)),载具产出!$E$112:$E$151,1),0),0)</f>
        <v>豪华Ⅰ</v>
      </c>
      <c r="T51" s="40">
        <f ca="1">OFFSET(载具产出!$F$399,IFERROR(MATCH(OFFSET($D51,0,MATCH($D$5,$E$6:$H$6,0)),载具产出!$E$400:$E$439,1),0),MATCH(T$6,载具产出!$G$399:$O$399,0))</f>
        <v>790</v>
      </c>
      <c r="U51" s="40">
        <v>7</v>
      </c>
      <c r="V51" s="40">
        <f ca="1">OFFSET(载具产出!$F$399,IFERROR(MATCH(OFFSET($D51,0,MATCH($D$5,$E$6:$H$6,0)),载具产出!$E$400:$E$439,1),0),MATCH(V$6,载具产出!$G$399:$O$399,0))</f>
        <v>5000</v>
      </c>
      <c r="W51" s="43">
        <f ca="1">_xlfn.XLOOKUP(Z51,载具属性!$E$98:$E$497,载具属性!$G$98:$G$497)+6000+OFFSET(载具属性!L$33,AS51,0)*载具属性!M$30+OFFSET(载具属性!M$33,AT51,0)*载具属性!N$30+OFFSET(载具属性!N$33,AU51,0)*载具属性!O$30+OFFSET(载具属性!O$33,AV51,0)*载具属性!P$30</f>
        <v>9735</v>
      </c>
      <c r="X51" s="43">
        <f ca="1">_xlfn.XLOOKUP(Z51,载具属性!$E$98:$E$497,载具属性!$G$98:$G$497)</f>
        <v>1995</v>
      </c>
      <c r="Y51" s="43">
        <f ca="1">OFFSET(载具属性!L$33,AS51,0)*载具属性!M$30+OFFSET(载具属性!M$33,AT51,0)*载具属性!N$30+OFFSET(载具属性!N$33,AU51,0)*载具属性!O$30+OFFSET(载具属性!O$33,AV51,0)*载具属性!P$30</f>
        <v>1740</v>
      </c>
      <c r="Z51" s="40">
        <f ca="1">MATCH(SUM($T$7:T51),载具属性!$I$98:$I$497,1)</f>
        <v>39</v>
      </c>
      <c r="AA51" s="40">
        <f ca="1">OFFSET(载具产出!$F$399,IFERROR(MATCH(OFFSET($D51,0,MATCH($D$5,$E$6:$H$6,0)),载具产出!$E$112:$E$151,1),0),MATCH(AA$6,载具产出!$G$111:$O$111,0))*2</f>
        <v>26</v>
      </c>
      <c r="AB51" s="40">
        <f ca="1">OFFSET(载具产出!$F$399,IFERROR(MATCH(OFFSET($D51,0,MATCH($D$5,$E$6:$H$6,0)),载具产出!$E$112:$E$151,1),0),MATCH(AB$6,载具产出!$G$111:$O$111,0))*2</f>
        <v>25.04</v>
      </c>
      <c r="AC51" s="40">
        <f ca="1">OFFSET(载具产出!$F$399,IFERROR(MATCH(OFFSET($D51,0,MATCH($D$5,$E$6:$H$6,0)),载具产出!$E$112:$E$151,1),0),MATCH(AC$6,载具产出!$G$111:$O$111,0))*2</f>
        <v>0.96</v>
      </c>
      <c r="AD51" s="40">
        <f ca="1">OFFSET(载具产出!$F$399,IFERROR(MATCH(OFFSET($D51,0,MATCH($D$5,$E$6:$H$6,0)),载具产出!$E$112:$E$151,1),0),MATCH(AD$6,载具产出!$G$111:$O$111,0))*2</f>
        <v>0</v>
      </c>
      <c r="AE51" s="44">
        <f ca="1">SUM(AA$36:AA51)/3</f>
        <v>143.466666666667</v>
      </c>
      <c r="AF51" s="44">
        <f ca="1">SUM(AB$36:AB51)/3</f>
        <v>124.186666666667</v>
      </c>
      <c r="AG51" s="44">
        <f ca="1">SUM(AC$36:AC51)/3</f>
        <v>3.68</v>
      </c>
      <c r="AH51" s="44">
        <f ca="1">SUM(AD$36:AD51)/3</f>
        <v>0</v>
      </c>
      <c r="AI51" s="44">
        <f>_xlfn.XLOOKUP($D$5,载具产出!$D$71:$D$75,载具产出!$E$71:$E$75)*(D51-30+1)</f>
        <v>188.190476190477</v>
      </c>
      <c r="AJ51" s="44">
        <f>IFERROR(MATCH(_xlfn.XLOOKUP($D$5,载具产出!$D$71:$D$75,载具产出!$E$71:$E$75)*(D51-30+1)*10,载具产出!$E$60:$E$67,1),0)+1</f>
        <v>4</v>
      </c>
      <c r="AK51" s="44">
        <f ca="1">IF($AJ51=1,($AI51)*(10*OFFSET(载具产出!$D$45,MATCH(AK$6,$AK$6:$AN$6,0)-1,$AJ51)+OFFSET(载具产出!$D$49,MATCH(AK$6,$AK$6:$AN$6,0)-1,$AJ51)*OFFSET(载具产出!$N$49,MATCH(AK$6,$AK$6:$AN$6,0)-1,0)),OFFSET(载具产出!F$59,$AJ51-1,0)*10+OFFSET(载具产出!J$59,$AJ51-1,0)+($AI51*10-_xlfn.XLOOKUP($AJ51-1,载具产出!$D$59:$D$67,载具产出!$E$59:$E$67))/10*(10*OFFSET(载具产出!$D$45,MATCH(AK$6,$AK$6:$AN$6,0)-1,$AJ51)+OFFSET(载具产出!$D$49,MATCH(AK$6,$AK$6:$AN$6,0)-1,$AJ51)*OFFSET(载具产出!$N$49,MATCH(AK$6,$AK$6:$AN$6,0)-1,0)))</f>
        <v>479.482571428573</v>
      </c>
      <c r="AL51" s="44">
        <f ca="1">IF($AJ51=1,($AI51)*(10*OFFSET(载具产出!$D$45,MATCH(AL$6,$AK$6:$AN$6,0)-1,$AJ51)+OFFSET(载具产出!$D$49,MATCH(AL$6,$AK$6:$AN$6,0)-1,$AJ51)*OFFSET(载具产出!$N$49,MATCH(AL$6,$AK$6:$AN$6,0)-1,0)),OFFSET(载具产出!G$59,$AJ51-1,0)*10+OFFSET(载具产出!K$59,$AJ51-1,0)+($AI51*10-_xlfn.XLOOKUP($AJ51-1,载具产出!$D$59:$D$67,载具产出!$E$59:$E$67))/10*(10*OFFSET(载具产出!$D$45,MATCH(AL$6,$AK$6:$AN$6,0)-1,$AJ51)+OFFSET(载具产出!$D$49,MATCH(AL$6,$AK$6:$AN$6,0)-1,$AJ51)*OFFSET(载具产出!$N$49,MATCH(AL$6,$AK$6:$AN$6,0)-1,0)))</f>
        <v>146.816190476191</v>
      </c>
      <c r="AM51" s="44">
        <f ca="1">IF($AJ51=1,($AI51)*(10*OFFSET(载具产出!$D$45,MATCH(AM$6,$AK$6:$AN$6,0)-1,$AJ51)+OFFSET(载具产出!$D$49,MATCH(AM$6,$AK$6:$AN$6,0)-1,$AJ51)*OFFSET(载具产出!$N$49,MATCH(AM$6,$AK$6:$AN$6,0)-1,0)),OFFSET(载具产出!H$59,$AJ51-1,0)*10+OFFSET(载具产出!L$59,$AJ51-1,0)+($AI51*10-_xlfn.XLOOKUP($AJ51-1,载具产出!$D$59:$D$67,载具产出!$E$59:$E$67))/10*(10*OFFSET(载具产出!$D$45,MATCH(AM$6,$AK$6:$AN$6,0)-1,$AJ51)+OFFSET(载具产出!$D$49,MATCH(AM$6,$AK$6:$AN$6,0)-1,$AJ51)*OFFSET(载具产出!$N$49,MATCH(AM$6,$AK$6:$AN$6,0)-1,0)))</f>
        <v>64.4982857142861</v>
      </c>
      <c r="AN51" s="44">
        <f ca="1">IF($AJ51=1,($AI51)*(10*OFFSET(载具产出!$D$45,MATCH(AN$6,$AK$6:$AN$6,0)-1,$AJ51)+OFFSET(载具产出!$D$49,MATCH(AN$6,$AK$6:$AN$6,0)-1,$AJ51)*OFFSET(载具产出!$N$49,MATCH(AN$6,$AK$6:$AN$6,0)-1,0)),OFFSET(载具产出!I$59,$AJ51-1,0)*10+OFFSET(载具产出!M$59,$AJ51-1,0)+($AI51*10-_xlfn.XLOOKUP($AJ51-1,载具产出!$D$59:$D$67,载具产出!$E$59:$E$67))/10*(10*OFFSET(载具产出!$D$45,MATCH(AN$6,$AK$6:$AN$6,0)-1,$AJ51)+OFFSET(载具产出!$D$49,MATCH(AN$6,$AK$6:$AN$6,0)-1,$AJ51)*OFFSET(载具产出!$N$49,MATCH(AN$6,$AK$6:$AN$6,0)-1,0)))</f>
        <v>9.27390476190488</v>
      </c>
      <c r="AO51" s="44">
        <f ca="1" t="shared" si="3"/>
        <v>622.94923809524</v>
      </c>
      <c r="AP51" s="44">
        <f ca="1" t="shared" si="4"/>
        <v>271.002857142858</v>
      </c>
      <c r="AQ51" s="44">
        <f ca="1" t="shared" si="5"/>
        <v>68.1782857142861</v>
      </c>
      <c r="AR51" s="44">
        <f ca="1" t="shared" si="6"/>
        <v>9.27390476190488</v>
      </c>
      <c r="AS51" s="45">
        <f ca="1">IFERROR(MATCH(AO51/载具产出!R$58,载具属性!$G$33:$G$92,1),0)</f>
        <v>15</v>
      </c>
      <c r="AT51" s="45">
        <f ca="1">IFERROR(MATCH(AP51/载具产出!S$58,载具属性!$G$33:$G$92,1),0)</f>
        <v>8</v>
      </c>
      <c r="AU51" s="45">
        <f ca="1">IFERROR(MATCH(AQ51/载具产出!T$58,载具属性!$G$33:$G$92,1),0)</f>
        <v>1</v>
      </c>
      <c r="AV51" s="45">
        <f ca="1">IFERROR(MATCH(AR51/载具产出!U$58,载具属性!$G$33:$G$92,1),0)</f>
        <v>0</v>
      </c>
      <c r="AW51" s="46" t="str">
        <f ca="1" t="shared" si="7"/>
        <v>[{62,108},{63,9570},{2,21900},{6030001,362},{6030002,350},{6030003,11}]</v>
      </c>
      <c r="AX51" t="str">
        <f ca="1" t="shared" si="8"/>
        <v>{62,108}</v>
      </c>
      <c r="AY51" t="str">
        <f ca="1" t="shared" si="9"/>
        <v>{63,9570}</v>
      </c>
      <c r="AZ51" t="str">
        <f ca="1" t="shared" si="10"/>
        <v>{2,21900}</v>
      </c>
      <c r="BA51" t="str">
        <f ca="1" t="shared" si="11"/>
        <v>{6030001,362}</v>
      </c>
      <c r="BB51" t="str">
        <f ca="1" t="shared" si="12"/>
        <v>{6030002,350}</v>
      </c>
      <c r="BC51" t="str">
        <f ca="1" t="shared" si="13"/>
        <v>{6030003,11}</v>
      </c>
      <c r="BD51" t="str">
        <f ca="1" t="shared" si="14"/>
        <v/>
      </c>
    </row>
    <row r="52" spans="3:56">
      <c r="C52">
        <f ca="1" t="shared" si="1"/>
        <v>97.4509803921569</v>
      </c>
      <c r="D52" s="40">
        <v>46</v>
      </c>
      <c r="E52" s="40">
        <v>79</v>
      </c>
      <c r="F52" s="40">
        <v>91</v>
      </c>
      <c r="G52" s="41">
        <v>102</v>
      </c>
      <c r="H52" s="40">
        <v>127</v>
      </c>
      <c r="I52" s="40">
        <v>136</v>
      </c>
      <c r="J52" s="40">
        <f t="shared" si="15"/>
        <v>110</v>
      </c>
      <c r="K52" s="40">
        <f ca="1">SUM(U$36:U52)-SUM(OFFSET(载具产出!H$399,0,0,$R52+1,1))</f>
        <v>115</v>
      </c>
      <c r="L52" s="40">
        <f ca="1">SUM(T$36:T52)-SUM(OFFSET(载具产出!G$399,0,0,$R52+1,1))</f>
        <v>10360</v>
      </c>
      <c r="M52" s="40">
        <f ca="1">SUM(V$36:V52)/2-SUM(OFFSET(载具产出!I$399,0,0,$R52+1,1))</f>
        <v>24400</v>
      </c>
      <c r="N52" s="40">
        <f ca="1">SUM(AA$36:AA52)-SUM(OFFSET(载具产出!J$399,0,0,$R52+1,1))</f>
        <v>388.4</v>
      </c>
      <c r="O52" s="40">
        <f ca="1">SUM(AB$36:AB52)-SUM(OFFSET(载具产出!K$399,0,0,$R52+1,1))</f>
        <v>375.6</v>
      </c>
      <c r="P52" s="40">
        <f ca="1">SUM(AC$36:AC52)-SUM(OFFSET(载具产出!L$399,0,0,$R52+1,1))</f>
        <v>12</v>
      </c>
      <c r="Q52" s="40">
        <f ca="1">SUM(AD$36:AD52)-SUM(OFFSET(载具产出!M$399,0,0,$R52+1,1))</f>
        <v>0</v>
      </c>
      <c r="R52" s="40">
        <v>4</v>
      </c>
      <c r="S52" s="40" t="str">
        <f ca="1">OFFSET(载具产出!$D$111,IFERROR(MATCH(OFFSET($D52,0,MATCH($D$5,$E$6:$H$6,0)),载具产出!$E$112:$E$151,1),0),0)</f>
        <v>豪华Ⅰ</v>
      </c>
      <c r="T52" s="40">
        <f ca="1">OFFSET(载具产出!$F$399,IFERROR(MATCH(OFFSET($D52,0,MATCH($D$5,$E$6:$H$6,0)),载具产出!$E$400:$E$439,1),0),MATCH(T$6,载具产出!$G$399:$O$399,0))</f>
        <v>790</v>
      </c>
      <c r="U52" s="40">
        <v>7</v>
      </c>
      <c r="V52" s="40">
        <f ca="1">OFFSET(载具产出!$F$399,IFERROR(MATCH(OFFSET($D52,0,MATCH($D$5,$E$6:$H$6,0)),载具产出!$E$400:$E$439,1),0),MATCH(V$6,载具产出!$G$399:$O$399,0))</f>
        <v>5000</v>
      </c>
      <c r="W52" s="43">
        <f ca="1">_xlfn.XLOOKUP(Z52,载具属性!$E$98:$E$497,载具属性!$G$98:$G$497)+6000+OFFSET(载具属性!L$33,AS52,0)*载具属性!M$30+OFFSET(载具属性!M$33,AT52,0)*载具属性!N$30+OFFSET(载具属性!N$33,AU52,0)*载具属性!O$30+OFFSET(载具属性!O$33,AV52,0)*载具属性!P$30</f>
        <v>9940</v>
      </c>
      <c r="X52" s="43">
        <f ca="1">_xlfn.XLOOKUP(Z52,载具属性!$E$98:$E$497,载具属性!$G$98:$G$497)</f>
        <v>2110</v>
      </c>
      <c r="Y52" s="43">
        <f ca="1">OFFSET(载具属性!L$33,AS52,0)*载具属性!M$30+OFFSET(载具属性!M$33,AT52,0)*载具属性!N$30+OFFSET(载具属性!N$33,AU52,0)*载具属性!O$30+OFFSET(载具属性!O$33,AV52,0)*载具属性!P$30</f>
        <v>1830</v>
      </c>
      <c r="Z52" s="40">
        <f ca="1">MATCH(SUM($T$7:T52),载具属性!$I$98:$I$497,1)</f>
        <v>41</v>
      </c>
      <c r="AA52" s="40">
        <f ca="1">OFFSET(载具产出!$F$399,IFERROR(MATCH(OFFSET($D52,0,MATCH($D$5,$E$6:$H$6,0)),载具产出!$E$112:$E$151,1),0),MATCH(AA$6,载具产出!$G$111:$O$111,0))*2</f>
        <v>26</v>
      </c>
      <c r="AB52" s="40">
        <f ca="1">OFFSET(载具产出!$F$399,IFERROR(MATCH(OFFSET($D52,0,MATCH($D$5,$E$6:$H$6,0)),载具产出!$E$112:$E$151,1),0),MATCH(AB$6,载具产出!$G$111:$O$111,0))*2</f>
        <v>25.04</v>
      </c>
      <c r="AC52" s="40">
        <f ca="1">OFFSET(载具产出!$F$399,IFERROR(MATCH(OFFSET($D52,0,MATCH($D$5,$E$6:$H$6,0)),载具产出!$E$112:$E$151,1),0),MATCH(AC$6,载具产出!$G$111:$O$111,0))*2</f>
        <v>0.96</v>
      </c>
      <c r="AD52" s="40">
        <f ca="1">OFFSET(载具产出!$F$399,IFERROR(MATCH(OFFSET($D52,0,MATCH($D$5,$E$6:$H$6,0)),载具产出!$E$112:$E$151,1),0),MATCH(AD$6,载具产出!$G$111:$O$111,0))*2</f>
        <v>0</v>
      </c>
      <c r="AE52" s="44">
        <f ca="1">SUM(AA$36:AA52)/3</f>
        <v>152.133333333333</v>
      </c>
      <c r="AF52" s="44">
        <f ca="1">SUM(AB$36:AB52)/3</f>
        <v>132.533333333333</v>
      </c>
      <c r="AG52" s="44">
        <f ca="1">SUM(AC$36:AC52)/3</f>
        <v>4</v>
      </c>
      <c r="AH52" s="44">
        <f ca="1">SUM(AD$36:AD52)/3</f>
        <v>0</v>
      </c>
      <c r="AI52" s="44">
        <f>_xlfn.XLOOKUP($D$5,载具产出!$D$71:$D$75,载具产出!$E$71:$E$75)*(D52-30+1)</f>
        <v>199.952380952382</v>
      </c>
      <c r="AJ52" s="44">
        <f>IFERROR(MATCH(_xlfn.XLOOKUP($D$5,载具产出!$D$71:$D$75,载具产出!$E$71:$E$75)*(D52-30+1)*10,载具产出!$E$60:$E$67,1),0)+1</f>
        <v>4</v>
      </c>
      <c r="AK52" s="44">
        <f ca="1">IF($AJ52=1,($AI52)*(10*OFFSET(载具产出!$D$45,MATCH(AK$6,$AK$6:$AN$6,0)-1,$AJ52)+OFFSET(载具产出!$D$49,MATCH(AK$6,$AK$6:$AN$6,0)-1,$AJ52)*OFFSET(载具产出!$N$49,MATCH(AK$6,$AK$6:$AN$6,0)-1,0)),OFFSET(载具产出!F$59,$AJ52-1,0)*10+OFFSET(载具产出!J$59,$AJ52-1,0)+($AI52*10-_xlfn.XLOOKUP($AJ52-1,载具产出!$D$59:$D$67,载具产出!$E$59:$E$67))/10*(10*OFFSET(载具产出!$D$45,MATCH(AK$6,$AK$6:$AN$6,0)-1,$AJ52)+OFFSET(载具产出!$D$49,MATCH(AK$6,$AK$6:$AN$6,0)-1,$AJ52)*OFFSET(载具产出!$N$49,MATCH(AK$6,$AK$6:$AN$6,0)-1,0)))</f>
        <v>506.440857142859</v>
      </c>
      <c r="AL52" s="44">
        <f ca="1">IF($AJ52=1,($AI52)*(10*OFFSET(载具产出!$D$45,MATCH(AL$6,$AK$6:$AN$6,0)-1,$AJ52)+OFFSET(载具产出!$D$49,MATCH(AL$6,$AK$6:$AN$6,0)-1,$AJ52)*OFFSET(载具产出!$N$49,MATCH(AL$6,$AK$6:$AN$6,0)-1,0)),OFFSET(载具产出!G$59,$AJ52-1,0)*10+OFFSET(载具产出!K$59,$AJ52-1,0)+($AI52*10-_xlfn.XLOOKUP($AJ52-1,载具产出!$D$59:$D$67,载具产出!$E$59:$E$67))/10*(10*OFFSET(载具产出!$D$45,MATCH(AL$6,$AK$6:$AN$6,0)-1,$AJ52)+OFFSET(载具产出!$D$49,MATCH(AL$6,$AK$6:$AN$6,0)-1,$AJ52)*OFFSET(载具产出!$N$49,MATCH(AL$6,$AK$6:$AN$6,0)-1,0)))</f>
        <v>156.460952380953</v>
      </c>
      <c r="AM52" s="44">
        <f ca="1">IF($AJ52=1,($AI52)*(10*OFFSET(载具产出!$D$45,MATCH(AM$6,$AK$6:$AN$6,0)-1,$AJ52)+OFFSET(载具产出!$D$49,MATCH(AM$6,$AK$6:$AN$6,0)-1,$AJ52)*OFFSET(载具产出!$N$49,MATCH(AM$6,$AK$6:$AN$6,0)-1,0)),OFFSET(载具产出!H$59,$AJ52-1,0)*10+OFFSET(载具产出!L$59,$AJ52-1,0)+($AI52*10-_xlfn.XLOOKUP($AJ52-1,载具产出!$D$59:$D$67,载具产出!$E$59:$E$67))/10*(10*OFFSET(载具产出!$D$45,MATCH(AM$6,$AK$6:$AN$6,0)-1,$AJ52)+OFFSET(载具产出!$D$49,MATCH(AM$6,$AK$6:$AN$6,0)-1,$AJ52)*OFFSET(载具产出!$N$49,MATCH(AM$6,$AK$6:$AN$6,0)-1,0)))</f>
        <v>69.579428571429</v>
      </c>
      <c r="AN52" s="44">
        <f ca="1">IF($AJ52=1,($AI52)*(10*OFFSET(载具产出!$D$45,MATCH(AN$6,$AK$6:$AN$6,0)-1,$AJ52)+OFFSET(载具产出!$D$49,MATCH(AN$6,$AK$6:$AN$6,0)-1,$AJ52)*OFFSET(载具产出!$N$49,MATCH(AN$6,$AK$6:$AN$6,0)-1,0)),OFFSET(载具产出!I$59,$AJ52-1,0)*10+OFFSET(载具产出!M$59,$AJ52-1,0)+($AI52*10-_xlfn.XLOOKUP($AJ52-1,载具产出!$D$59:$D$67,载具产出!$E$59:$E$67))/10*(10*OFFSET(载具产出!$D$45,MATCH(AN$6,$AK$6:$AN$6,0)-1,$AJ52)+OFFSET(载具产出!$D$49,MATCH(AN$6,$AK$6:$AN$6,0)-1,$AJ52)*OFFSET(载具产出!$N$49,MATCH(AN$6,$AK$6:$AN$6,0)-1,0)))</f>
        <v>10.873523809524</v>
      </c>
      <c r="AO52" s="44">
        <f ca="1" t="shared" si="3"/>
        <v>658.574190476193</v>
      </c>
      <c r="AP52" s="44">
        <f ca="1" t="shared" si="4"/>
        <v>288.994285714287</v>
      </c>
      <c r="AQ52" s="44">
        <f ca="1" t="shared" si="5"/>
        <v>73.579428571429</v>
      </c>
      <c r="AR52" s="44">
        <f ca="1" t="shared" si="6"/>
        <v>10.873523809524</v>
      </c>
      <c r="AS52" s="45">
        <f ca="1">IFERROR(MATCH(AO52/载具产出!R$58,载具属性!$G$33:$G$92,1),0)</f>
        <v>15</v>
      </c>
      <c r="AT52" s="45">
        <f ca="1">IFERROR(MATCH(AP52/载具产出!S$58,载具属性!$G$33:$G$92,1),0)</f>
        <v>9</v>
      </c>
      <c r="AU52" s="45">
        <f ca="1">IFERROR(MATCH(AQ52/载具产出!T$58,载具属性!$G$33:$G$92,1),0)</f>
        <v>1</v>
      </c>
      <c r="AV52" s="45">
        <f ca="1">IFERROR(MATCH(AR52/载具产出!U$58,载具属性!$G$33:$G$92,1),0)</f>
        <v>0</v>
      </c>
      <c r="AW52" s="46" t="str">
        <f ca="1" t="shared" si="7"/>
        <v>[{62,115},{63,10360},{2,24400},{6030001,388},{6030002,375},{6030003,12}]</v>
      </c>
      <c r="AX52" t="str">
        <f ca="1" t="shared" si="8"/>
        <v>{62,115}</v>
      </c>
      <c r="AY52" t="str">
        <f ca="1" t="shared" si="9"/>
        <v>{63,10360}</v>
      </c>
      <c r="AZ52" t="str">
        <f ca="1" t="shared" si="10"/>
        <v>{2,24400}</v>
      </c>
      <c r="BA52" t="str">
        <f ca="1" t="shared" si="11"/>
        <v>{6030001,388}</v>
      </c>
      <c r="BB52" t="str">
        <f ca="1" t="shared" si="12"/>
        <v>{6030002,375}</v>
      </c>
      <c r="BC52" t="str">
        <f ca="1" t="shared" si="13"/>
        <v>{6030003,12}</v>
      </c>
      <c r="BD52" t="str">
        <f ca="1" t="shared" si="14"/>
        <v/>
      </c>
    </row>
    <row r="53" spans="3:56">
      <c r="C53">
        <f ca="1" t="shared" si="1"/>
        <v>97.0873786407767</v>
      </c>
      <c r="D53" s="40">
        <v>47</v>
      </c>
      <c r="E53" s="40">
        <v>80</v>
      </c>
      <c r="F53" s="40">
        <v>91</v>
      </c>
      <c r="G53" s="41">
        <v>103</v>
      </c>
      <c r="H53" s="40">
        <v>128</v>
      </c>
      <c r="I53" s="40">
        <v>136</v>
      </c>
      <c r="J53" s="40">
        <f t="shared" si="15"/>
        <v>111</v>
      </c>
      <c r="K53" s="40">
        <f ca="1">SUM(U$36:U53)-SUM(OFFSET(载具产出!H$399,0,0,$R53+1,1))</f>
        <v>122</v>
      </c>
      <c r="L53" s="40">
        <f ca="1">SUM(T$36:T53)-SUM(OFFSET(载具产出!G$399,0,0,$R53+1,1))</f>
        <v>11150</v>
      </c>
      <c r="M53" s="40">
        <f ca="1">SUM(V$36:V53)/2-SUM(OFFSET(载具产出!I$399,0,0,$R53+1,1))</f>
        <v>26900</v>
      </c>
      <c r="N53" s="40">
        <f ca="1">SUM(AA$36:AA53)-SUM(OFFSET(载具产出!J$399,0,0,$R53+1,1))</f>
        <v>414.4</v>
      </c>
      <c r="O53" s="40">
        <f ca="1">SUM(AB$36:AB53)-SUM(OFFSET(载具产出!K$399,0,0,$R53+1,1))</f>
        <v>400.64</v>
      </c>
      <c r="P53" s="40">
        <f ca="1">SUM(AC$36:AC53)-SUM(OFFSET(载具产出!L$399,0,0,$R53+1,1))</f>
        <v>12.96</v>
      </c>
      <c r="Q53" s="40">
        <f ca="1">SUM(AD$36:AD53)-SUM(OFFSET(载具产出!M$399,0,0,$R53+1,1))</f>
        <v>0</v>
      </c>
      <c r="R53" s="40">
        <v>4</v>
      </c>
      <c r="S53" s="40" t="str">
        <f ca="1">OFFSET(载具产出!$D$111,IFERROR(MATCH(OFFSET($D53,0,MATCH($D$5,$E$6:$H$6,0)),载具产出!$E$112:$E$151,1),0),0)</f>
        <v>豪华Ⅰ</v>
      </c>
      <c r="T53" s="40">
        <f ca="1">OFFSET(载具产出!$F$399,IFERROR(MATCH(OFFSET($D53,0,MATCH($D$5,$E$6:$H$6,0)),载具产出!$E$400:$E$439,1),0),MATCH(T$6,载具产出!$G$399:$O$399,0))</f>
        <v>790</v>
      </c>
      <c r="U53" s="40">
        <v>7</v>
      </c>
      <c r="V53" s="40">
        <f ca="1">OFFSET(载具产出!$F$399,IFERROR(MATCH(OFFSET($D53,0,MATCH($D$5,$E$6:$H$6,0)),载具产出!$E$400:$E$439,1),0),MATCH(V$6,载具产出!$G$399:$O$399,0))</f>
        <v>5000</v>
      </c>
      <c r="W53" s="43">
        <f ca="1">_xlfn.XLOOKUP(Z53,载具属性!$E$98:$E$497,载具属性!$G$98:$G$497)+6000+OFFSET(载具属性!L$33,AS53,0)*载具属性!M$30+OFFSET(载具属性!M$33,AT53,0)*载具属性!N$30+OFFSET(载具属性!N$33,AU53,0)*载具属性!O$30+OFFSET(载具属性!O$33,AV53,0)*载具属性!P$30</f>
        <v>10000</v>
      </c>
      <c r="X53" s="43">
        <f ca="1">_xlfn.XLOOKUP(Z53,载具属性!$E$98:$E$497,载具属性!$G$98:$G$497)</f>
        <v>2170</v>
      </c>
      <c r="Y53" s="43">
        <f ca="1">OFFSET(载具属性!L$33,AS53,0)*载具属性!M$30+OFFSET(载具属性!M$33,AT53,0)*载具属性!N$30+OFFSET(载具属性!N$33,AU53,0)*载具属性!O$30+OFFSET(载具属性!O$33,AV53,0)*载具属性!P$30</f>
        <v>1830</v>
      </c>
      <c r="Z53" s="40">
        <f ca="1">MATCH(SUM($T$7:T53),载具属性!$I$98:$I$497,1)</f>
        <v>42</v>
      </c>
      <c r="AA53" s="40">
        <f ca="1">OFFSET(载具产出!$F$399,IFERROR(MATCH(OFFSET($D53,0,MATCH($D$5,$E$6:$H$6,0)),载具产出!$E$112:$E$151,1),0),MATCH(AA$6,载具产出!$G$111:$O$111,0))*2</f>
        <v>26</v>
      </c>
      <c r="AB53" s="40">
        <f ca="1">OFFSET(载具产出!$F$399,IFERROR(MATCH(OFFSET($D53,0,MATCH($D$5,$E$6:$H$6,0)),载具产出!$E$112:$E$151,1),0),MATCH(AB$6,载具产出!$G$111:$O$111,0))*2</f>
        <v>25.04</v>
      </c>
      <c r="AC53" s="40">
        <f ca="1">OFFSET(载具产出!$F$399,IFERROR(MATCH(OFFSET($D53,0,MATCH($D$5,$E$6:$H$6,0)),载具产出!$E$112:$E$151,1),0),MATCH(AC$6,载具产出!$G$111:$O$111,0))*2</f>
        <v>0.96</v>
      </c>
      <c r="AD53" s="40">
        <f ca="1">OFFSET(载具产出!$F$399,IFERROR(MATCH(OFFSET($D53,0,MATCH($D$5,$E$6:$H$6,0)),载具产出!$E$112:$E$151,1),0),MATCH(AD$6,载具产出!$G$111:$O$111,0))*2</f>
        <v>0</v>
      </c>
      <c r="AE53" s="44">
        <f ca="1">SUM(AA$36:AA53)/3</f>
        <v>160.8</v>
      </c>
      <c r="AF53" s="44">
        <f ca="1">SUM(AB$36:AB53)/3</f>
        <v>140.88</v>
      </c>
      <c r="AG53" s="44">
        <f ca="1">SUM(AC$36:AC53)/3</f>
        <v>4.32</v>
      </c>
      <c r="AH53" s="44">
        <f ca="1">SUM(AD$36:AD53)/3</f>
        <v>0</v>
      </c>
      <c r="AI53" s="44">
        <f>_xlfn.XLOOKUP($D$5,载具产出!$D$71:$D$75,载具产出!$E$71:$E$75)*(D53-30+1)</f>
        <v>211.714285714286</v>
      </c>
      <c r="AJ53" s="44">
        <f>IFERROR(MATCH(_xlfn.XLOOKUP($D$5,载具产出!$D$71:$D$75,载具产出!$E$71:$E$75)*(D53-30+1)*10,载具产出!$E$60:$E$67,1),0)+1</f>
        <v>4</v>
      </c>
      <c r="AK53" s="44">
        <f ca="1">IF($AJ53=1,($AI53)*(10*OFFSET(载具产出!$D$45,MATCH(AK$6,$AK$6:$AN$6,0)-1,$AJ53)+OFFSET(载具产出!$D$49,MATCH(AK$6,$AK$6:$AN$6,0)-1,$AJ53)*OFFSET(载具产出!$N$49,MATCH(AK$6,$AK$6:$AN$6,0)-1,0)),OFFSET(载具产出!F$59,$AJ53-1,0)*10+OFFSET(载具产出!J$59,$AJ53-1,0)+($AI53*10-_xlfn.XLOOKUP($AJ53-1,载具产出!$D$59:$D$67,载具产出!$E$59:$E$67))/10*(10*OFFSET(载具产出!$D$45,MATCH(AK$6,$AK$6:$AN$6,0)-1,$AJ53)+OFFSET(载具产出!$D$49,MATCH(AK$6,$AK$6:$AN$6,0)-1,$AJ53)*OFFSET(载具产出!$N$49,MATCH(AK$6,$AK$6:$AN$6,0)-1,0)))</f>
        <v>533.399142857143</v>
      </c>
      <c r="AL53" s="44">
        <f ca="1">IF($AJ53=1,($AI53)*(10*OFFSET(载具产出!$D$45,MATCH(AL$6,$AK$6:$AN$6,0)-1,$AJ53)+OFFSET(载具产出!$D$49,MATCH(AL$6,$AK$6:$AN$6,0)-1,$AJ53)*OFFSET(载具产出!$N$49,MATCH(AL$6,$AK$6:$AN$6,0)-1,0)),OFFSET(载具产出!G$59,$AJ53-1,0)*10+OFFSET(载具产出!K$59,$AJ53-1,0)+($AI53*10-_xlfn.XLOOKUP($AJ53-1,载具产出!$D$59:$D$67,载具产出!$E$59:$E$67))/10*(10*OFFSET(载具产出!$D$45,MATCH(AL$6,$AK$6:$AN$6,0)-1,$AJ53)+OFFSET(载具产出!$D$49,MATCH(AL$6,$AK$6:$AN$6,0)-1,$AJ53)*OFFSET(载具产出!$N$49,MATCH(AL$6,$AK$6:$AN$6,0)-1,0)))</f>
        <v>166.105714285715</v>
      </c>
      <c r="AM53" s="44">
        <f ca="1">IF($AJ53=1,($AI53)*(10*OFFSET(载具产出!$D$45,MATCH(AM$6,$AK$6:$AN$6,0)-1,$AJ53)+OFFSET(载具产出!$D$49,MATCH(AM$6,$AK$6:$AN$6,0)-1,$AJ53)*OFFSET(载具产出!$N$49,MATCH(AM$6,$AK$6:$AN$6,0)-1,0)),OFFSET(载具产出!H$59,$AJ53-1,0)*10+OFFSET(载具产出!L$59,$AJ53-1,0)+($AI53*10-_xlfn.XLOOKUP($AJ53-1,载具产出!$D$59:$D$67,载具产出!$E$59:$E$67))/10*(10*OFFSET(载具产出!$D$45,MATCH(AM$6,$AK$6:$AN$6,0)-1,$AJ53)+OFFSET(载具产出!$D$49,MATCH(AM$6,$AK$6:$AN$6,0)-1,$AJ53)*OFFSET(载具产出!$N$49,MATCH(AM$6,$AK$6:$AN$6,0)-1,0)))</f>
        <v>74.6605714285716</v>
      </c>
      <c r="AN53" s="44">
        <f ca="1">IF($AJ53=1,($AI53)*(10*OFFSET(载具产出!$D$45,MATCH(AN$6,$AK$6:$AN$6,0)-1,$AJ53)+OFFSET(载具产出!$D$49,MATCH(AN$6,$AK$6:$AN$6,0)-1,$AJ53)*OFFSET(载具产出!$N$49,MATCH(AN$6,$AK$6:$AN$6,0)-1,0)),OFFSET(载具产出!I$59,$AJ53-1,0)*10+OFFSET(载具产出!M$59,$AJ53-1,0)+($AI53*10-_xlfn.XLOOKUP($AJ53-1,载具产出!$D$59:$D$67,载具产出!$E$59:$E$67))/10*(10*OFFSET(载具产出!$D$45,MATCH(AN$6,$AK$6:$AN$6,0)-1,$AJ53)+OFFSET(载具产出!$D$49,MATCH(AN$6,$AK$6:$AN$6,0)-1,$AJ53)*OFFSET(载具产出!$N$49,MATCH(AN$6,$AK$6:$AN$6,0)-1,0)))</f>
        <v>12.4731428571429</v>
      </c>
      <c r="AO53" s="44">
        <f ca="1" t="shared" si="3"/>
        <v>694.199142857143</v>
      </c>
      <c r="AP53" s="44">
        <f ca="1" t="shared" si="4"/>
        <v>306.985714285715</v>
      </c>
      <c r="AQ53" s="44">
        <f ca="1" t="shared" si="5"/>
        <v>78.9805714285716</v>
      </c>
      <c r="AR53" s="44">
        <f ca="1" t="shared" si="6"/>
        <v>12.4731428571429</v>
      </c>
      <c r="AS53" s="45">
        <f ca="1">IFERROR(MATCH(AO53/载具产出!R$58,载具属性!$G$33:$G$92,1),0)</f>
        <v>15</v>
      </c>
      <c r="AT53" s="45">
        <f ca="1">IFERROR(MATCH(AP53/载具产出!S$58,载具属性!$G$33:$G$92,1),0)</f>
        <v>9</v>
      </c>
      <c r="AU53" s="45">
        <f ca="1">IFERROR(MATCH(AQ53/载具产出!T$58,载具属性!$G$33:$G$92,1),0)</f>
        <v>1</v>
      </c>
      <c r="AV53" s="45">
        <f ca="1">IFERROR(MATCH(AR53/载具产出!U$58,载具属性!$G$33:$G$92,1),0)</f>
        <v>0</v>
      </c>
      <c r="AW53" s="46" t="str">
        <f ca="1" t="shared" si="7"/>
        <v>[{62,122},{63,11150},{2,26900},{6030001,414},{6030002,400},{6030003,12}]</v>
      </c>
      <c r="AX53" t="str">
        <f ca="1" t="shared" si="8"/>
        <v>{62,122}</v>
      </c>
      <c r="AY53" t="str">
        <f ca="1" t="shared" si="9"/>
        <v>{63,11150}</v>
      </c>
      <c r="AZ53" t="str">
        <f ca="1" t="shared" si="10"/>
        <v>{2,26900}</v>
      </c>
      <c r="BA53" t="str">
        <f ca="1" t="shared" si="11"/>
        <v>{6030001,414}</v>
      </c>
      <c r="BB53" t="str">
        <f ca="1" t="shared" si="12"/>
        <v>{6030002,400}</v>
      </c>
      <c r="BC53" t="str">
        <f ca="1" t="shared" si="13"/>
        <v>{6030003,12}</v>
      </c>
      <c r="BD53" t="str">
        <f ca="1" t="shared" si="14"/>
        <v/>
      </c>
    </row>
    <row r="54" spans="3:56">
      <c r="C54">
        <f ca="1" t="shared" si="1"/>
        <v>97.5961538461538</v>
      </c>
      <c r="D54" s="40">
        <v>48</v>
      </c>
      <c r="E54" s="40">
        <v>80</v>
      </c>
      <c r="F54" s="40">
        <v>92</v>
      </c>
      <c r="G54" s="41">
        <v>104</v>
      </c>
      <c r="H54" s="40">
        <v>130</v>
      </c>
      <c r="I54" s="40">
        <v>140</v>
      </c>
      <c r="J54" s="40">
        <f t="shared" si="15"/>
        <v>114</v>
      </c>
      <c r="K54" s="40">
        <f ca="1">SUM(U$36:U54)-SUM(OFFSET(载具产出!H$399,0,0,$R54+1,1))</f>
        <v>129</v>
      </c>
      <c r="L54" s="40">
        <f ca="1">SUM(T$36:T54)-SUM(OFFSET(载具产出!G$399,0,0,$R54+1,1))</f>
        <v>11940</v>
      </c>
      <c r="M54" s="40">
        <f ca="1">SUM(V$36:V54)/2-SUM(OFFSET(载具产出!I$399,0,0,$R54+1,1))</f>
        <v>29400</v>
      </c>
      <c r="N54" s="40">
        <f ca="1">SUM(AA$36:AA54)-SUM(OFFSET(载具产出!J$399,0,0,$R54+1,1))</f>
        <v>440.4</v>
      </c>
      <c r="O54" s="40">
        <f ca="1">SUM(AB$36:AB54)-SUM(OFFSET(载具产出!K$399,0,0,$R54+1,1))</f>
        <v>425.68</v>
      </c>
      <c r="P54" s="40">
        <f ca="1">SUM(AC$36:AC54)-SUM(OFFSET(载具产出!L$399,0,0,$R54+1,1))</f>
        <v>13.92</v>
      </c>
      <c r="Q54" s="40">
        <f ca="1">SUM(AD$36:AD54)-SUM(OFFSET(载具产出!M$399,0,0,$R54+1,1))</f>
        <v>0</v>
      </c>
      <c r="R54" s="40">
        <v>4</v>
      </c>
      <c r="S54" s="40" t="str">
        <f ca="1">OFFSET(载具产出!$D$111,IFERROR(MATCH(OFFSET($D54,0,MATCH($D$5,$E$6:$H$6,0)),载具产出!$E$112:$E$151,1),0),0)</f>
        <v>豪华Ⅰ</v>
      </c>
      <c r="T54" s="40">
        <f ca="1">OFFSET(载具产出!$F$399,IFERROR(MATCH(OFFSET($D54,0,MATCH($D$5,$E$6:$H$6,0)),载具产出!$E$400:$E$439,1),0),MATCH(T$6,载具产出!$G$399:$O$399,0))</f>
        <v>790</v>
      </c>
      <c r="U54" s="40">
        <v>7</v>
      </c>
      <c r="V54" s="40">
        <f ca="1">OFFSET(载具产出!$F$399,IFERROR(MATCH(OFFSET($D54,0,MATCH($D$5,$E$6:$H$6,0)),载具产出!$E$400:$E$439,1),0),MATCH(V$6,载具产出!$G$399:$O$399,0))</f>
        <v>5000</v>
      </c>
      <c r="W54" s="43">
        <f ca="1">_xlfn.XLOOKUP(Z54,载具属性!$E$98:$E$497,载具属性!$G$98:$G$497)+6000+OFFSET(载具属性!L$33,AS54,0)*载具属性!M$30+OFFSET(载具属性!M$33,AT54,0)*载具属性!N$30+OFFSET(载具属性!N$33,AU54,0)*载具属性!O$30+OFFSET(载具属性!O$33,AV54,0)*载具属性!P$30</f>
        <v>10150</v>
      </c>
      <c r="X54" s="43">
        <f ca="1">_xlfn.XLOOKUP(Z54,载具属性!$E$98:$E$497,载具属性!$G$98:$G$497)</f>
        <v>2230</v>
      </c>
      <c r="Y54" s="43">
        <f ca="1">OFFSET(载具属性!L$33,AS54,0)*载具属性!M$30+OFFSET(载具属性!M$33,AT54,0)*载具属性!N$30+OFFSET(载具属性!N$33,AU54,0)*载具属性!O$30+OFFSET(载具属性!O$33,AV54,0)*载具属性!P$30</f>
        <v>1920</v>
      </c>
      <c r="Z54" s="40">
        <f ca="1">MATCH(SUM($T$7:T54),载具属性!$I$98:$I$497,1)</f>
        <v>43</v>
      </c>
      <c r="AA54" s="40">
        <f ca="1">OFFSET(载具产出!$F$399,IFERROR(MATCH(OFFSET($D54,0,MATCH($D$5,$E$6:$H$6,0)),载具产出!$E$112:$E$151,1),0),MATCH(AA$6,载具产出!$G$111:$O$111,0))*2</f>
        <v>26</v>
      </c>
      <c r="AB54" s="40">
        <f ca="1">OFFSET(载具产出!$F$399,IFERROR(MATCH(OFFSET($D54,0,MATCH($D$5,$E$6:$H$6,0)),载具产出!$E$112:$E$151,1),0),MATCH(AB$6,载具产出!$G$111:$O$111,0))*2</f>
        <v>25.04</v>
      </c>
      <c r="AC54" s="40">
        <f ca="1">OFFSET(载具产出!$F$399,IFERROR(MATCH(OFFSET($D54,0,MATCH($D$5,$E$6:$H$6,0)),载具产出!$E$112:$E$151,1),0),MATCH(AC$6,载具产出!$G$111:$O$111,0))*2</f>
        <v>0.96</v>
      </c>
      <c r="AD54" s="40">
        <f ca="1">OFFSET(载具产出!$F$399,IFERROR(MATCH(OFFSET($D54,0,MATCH($D$5,$E$6:$H$6,0)),载具产出!$E$112:$E$151,1),0),MATCH(AD$6,载具产出!$G$111:$O$111,0))*2</f>
        <v>0</v>
      </c>
      <c r="AE54" s="44">
        <f ca="1">SUM(AA$36:AA54)/3</f>
        <v>169.466666666667</v>
      </c>
      <c r="AF54" s="44">
        <f ca="1">SUM(AB$36:AB54)/3</f>
        <v>149.226666666667</v>
      </c>
      <c r="AG54" s="44">
        <f ca="1">SUM(AC$36:AC54)/3</f>
        <v>4.64</v>
      </c>
      <c r="AH54" s="44">
        <f ca="1">SUM(AD$36:AD54)/3</f>
        <v>0</v>
      </c>
      <c r="AI54" s="44">
        <f>_xlfn.XLOOKUP($D$5,载具产出!$D$71:$D$75,载具产出!$E$71:$E$75)*(D54-30+1)</f>
        <v>223.476190476191</v>
      </c>
      <c r="AJ54" s="44">
        <f>IFERROR(MATCH(_xlfn.XLOOKUP($D$5,载具产出!$D$71:$D$75,载具产出!$E$71:$E$75)*(D54-30+1)*10,载具产出!$E$60:$E$67,1),0)+1</f>
        <v>4</v>
      </c>
      <c r="AK54" s="44">
        <f ca="1">IF($AJ54=1,($AI54)*(10*OFFSET(载具产出!$D$45,MATCH(AK$6,$AK$6:$AN$6,0)-1,$AJ54)+OFFSET(载具产出!$D$49,MATCH(AK$6,$AK$6:$AN$6,0)-1,$AJ54)*OFFSET(载具产出!$N$49,MATCH(AK$6,$AK$6:$AN$6,0)-1,0)),OFFSET(载具产出!F$59,$AJ54-1,0)*10+OFFSET(载具产出!J$59,$AJ54-1,0)+($AI54*10-_xlfn.XLOOKUP($AJ54-1,载具产出!$D$59:$D$67,载具产出!$E$59:$E$67))/10*(10*OFFSET(载具产出!$D$45,MATCH(AK$6,$AK$6:$AN$6,0)-1,$AJ54)+OFFSET(载具产出!$D$49,MATCH(AK$6,$AK$6:$AN$6,0)-1,$AJ54)*OFFSET(载具产出!$N$49,MATCH(AK$6,$AK$6:$AN$6,0)-1,0)))</f>
        <v>560.35742857143</v>
      </c>
      <c r="AL54" s="44">
        <f ca="1">IF($AJ54=1,($AI54)*(10*OFFSET(载具产出!$D$45,MATCH(AL$6,$AK$6:$AN$6,0)-1,$AJ54)+OFFSET(载具产出!$D$49,MATCH(AL$6,$AK$6:$AN$6,0)-1,$AJ54)*OFFSET(载具产出!$N$49,MATCH(AL$6,$AK$6:$AN$6,0)-1,0)),OFFSET(载具产出!G$59,$AJ54-1,0)*10+OFFSET(载具产出!K$59,$AJ54-1,0)+($AI54*10-_xlfn.XLOOKUP($AJ54-1,载具产出!$D$59:$D$67,载具产出!$E$59:$E$67))/10*(10*OFFSET(载具产出!$D$45,MATCH(AL$6,$AK$6:$AN$6,0)-1,$AJ54)+OFFSET(载具产出!$D$49,MATCH(AL$6,$AK$6:$AN$6,0)-1,$AJ54)*OFFSET(载具产出!$N$49,MATCH(AL$6,$AK$6:$AN$6,0)-1,0)))</f>
        <v>175.750476190477</v>
      </c>
      <c r="AM54" s="44">
        <f ca="1">IF($AJ54=1,($AI54)*(10*OFFSET(载具产出!$D$45,MATCH(AM$6,$AK$6:$AN$6,0)-1,$AJ54)+OFFSET(载具产出!$D$49,MATCH(AM$6,$AK$6:$AN$6,0)-1,$AJ54)*OFFSET(载具产出!$N$49,MATCH(AM$6,$AK$6:$AN$6,0)-1,0)),OFFSET(载具产出!H$59,$AJ54-1,0)*10+OFFSET(载具产出!L$59,$AJ54-1,0)+($AI54*10-_xlfn.XLOOKUP($AJ54-1,载具产出!$D$59:$D$67,载具产出!$E$59:$E$67))/10*(10*OFFSET(载具产出!$D$45,MATCH(AM$6,$AK$6:$AN$6,0)-1,$AJ54)+OFFSET(载具产出!$D$49,MATCH(AM$6,$AK$6:$AN$6,0)-1,$AJ54)*OFFSET(载具产出!$N$49,MATCH(AM$6,$AK$6:$AN$6,0)-1,0)))</f>
        <v>79.7417142857145</v>
      </c>
      <c r="AN54" s="44">
        <f ca="1">IF($AJ54=1,($AI54)*(10*OFFSET(载具产出!$D$45,MATCH(AN$6,$AK$6:$AN$6,0)-1,$AJ54)+OFFSET(载具产出!$D$49,MATCH(AN$6,$AK$6:$AN$6,0)-1,$AJ54)*OFFSET(载具产出!$N$49,MATCH(AN$6,$AK$6:$AN$6,0)-1,0)),OFFSET(载具产出!I$59,$AJ54-1,0)*10+OFFSET(载具产出!M$59,$AJ54-1,0)+($AI54*10-_xlfn.XLOOKUP($AJ54-1,载具产出!$D$59:$D$67,载具产出!$E$59:$E$67))/10*(10*OFFSET(载具产出!$D$45,MATCH(AN$6,$AK$6:$AN$6,0)-1,$AJ54)+OFFSET(载具产出!$D$49,MATCH(AN$6,$AK$6:$AN$6,0)-1,$AJ54)*OFFSET(载具产出!$N$49,MATCH(AN$6,$AK$6:$AN$6,0)-1,0)))</f>
        <v>14.072761904762</v>
      </c>
      <c r="AO54" s="44">
        <f ca="1" t="shared" si="3"/>
        <v>729.824095238096</v>
      </c>
      <c r="AP54" s="44">
        <f ca="1" t="shared" si="4"/>
        <v>324.977142857143</v>
      </c>
      <c r="AQ54" s="44">
        <f ca="1" t="shared" si="5"/>
        <v>84.3817142857145</v>
      </c>
      <c r="AR54" s="44">
        <f ca="1" t="shared" si="6"/>
        <v>14.072761904762</v>
      </c>
      <c r="AS54" s="45">
        <f ca="1">IFERROR(MATCH(AO54/载具产出!R$58,载具属性!$G$33:$G$92,1),0)</f>
        <v>15</v>
      </c>
      <c r="AT54" s="45">
        <f ca="1">IFERROR(MATCH(AP54/载具产出!S$58,载具属性!$G$33:$G$92,1),0)</f>
        <v>10</v>
      </c>
      <c r="AU54" s="45">
        <f ca="1">IFERROR(MATCH(AQ54/载具产出!T$58,载具属性!$G$33:$G$92,1),0)</f>
        <v>1</v>
      </c>
      <c r="AV54" s="45">
        <f ca="1">IFERROR(MATCH(AR54/载具产出!U$58,载具属性!$G$33:$G$92,1),0)</f>
        <v>0</v>
      </c>
      <c r="AW54" s="46" t="str">
        <f ca="1" t="shared" si="7"/>
        <v>[{62,129},{63,11940},{2,29400},{6030001,440},{6030002,425},{6030003,13}]</v>
      </c>
      <c r="AX54" t="str">
        <f ca="1" t="shared" si="8"/>
        <v>{62,129}</v>
      </c>
      <c r="AY54" t="str">
        <f ca="1" t="shared" si="9"/>
        <v>{63,11940}</v>
      </c>
      <c r="AZ54" t="str">
        <f ca="1" t="shared" si="10"/>
        <v>{2,29400}</v>
      </c>
      <c r="BA54" t="str">
        <f ca="1" t="shared" si="11"/>
        <v>{6030001,440}</v>
      </c>
      <c r="BB54" t="str">
        <f ca="1" t="shared" si="12"/>
        <v>{6030002,425}</v>
      </c>
      <c r="BC54" t="str">
        <f ca="1" t="shared" si="13"/>
        <v>{6030003,13}</v>
      </c>
      <c r="BD54" t="str">
        <f ca="1" t="shared" si="14"/>
        <v/>
      </c>
    </row>
    <row r="55" spans="3:56">
      <c r="C55">
        <f ca="1" t="shared" si="1"/>
        <v>98.3809523809524</v>
      </c>
      <c r="D55" s="40">
        <v>49</v>
      </c>
      <c r="E55" s="40">
        <v>81</v>
      </c>
      <c r="F55" s="40">
        <v>93</v>
      </c>
      <c r="G55" s="41">
        <v>105</v>
      </c>
      <c r="H55" s="40">
        <v>131</v>
      </c>
      <c r="I55" s="40">
        <v>140</v>
      </c>
      <c r="J55" s="40">
        <f t="shared" si="15"/>
        <v>117</v>
      </c>
      <c r="K55" s="40">
        <f ca="1">SUM(U$36:U55)-SUM(OFFSET(载具产出!H$399,0,0,$R55+1,1))</f>
        <v>136</v>
      </c>
      <c r="L55" s="40">
        <f ca="1">SUM(T$36:T55)-SUM(OFFSET(载具产出!G$399,0,0,$R55+1,1))</f>
        <v>12755</v>
      </c>
      <c r="M55" s="40">
        <f ca="1">SUM(V$36:V55)/2-SUM(OFFSET(载具产出!I$399,0,0,$R55+1,1))</f>
        <v>32000</v>
      </c>
      <c r="N55" s="40">
        <f ca="1">SUM(AA$36:AA55)-SUM(OFFSET(载具产出!J$399,0,0,$R55+1,1))</f>
        <v>468.4</v>
      </c>
      <c r="O55" s="40">
        <f ca="1">SUM(AB$36:AB55)-SUM(OFFSET(载具产出!K$399,0,0,$R55+1,1))</f>
        <v>450.24</v>
      </c>
      <c r="P55" s="40">
        <f ca="1">SUM(AC$36:AC55)-SUM(OFFSET(载具产出!L$399,0,0,$R55+1,1))</f>
        <v>15.36</v>
      </c>
      <c r="Q55" s="40">
        <f ca="1">SUM(AD$36:AD55)-SUM(OFFSET(载具产出!M$399,0,0,$R55+1,1))</f>
        <v>0</v>
      </c>
      <c r="R55" s="40">
        <v>4</v>
      </c>
      <c r="S55" s="40" t="str">
        <f ca="1">OFFSET(载具产出!$D$111,IFERROR(MATCH(OFFSET($D55,0,MATCH($D$5,$E$6:$H$6,0)),载具产出!$E$112:$E$151,1),0),0)</f>
        <v>豪华Ⅱ</v>
      </c>
      <c r="T55" s="40">
        <f ca="1">OFFSET(载具产出!$F$399,IFERROR(MATCH(OFFSET($D55,0,MATCH($D$5,$E$6:$H$6,0)),载具产出!$E$400:$E$439,1),0),MATCH(T$6,载具产出!$G$399:$O$399,0))</f>
        <v>815</v>
      </c>
      <c r="U55" s="40">
        <v>7</v>
      </c>
      <c r="V55" s="40">
        <f ca="1">OFFSET(载具产出!$F$399,IFERROR(MATCH(OFFSET($D55,0,MATCH($D$5,$E$6:$H$6,0)),载具产出!$E$400:$E$439,1),0),MATCH(V$6,载具产出!$G$399:$O$399,0))</f>
        <v>5200</v>
      </c>
      <c r="W55" s="43">
        <f ca="1">_xlfn.XLOOKUP(Z55,载具属性!$E$98:$E$497,载具属性!$G$98:$G$497)+6000+OFFSET(载具属性!L$33,AS55,0)*载具属性!M$30+OFFSET(载具属性!M$33,AT55,0)*载具属性!N$30+OFFSET(载具属性!N$33,AU55,0)*载具属性!O$30+OFFSET(载具属性!O$33,AV55,0)*载具属性!P$30</f>
        <v>10330</v>
      </c>
      <c r="X55" s="43">
        <f ca="1">_xlfn.XLOOKUP(Z55,载具属性!$E$98:$E$497,载具属性!$G$98:$G$497)</f>
        <v>2350</v>
      </c>
      <c r="Y55" s="43">
        <f ca="1">OFFSET(载具属性!L$33,AS55,0)*载具属性!M$30+OFFSET(载具属性!M$33,AT55,0)*载具属性!N$30+OFFSET(载具属性!N$33,AU55,0)*载具属性!O$30+OFFSET(载具属性!O$33,AV55,0)*载具属性!P$30</f>
        <v>1980</v>
      </c>
      <c r="Z55" s="40">
        <f ca="1">MATCH(SUM($T$7:T55),载具属性!$I$98:$I$497,1)</f>
        <v>45</v>
      </c>
      <c r="AA55" s="40">
        <f ca="1">OFFSET(载具产出!$F$399,IFERROR(MATCH(OFFSET($D55,0,MATCH($D$5,$E$6:$H$6,0)),载具产出!$E$112:$E$151,1),0),MATCH(AA$6,载具产出!$G$111:$O$111,0))*2</f>
        <v>28</v>
      </c>
      <c r="AB55" s="40">
        <f ca="1">OFFSET(载具产出!$F$399,IFERROR(MATCH(OFFSET($D55,0,MATCH($D$5,$E$6:$H$6,0)),载具产出!$E$112:$E$151,1),0),MATCH(AB$6,载具产出!$G$111:$O$111,0))*2</f>
        <v>24.56</v>
      </c>
      <c r="AC55" s="40">
        <f ca="1">OFFSET(载具产出!$F$399,IFERROR(MATCH(OFFSET($D55,0,MATCH($D$5,$E$6:$H$6,0)),载具产出!$E$112:$E$151,1),0),MATCH(AC$6,载具产出!$G$111:$O$111,0))*2</f>
        <v>1.44</v>
      </c>
      <c r="AD55" s="40">
        <f ca="1">OFFSET(载具产出!$F$399,IFERROR(MATCH(OFFSET($D55,0,MATCH($D$5,$E$6:$H$6,0)),载具产出!$E$112:$E$151,1),0),MATCH(AD$6,载具产出!$G$111:$O$111,0))*2</f>
        <v>0</v>
      </c>
      <c r="AE55" s="44">
        <f ca="1">SUM(AA$36:AA55)/3</f>
        <v>178.8</v>
      </c>
      <c r="AF55" s="44">
        <f ca="1">SUM(AB$36:AB55)/3</f>
        <v>157.413333333333</v>
      </c>
      <c r="AG55" s="44">
        <f ca="1">SUM(AC$36:AC55)/3</f>
        <v>5.12</v>
      </c>
      <c r="AH55" s="44">
        <f ca="1">SUM(AD$36:AD55)/3</f>
        <v>0</v>
      </c>
      <c r="AI55" s="44">
        <f>_xlfn.XLOOKUP($D$5,载具产出!$D$71:$D$75,载具产出!$E$71:$E$75)*(D55-30+1)</f>
        <v>235.238095238096</v>
      </c>
      <c r="AJ55" s="44">
        <f>IFERROR(MATCH(_xlfn.XLOOKUP($D$5,载具产出!$D$71:$D$75,载具产出!$E$71:$E$75)*(D55-30+1)*10,载具产出!$E$60:$E$67,1),0)+1</f>
        <v>4</v>
      </c>
      <c r="AK55" s="44">
        <f ca="1">IF($AJ55=1,($AI55)*(10*OFFSET(载具产出!$D$45,MATCH(AK$6,$AK$6:$AN$6,0)-1,$AJ55)+OFFSET(载具产出!$D$49,MATCH(AK$6,$AK$6:$AN$6,0)-1,$AJ55)*OFFSET(载具产出!$N$49,MATCH(AK$6,$AK$6:$AN$6,0)-1,0)),OFFSET(载具产出!F$59,$AJ55-1,0)*10+OFFSET(载具产出!J$59,$AJ55-1,0)+($AI55*10-_xlfn.XLOOKUP($AJ55-1,载具产出!$D$59:$D$67,载具产出!$E$59:$E$67))/10*(10*OFFSET(载具产出!$D$45,MATCH(AK$6,$AK$6:$AN$6,0)-1,$AJ55)+OFFSET(载具产出!$D$49,MATCH(AK$6,$AK$6:$AN$6,0)-1,$AJ55)*OFFSET(载具产出!$N$49,MATCH(AK$6,$AK$6:$AN$6,0)-1,0)))</f>
        <v>587.315714285716</v>
      </c>
      <c r="AL55" s="44">
        <f ca="1">IF($AJ55=1,($AI55)*(10*OFFSET(载具产出!$D$45,MATCH(AL$6,$AK$6:$AN$6,0)-1,$AJ55)+OFFSET(载具产出!$D$49,MATCH(AL$6,$AK$6:$AN$6,0)-1,$AJ55)*OFFSET(载具产出!$N$49,MATCH(AL$6,$AK$6:$AN$6,0)-1,0)),OFFSET(载具产出!G$59,$AJ55-1,0)*10+OFFSET(载具产出!K$59,$AJ55-1,0)+($AI55*10-_xlfn.XLOOKUP($AJ55-1,载具产出!$D$59:$D$67,载具产出!$E$59:$E$67))/10*(10*OFFSET(载具产出!$D$45,MATCH(AL$6,$AK$6:$AN$6,0)-1,$AJ55)+OFFSET(载具产出!$D$49,MATCH(AL$6,$AK$6:$AN$6,0)-1,$AJ55)*OFFSET(载具产出!$N$49,MATCH(AL$6,$AK$6:$AN$6,0)-1,0)))</f>
        <v>185.395238095239</v>
      </c>
      <c r="AM55" s="44">
        <f ca="1">IF($AJ55=1,($AI55)*(10*OFFSET(载具产出!$D$45,MATCH(AM$6,$AK$6:$AN$6,0)-1,$AJ55)+OFFSET(载具产出!$D$49,MATCH(AM$6,$AK$6:$AN$6,0)-1,$AJ55)*OFFSET(载具产出!$N$49,MATCH(AM$6,$AK$6:$AN$6,0)-1,0)),OFFSET(载具产出!H$59,$AJ55-1,0)*10+OFFSET(载具产出!L$59,$AJ55-1,0)+($AI55*10-_xlfn.XLOOKUP($AJ55-1,载具产出!$D$59:$D$67,载具产出!$E$59:$E$67))/10*(10*OFFSET(载具产出!$D$45,MATCH(AM$6,$AK$6:$AN$6,0)-1,$AJ55)+OFFSET(载具产出!$D$49,MATCH(AM$6,$AK$6:$AN$6,0)-1,$AJ55)*OFFSET(载具产出!$N$49,MATCH(AM$6,$AK$6:$AN$6,0)-1,0)))</f>
        <v>84.8228571428575</v>
      </c>
      <c r="AN55" s="44">
        <f ca="1">IF($AJ55=1,($AI55)*(10*OFFSET(载具产出!$D$45,MATCH(AN$6,$AK$6:$AN$6,0)-1,$AJ55)+OFFSET(载具产出!$D$49,MATCH(AN$6,$AK$6:$AN$6,0)-1,$AJ55)*OFFSET(载具产出!$N$49,MATCH(AN$6,$AK$6:$AN$6,0)-1,0)),OFFSET(载具产出!I$59,$AJ55-1,0)*10+OFFSET(载具产出!M$59,$AJ55-1,0)+($AI55*10-_xlfn.XLOOKUP($AJ55-1,载具产出!$D$59:$D$67,载具产出!$E$59:$E$67))/10*(10*OFFSET(载具产出!$D$45,MATCH(AN$6,$AK$6:$AN$6,0)-1,$AJ55)+OFFSET(载具产出!$D$49,MATCH(AN$6,$AK$6:$AN$6,0)-1,$AJ55)*OFFSET(载具产出!$N$49,MATCH(AN$6,$AK$6:$AN$6,0)-1,0)))</f>
        <v>15.6723809523811</v>
      </c>
      <c r="AO55" s="44">
        <f ca="1" t="shared" si="3"/>
        <v>766.115714285716</v>
      </c>
      <c r="AP55" s="44">
        <f ca="1" t="shared" si="4"/>
        <v>342.808571428572</v>
      </c>
      <c r="AQ55" s="44">
        <f ca="1" t="shared" si="5"/>
        <v>89.9428571428575</v>
      </c>
      <c r="AR55" s="44">
        <f ca="1" t="shared" si="6"/>
        <v>15.6723809523811</v>
      </c>
      <c r="AS55" s="45">
        <f ca="1">IFERROR(MATCH(AO55/载具产出!R$58,载具属性!$G$33:$G$92,1),0)</f>
        <v>16</v>
      </c>
      <c r="AT55" s="45">
        <f ca="1">IFERROR(MATCH(AP55/载具产出!S$58,载具属性!$G$33:$G$92,1),0)</f>
        <v>10</v>
      </c>
      <c r="AU55" s="45">
        <f ca="1">IFERROR(MATCH(AQ55/载具产出!T$58,载具属性!$G$33:$G$92,1),0)</f>
        <v>1</v>
      </c>
      <c r="AV55" s="45">
        <f ca="1">IFERROR(MATCH(AR55/载具产出!U$58,载具属性!$G$33:$G$92,1),0)</f>
        <v>0</v>
      </c>
      <c r="AW55" s="46" t="str">
        <f ca="1" t="shared" si="7"/>
        <v>[{62,136},{63,12755},{2,32000},{6030001,468},{6030002,450},{6030003,15}]</v>
      </c>
      <c r="AX55" t="str">
        <f ca="1" t="shared" si="8"/>
        <v>{62,136}</v>
      </c>
      <c r="AY55" t="str">
        <f ca="1" t="shared" si="9"/>
        <v>{63,12755}</v>
      </c>
      <c r="AZ55" t="str">
        <f ca="1" t="shared" si="10"/>
        <v>{2,32000}</v>
      </c>
      <c r="BA55" t="str">
        <f ca="1" t="shared" si="11"/>
        <v>{6030001,468}</v>
      </c>
      <c r="BB55" t="str">
        <f ca="1" t="shared" si="12"/>
        <v>{6030002,450}</v>
      </c>
      <c r="BC55" t="str">
        <f ca="1" t="shared" si="13"/>
        <v>{6030003,15}</v>
      </c>
      <c r="BD55" t="str">
        <f ca="1" t="shared" si="14"/>
        <v/>
      </c>
    </row>
    <row r="56" spans="3:56">
      <c r="C56">
        <f ca="1" t="shared" si="1"/>
        <v>99.1509433962264</v>
      </c>
      <c r="D56" s="40">
        <v>50</v>
      </c>
      <c r="E56" s="40">
        <v>81</v>
      </c>
      <c r="F56" s="40">
        <v>94</v>
      </c>
      <c r="G56" s="41">
        <v>106</v>
      </c>
      <c r="H56" s="40">
        <v>132</v>
      </c>
      <c r="I56" s="40">
        <v>140</v>
      </c>
      <c r="J56" s="40">
        <f t="shared" si="15"/>
        <v>119</v>
      </c>
      <c r="K56" s="40">
        <f ca="1">SUM(U$36:U56)-SUM(OFFSET(载具产出!H$399,0,0,$R56+1,1))</f>
        <v>142</v>
      </c>
      <c r="L56" s="40">
        <f ca="1">SUM(T$36:T56)-SUM(OFFSET(载具产出!G$399,0,0,$R56+1,1))</f>
        <v>12820</v>
      </c>
      <c r="M56" s="40">
        <f ca="1">SUM(V$36:V56)/2-SUM(OFFSET(载具产出!I$399,0,0,$R56+1,1))</f>
        <v>29800</v>
      </c>
      <c r="N56" s="40">
        <f ca="1">SUM(AA$36:AA56)-SUM(OFFSET(载具产出!J$399,0,0,$R56+1,1))</f>
        <v>482.6</v>
      </c>
      <c r="O56" s="40">
        <f ca="1">SUM(AB$36:AB56)-SUM(OFFSET(载具产出!K$399,0,0,$R56+1,1))</f>
        <v>463.84</v>
      </c>
      <c r="P56" s="40">
        <f ca="1">SUM(AC$36:AC56)-SUM(OFFSET(载具产出!L$399,0,0,$R56+1,1))</f>
        <v>16.56</v>
      </c>
      <c r="Q56" s="40">
        <f ca="1">SUM(AD$36:AD56)-SUM(OFFSET(载具产出!M$399,0,0,$R56+1,1))</f>
        <v>0</v>
      </c>
      <c r="R56" s="40">
        <v>5</v>
      </c>
      <c r="S56" s="40" t="str">
        <f ca="1">OFFSET(载具产出!$D$111,IFERROR(MATCH(OFFSET($D56,0,MATCH($D$5,$E$6:$H$6,0)),载具产出!$E$112:$E$151,1),0),0)</f>
        <v>豪华Ⅱ</v>
      </c>
      <c r="T56" s="40">
        <f ca="1">OFFSET(载具产出!$F$399,IFERROR(MATCH(OFFSET($D56,0,MATCH($D$5,$E$6:$H$6,0)),载具产出!$E$400:$E$439,1),0),MATCH(T$6,载具产出!$G$399:$O$399,0))</f>
        <v>815</v>
      </c>
      <c r="U56" s="40">
        <v>7</v>
      </c>
      <c r="V56" s="40">
        <f ca="1">OFFSET(载具产出!$F$399,IFERROR(MATCH(OFFSET($D56,0,MATCH($D$5,$E$6:$H$6,0)),载具产出!$E$400:$E$439,1),0),MATCH(V$6,载具产出!$G$399:$O$399,0))</f>
        <v>5200</v>
      </c>
      <c r="W56" s="43">
        <f ca="1">_xlfn.XLOOKUP(Z56,载具属性!$E$98:$E$497,载具属性!$G$98:$G$497)+6000+OFFSET(载具属性!L$33,AS56,0)*载具属性!M$30+OFFSET(载具属性!M$33,AT56,0)*载具属性!N$30+OFFSET(载具属性!N$33,AU56,0)*载具属性!O$30+OFFSET(载具属性!O$33,AV56,0)*载具属性!P$30</f>
        <v>10510</v>
      </c>
      <c r="X56" s="43">
        <f ca="1">_xlfn.XLOOKUP(Z56,载具属性!$E$98:$E$497,载具属性!$G$98:$G$497)</f>
        <v>2410</v>
      </c>
      <c r="Y56" s="43">
        <f ca="1">OFFSET(载具属性!L$33,AS56,0)*载具属性!M$30+OFFSET(载具属性!M$33,AT56,0)*载具属性!N$30+OFFSET(载具属性!N$33,AU56,0)*载具属性!O$30+OFFSET(载具属性!O$33,AV56,0)*载具属性!P$30</f>
        <v>2100</v>
      </c>
      <c r="Z56" s="40">
        <f ca="1">MATCH(SUM($T$7:T56),载具属性!$I$98:$I$497,1)</f>
        <v>46</v>
      </c>
      <c r="AA56" s="40">
        <f ca="1">OFFSET(载具产出!$F$399,IFERROR(MATCH(OFFSET($D56,0,MATCH($D$5,$E$6:$H$6,0)),载具产出!$E$112:$E$151,1),0),MATCH(AA$6,载具产出!$G$111:$O$111,0))*2</f>
        <v>28</v>
      </c>
      <c r="AB56" s="40">
        <f ca="1">OFFSET(载具产出!$F$399,IFERROR(MATCH(OFFSET($D56,0,MATCH($D$5,$E$6:$H$6,0)),载具产出!$E$112:$E$151,1),0),MATCH(AB$6,载具产出!$G$111:$O$111,0))*2</f>
        <v>24.56</v>
      </c>
      <c r="AC56" s="40">
        <f ca="1">OFFSET(载具产出!$F$399,IFERROR(MATCH(OFFSET($D56,0,MATCH($D$5,$E$6:$H$6,0)),载具产出!$E$112:$E$151,1),0),MATCH(AC$6,载具产出!$G$111:$O$111,0))*2</f>
        <v>1.44</v>
      </c>
      <c r="AD56" s="40">
        <f ca="1">OFFSET(载具产出!$F$399,IFERROR(MATCH(OFFSET($D56,0,MATCH($D$5,$E$6:$H$6,0)),载具产出!$E$112:$E$151,1),0),MATCH(AD$6,载具产出!$G$111:$O$111,0))*2</f>
        <v>0</v>
      </c>
      <c r="AE56" s="44">
        <f ca="1">SUM(AA$36:AA56)/3</f>
        <v>188.133333333333</v>
      </c>
      <c r="AF56" s="44">
        <f ca="1">SUM(AB$36:AB56)/3</f>
        <v>165.6</v>
      </c>
      <c r="AG56" s="44">
        <f ca="1">SUM(AC$36:AC56)/3</f>
        <v>5.6</v>
      </c>
      <c r="AH56" s="44">
        <f ca="1">SUM(AD$36:AD56)/3</f>
        <v>0</v>
      </c>
      <c r="AI56" s="44">
        <f>_xlfn.XLOOKUP($D$5,载具产出!$D$71:$D$75,载具产出!$E$71:$E$75)*(D56-30+1)</f>
        <v>247.000000000001</v>
      </c>
      <c r="AJ56" s="44">
        <f>IFERROR(MATCH(_xlfn.XLOOKUP($D$5,载具产出!$D$71:$D$75,载具产出!$E$71:$E$75)*(D56-30+1)*10,载具产出!$E$60:$E$67,1),0)+1</f>
        <v>5</v>
      </c>
      <c r="AK56" s="44">
        <f ca="1">IF($AJ56=1,($AI56)*(10*OFFSET(载具产出!$D$45,MATCH(AK$6,$AK$6:$AN$6,0)-1,$AJ56)+OFFSET(载具产出!$D$49,MATCH(AK$6,$AK$6:$AN$6,0)-1,$AJ56)*OFFSET(载具产出!$N$49,MATCH(AK$6,$AK$6:$AN$6,0)-1,0)),OFFSET(载具产出!F$59,$AJ56-1,0)*10+OFFSET(载具产出!J$59,$AJ56-1,0)+($AI56*10-_xlfn.XLOOKUP($AJ56-1,载具产出!$D$59:$D$67,载具产出!$E$59:$E$67))/10*(10*OFFSET(载具产出!$D$45,MATCH(AK$6,$AK$6:$AN$6,0)-1,$AJ56)+OFFSET(载具产出!$D$49,MATCH(AK$6,$AK$6:$AN$6,0)-1,$AJ56)*OFFSET(载具产出!$N$49,MATCH(AK$6,$AK$6:$AN$6,0)-1,0)))</f>
        <v>613.854000000002</v>
      </c>
      <c r="AL56" s="44">
        <f ca="1">IF($AJ56=1,($AI56)*(10*OFFSET(载具产出!$D$45,MATCH(AL$6,$AK$6:$AN$6,0)-1,$AJ56)+OFFSET(载具产出!$D$49,MATCH(AL$6,$AK$6:$AN$6,0)-1,$AJ56)*OFFSET(载具产出!$N$49,MATCH(AL$6,$AK$6:$AN$6,0)-1,0)),OFFSET(载具产出!G$59,$AJ56-1,0)*10+OFFSET(载具产出!K$59,$AJ56-1,0)+($AI56*10-_xlfn.XLOOKUP($AJ56-1,载具产出!$D$59:$D$67,载具产出!$E$59:$E$67))/10*(10*OFFSET(载具产出!$D$45,MATCH(AL$6,$AK$6:$AN$6,0)-1,$AJ56)+OFFSET(载具产出!$D$49,MATCH(AL$6,$AK$6:$AN$6,0)-1,$AJ56)*OFFSET(载具产出!$N$49,MATCH(AL$6,$AK$6:$AN$6,0)-1,0)))</f>
        <v>195.320000000001</v>
      </c>
      <c r="AM56" s="44">
        <f ca="1">IF($AJ56=1,($AI56)*(10*OFFSET(载具产出!$D$45,MATCH(AM$6,$AK$6:$AN$6,0)-1,$AJ56)+OFFSET(载具产出!$D$49,MATCH(AM$6,$AK$6:$AN$6,0)-1,$AJ56)*OFFSET(载具产出!$N$49,MATCH(AM$6,$AK$6:$AN$6,0)-1,0)),OFFSET(载具产出!H$59,$AJ56-1,0)*10+OFFSET(载具产出!L$59,$AJ56-1,0)+($AI56*10-_xlfn.XLOOKUP($AJ56-1,载具产出!$D$59:$D$67,载具产出!$E$59:$E$67))/10*(10*OFFSET(载具产出!$D$45,MATCH(AM$6,$AK$6:$AN$6,0)-1,$AJ56)+OFFSET(载具产出!$D$49,MATCH(AM$6,$AK$6:$AN$6,0)-1,$AJ56)*OFFSET(载具产出!$N$49,MATCH(AM$6,$AK$6:$AN$6,0)-1,0)))</f>
        <v>90.1280000000005</v>
      </c>
      <c r="AN56" s="44">
        <f ca="1">IF($AJ56=1,($AI56)*(10*OFFSET(载具产出!$D$45,MATCH(AN$6,$AK$6:$AN$6,0)-1,$AJ56)+OFFSET(载具产出!$D$49,MATCH(AN$6,$AK$6:$AN$6,0)-1,$AJ56)*OFFSET(载具产出!$N$49,MATCH(AN$6,$AK$6:$AN$6,0)-1,0)),OFFSET(载具产出!I$59,$AJ56-1,0)*10+OFFSET(载具产出!M$59,$AJ56-1,0)+($AI56*10-_xlfn.XLOOKUP($AJ56-1,载具产出!$D$59:$D$67,载具产出!$E$59:$E$67))/10*(10*OFFSET(载具产出!$D$45,MATCH(AN$6,$AK$6:$AN$6,0)-1,$AJ56)+OFFSET(载具产出!$D$49,MATCH(AN$6,$AK$6:$AN$6,0)-1,$AJ56)*OFFSET(载具产出!$N$49,MATCH(AN$6,$AK$6:$AN$6,0)-1,0)))</f>
        <v>17.3490000000001</v>
      </c>
      <c r="AO56" s="44">
        <f ca="1" t="shared" si="3"/>
        <v>801.987333333336</v>
      </c>
      <c r="AP56" s="44">
        <f ca="1" t="shared" si="4"/>
        <v>360.920000000001</v>
      </c>
      <c r="AQ56" s="44">
        <f ca="1" t="shared" si="5"/>
        <v>95.7280000000005</v>
      </c>
      <c r="AR56" s="44">
        <f ca="1" t="shared" si="6"/>
        <v>17.3490000000001</v>
      </c>
      <c r="AS56" s="45">
        <f ca="1">IFERROR(MATCH(AO56/载具产出!R$58,载具属性!$G$33:$G$92,1),0)</f>
        <v>16</v>
      </c>
      <c r="AT56" s="45">
        <f ca="1">IFERROR(MATCH(AP56/载具产出!S$58,载具属性!$G$33:$G$92,1),0)</f>
        <v>10</v>
      </c>
      <c r="AU56" s="45">
        <f ca="1">IFERROR(MATCH(AQ56/载具产出!T$58,载具属性!$G$33:$G$92,1),0)</f>
        <v>2</v>
      </c>
      <c r="AV56" s="45">
        <f ca="1">IFERROR(MATCH(AR56/载具产出!U$58,载具属性!$G$33:$G$92,1),0)</f>
        <v>0</v>
      </c>
      <c r="AW56" s="46" t="str">
        <f ca="1" t="shared" si="7"/>
        <v>[{62,142},{63,12820},{2,29800},{6030001,482},{6030002,463},{6030003,16}]</v>
      </c>
      <c r="AX56" t="str">
        <f ca="1" t="shared" si="8"/>
        <v>{62,142}</v>
      </c>
      <c r="AY56" t="str">
        <f ca="1" t="shared" si="9"/>
        <v>{63,12820}</v>
      </c>
      <c r="AZ56" t="str">
        <f ca="1" t="shared" si="10"/>
        <v>{2,29800}</v>
      </c>
      <c r="BA56" t="str">
        <f ca="1" t="shared" si="11"/>
        <v>{6030001,482}</v>
      </c>
      <c r="BB56" t="str">
        <f ca="1" t="shared" si="12"/>
        <v>{6030002,463}</v>
      </c>
      <c r="BC56" t="str">
        <f ca="1" t="shared" si="13"/>
        <v>{6030003,16}</v>
      </c>
      <c r="BD56" t="str">
        <f ca="1" t="shared" si="14"/>
        <v/>
      </c>
    </row>
    <row r="57" spans="3:56">
      <c r="C57">
        <f ca="1" t="shared" si="1"/>
        <v>98.785046728972</v>
      </c>
      <c r="D57" s="40">
        <v>51</v>
      </c>
      <c r="E57" s="40">
        <v>82</v>
      </c>
      <c r="F57" s="40">
        <v>94</v>
      </c>
      <c r="G57" s="41">
        <v>107</v>
      </c>
      <c r="H57" s="40">
        <v>133</v>
      </c>
      <c r="I57" s="40">
        <v>160</v>
      </c>
      <c r="J57" s="40">
        <f>MIN(INT(G57*(30-(D57-30))/30+(D57-30)/30*H57),H57)</f>
        <v>125</v>
      </c>
      <c r="K57" s="40">
        <f ca="1">SUM(U$36:U57)-SUM(OFFSET(载具产出!H$399,0,0,$R57+1,1))</f>
        <v>149</v>
      </c>
      <c r="L57" s="40">
        <f ca="1">SUM(T$36:T57)-SUM(OFFSET(载具产出!G$399,0,0,$R57+1,1))</f>
        <v>13635</v>
      </c>
      <c r="M57" s="40">
        <f ca="1">SUM(V$36:V57)/2-SUM(OFFSET(载具产出!I$399,0,0,$R57+1,1))</f>
        <v>32400</v>
      </c>
      <c r="N57" s="40">
        <f ca="1">SUM(AA$36:AA57)-SUM(OFFSET(载具产出!J$399,0,0,$R57+1,1))</f>
        <v>510.6</v>
      </c>
      <c r="O57" s="40">
        <f ca="1">SUM(AB$36:AB57)-SUM(OFFSET(载具产出!K$399,0,0,$R57+1,1))</f>
        <v>488.4</v>
      </c>
      <c r="P57" s="40">
        <f ca="1">SUM(AC$36:AC57)-SUM(OFFSET(载具产出!L$399,0,0,$R57+1,1))</f>
        <v>18</v>
      </c>
      <c r="Q57" s="40">
        <f ca="1">SUM(AD$36:AD57)-SUM(OFFSET(载具产出!M$399,0,0,$R57+1,1))</f>
        <v>0</v>
      </c>
      <c r="R57" s="40">
        <v>5</v>
      </c>
      <c r="S57" s="40" t="str">
        <f ca="1">OFFSET(载具产出!$D$111,IFERROR(MATCH(OFFSET($D57,0,MATCH($D$5,$E$6:$H$6,0)),载具产出!$E$112:$E$151,1),0),0)</f>
        <v>豪华Ⅱ</v>
      </c>
      <c r="T57" s="40">
        <f ca="1">OFFSET(载具产出!$F$399,IFERROR(MATCH(OFFSET($D57,0,MATCH($D$5,$E$6:$H$6,0)),载具产出!$E$400:$E$439,1),0),MATCH(T$6,载具产出!$G$399:$O$399,0))</f>
        <v>815</v>
      </c>
      <c r="U57" s="40">
        <v>7</v>
      </c>
      <c r="V57" s="40">
        <f ca="1">OFFSET(载具产出!$F$399,IFERROR(MATCH(OFFSET($D57,0,MATCH($D$5,$E$6:$H$6,0)),载具产出!$E$400:$E$439,1),0),MATCH(V$6,载具产出!$G$399:$O$399,0))</f>
        <v>5200</v>
      </c>
      <c r="W57" s="43">
        <f ca="1">_xlfn.XLOOKUP(Z57,载具属性!$E$98:$E$497,载具属性!$G$98:$G$497)+6000+OFFSET(载具属性!L$33,AS57,0)*载具属性!M$30+OFFSET(载具属性!M$33,AT57,0)*载具属性!N$30+OFFSET(载具属性!N$33,AU57,0)*载具属性!O$30+OFFSET(载具属性!O$33,AV57,0)*载具属性!P$30</f>
        <v>10570</v>
      </c>
      <c r="X57" s="43">
        <f ca="1">_xlfn.XLOOKUP(Z57,载具属性!$E$98:$E$497,载具属性!$G$98:$G$497)</f>
        <v>2470</v>
      </c>
      <c r="Y57" s="43">
        <f ca="1">OFFSET(载具属性!L$33,AS57,0)*载具属性!M$30+OFFSET(载具属性!M$33,AT57,0)*载具属性!N$30+OFFSET(载具属性!N$33,AU57,0)*载具属性!O$30+OFFSET(载具属性!O$33,AV57,0)*载具属性!P$30</f>
        <v>2100</v>
      </c>
      <c r="Z57" s="40">
        <f ca="1">MATCH(SUM($T$7:T57),载具属性!$I$98:$I$497,1)</f>
        <v>47</v>
      </c>
      <c r="AA57" s="40">
        <f ca="1">OFFSET(载具产出!$F$399,IFERROR(MATCH(OFFSET($D57,0,MATCH($D$5,$E$6:$H$6,0)),载具产出!$E$112:$E$151,1),0),MATCH(AA$6,载具产出!$G$111:$O$111,0))*2</f>
        <v>28</v>
      </c>
      <c r="AB57" s="40">
        <f ca="1">OFFSET(载具产出!$F$399,IFERROR(MATCH(OFFSET($D57,0,MATCH($D$5,$E$6:$H$6,0)),载具产出!$E$112:$E$151,1),0),MATCH(AB$6,载具产出!$G$111:$O$111,0))*2</f>
        <v>24.56</v>
      </c>
      <c r="AC57" s="40">
        <f ca="1">OFFSET(载具产出!$F$399,IFERROR(MATCH(OFFSET($D57,0,MATCH($D$5,$E$6:$H$6,0)),载具产出!$E$112:$E$151,1),0),MATCH(AC$6,载具产出!$G$111:$O$111,0))*2</f>
        <v>1.44</v>
      </c>
      <c r="AD57" s="40">
        <f ca="1">OFFSET(载具产出!$F$399,IFERROR(MATCH(OFFSET($D57,0,MATCH($D$5,$E$6:$H$6,0)),载具产出!$E$112:$E$151,1),0),MATCH(AD$6,载具产出!$G$111:$O$111,0))*2</f>
        <v>0</v>
      </c>
      <c r="AE57" s="44">
        <f ca="1">SUM(AA$36:AA57)/3</f>
        <v>197.466666666667</v>
      </c>
      <c r="AF57" s="44">
        <f ca="1">SUM(AB$36:AB57)/3</f>
        <v>173.786666666667</v>
      </c>
      <c r="AG57" s="44">
        <f ca="1">SUM(AC$36:AC57)/3</f>
        <v>6.08</v>
      </c>
      <c r="AH57" s="44">
        <f ca="1">SUM(AD$36:AD57)/3</f>
        <v>0</v>
      </c>
      <c r="AI57" s="44">
        <f>_xlfn.XLOOKUP($D$5,载具产出!$D$71:$D$75,载具产出!$E$71:$E$75)*(D57-30+1)</f>
        <v>258.761904761906</v>
      </c>
      <c r="AJ57" s="44">
        <f>IFERROR(MATCH(_xlfn.XLOOKUP($D$5,载具产出!$D$71:$D$75,载具产出!$E$71:$E$75)*(D57-30+1)*10,载具产出!$E$60:$E$67,1),0)+1</f>
        <v>5</v>
      </c>
      <c r="AK57" s="44">
        <f ca="1">IF($AJ57=1,($AI57)*(10*OFFSET(载具产出!$D$45,MATCH(AK$6,$AK$6:$AN$6,0)-1,$AJ57)+OFFSET(载具产出!$D$49,MATCH(AK$6,$AK$6:$AN$6,0)-1,$AJ57)*OFFSET(载具产出!$N$49,MATCH(AK$6,$AK$6:$AN$6,0)-1,0)),OFFSET(载具产出!F$59,$AJ57-1,0)*10+OFFSET(载具产出!J$59,$AJ57-1,0)+($AI57*10-_xlfn.XLOOKUP($AJ57-1,载具产出!$D$59:$D$67,载具产出!$E$59:$E$67))/10*(10*OFFSET(载具产出!$D$45,MATCH(AK$6,$AK$6:$AN$6,0)-1,$AJ57)+OFFSET(载具产出!$D$49,MATCH(AK$6,$AK$6:$AN$6,0)-1,$AJ57)*OFFSET(载具产出!$N$49,MATCH(AK$6,$AK$6:$AN$6,0)-1,0)))</f>
        <v>640.106571428574</v>
      </c>
      <c r="AL57" s="44">
        <f ca="1">IF($AJ57=1,($AI57)*(10*OFFSET(载具产出!$D$45,MATCH(AL$6,$AK$6:$AN$6,0)-1,$AJ57)+OFFSET(载具产出!$D$49,MATCH(AL$6,$AK$6:$AN$6,0)-1,$AJ57)*OFFSET(载具产出!$N$49,MATCH(AL$6,$AK$6:$AN$6,0)-1,0)),OFFSET(载具产出!G$59,$AJ57-1,0)*10+OFFSET(载具产出!K$59,$AJ57-1,0)+($AI57*10-_xlfn.XLOOKUP($AJ57-1,载具产出!$D$59:$D$67,载具产出!$E$59:$E$67))/10*(10*OFFSET(载具产出!$D$45,MATCH(AL$6,$AK$6:$AN$6,0)-1,$AJ57)+OFFSET(载具产出!$D$49,MATCH(AL$6,$AK$6:$AN$6,0)-1,$AJ57)*OFFSET(载具产出!$N$49,MATCH(AL$6,$AK$6:$AN$6,0)-1,0)))</f>
        <v>205.435238095239</v>
      </c>
      <c r="AM57" s="44">
        <f ca="1">IF($AJ57=1,($AI57)*(10*OFFSET(载具产出!$D$45,MATCH(AM$6,$AK$6:$AN$6,0)-1,$AJ57)+OFFSET(载具产出!$D$49,MATCH(AM$6,$AK$6:$AN$6,0)-1,$AJ57)*OFFSET(载具产出!$N$49,MATCH(AM$6,$AK$6:$AN$6,0)-1,0)),OFFSET(载具产出!H$59,$AJ57-1,0)*10+OFFSET(载具产出!L$59,$AJ57-1,0)+($AI57*10-_xlfn.XLOOKUP($AJ57-1,载具产出!$D$59:$D$67,载具产出!$E$59:$E$67))/10*(10*OFFSET(载具产出!$D$45,MATCH(AM$6,$AK$6:$AN$6,0)-1,$AJ57)+OFFSET(载具产出!$D$49,MATCH(AM$6,$AK$6:$AN$6,0)-1,$AJ57)*OFFSET(载具产出!$N$49,MATCH(AM$6,$AK$6:$AN$6,0)-1,0)))</f>
        <v>95.5855238095244</v>
      </c>
      <c r="AN57" s="44">
        <f ca="1">IF($AJ57=1,($AI57)*(10*OFFSET(载具产出!$D$45,MATCH(AN$6,$AK$6:$AN$6,0)-1,$AJ57)+OFFSET(载具产出!$D$49,MATCH(AN$6,$AK$6:$AN$6,0)-1,$AJ57)*OFFSET(载具产出!$N$49,MATCH(AN$6,$AK$6:$AN$6,0)-1,0)),OFFSET(载具产出!I$59,$AJ57-1,0)*10+OFFSET(载具产出!M$59,$AJ57-1,0)+($AI57*10-_xlfn.XLOOKUP($AJ57-1,载具产出!$D$59:$D$67,载具产出!$E$59:$E$67))/10*(10*OFFSET(载具产出!$D$45,MATCH(AN$6,$AK$6:$AN$6,0)-1,$AJ57)+OFFSET(载具产出!$D$49,MATCH(AN$6,$AK$6:$AN$6,0)-1,$AJ57)*OFFSET(载具产出!$N$49,MATCH(AN$6,$AK$6:$AN$6,0)-1,0)))</f>
        <v>19.0780000000002</v>
      </c>
      <c r="AO57" s="44">
        <f ca="1" t="shared" si="3"/>
        <v>837.573238095241</v>
      </c>
      <c r="AP57" s="44">
        <f ca="1" t="shared" si="4"/>
        <v>379.221904761906</v>
      </c>
      <c r="AQ57" s="44">
        <f ca="1" t="shared" si="5"/>
        <v>101.665523809524</v>
      </c>
      <c r="AR57" s="44">
        <f ca="1" t="shared" si="6"/>
        <v>19.0780000000002</v>
      </c>
      <c r="AS57" s="45">
        <f ca="1">IFERROR(MATCH(AO57/载具产出!R$58,载具属性!$G$33:$G$92,1),0)</f>
        <v>16</v>
      </c>
      <c r="AT57" s="45">
        <f ca="1">IFERROR(MATCH(AP57/载具产出!S$58,载具属性!$G$33:$G$92,1),0)</f>
        <v>10</v>
      </c>
      <c r="AU57" s="45">
        <f ca="1">IFERROR(MATCH(AQ57/载具产出!T$58,载具属性!$G$33:$G$92,1),0)</f>
        <v>2</v>
      </c>
      <c r="AV57" s="45">
        <f ca="1">IFERROR(MATCH(AR57/载具产出!U$58,载具属性!$G$33:$G$92,1),0)</f>
        <v>0</v>
      </c>
      <c r="AW57" s="46" t="str">
        <f ca="1" t="shared" si="7"/>
        <v>[{62,149},{63,13635},{2,32400},{6030001,510},{6030002,488},{6030003,18}]</v>
      </c>
      <c r="AX57" t="str">
        <f ca="1" t="shared" si="8"/>
        <v>{62,149}</v>
      </c>
      <c r="AY57" t="str">
        <f ca="1" t="shared" si="9"/>
        <v>{63,13635}</v>
      </c>
      <c r="AZ57" t="str">
        <f ca="1" t="shared" si="10"/>
        <v>{2,32400}</v>
      </c>
      <c r="BA57" t="str">
        <f ca="1" t="shared" si="11"/>
        <v>{6030001,510}</v>
      </c>
      <c r="BB57" t="str">
        <f ca="1" t="shared" si="12"/>
        <v>{6030002,488}</v>
      </c>
      <c r="BC57" t="str">
        <f ca="1" t="shared" si="13"/>
        <v>{6030003,18}</v>
      </c>
      <c r="BD57" t="str">
        <f ca="1" t="shared" si="14"/>
        <v/>
      </c>
    </row>
    <row r="58" spans="3:56">
      <c r="C58">
        <f ca="1" t="shared" si="1"/>
        <v>98.4259259259259</v>
      </c>
      <c r="D58" s="40">
        <v>52</v>
      </c>
      <c r="E58" s="40">
        <v>82</v>
      </c>
      <c r="F58" s="40">
        <v>95</v>
      </c>
      <c r="G58" s="41">
        <v>108</v>
      </c>
      <c r="H58" s="40">
        <v>135</v>
      </c>
      <c r="I58" s="40">
        <v>157</v>
      </c>
      <c r="J58" s="40">
        <f t="shared" ref="J58:J66" si="16">MIN(INT(G58*(30-(D58-30))/30+(D58-30)/30*H58),H58)</f>
        <v>127</v>
      </c>
      <c r="K58" s="40">
        <f ca="1">SUM(U$36:U58)-SUM(OFFSET(载具产出!H$399,0,0,$R58+1,1))</f>
        <v>156</v>
      </c>
      <c r="L58" s="40">
        <f ca="1">SUM(T$36:T58)-SUM(OFFSET(载具产出!G$399,0,0,$R58+1,1))</f>
        <v>14450</v>
      </c>
      <c r="M58" s="40">
        <f ca="1">SUM(V$36:V58)/2-SUM(OFFSET(载具产出!I$399,0,0,$R58+1,1))</f>
        <v>35000</v>
      </c>
      <c r="N58" s="40">
        <f ca="1">SUM(AA$36:AA58)-SUM(OFFSET(载具产出!J$399,0,0,$R58+1,1))</f>
        <v>538.6</v>
      </c>
      <c r="O58" s="40">
        <f ca="1">SUM(AB$36:AB58)-SUM(OFFSET(载具产出!K$399,0,0,$R58+1,1))</f>
        <v>512.96</v>
      </c>
      <c r="P58" s="40">
        <f ca="1">SUM(AC$36:AC58)-SUM(OFFSET(载具产出!L$399,0,0,$R58+1,1))</f>
        <v>19.44</v>
      </c>
      <c r="Q58" s="40">
        <f ca="1">SUM(AD$36:AD58)-SUM(OFFSET(载具产出!M$399,0,0,$R58+1,1))</f>
        <v>0</v>
      </c>
      <c r="R58" s="40">
        <v>5</v>
      </c>
      <c r="S58" s="40" t="str">
        <f ca="1">OFFSET(载具产出!$D$111,IFERROR(MATCH(OFFSET($D58,0,MATCH($D$5,$E$6:$H$6,0)),载具产出!$E$112:$E$151,1),0),0)</f>
        <v>豪华Ⅱ</v>
      </c>
      <c r="T58" s="40">
        <f ca="1">OFFSET(载具产出!$F$399,IFERROR(MATCH(OFFSET($D58,0,MATCH($D$5,$E$6:$H$6,0)),载具产出!$E$400:$E$439,1),0),MATCH(T$6,载具产出!$G$399:$O$399,0))</f>
        <v>815</v>
      </c>
      <c r="U58" s="40">
        <v>7</v>
      </c>
      <c r="V58" s="40">
        <f ca="1">OFFSET(载具产出!$F$399,IFERROR(MATCH(OFFSET($D58,0,MATCH($D$5,$E$6:$H$6,0)),载具产出!$E$400:$E$439,1),0),MATCH(V$6,载具产出!$G$399:$O$399,0))</f>
        <v>5200</v>
      </c>
      <c r="W58" s="43">
        <f ca="1">_xlfn.XLOOKUP(Z58,载具属性!$E$98:$E$497,载具属性!$G$98:$G$497)+6000+OFFSET(载具属性!L$33,AS58,0)*载具属性!M$30+OFFSET(载具属性!M$33,AT58,0)*载具属性!N$30+OFFSET(载具属性!N$33,AU58,0)*载具属性!O$30+OFFSET(载具属性!O$33,AV58,0)*载具属性!P$30</f>
        <v>10630</v>
      </c>
      <c r="X58" s="43">
        <f ca="1">_xlfn.XLOOKUP(Z58,载具属性!$E$98:$E$497,载具属性!$G$98:$G$497)</f>
        <v>2530</v>
      </c>
      <c r="Y58" s="43">
        <f ca="1">OFFSET(载具属性!L$33,AS58,0)*载具属性!M$30+OFFSET(载具属性!M$33,AT58,0)*载具属性!N$30+OFFSET(载具属性!N$33,AU58,0)*载具属性!O$30+OFFSET(载具属性!O$33,AV58,0)*载具属性!P$30</f>
        <v>2100</v>
      </c>
      <c r="Z58" s="40">
        <f ca="1">MATCH(SUM($T$7:T58),载具属性!$I$98:$I$497,1)</f>
        <v>48</v>
      </c>
      <c r="AA58" s="40">
        <f ca="1">OFFSET(载具产出!$F$399,IFERROR(MATCH(OFFSET($D58,0,MATCH($D$5,$E$6:$H$6,0)),载具产出!$E$112:$E$151,1),0),MATCH(AA$6,载具产出!$G$111:$O$111,0))*2</f>
        <v>28</v>
      </c>
      <c r="AB58" s="40">
        <f ca="1">OFFSET(载具产出!$F$399,IFERROR(MATCH(OFFSET($D58,0,MATCH($D$5,$E$6:$H$6,0)),载具产出!$E$112:$E$151,1),0),MATCH(AB$6,载具产出!$G$111:$O$111,0))*2</f>
        <v>24.56</v>
      </c>
      <c r="AC58" s="40">
        <f ca="1">OFFSET(载具产出!$F$399,IFERROR(MATCH(OFFSET($D58,0,MATCH($D$5,$E$6:$H$6,0)),载具产出!$E$112:$E$151,1),0),MATCH(AC$6,载具产出!$G$111:$O$111,0))*2</f>
        <v>1.44</v>
      </c>
      <c r="AD58" s="40">
        <f ca="1">OFFSET(载具产出!$F$399,IFERROR(MATCH(OFFSET($D58,0,MATCH($D$5,$E$6:$H$6,0)),载具产出!$E$112:$E$151,1),0),MATCH(AD$6,载具产出!$G$111:$O$111,0))*2</f>
        <v>0</v>
      </c>
      <c r="AE58" s="44">
        <f ca="1">SUM(AA$36:AA58)/3</f>
        <v>206.8</v>
      </c>
      <c r="AF58" s="44">
        <f ca="1">SUM(AB$36:AB58)/3</f>
        <v>181.973333333333</v>
      </c>
      <c r="AG58" s="44">
        <f ca="1">SUM(AC$36:AC58)/3</f>
        <v>6.56</v>
      </c>
      <c r="AH58" s="44">
        <f ca="1">SUM(AD$36:AD58)/3</f>
        <v>0</v>
      </c>
      <c r="AI58" s="44">
        <f>_xlfn.XLOOKUP($D$5,载具产出!$D$71:$D$75,载具产出!$E$71:$E$75)*(D58-30+1)</f>
        <v>270.52380952381</v>
      </c>
      <c r="AJ58" s="44">
        <f>IFERROR(MATCH(_xlfn.XLOOKUP($D$5,载具产出!$D$71:$D$75,载具产出!$E$71:$E$75)*(D58-30+1)*10,载具产出!$E$60:$E$67,1),0)+1</f>
        <v>5</v>
      </c>
      <c r="AK58" s="44">
        <f ca="1">IF($AJ58=1,($AI58)*(10*OFFSET(载具产出!$D$45,MATCH(AK$6,$AK$6:$AN$6,0)-1,$AJ58)+OFFSET(载具产出!$D$49,MATCH(AK$6,$AK$6:$AN$6,0)-1,$AJ58)*OFFSET(载具产出!$N$49,MATCH(AK$6,$AK$6:$AN$6,0)-1,0)),OFFSET(载具产出!F$59,$AJ58-1,0)*10+OFFSET(载具产出!J$59,$AJ58-1,0)+($AI58*10-_xlfn.XLOOKUP($AJ58-1,载具产出!$D$59:$D$67,载具产出!$E$59:$E$67))/10*(10*OFFSET(载具产出!$D$45,MATCH(AK$6,$AK$6:$AN$6,0)-1,$AJ58)+OFFSET(载具产出!$D$49,MATCH(AK$6,$AK$6:$AN$6,0)-1,$AJ58)*OFFSET(载具产出!$N$49,MATCH(AK$6,$AK$6:$AN$6,0)-1,0)))</f>
        <v>666.359142857144</v>
      </c>
      <c r="AL58" s="44">
        <f ca="1">IF($AJ58=1,($AI58)*(10*OFFSET(载具产出!$D$45,MATCH(AL$6,$AK$6:$AN$6,0)-1,$AJ58)+OFFSET(载具产出!$D$49,MATCH(AL$6,$AK$6:$AN$6,0)-1,$AJ58)*OFFSET(载具产出!$N$49,MATCH(AL$6,$AK$6:$AN$6,0)-1,0)),OFFSET(载具产出!G$59,$AJ58-1,0)*10+OFFSET(载具产出!K$59,$AJ58-1,0)+($AI58*10-_xlfn.XLOOKUP($AJ58-1,载具产出!$D$59:$D$67,载具产出!$E$59:$E$67))/10*(10*OFFSET(载具产出!$D$45,MATCH(AL$6,$AK$6:$AN$6,0)-1,$AJ58)+OFFSET(载具产出!$D$49,MATCH(AL$6,$AK$6:$AN$6,0)-1,$AJ58)*OFFSET(载具产出!$N$49,MATCH(AL$6,$AK$6:$AN$6,0)-1,0)))</f>
        <v>215.550476190477</v>
      </c>
      <c r="AM58" s="44">
        <f ca="1">IF($AJ58=1,($AI58)*(10*OFFSET(载具产出!$D$45,MATCH(AM$6,$AK$6:$AN$6,0)-1,$AJ58)+OFFSET(载具产出!$D$49,MATCH(AM$6,$AK$6:$AN$6,0)-1,$AJ58)*OFFSET(载具产出!$N$49,MATCH(AM$6,$AK$6:$AN$6,0)-1,0)),OFFSET(载具产出!H$59,$AJ58-1,0)*10+OFFSET(载具产出!L$59,$AJ58-1,0)+($AI58*10-_xlfn.XLOOKUP($AJ58-1,载具产出!$D$59:$D$67,载具产出!$E$59:$E$67))/10*(10*OFFSET(载具产出!$D$45,MATCH(AM$6,$AK$6:$AN$6,0)-1,$AJ58)+OFFSET(载具产出!$D$49,MATCH(AM$6,$AK$6:$AN$6,0)-1,$AJ58)*OFFSET(载具产出!$N$49,MATCH(AM$6,$AK$6:$AN$6,0)-1,0)))</f>
        <v>101.043047619048</v>
      </c>
      <c r="AN58" s="44">
        <f ca="1">IF($AJ58=1,($AI58)*(10*OFFSET(载具产出!$D$45,MATCH(AN$6,$AK$6:$AN$6,0)-1,$AJ58)+OFFSET(载具产出!$D$49,MATCH(AN$6,$AK$6:$AN$6,0)-1,$AJ58)*OFFSET(载具产出!$N$49,MATCH(AN$6,$AK$6:$AN$6,0)-1,0)),OFFSET(载具产出!I$59,$AJ58-1,0)*10+OFFSET(载具产出!M$59,$AJ58-1,0)+($AI58*10-_xlfn.XLOOKUP($AJ58-1,载具产出!$D$59:$D$67,载具产出!$E$59:$E$67))/10*(10*OFFSET(载具产出!$D$45,MATCH(AN$6,$AK$6:$AN$6,0)-1,$AJ58)+OFFSET(载具产出!$D$49,MATCH(AN$6,$AK$6:$AN$6,0)-1,$AJ58)*OFFSET(载具产出!$N$49,MATCH(AN$6,$AK$6:$AN$6,0)-1,0)))</f>
        <v>20.8070000000001</v>
      </c>
      <c r="AO58" s="44">
        <f ca="1" t="shared" si="3"/>
        <v>873.159142857144</v>
      </c>
      <c r="AP58" s="44">
        <f ca="1" t="shared" si="4"/>
        <v>397.52380952381</v>
      </c>
      <c r="AQ58" s="44">
        <f ca="1" t="shared" si="5"/>
        <v>107.603047619048</v>
      </c>
      <c r="AR58" s="44">
        <f ca="1" t="shared" si="6"/>
        <v>20.8070000000001</v>
      </c>
      <c r="AS58" s="45">
        <f ca="1">IFERROR(MATCH(AO58/载具产出!R$58,载具属性!$G$33:$G$92,1),0)</f>
        <v>16</v>
      </c>
      <c r="AT58" s="45">
        <f ca="1">IFERROR(MATCH(AP58/载具产出!S$58,载具属性!$G$33:$G$92,1),0)</f>
        <v>10</v>
      </c>
      <c r="AU58" s="45">
        <f ca="1">IFERROR(MATCH(AQ58/载具产出!T$58,载具属性!$G$33:$G$92,1),0)</f>
        <v>2</v>
      </c>
      <c r="AV58" s="45">
        <f ca="1">IFERROR(MATCH(AR58/载具产出!U$58,载具属性!$G$33:$G$92,1),0)</f>
        <v>0</v>
      </c>
      <c r="AW58" s="46" t="str">
        <f ca="1" t="shared" si="7"/>
        <v>[{62,156},{63,14450},{2,35000},{6030001,538},{6030002,512},{6030003,19}]</v>
      </c>
      <c r="AX58" t="str">
        <f ca="1" t="shared" si="8"/>
        <v>{62,156}</v>
      </c>
      <c r="AY58" t="str">
        <f ca="1" t="shared" si="9"/>
        <v>{63,14450}</v>
      </c>
      <c r="AZ58" t="str">
        <f ca="1" t="shared" si="10"/>
        <v>{2,35000}</v>
      </c>
      <c r="BA58" t="str">
        <f ca="1" t="shared" si="11"/>
        <v>{6030001,538}</v>
      </c>
      <c r="BB58" t="str">
        <f ca="1" t="shared" si="12"/>
        <v>{6030002,512}</v>
      </c>
      <c r="BC58" t="str">
        <f ca="1" t="shared" si="13"/>
        <v>{6030003,19}</v>
      </c>
      <c r="BD58" t="str">
        <f ca="1" t="shared" si="14"/>
        <v/>
      </c>
    </row>
    <row r="59" spans="3:56">
      <c r="C59">
        <f ca="1" t="shared" si="1"/>
        <v>98.6238532110092</v>
      </c>
      <c r="D59" s="40">
        <v>53</v>
      </c>
      <c r="E59" s="40">
        <v>83</v>
      </c>
      <c r="F59" s="40">
        <v>96</v>
      </c>
      <c r="G59" s="41">
        <v>109</v>
      </c>
      <c r="H59" s="40">
        <v>136</v>
      </c>
      <c r="I59" s="40">
        <v>163</v>
      </c>
      <c r="J59" s="40">
        <f t="shared" si="16"/>
        <v>129</v>
      </c>
      <c r="K59" s="40">
        <f ca="1">SUM(U$36:U59)-SUM(OFFSET(载具产出!H$399,0,0,$R59+1,1))</f>
        <v>163</v>
      </c>
      <c r="L59" s="40">
        <f ca="1">SUM(T$36:T59)-SUM(OFFSET(载具产出!G$399,0,0,$R59+1,1))</f>
        <v>15265</v>
      </c>
      <c r="M59" s="40">
        <f ca="1">SUM(V$36:V59)/2-SUM(OFFSET(载具产出!I$399,0,0,$R59+1,1))</f>
        <v>37600</v>
      </c>
      <c r="N59" s="40">
        <f ca="1">SUM(AA$36:AA59)-SUM(OFFSET(载具产出!J$399,0,0,$R59+1,1))</f>
        <v>566.6</v>
      </c>
      <c r="O59" s="40">
        <f ca="1">SUM(AB$36:AB59)-SUM(OFFSET(载具产出!K$399,0,0,$R59+1,1))</f>
        <v>537.52</v>
      </c>
      <c r="P59" s="40">
        <f ca="1">SUM(AC$36:AC59)-SUM(OFFSET(载具产出!L$399,0,0,$R59+1,1))</f>
        <v>20.88</v>
      </c>
      <c r="Q59" s="40">
        <f ca="1">SUM(AD$36:AD59)-SUM(OFFSET(载具产出!M$399,0,0,$R59+1,1))</f>
        <v>0</v>
      </c>
      <c r="R59" s="40">
        <v>5</v>
      </c>
      <c r="S59" s="40" t="str">
        <f ca="1">OFFSET(载具产出!$D$111,IFERROR(MATCH(OFFSET($D59,0,MATCH($D$5,$E$6:$H$6,0)),载具产出!$E$112:$E$151,1),0),0)</f>
        <v>豪华Ⅱ</v>
      </c>
      <c r="T59" s="40">
        <f ca="1">OFFSET(载具产出!$F$399,IFERROR(MATCH(OFFSET($D59,0,MATCH($D$5,$E$6:$H$6,0)),载具产出!$E$400:$E$439,1),0),MATCH(T$6,载具产出!$G$399:$O$399,0))</f>
        <v>815</v>
      </c>
      <c r="U59" s="40">
        <v>7</v>
      </c>
      <c r="V59" s="40">
        <f ca="1">OFFSET(载具产出!$F$399,IFERROR(MATCH(OFFSET($D59,0,MATCH($D$5,$E$6:$H$6,0)),载具产出!$E$400:$E$439,1),0),MATCH(V$6,载具产出!$G$399:$O$399,0))</f>
        <v>5200</v>
      </c>
      <c r="W59" s="43">
        <f ca="1">_xlfn.XLOOKUP(Z59,载具属性!$E$98:$E$497,载具属性!$G$98:$G$497)+6000+OFFSET(载具属性!L$33,AS59,0)*载具属性!M$30+OFFSET(载具属性!M$33,AT59,0)*载具属性!N$30+OFFSET(载具属性!N$33,AU59,0)*载具属性!O$30+OFFSET(载具属性!O$33,AV59,0)*载具属性!P$30</f>
        <v>10750</v>
      </c>
      <c r="X59" s="43">
        <f ca="1">_xlfn.XLOOKUP(Z59,载具属性!$E$98:$E$497,载具属性!$G$98:$G$497)</f>
        <v>2650</v>
      </c>
      <c r="Y59" s="43">
        <f ca="1">OFFSET(载具属性!L$33,AS59,0)*载具属性!M$30+OFFSET(载具属性!M$33,AT59,0)*载具属性!N$30+OFFSET(载具属性!N$33,AU59,0)*载具属性!O$30+OFFSET(载具属性!O$33,AV59,0)*载具属性!P$30</f>
        <v>2100</v>
      </c>
      <c r="Z59" s="40">
        <f ca="1">MATCH(SUM($T$7:T59),载具属性!$I$98:$I$497,1)</f>
        <v>50</v>
      </c>
      <c r="AA59" s="40">
        <f ca="1">OFFSET(载具产出!$F$399,IFERROR(MATCH(OFFSET($D59,0,MATCH($D$5,$E$6:$H$6,0)),载具产出!$E$112:$E$151,1),0),MATCH(AA$6,载具产出!$G$111:$O$111,0))*2</f>
        <v>28</v>
      </c>
      <c r="AB59" s="40">
        <f ca="1">OFFSET(载具产出!$F$399,IFERROR(MATCH(OFFSET($D59,0,MATCH($D$5,$E$6:$H$6,0)),载具产出!$E$112:$E$151,1),0),MATCH(AB$6,载具产出!$G$111:$O$111,0))*2</f>
        <v>24.56</v>
      </c>
      <c r="AC59" s="40">
        <f ca="1">OFFSET(载具产出!$F$399,IFERROR(MATCH(OFFSET($D59,0,MATCH($D$5,$E$6:$H$6,0)),载具产出!$E$112:$E$151,1),0),MATCH(AC$6,载具产出!$G$111:$O$111,0))*2</f>
        <v>1.44</v>
      </c>
      <c r="AD59" s="40">
        <f ca="1">OFFSET(载具产出!$F$399,IFERROR(MATCH(OFFSET($D59,0,MATCH($D$5,$E$6:$H$6,0)),载具产出!$E$112:$E$151,1),0),MATCH(AD$6,载具产出!$G$111:$O$111,0))*2</f>
        <v>0</v>
      </c>
      <c r="AE59" s="44">
        <f ca="1">SUM(AA$36:AA59)/3</f>
        <v>216.133333333333</v>
      </c>
      <c r="AF59" s="44">
        <f ca="1">SUM(AB$36:AB59)/3</f>
        <v>190.16</v>
      </c>
      <c r="AG59" s="44">
        <f ca="1">SUM(AC$36:AC59)/3</f>
        <v>7.04</v>
      </c>
      <c r="AH59" s="44">
        <f ca="1">SUM(AD$36:AD59)/3</f>
        <v>0</v>
      </c>
      <c r="AI59" s="44">
        <f>_xlfn.XLOOKUP($D$5,载具产出!$D$71:$D$75,载具产出!$E$71:$E$75)*(D59-30+1)</f>
        <v>282.285714285715</v>
      </c>
      <c r="AJ59" s="44">
        <f>IFERROR(MATCH(_xlfn.XLOOKUP($D$5,载具产出!$D$71:$D$75,载具产出!$E$71:$E$75)*(D59-30+1)*10,载具产出!$E$60:$E$67,1),0)+1</f>
        <v>5</v>
      </c>
      <c r="AK59" s="44">
        <f ca="1">IF($AJ59=1,($AI59)*(10*OFFSET(载具产出!$D$45,MATCH(AK$6,$AK$6:$AN$6,0)-1,$AJ59)+OFFSET(载具产出!$D$49,MATCH(AK$6,$AK$6:$AN$6,0)-1,$AJ59)*OFFSET(载具产出!$N$49,MATCH(AK$6,$AK$6:$AN$6,0)-1,0)),OFFSET(载具产出!F$59,$AJ59-1,0)*10+OFFSET(载具产出!J$59,$AJ59-1,0)+($AI59*10-_xlfn.XLOOKUP($AJ59-1,载具产出!$D$59:$D$67,载具产出!$E$59:$E$67))/10*(10*OFFSET(载具产出!$D$45,MATCH(AK$6,$AK$6:$AN$6,0)-1,$AJ59)+OFFSET(载具产出!$D$49,MATCH(AK$6,$AK$6:$AN$6,0)-1,$AJ59)*OFFSET(载具产出!$N$49,MATCH(AK$6,$AK$6:$AN$6,0)-1,0)))</f>
        <v>692.611714285716</v>
      </c>
      <c r="AL59" s="44">
        <f ca="1">IF($AJ59=1,($AI59)*(10*OFFSET(载具产出!$D$45,MATCH(AL$6,$AK$6:$AN$6,0)-1,$AJ59)+OFFSET(载具产出!$D$49,MATCH(AL$6,$AK$6:$AN$6,0)-1,$AJ59)*OFFSET(载具产出!$N$49,MATCH(AL$6,$AK$6:$AN$6,0)-1,0)),OFFSET(载具产出!G$59,$AJ59-1,0)*10+OFFSET(载具产出!K$59,$AJ59-1,0)+($AI59*10-_xlfn.XLOOKUP($AJ59-1,载具产出!$D$59:$D$67,载具产出!$E$59:$E$67))/10*(10*OFFSET(载具产出!$D$45,MATCH(AL$6,$AK$6:$AN$6,0)-1,$AJ59)+OFFSET(载具产出!$D$49,MATCH(AL$6,$AK$6:$AN$6,0)-1,$AJ59)*OFFSET(载具产出!$N$49,MATCH(AL$6,$AK$6:$AN$6,0)-1,0)))</f>
        <v>225.665714285715</v>
      </c>
      <c r="AM59" s="44">
        <f ca="1">IF($AJ59=1,($AI59)*(10*OFFSET(载具产出!$D$45,MATCH(AM$6,$AK$6:$AN$6,0)-1,$AJ59)+OFFSET(载具产出!$D$49,MATCH(AM$6,$AK$6:$AN$6,0)-1,$AJ59)*OFFSET(载具产出!$N$49,MATCH(AM$6,$AK$6:$AN$6,0)-1,0)),OFFSET(载具产出!H$59,$AJ59-1,0)*10+OFFSET(载具产出!L$59,$AJ59-1,0)+($AI59*10-_xlfn.XLOOKUP($AJ59-1,载具产出!$D$59:$D$67,载具产出!$E$59:$E$67))/10*(10*OFFSET(载具产出!$D$45,MATCH(AM$6,$AK$6:$AN$6,0)-1,$AJ59)+OFFSET(载具产出!$D$49,MATCH(AM$6,$AK$6:$AN$6,0)-1,$AJ59)*OFFSET(载具产出!$N$49,MATCH(AM$6,$AK$6:$AN$6,0)-1,0)))</f>
        <v>106.500571428572</v>
      </c>
      <c r="AN59" s="44">
        <f ca="1">IF($AJ59=1,($AI59)*(10*OFFSET(载具产出!$D$45,MATCH(AN$6,$AK$6:$AN$6,0)-1,$AJ59)+OFFSET(载具产出!$D$49,MATCH(AN$6,$AK$6:$AN$6,0)-1,$AJ59)*OFFSET(载具产出!$N$49,MATCH(AN$6,$AK$6:$AN$6,0)-1,0)),OFFSET(载具产出!I$59,$AJ59-1,0)*10+OFFSET(载具产出!M$59,$AJ59-1,0)+($AI59*10-_xlfn.XLOOKUP($AJ59-1,载具产出!$D$59:$D$67,载具产出!$E$59:$E$67))/10*(10*OFFSET(载具产出!$D$45,MATCH(AN$6,$AK$6:$AN$6,0)-1,$AJ59)+OFFSET(载具产出!$D$49,MATCH(AN$6,$AK$6:$AN$6,0)-1,$AJ59)*OFFSET(载具产出!$N$49,MATCH(AN$6,$AK$6:$AN$6,0)-1,0)))</f>
        <v>22.5360000000001</v>
      </c>
      <c r="AO59" s="44">
        <f ca="1" t="shared" si="3"/>
        <v>908.745047619049</v>
      </c>
      <c r="AP59" s="44">
        <f ca="1" t="shared" si="4"/>
        <v>415.825714285715</v>
      </c>
      <c r="AQ59" s="44">
        <f ca="1" t="shared" si="5"/>
        <v>113.540571428572</v>
      </c>
      <c r="AR59" s="44">
        <f ca="1" t="shared" si="6"/>
        <v>22.5360000000001</v>
      </c>
      <c r="AS59" s="45">
        <f ca="1">IFERROR(MATCH(AO59/载具产出!R$58,载具属性!$G$33:$G$92,1),0)</f>
        <v>16</v>
      </c>
      <c r="AT59" s="45">
        <f ca="1">IFERROR(MATCH(AP59/载具产出!S$58,载具属性!$G$33:$G$92,1),0)</f>
        <v>10</v>
      </c>
      <c r="AU59" s="45">
        <f ca="1">IFERROR(MATCH(AQ59/载具产出!T$58,载具属性!$G$33:$G$92,1),0)</f>
        <v>2</v>
      </c>
      <c r="AV59" s="45">
        <f ca="1">IFERROR(MATCH(AR59/载具产出!U$58,载具属性!$G$33:$G$92,1),0)</f>
        <v>0</v>
      </c>
      <c r="AW59" s="46" t="str">
        <f ca="1" t="shared" si="7"/>
        <v>[{62,163},{63,15265},{2,37600},{6030001,566},{6030002,537},{6030003,20}]</v>
      </c>
      <c r="AX59" t="str">
        <f ca="1" t="shared" si="8"/>
        <v>{62,163}</v>
      </c>
      <c r="AY59" t="str">
        <f ca="1" t="shared" si="9"/>
        <v>{63,15265}</v>
      </c>
      <c r="AZ59" t="str">
        <f ca="1" t="shared" si="10"/>
        <v>{2,37600}</v>
      </c>
      <c r="BA59" t="str">
        <f ca="1" t="shared" si="11"/>
        <v>{6030001,566}</v>
      </c>
      <c r="BB59" t="str">
        <f ca="1" t="shared" si="12"/>
        <v>{6030002,537}</v>
      </c>
      <c r="BC59" t="str">
        <f ca="1" t="shared" si="13"/>
        <v>{6030003,20}</v>
      </c>
      <c r="BD59" t="str">
        <f ca="1" t="shared" si="14"/>
        <v/>
      </c>
    </row>
    <row r="60" spans="3:56">
      <c r="C60">
        <f ca="1" t="shared" si="1"/>
        <v>99.6363636363636</v>
      </c>
      <c r="D60" s="40">
        <v>54</v>
      </c>
      <c r="E60" s="40">
        <v>83</v>
      </c>
      <c r="F60" s="40">
        <v>97</v>
      </c>
      <c r="G60" s="41">
        <v>110</v>
      </c>
      <c r="H60" s="40">
        <v>137</v>
      </c>
      <c r="I60" s="40">
        <v>167</v>
      </c>
      <c r="J60" s="40">
        <f t="shared" si="16"/>
        <v>131</v>
      </c>
      <c r="K60" s="40">
        <f ca="1">SUM(U$36:U60)-SUM(OFFSET(载具产出!H$399,0,0,$R60+1,1))</f>
        <v>170</v>
      </c>
      <c r="L60" s="40">
        <f ca="1">SUM(T$36:T60)-SUM(OFFSET(载具产出!G$399,0,0,$R60+1,1))</f>
        <v>16080</v>
      </c>
      <c r="M60" s="40">
        <f ca="1">SUM(V$36:V60)/2-SUM(OFFSET(载具产出!I$399,0,0,$R60+1,1))</f>
        <v>40200</v>
      </c>
      <c r="N60" s="40">
        <f ca="1">SUM(AA$36:AA60)-SUM(OFFSET(载具产出!J$399,0,0,$R60+1,1))</f>
        <v>594.6</v>
      </c>
      <c r="O60" s="40">
        <f ca="1">SUM(AB$36:AB60)-SUM(OFFSET(载具产出!K$399,0,0,$R60+1,1))</f>
        <v>562.08</v>
      </c>
      <c r="P60" s="40">
        <f ca="1">SUM(AC$36:AC60)-SUM(OFFSET(载具产出!L$399,0,0,$R60+1,1))</f>
        <v>22.32</v>
      </c>
      <c r="Q60" s="40">
        <f ca="1">SUM(AD$36:AD60)-SUM(OFFSET(载具产出!M$399,0,0,$R60+1,1))</f>
        <v>0</v>
      </c>
      <c r="R60" s="40">
        <v>5</v>
      </c>
      <c r="S60" s="40" t="str">
        <f ca="1">OFFSET(载具产出!$D$111,IFERROR(MATCH(OFFSET($D60,0,MATCH($D$5,$E$6:$H$6,0)),载具产出!$E$112:$E$151,1),0),0)</f>
        <v>豪华Ⅱ</v>
      </c>
      <c r="T60" s="40">
        <f ca="1">OFFSET(载具产出!$F$399,IFERROR(MATCH(OFFSET($D60,0,MATCH($D$5,$E$6:$H$6,0)),载具产出!$E$400:$E$439,1),0),MATCH(T$6,载具产出!$G$399:$O$399,0))</f>
        <v>815</v>
      </c>
      <c r="U60" s="40">
        <v>7</v>
      </c>
      <c r="V60" s="40">
        <f ca="1">OFFSET(载具产出!$F$399,IFERROR(MATCH(OFFSET($D60,0,MATCH($D$5,$E$6:$H$6,0)),载具产出!$E$400:$E$439,1),0),MATCH(V$6,载具产出!$G$399:$O$399,0))</f>
        <v>5200</v>
      </c>
      <c r="W60" s="43">
        <f ca="1">_xlfn.XLOOKUP(Z60,载具属性!$E$98:$E$497,载具属性!$G$98:$G$497)+6000+OFFSET(载具属性!L$33,AS60,0)*载具属性!M$30+OFFSET(载具属性!M$33,AT60,0)*载具属性!N$30+OFFSET(载具属性!N$33,AU60,0)*载具属性!O$30+OFFSET(载具属性!O$33,AV60,0)*载具属性!P$30</f>
        <v>10960</v>
      </c>
      <c r="X60" s="43">
        <f ca="1">_xlfn.XLOOKUP(Z60,载具属性!$E$98:$E$497,载具属性!$G$98:$G$497)</f>
        <v>2710</v>
      </c>
      <c r="Y60" s="43">
        <f ca="1">OFFSET(载具属性!L$33,AS60,0)*载具属性!M$30+OFFSET(载具属性!M$33,AT60,0)*载具属性!N$30+OFFSET(载具属性!N$33,AU60,0)*载具属性!O$30+OFFSET(载具属性!O$33,AV60,0)*载具属性!P$30</f>
        <v>2250</v>
      </c>
      <c r="Z60" s="40">
        <f ca="1">MATCH(SUM($T$7:T60),载具属性!$I$98:$I$497,1)</f>
        <v>51</v>
      </c>
      <c r="AA60" s="40">
        <f ca="1">OFFSET(载具产出!$F$399,IFERROR(MATCH(OFFSET($D60,0,MATCH($D$5,$E$6:$H$6,0)),载具产出!$E$112:$E$151,1),0),MATCH(AA$6,载具产出!$G$111:$O$111,0))*2</f>
        <v>28</v>
      </c>
      <c r="AB60" s="40">
        <f ca="1">OFFSET(载具产出!$F$399,IFERROR(MATCH(OFFSET($D60,0,MATCH($D$5,$E$6:$H$6,0)),载具产出!$E$112:$E$151,1),0),MATCH(AB$6,载具产出!$G$111:$O$111,0))*2</f>
        <v>24.56</v>
      </c>
      <c r="AC60" s="40">
        <f ca="1">OFFSET(载具产出!$F$399,IFERROR(MATCH(OFFSET($D60,0,MATCH($D$5,$E$6:$H$6,0)),载具产出!$E$112:$E$151,1),0),MATCH(AC$6,载具产出!$G$111:$O$111,0))*2</f>
        <v>1.44</v>
      </c>
      <c r="AD60" s="40">
        <f ca="1">OFFSET(载具产出!$F$399,IFERROR(MATCH(OFFSET($D60,0,MATCH($D$5,$E$6:$H$6,0)),载具产出!$E$112:$E$151,1),0),MATCH(AD$6,载具产出!$G$111:$O$111,0))*2</f>
        <v>0</v>
      </c>
      <c r="AE60" s="44">
        <f ca="1">SUM(AA$36:AA60)/3</f>
        <v>225.466666666667</v>
      </c>
      <c r="AF60" s="44">
        <f ca="1">SUM(AB$36:AB60)/3</f>
        <v>198.346666666667</v>
      </c>
      <c r="AG60" s="44">
        <f ca="1">SUM(AC$36:AC60)/3</f>
        <v>7.52</v>
      </c>
      <c r="AH60" s="44">
        <f ca="1">SUM(AD$36:AD60)/3</f>
        <v>0</v>
      </c>
      <c r="AI60" s="44">
        <f>_xlfn.XLOOKUP($D$5,载具产出!$D$71:$D$75,载具产出!$E$71:$E$75)*(D60-30+1)</f>
        <v>294.04761904762</v>
      </c>
      <c r="AJ60" s="44">
        <f>IFERROR(MATCH(_xlfn.XLOOKUP($D$5,载具产出!$D$71:$D$75,载具产出!$E$71:$E$75)*(D60-30+1)*10,载具产出!$E$60:$E$67,1),0)+1</f>
        <v>5</v>
      </c>
      <c r="AK60" s="44">
        <f ca="1">IF($AJ60=1,($AI60)*(10*OFFSET(载具产出!$D$45,MATCH(AK$6,$AK$6:$AN$6,0)-1,$AJ60)+OFFSET(载具产出!$D$49,MATCH(AK$6,$AK$6:$AN$6,0)-1,$AJ60)*OFFSET(载具产出!$N$49,MATCH(AK$6,$AK$6:$AN$6,0)-1,0)),OFFSET(载具产出!F$59,$AJ60-1,0)*10+OFFSET(载具产出!J$59,$AJ60-1,0)+($AI60*10-_xlfn.XLOOKUP($AJ60-1,载具产出!$D$59:$D$67,载具产出!$E$59:$E$67))/10*(10*OFFSET(载具产出!$D$45,MATCH(AK$6,$AK$6:$AN$6,0)-1,$AJ60)+OFFSET(载具产出!$D$49,MATCH(AK$6,$AK$6:$AN$6,0)-1,$AJ60)*OFFSET(载具产出!$N$49,MATCH(AK$6,$AK$6:$AN$6,0)-1,0)))</f>
        <v>718.864285714288</v>
      </c>
      <c r="AL60" s="44">
        <f ca="1">IF($AJ60=1,($AI60)*(10*OFFSET(载具产出!$D$45,MATCH(AL$6,$AK$6:$AN$6,0)-1,$AJ60)+OFFSET(载具产出!$D$49,MATCH(AL$6,$AK$6:$AN$6,0)-1,$AJ60)*OFFSET(载具产出!$N$49,MATCH(AL$6,$AK$6:$AN$6,0)-1,0)),OFFSET(载具产出!G$59,$AJ60-1,0)*10+OFFSET(载具产出!K$59,$AJ60-1,0)+($AI60*10-_xlfn.XLOOKUP($AJ60-1,载具产出!$D$59:$D$67,载具产出!$E$59:$E$67))/10*(10*OFFSET(载具产出!$D$45,MATCH(AL$6,$AK$6:$AN$6,0)-1,$AJ60)+OFFSET(载具产出!$D$49,MATCH(AL$6,$AK$6:$AN$6,0)-1,$AJ60)*OFFSET(载具产出!$N$49,MATCH(AL$6,$AK$6:$AN$6,0)-1,0)))</f>
        <v>235.780952380953</v>
      </c>
      <c r="AM60" s="44">
        <f ca="1">IF($AJ60=1,($AI60)*(10*OFFSET(载具产出!$D$45,MATCH(AM$6,$AK$6:$AN$6,0)-1,$AJ60)+OFFSET(载具产出!$D$49,MATCH(AM$6,$AK$6:$AN$6,0)-1,$AJ60)*OFFSET(载具产出!$N$49,MATCH(AM$6,$AK$6:$AN$6,0)-1,0)),OFFSET(载具产出!H$59,$AJ60-1,0)*10+OFFSET(载具产出!L$59,$AJ60-1,0)+($AI60*10-_xlfn.XLOOKUP($AJ60-1,载具产出!$D$59:$D$67,载具产出!$E$59:$E$67))/10*(10*OFFSET(载具产出!$D$45,MATCH(AM$6,$AK$6:$AN$6,0)-1,$AJ60)+OFFSET(载具产出!$D$49,MATCH(AM$6,$AK$6:$AN$6,0)-1,$AJ60)*OFFSET(载具产出!$N$49,MATCH(AM$6,$AK$6:$AN$6,0)-1,0)))</f>
        <v>111.958095238096</v>
      </c>
      <c r="AN60" s="44">
        <f ca="1">IF($AJ60=1,($AI60)*(10*OFFSET(载具产出!$D$45,MATCH(AN$6,$AK$6:$AN$6,0)-1,$AJ60)+OFFSET(载具产出!$D$49,MATCH(AN$6,$AK$6:$AN$6,0)-1,$AJ60)*OFFSET(载具产出!$N$49,MATCH(AN$6,$AK$6:$AN$6,0)-1,0)),OFFSET(载具产出!I$59,$AJ60-1,0)*10+OFFSET(载具产出!M$59,$AJ60-1,0)+($AI60*10-_xlfn.XLOOKUP($AJ60-1,载具产出!$D$59:$D$67,载具产出!$E$59:$E$67))/10*(10*OFFSET(载具产出!$D$45,MATCH(AN$6,$AK$6:$AN$6,0)-1,$AJ60)+OFFSET(载具产出!$D$49,MATCH(AN$6,$AK$6:$AN$6,0)-1,$AJ60)*OFFSET(载具产出!$N$49,MATCH(AN$6,$AK$6:$AN$6,0)-1,0)))</f>
        <v>24.2650000000001</v>
      </c>
      <c r="AO60" s="44">
        <f ca="1" t="shared" si="3"/>
        <v>944.330952380955</v>
      </c>
      <c r="AP60" s="44">
        <f ca="1" t="shared" si="4"/>
        <v>434.12761904762</v>
      </c>
      <c r="AQ60" s="44">
        <f ca="1" t="shared" si="5"/>
        <v>119.478095238096</v>
      </c>
      <c r="AR60" s="44">
        <f ca="1" t="shared" si="6"/>
        <v>24.2650000000001</v>
      </c>
      <c r="AS60" s="45">
        <f ca="1">IFERROR(MATCH(AO60/载具产出!R$58,载具属性!$G$33:$G$92,1),0)</f>
        <v>17</v>
      </c>
      <c r="AT60" s="45">
        <f ca="1">IFERROR(MATCH(AP60/载具产出!S$58,载具属性!$G$33:$G$92,1),0)</f>
        <v>11</v>
      </c>
      <c r="AU60" s="45">
        <f ca="1">IFERROR(MATCH(AQ60/载具产出!T$58,载具属性!$G$33:$G$92,1),0)</f>
        <v>2</v>
      </c>
      <c r="AV60" s="45">
        <f ca="1">IFERROR(MATCH(AR60/载具产出!U$58,载具属性!$G$33:$G$92,1),0)</f>
        <v>0</v>
      </c>
      <c r="AW60" s="46" t="str">
        <f ca="1" t="shared" si="7"/>
        <v>[{62,170},{63,16080},{2,40200},{6030001,594},{6030002,562},{6030003,22}]</v>
      </c>
      <c r="AX60" t="str">
        <f ca="1" t="shared" si="8"/>
        <v>{62,170}</v>
      </c>
      <c r="AY60" t="str">
        <f ca="1" t="shared" si="9"/>
        <v>{63,16080}</v>
      </c>
      <c r="AZ60" t="str">
        <f ca="1" t="shared" si="10"/>
        <v>{2,40200}</v>
      </c>
      <c r="BA60" t="str">
        <f ca="1" t="shared" si="11"/>
        <v>{6030001,594}</v>
      </c>
      <c r="BB60" t="str">
        <f ca="1" t="shared" si="12"/>
        <v>{6030002,562}</v>
      </c>
      <c r="BC60" t="str">
        <f ca="1" t="shared" si="13"/>
        <v>{6030003,22}</v>
      </c>
      <c r="BD60" t="str">
        <f ca="1" t="shared" si="14"/>
        <v/>
      </c>
    </row>
    <row r="61" spans="3:56">
      <c r="C61">
        <f ca="1" t="shared" si="1"/>
        <v>100.36036036036</v>
      </c>
      <c r="D61" s="40">
        <v>55</v>
      </c>
      <c r="E61" s="40">
        <v>84</v>
      </c>
      <c r="F61" s="40">
        <v>97</v>
      </c>
      <c r="G61" s="41">
        <v>111</v>
      </c>
      <c r="H61" s="40">
        <v>138</v>
      </c>
      <c r="I61" s="40">
        <v>175</v>
      </c>
      <c r="J61" s="40">
        <f t="shared" si="16"/>
        <v>133</v>
      </c>
      <c r="K61" s="40">
        <f ca="1">SUM(U$36:U61)-SUM(OFFSET(载具产出!H$399,0,0,$R61+1,1))</f>
        <v>176</v>
      </c>
      <c r="L61" s="40">
        <f ca="1">SUM(T$36:T61)-SUM(OFFSET(载具产出!G$399,0,0,$R61+1,1))</f>
        <v>16105</v>
      </c>
      <c r="M61" s="40">
        <f ca="1">SUM(V$36:V61)/2-SUM(OFFSET(载具产出!I$399,0,0,$R61+1,1))</f>
        <v>37800</v>
      </c>
      <c r="N61" s="40">
        <f ca="1">SUM(AA$36:AA61)-SUM(OFFSET(载具产出!J$399,0,0,$R61+1,1))</f>
        <v>609.6</v>
      </c>
      <c r="O61" s="40">
        <f ca="1">SUM(AB$36:AB61)-SUM(OFFSET(载具产出!K$399,0,0,$R61+1,1))</f>
        <v>574.12</v>
      </c>
      <c r="P61" s="40">
        <f ca="1">SUM(AC$36:AC61)-SUM(OFFSET(载具产出!L$399,0,0,$R61+1,1))</f>
        <v>23.28</v>
      </c>
      <c r="Q61" s="40">
        <f ca="1">SUM(AD$36:AD61)-SUM(OFFSET(载具产出!M$399,0,0,$R61+1,1))</f>
        <v>0</v>
      </c>
      <c r="R61" s="40">
        <v>6</v>
      </c>
      <c r="S61" s="40" t="str">
        <f ca="1">OFFSET(载具产出!$D$111,IFERROR(MATCH(OFFSET($D61,0,MATCH($D$5,$E$6:$H$6,0)),载具产出!$E$112:$E$151,1),0),0)</f>
        <v>豪华Ⅱ</v>
      </c>
      <c r="T61" s="40">
        <f ca="1">OFFSET(载具产出!$F$399,IFERROR(MATCH(OFFSET($D61,0,MATCH($D$5,$E$6:$H$6,0)),载具产出!$E$400:$E$439,1),0),MATCH(T$6,载具产出!$G$399:$O$399,0))</f>
        <v>815</v>
      </c>
      <c r="U61" s="40">
        <v>7</v>
      </c>
      <c r="V61" s="40">
        <f ca="1">OFFSET(载具产出!$F$399,IFERROR(MATCH(OFFSET($D61,0,MATCH($D$5,$E$6:$H$6,0)),载具产出!$E$400:$E$439,1),0),MATCH(V$6,载具产出!$G$399:$O$399,0))</f>
        <v>5200</v>
      </c>
      <c r="W61" s="43">
        <f ca="1">_xlfn.XLOOKUP(Z61,载具属性!$E$98:$E$497,载具属性!$G$98:$G$497)+6000+OFFSET(载具属性!L$33,AS61,0)*载具属性!M$30+OFFSET(载具属性!M$33,AT61,0)*载具属性!N$30+OFFSET(载具属性!N$33,AU61,0)*载具属性!O$30+OFFSET(载具属性!O$33,AV61,0)*载具属性!P$30</f>
        <v>11140</v>
      </c>
      <c r="X61" s="43">
        <f ca="1">_xlfn.XLOOKUP(Z61,载具属性!$E$98:$E$497,载具属性!$G$98:$G$497)</f>
        <v>2770</v>
      </c>
      <c r="Y61" s="43">
        <f ca="1">OFFSET(载具属性!L$33,AS61,0)*载具属性!M$30+OFFSET(载具属性!M$33,AT61,0)*载具属性!N$30+OFFSET(载具属性!N$33,AU61,0)*载具属性!O$30+OFFSET(载具属性!O$33,AV61,0)*载具属性!P$30</f>
        <v>2370</v>
      </c>
      <c r="Z61" s="40">
        <f ca="1">MATCH(SUM($T$7:T61),载具属性!$I$98:$I$497,1)</f>
        <v>52</v>
      </c>
      <c r="AA61" s="40">
        <f ca="1">OFFSET(载具产出!$F$399,IFERROR(MATCH(OFFSET($D61,0,MATCH($D$5,$E$6:$H$6,0)),载具产出!$E$112:$E$151,1),0),MATCH(AA$6,载具产出!$G$111:$O$111,0))*2</f>
        <v>28</v>
      </c>
      <c r="AB61" s="40">
        <f ca="1">OFFSET(载具产出!$F$399,IFERROR(MATCH(OFFSET($D61,0,MATCH($D$5,$E$6:$H$6,0)),载具产出!$E$112:$E$151,1),0),MATCH(AB$6,载具产出!$G$111:$O$111,0))*2</f>
        <v>24.56</v>
      </c>
      <c r="AC61" s="40">
        <f ca="1">OFFSET(载具产出!$F$399,IFERROR(MATCH(OFFSET($D61,0,MATCH($D$5,$E$6:$H$6,0)),载具产出!$E$112:$E$151,1),0),MATCH(AC$6,载具产出!$G$111:$O$111,0))*2</f>
        <v>1.44</v>
      </c>
      <c r="AD61" s="40">
        <f ca="1">OFFSET(载具产出!$F$399,IFERROR(MATCH(OFFSET($D61,0,MATCH($D$5,$E$6:$H$6,0)),载具产出!$E$112:$E$151,1),0),MATCH(AD$6,载具产出!$G$111:$O$111,0))*2</f>
        <v>0</v>
      </c>
      <c r="AE61" s="44">
        <f ca="1">SUM(AA$36:AA61)/3</f>
        <v>234.8</v>
      </c>
      <c r="AF61" s="44">
        <f ca="1">SUM(AB$36:AB61)/3</f>
        <v>206.533333333333</v>
      </c>
      <c r="AG61" s="44">
        <f ca="1">SUM(AC$36:AC61)/3</f>
        <v>8</v>
      </c>
      <c r="AH61" s="44">
        <f ca="1">SUM(AD$36:AD61)/3</f>
        <v>0</v>
      </c>
      <c r="AI61" s="44">
        <f>_xlfn.XLOOKUP($D$5,载具产出!$D$71:$D$75,载具产出!$E$71:$E$75)*(D61-30+1)</f>
        <v>305.809523809525</v>
      </c>
      <c r="AJ61" s="44">
        <f>IFERROR(MATCH(_xlfn.XLOOKUP($D$5,载具产出!$D$71:$D$75,载具产出!$E$71:$E$75)*(D61-30+1)*10,载具产出!$E$60:$E$67,1),0)+1</f>
        <v>5</v>
      </c>
      <c r="AK61" s="44">
        <f ca="1">IF($AJ61=1,($AI61)*(10*OFFSET(载具产出!$D$45,MATCH(AK$6,$AK$6:$AN$6,0)-1,$AJ61)+OFFSET(载具产出!$D$49,MATCH(AK$6,$AK$6:$AN$6,0)-1,$AJ61)*OFFSET(载具产出!$N$49,MATCH(AK$6,$AK$6:$AN$6,0)-1,0)),OFFSET(载具产出!F$59,$AJ61-1,0)*10+OFFSET(载具产出!J$59,$AJ61-1,0)+($AI61*10-_xlfn.XLOOKUP($AJ61-1,载具产出!$D$59:$D$67,载具产出!$E$59:$E$67))/10*(10*OFFSET(载具产出!$D$45,MATCH(AK$6,$AK$6:$AN$6,0)-1,$AJ61)+OFFSET(载具产出!$D$49,MATCH(AK$6,$AK$6:$AN$6,0)-1,$AJ61)*OFFSET(载具产出!$N$49,MATCH(AK$6,$AK$6:$AN$6,0)-1,0)))</f>
        <v>745.11685714286</v>
      </c>
      <c r="AL61" s="44">
        <f ca="1">IF($AJ61=1,($AI61)*(10*OFFSET(载具产出!$D$45,MATCH(AL$6,$AK$6:$AN$6,0)-1,$AJ61)+OFFSET(载具产出!$D$49,MATCH(AL$6,$AK$6:$AN$6,0)-1,$AJ61)*OFFSET(载具产出!$N$49,MATCH(AL$6,$AK$6:$AN$6,0)-1,0)),OFFSET(载具产出!G$59,$AJ61-1,0)*10+OFFSET(载具产出!K$59,$AJ61-1,0)+($AI61*10-_xlfn.XLOOKUP($AJ61-1,载具产出!$D$59:$D$67,载具产出!$E$59:$E$67))/10*(10*OFFSET(载具产出!$D$45,MATCH(AL$6,$AK$6:$AN$6,0)-1,$AJ61)+OFFSET(载具产出!$D$49,MATCH(AL$6,$AK$6:$AN$6,0)-1,$AJ61)*OFFSET(载具产出!$N$49,MATCH(AL$6,$AK$6:$AN$6,0)-1,0)))</f>
        <v>245.896190476191</v>
      </c>
      <c r="AM61" s="44">
        <f ca="1">IF($AJ61=1,($AI61)*(10*OFFSET(载具产出!$D$45,MATCH(AM$6,$AK$6:$AN$6,0)-1,$AJ61)+OFFSET(载具产出!$D$49,MATCH(AM$6,$AK$6:$AN$6,0)-1,$AJ61)*OFFSET(载具产出!$N$49,MATCH(AM$6,$AK$6:$AN$6,0)-1,0)),OFFSET(载具产出!H$59,$AJ61-1,0)*10+OFFSET(载具产出!L$59,$AJ61-1,0)+($AI61*10-_xlfn.XLOOKUP($AJ61-1,载具产出!$D$59:$D$67,载具产出!$E$59:$E$67))/10*(10*OFFSET(载具产出!$D$45,MATCH(AM$6,$AK$6:$AN$6,0)-1,$AJ61)+OFFSET(载具产出!$D$49,MATCH(AM$6,$AK$6:$AN$6,0)-1,$AJ61)*OFFSET(载具产出!$N$49,MATCH(AM$6,$AK$6:$AN$6,0)-1,0)))</f>
        <v>117.41561904762</v>
      </c>
      <c r="AN61" s="44">
        <f ca="1">IF($AJ61=1,($AI61)*(10*OFFSET(载具产出!$D$45,MATCH(AN$6,$AK$6:$AN$6,0)-1,$AJ61)+OFFSET(载具产出!$D$49,MATCH(AN$6,$AK$6:$AN$6,0)-1,$AJ61)*OFFSET(载具产出!$N$49,MATCH(AN$6,$AK$6:$AN$6,0)-1,0)),OFFSET(载具产出!I$59,$AJ61-1,0)*10+OFFSET(载具产出!M$59,$AJ61-1,0)+($AI61*10-_xlfn.XLOOKUP($AJ61-1,载具产出!$D$59:$D$67,载具产出!$E$59:$E$67))/10*(10*OFFSET(载具产出!$D$45,MATCH(AN$6,$AK$6:$AN$6,0)-1,$AJ61)+OFFSET(载具产出!$D$49,MATCH(AN$6,$AK$6:$AN$6,0)-1,$AJ61)*OFFSET(载具产出!$N$49,MATCH(AN$6,$AK$6:$AN$6,0)-1,0)))</f>
        <v>25.9940000000002</v>
      </c>
      <c r="AO61" s="44">
        <f ca="1" t="shared" si="3"/>
        <v>979.91685714286</v>
      </c>
      <c r="AP61" s="44">
        <f ca="1" t="shared" si="4"/>
        <v>452.429523809525</v>
      </c>
      <c r="AQ61" s="44">
        <f ca="1" t="shared" si="5"/>
        <v>125.41561904762</v>
      </c>
      <c r="AR61" s="44">
        <f ca="1" t="shared" si="6"/>
        <v>25.9940000000002</v>
      </c>
      <c r="AS61" s="45">
        <f ca="1">IFERROR(MATCH(AO61/载具产出!R$58,载具属性!$G$33:$G$92,1),0)</f>
        <v>17</v>
      </c>
      <c r="AT61" s="45">
        <f ca="1">IFERROR(MATCH(AP61/载具产出!S$58,载具属性!$G$33:$G$92,1),0)</f>
        <v>11</v>
      </c>
      <c r="AU61" s="45">
        <f ca="1">IFERROR(MATCH(AQ61/载具产出!T$58,载具属性!$G$33:$G$92,1),0)</f>
        <v>3</v>
      </c>
      <c r="AV61" s="45">
        <f ca="1">IFERROR(MATCH(AR61/载具产出!U$58,载具属性!$G$33:$G$92,1),0)</f>
        <v>0</v>
      </c>
      <c r="AW61" s="46" t="str">
        <f ca="1" t="shared" si="7"/>
        <v>[{62,176},{63,16105},{2,37800},{6030001,609},{6030002,574},{6030003,23}]</v>
      </c>
      <c r="AX61" t="str">
        <f ca="1" t="shared" si="8"/>
        <v>{62,176}</v>
      </c>
      <c r="AY61" t="str">
        <f ca="1" t="shared" si="9"/>
        <v>{63,16105}</v>
      </c>
      <c r="AZ61" t="str">
        <f ca="1" t="shared" si="10"/>
        <v>{2,37800}</v>
      </c>
      <c r="BA61" t="str">
        <f ca="1" t="shared" si="11"/>
        <v>{6030001,609}</v>
      </c>
      <c r="BB61" t="str">
        <f ca="1" t="shared" si="12"/>
        <v>{6030002,574}</v>
      </c>
      <c r="BC61" t="str">
        <f ca="1" t="shared" si="13"/>
        <v>{6030003,23}</v>
      </c>
      <c r="BD61" t="str">
        <f ca="1" t="shared" si="14"/>
        <v/>
      </c>
    </row>
    <row r="62" spans="3:56">
      <c r="C62">
        <f ca="1" t="shared" si="1"/>
        <v>100</v>
      </c>
      <c r="D62" s="40">
        <v>56</v>
      </c>
      <c r="E62" s="40">
        <v>84</v>
      </c>
      <c r="F62" s="40">
        <v>98</v>
      </c>
      <c r="G62" s="41">
        <v>112</v>
      </c>
      <c r="H62" s="40">
        <v>140</v>
      </c>
      <c r="I62" s="40">
        <v>175</v>
      </c>
      <c r="J62" s="40">
        <f t="shared" si="16"/>
        <v>136</v>
      </c>
      <c r="K62" s="40">
        <f ca="1">SUM(U$36:U62)-SUM(OFFSET(载具产出!H$399,0,0,$R62+1,1))</f>
        <v>183</v>
      </c>
      <c r="L62" s="40">
        <f ca="1">SUM(T$36:T62)-SUM(OFFSET(载具产出!G$399,0,0,$R62+1,1))</f>
        <v>16920</v>
      </c>
      <c r="M62" s="40">
        <f ca="1">SUM(V$36:V62)/2-SUM(OFFSET(载具产出!I$399,0,0,$R62+1,1))</f>
        <v>40400</v>
      </c>
      <c r="N62" s="40">
        <f ca="1">SUM(AA$36:AA62)-SUM(OFFSET(载具产出!J$399,0,0,$R62+1,1))</f>
        <v>637.6</v>
      </c>
      <c r="O62" s="40">
        <f ca="1">SUM(AB$36:AB62)-SUM(OFFSET(载具产出!K$399,0,0,$R62+1,1))</f>
        <v>598.68</v>
      </c>
      <c r="P62" s="40">
        <f ca="1">SUM(AC$36:AC62)-SUM(OFFSET(载具产出!L$399,0,0,$R62+1,1))</f>
        <v>24.72</v>
      </c>
      <c r="Q62" s="40">
        <f ca="1">SUM(AD$36:AD62)-SUM(OFFSET(载具产出!M$399,0,0,$R62+1,1))</f>
        <v>0</v>
      </c>
      <c r="R62" s="40">
        <v>6</v>
      </c>
      <c r="S62" s="40" t="str">
        <f ca="1">OFFSET(载具产出!$D$111,IFERROR(MATCH(OFFSET($D62,0,MATCH($D$5,$E$6:$H$6,0)),载具产出!$E$112:$E$151,1),0),0)</f>
        <v>豪华Ⅱ</v>
      </c>
      <c r="T62" s="40">
        <f ca="1">OFFSET(载具产出!$F$399,IFERROR(MATCH(OFFSET($D62,0,MATCH($D$5,$E$6:$H$6,0)),载具产出!$E$400:$E$439,1),0),MATCH(T$6,载具产出!$G$399:$O$399,0))</f>
        <v>815</v>
      </c>
      <c r="U62" s="40">
        <v>7</v>
      </c>
      <c r="V62" s="40">
        <f ca="1">OFFSET(载具产出!$F$399,IFERROR(MATCH(OFFSET($D62,0,MATCH($D$5,$E$6:$H$6,0)),载具产出!$E$400:$E$439,1),0),MATCH(V$6,载具产出!$G$399:$O$399,0))</f>
        <v>5200</v>
      </c>
      <c r="W62" s="43">
        <f ca="1">_xlfn.XLOOKUP(Z62,载具属性!$E$98:$E$497,载具属性!$G$98:$G$497)+6000+OFFSET(载具属性!L$33,AS62,0)*载具属性!M$30+OFFSET(载具属性!M$33,AT62,0)*载具属性!N$30+OFFSET(载具属性!N$33,AU62,0)*载具属性!O$30+OFFSET(载具属性!O$33,AV62,0)*载具属性!P$30</f>
        <v>11200</v>
      </c>
      <c r="X62" s="43">
        <f ca="1">_xlfn.XLOOKUP(Z62,载具属性!$E$98:$E$497,载具属性!$G$98:$G$497)</f>
        <v>2830</v>
      </c>
      <c r="Y62" s="43">
        <f ca="1">OFFSET(载具属性!L$33,AS62,0)*载具属性!M$30+OFFSET(载具属性!M$33,AT62,0)*载具属性!N$30+OFFSET(载具属性!N$33,AU62,0)*载具属性!O$30+OFFSET(载具属性!O$33,AV62,0)*载具属性!P$30</f>
        <v>2370</v>
      </c>
      <c r="Z62" s="40">
        <f ca="1">MATCH(SUM($T$7:T62),载具属性!$I$98:$I$497,1)</f>
        <v>53</v>
      </c>
      <c r="AA62" s="40">
        <f ca="1">OFFSET(载具产出!$F$399,IFERROR(MATCH(OFFSET($D62,0,MATCH($D$5,$E$6:$H$6,0)),载具产出!$E$112:$E$151,1),0),MATCH(AA$6,载具产出!$G$111:$O$111,0))*2</f>
        <v>28</v>
      </c>
      <c r="AB62" s="40">
        <f ca="1">OFFSET(载具产出!$F$399,IFERROR(MATCH(OFFSET($D62,0,MATCH($D$5,$E$6:$H$6,0)),载具产出!$E$112:$E$151,1),0),MATCH(AB$6,载具产出!$G$111:$O$111,0))*2</f>
        <v>24.56</v>
      </c>
      <c r="AC62" s="40">
        <f ca="1">OFFSET(载具产出!$F$399,IFERROR(MATCH(OFFSET($D62,0,MATCH($D$5,$E$6:$H$6,0)),载具产出!$E$112:$E$151,1),0),MATCH(AC$6,载具产出!$G$111:$O$111,0))*2</f>
        <v>1.44</v>
      </c>
      <c r="AD62" s="40">
        <f ca="1">OFFSET(载具产出!$F$399,IFERROR(MATCH(OFFSET($D62,0,MATCH($D$5,$E$6:$H$6,0)),载具产出!$E$112:$E$151,1),0),MATCH(AD$6,载具产出!$G$111:$O$111,0))*2</f>
        <v>0</v>
      </c>
      <c r="AE62" s="44">
        <f ca="1">SUM(AA$36:AA62)/3</f>
        <v>244.133333333333</v>
      </c>
      <c r="AF62" s="44">
        <f ca="1">SUM(AB$36:AB62)/3</f>
        <v>214.72</v>
      </c>
      <c r="AG62" s="44">
        <f ca="1">SUM(AC$36:AC62)/3</f>
        <v>8.48</v>
      </c>
      <c r="AH62" s="44">
        <f ca="1">SUM(AD$36:AD62)/3</f>
        <v>0</v>
      </c>
      <c r="AI62" s="44">
        <f>_xlfn.XLOOKUP($D$5,载具产出!$D$71:$D$75,载具产出!$E$71:$E$75)*(D62-30+1)</f>
        <v>317.57142857143</v>
      </c>
      <c r="AJ62" s="44">
        <f>IFERROR(MATCH(_xlfn.XLOOKUP($D$5,载具产出!$D$71:$D$75,载具产出!$E$71:$E$75)*(D62-30+1)*10,载具产出!$E$60:$E$67,1),0)+1</f>
        <v>5</v>
      </c>
      <c r="AK62" s="44">
        <f ca="1">IF($AJ62=1,($AI62)*(10*OFFSET(载具产出!$D$45,MATCH(AK$6,$AK$6:$AN$6,0)-1,$AJ62)+OFFSET(载具产出!$D$49,MATCH(AK$6,$AK$6:$AN$6,0)-1,$AJ62)*OFFSET(载具产出!$N$49,MATCH(AK$6,$AK$6:$AN$6,0)-1,0)),OFFSET(载具产出!F$59,$AJ62-1,0)*10+OFFSET(载具产出!J$59,$AJ62-1,0)+($AI62*10-_xlfn.XLOOKUP($AJ62-1,载具产出!$D$59:$D$67,载具产出!$E$59:$E$67))/10*(10*OFFSET(载具产出!$D$45,MATCH(AK$6,$AK$6:$AN$6,0)-1,$AJ62)+OFFSET(载具产出!$D$49,MATCH(AK$6,$AK$6:$AN$6,0)-1,$AJ62)*OFFSET(载具产出!$N$49,MATCH(AK$6,$AK$6:$AN$6,0)-1,0)))</f>
        <v>771.369428571432</v>
      </c>
      <c r="AL62" s="44">
        <f ca="1">IF($AJ62=1,($AI62)*(10*OFFSET(载具产出!$D$45,MATCH(AL$6,$AK$6:$AN$6,0)-1,$AJ62)+OFFSET(载具产出!$D$49,MATCH(AL$6,$AK$6:$AN$6,0)-1,$AJ62)*OFFSET(载具产出!$N$49,MATCH(AL$6,$AK$6:$AN$6,0)-1,0)),OFFSET(载具产出!G$59,$AJ62-1,0)*10+OFFSET(载具产出!K$59,$AJ62-1,0)+($AI62*10-_xlfn.XLOOKUP($AJ62-1,载具产出!$D$59:$D$67,载具产出!$E$59:$E$67))/10*(10*OFFSET(载具产出!$D$45,MATCH(AL$6,$AK$6:$AN$6,0)-1,$AJ62)+OFFSET(载具产出!$D$49,MATCH(AL$6,$AK$6:$AN$6,0)-1,$AJ62)*OFFSET(载具产出!$N$49,MATCH(AL$6,$AK$6:$AN$6,0)-1,0)))</f>
        <v>256.01142857143</v>
      </c>
      <c r="AM62" s="44">
        <f ca="1">IF($AJ62=1,($AI62)*(10*OFFSET(载具产出!$D$45,MATCH(AM$6,$AK$6:$AN$6,0)-1,$AJ62)+OFFSET(载具产出!$D$49,MATCH(AM$6,$AK$6:$AN$6,0)-1,$AJ62)*OFFSET(载具产出!$N$49,MATCH(AM$6,$AK$6:$AN$6,0)-1,0)),OFFSET(载具产出!H$59,$AJ62-1,0)*10+OFFSET(载具产出!L$59,$AJ62-1,0)+($AI62*10-_xlfn.XLOOKUP($AJ62-1,载具产出!$D$59:$D$67,载具产出!$E$59:$E$67))/10*(10*OFFSET(载具产出!$D$45,MATCH(AM$6,$AK$6:$AN$6,0)-1,$AJ62)+OFFSET(载具产出!$D$49,MATCH(AM$6,$AK$6:$AN$6,0)-1,$AJ62)*OFFSET(载具产出!$N$49,MATCH(AM$6,$AK$6:$AN$6,0)-1,0)))</f>
        <v>122.873142857144</v>
      </c>
      <c r="AN62" s="44">
        <f ca="1">IF($AJ62=1,($AI62)*(10*OFFSET(载具产出!$D$45,MATCH(AN$6,$AK$6:$AN$6,0)-1,$AJ62)+OFFSET(载具产出!$D$49,MATCH(AN$6,$AK$6:$AN$6,0)-1,$AJ62)*OFFSET(载具产出!$N$49,MATCH(AN$6,$AK$6:$AN$6,0)-1,0)),OFFSET(载具产出!I$59,$AJ62-1,0)*10+OFFSET(载具产出!M$59,$AJ62-1,0)+($AI62*10-_xlfn.XLOOKUP($AJ62-1,载具产出!$D$59:$D$67,载具产出!$E$59:$E$67))/10*(10*OFFSET(载具产出!$D$45,MATCH(AN$6,$AK$6:$AN$6,0)-1,$AJ62)+OFFSET(载具产出!$D$49,MATCH(AN$6,$AK$6:$AN$6,0)-1,$AJ62)*OFFSET(载具产出!$N$49,MATCH(AN$6,$AK$6:$AN$6,0)-1,0)))</f>
        <v>27.7230000000002</v>
      </c>
      <c r="AO62" s="44">
        <f ca="1" t="shared" si="3"/>
        <v>1015.50276190477</v>
      </c>
      <c r="AP62" s="44">
        <f ca="1" t="shared" si="4"/>
        <v>470.73142857143</v>
      </c>
      <c r="AQ62" s="44">
        <f ca="1" t="shared" si="5"/>
        <v>131.353142857144</v>
      </c>
      <c r="AR62" s="44">
        <f ca="1" t="shared" si="6"/>
        <v>27.7230000000002</v>
      </c>
      <c r="AS62" s="45">
        <f ca="1">IFERROR(MATCH(AO62/载具产出!R$58,载具属性!$G$33:$G$92,1),0)</f>
        <v>17</v>
      </c>
      <c r="AT62" s="45">
        <f ca="1">IFERROR(MATCH(AP62/载具产出!S$58,载具属性!$G$33:$G$92,1),0)</f>
        <v>11</v>
      </c>
      <c r="AU62" s="45">
        <f ca="1">IFERROR(MATCH(AQ62/载具产出!T$58,载具属性!$G$33:$G$92,1),0)</f>
        <v>3</v>
      </c>
      <c r="AV62" s="45">
        <f ca="1">IFERROR(MATCH(AR62/载具产出!U$58,载具属性!$G$33:$G$92,1),0)</f>
        <v>0</v>
      </c>
      <c r="AW62" s="46" t="str">
        <f ca="1" t="shared" si="7"/>
        <v>[{62,183},{63,16920},{2,40400},{6030001,637},{6030002,598},{6030003,24}]</v>
      </c>
      <c r="AX62" t="str">
        <f ca="1" t="shared" si="8"/>
        <v>{62,183}</v>
      </c>
      <c r="AY62" t="str">
        <f ca="1" t="shared" si="9"/>
        <v>{63,16920}</v>
      </c>
      <c r="AZ62" t="str">
        <f ca="1" t="shared" si="10"/>
        <v>{2,40400}</v>
      </c>
      <c r="BA62" t="str">
        <f ca="1" t="shared" si="11"/>
        <v>{6030001,637}</v>
      </c>
      <c r="BB62" t="str">
        <f ca="1" t="shared" si="12"/>
        <v>{6030002,598}</v>
      </c>
      <c r="BC62" t="str">
        <f ca="1" t="shared" si="13"/>
        <v>{6030003,24}</v>
      </c>
      <c r="BD62" t="str">
        <f ca="1" t="shared" si="14"/>
        <v/>
      </c>
    </row>
    <row r="63" spans="3:56">
      <c r="C63">
        <f ca="1" t="shared" si="1"/>
        <v>99.646017699115</v>
      </c>
      <c r="D63" s="40">
        <v>57</v>
      </c>
      <c r="E63" s="40">
        <v>85</v>
      </c>
      <c r="F63" s="40">
        <v>99</v>
      </c>
      <c r="G63" s="41">
        <v>113</v>
      </c>
      <c r="H63" s="40">
        <v>141</v>
      </c>
      <c r="I63" s="40">
        <v>175</v>
      </c>
      <c r="J63" s="40">
        <f t="shared" si="16"/>
        <v>138</v>
      </c>
      <c r="K63" s="40">
        <f ca="1">SUM(U$36:U63)-SUM(OFFSET(载具产出!H$399,0,0,$R63+1,1))</f>
        <v>190</v>
      </c>
      <c r="L63" s="40">
        <f ca="1">SUM(T$36:T63)-SUM(OFFSET(载具产出!G$399,0,0,$R63+1,1))</f>
        <v>17735</v>
      </c>
      <c r="M63" s="40">
        <f ca="1">SUM(V$36:V63)/2-SUM(OFFSET(载具产出!I$399,0,0,$R63+1,1))</f>
        <v>43000</v>
      </c>
      <c r="N63" s="40">
        <f ca="1">SUM(AA$36:AA63)-SUM(OFFSET(载具产出!J$399,0,0,$R63+1,1))</f>
        <v>665.6</v>
      </c>
      <c r="O63" s="40">
        <f ca="1">SUM(AB$36:AB63)-SUM(OFFSET(载具产出!K$399,0,0,$R63+1,1))</f>
        <v>623.24</v>
      </c>
      <c r="P63" s="40">
        <f ca="1">SUM(AC$36:AC63)-SUM(OFFSET(载具产出!L$399,0,0,$R63+1,1))</f>
        <v>26.16</v>
      </c>
      <c r="Q63" s="40">
        <f ca="1">SUM(AD$36:AD63)-SUM(OFFSET(载具产出!M$399,0,0,$R63+1,1))</f>
        <v>0</v>
      </c>
      <c r="R63" s="40">
        <v>6</v>
      </c>
      <c r="S63" s="40" t="str">
        <f ca="1">OFFSET(载具产出!$D$111,IFERROR(MATCH(OFFSET($D63,0,MATCH($D$5,$E$6:$H$6,0)),载具产出!$E$112:$E$151,1),0),0)</f>
        <v>豪华Ⅱ</v>
      </c>
      <c r="T63" s="40">
        <f ca="1">OFFSET(载具产出!$F$399,IFERROR(MATCH(OFFSET($D63,0,MATCH($D$5,$E$6:$H$6,0)),载具产出!$E$400:$E$439,1),0),MATCH(T$6,载具产出!$G$399:$O$399,0))</f>
        <v>815</v>
      </c>
      <c r="U63" s="40">
        <v>7</v>
      </c>
      <c r="V63" s="40">
        <f ca="1">OFFSET(载具产出!$F$399,IFERROR(MATCH(OFFSET($D63,0,MATCH($D$5,$E$6:$H$6,0)),载具产出!$E$400:$E$439,1),0),MATCH(V$6,载具产出!$G$399:$O$399,0))</f>
        <v>5200</v>
      </c>
      <c r="W63" s="43">
        <f ca="1">_xlfn.XLOOKUP(Z63,载具属性!$E$98:$E$497,载具属性!$G$98:$G$497)+6000+OFFSET(载具属性!L$33,AS63,0)*载具属性!M$30+OFFSET(载具属性!M$33,AT63,0)*载具属性!N$30+OFFSET(载具属性!N$33,AU63,0)*载具属性!O$30+OFFSET(载具属性!O$33,AV63,0)*载具属性!P$30</f>
        <v>11260</v>
      </c>
      <c r="X63" s="43">
        <f ca="1">_xlfn.XLOOKUP(Z63,载具属性!$E$98:$E$497,载具属性!$G$98:$G$497)</f>
        <v>2890</v>
      </c>
      <c r="Y63" s="43">
        <f ca="1">OFFSET(载具属性!L$33,AS63,0)*载具属性!M$30+OFFSET(载具属性!M$33,AT63,0)*载具属性!N$30+OFFSET(载具属性!N$33,AU63,0)*载具属性!O$30+OFFSET(载具属性!O$33,AV63,0)*载具属性!P$30</f>
        <v>2370</v>
      </c>
      <c r="Z63" s="40">
        <f ca="1">MATCH(SUM($T$7:T63),载具属性!$I$98:$I$497,1)</f>
        <v>54</v>
      </c>
      <c r="AA63" s="40">
        <f ca="1">OFFSET(载具产出!$F$399,IFERROR(MATCH(OFFSET($D63,0,MATCH($D$5,$E$6:$H$6,0)),载具产出!$E$112:$E$151,1),0),MATCH(AA$6,载具产出!$G$111:$O$111,0))*2</f>
        <v>28</v>
      </c>
      <c r="AB63" s="40">
        <f ca="1">OFFSET(载具产出!$F$399,IFERROR(MATCH(OFFSET($D63,0,MATCH($D$5,$E$6:$H$6,0)),载具产出!$E$112:$E$151,1),0),MATCH(AB$6,载具产出!$G$111:$O$111,0))*2</f>
        <v>24.56</v>
      </c>
      <c r="AC63" s="40">
        <f ca="1">OFFSET(载具产出!$F$399,IFERROR(MATCH(OFFSET($D63,0,MATCH($D$5,$E$6:$H$6,0)),载具产出!$E$112:$E$151,1),0),MATCH(AC$6,载具产出!$G$111:$O$111,0))*2</f>
        <v>1.44</v>
      </c>
      <c r="AD63" s="40">
        <f ca="1">OFFSET(载具产出!$F$399,IFERROR(MATCH(OFFSET($D63,0,MATCH($D$5,$E$6:$H$6,0)),载具产出!$E$112:$E$151,1),0),MATCH(AD$6,载具产出!$G$111:$O$111,0))*2</f>
        <v>0</v>
      </c>
      <c r="AE63" s="44">
        <f ca="1">SUM(AA$36:AA63)/3</f>
        <v>253.466666666667</v>
      </c>
      <c r="AF63" s="44">
        <f ca="1">SUM(AB$36:AB63)/3</f>
        <v>222.906666666667</v>
      </c>
      <c r="AG63" s="44">
        <f ca="1">SUM(AC$36:AC63)/3</f>
        <v>8.96</v>
      </c>
      <c r="AH63" s="44">
        <f ca="1">SUM(AD$36:AD63)/3</f>
        <v>0</v>
      </c>
      <c r="AI63" s="44">
        <f>_xlfn.XLOOKUP($D$5,载具产出!$D$71:$D$75,载具产出!$E$71:$E$75)*(D63-30+1)</f>
        <v>329.333333333334</v>
      </c>
      <c r="AJ63" s="44">
        <f>IFERROR(MATCH(_xlfn.XLOOKUP($D$5,载具产出!$D$71:$D$75,载具产出!$E$71:$E$75)*(D63-30+1)*10,载具产出!$E$60:$E$67,1),0)+1</f>
        <v>5</v>
      </c>
      <c r="AK63" s="44">
        <f ca="1">IF($AJ63=1,($AI63)*(10*OFFSET(载具产出!$D$45,MATCH(AK$6,$AK$6:$AN$6,0)-1,$AJ63)+OFFSET(载具产出!$D$49,MATCH(AK$6,$AK$6:$AN$6,0)-1,$AJ63)*OFFSET(载具产出!$N$49,MATCH(AK$6,$AK$6:$AN$6,0)-1,0)),OFFSET(载具产出!F$59,$AJ63-1,0)*10+OFFSET(载具产出!J$59,$AJ63-1,0)+($AI63*10-_xlfn.XLOOKUP($AJ63-1,载具产出!$D$59:$D$67,载具产出!$E$59:$E$67))/10*(10*OFFSET(载具产出!$D$45,MATCH(AK$6,$AK$6:$AN$6,0)-1,$AJ63)+OFFSET(载具产出!$D$49,MATCH(AK$6,$AK$6:$AN$6,0)-1,$AJ63)*OFFSET(载具产出!$N$49,MATCH(AK$6,$AK$6:$AN$6,0)-1,0)))</f>
        <v>797.622000000001</v>
      </c>
      <c r="AL63" s="44">
        <f ca="1">IF($AJ63=1,($AI63)*(10*OFFSET(载具产出!$D$45,MATCH(AL$6,$AK$6:$AN$6,0)-1,$AJ63)+OFFSET(载具产出!$D$49,MATCH(AL$6,$AK$6:$AN$6,0)-1,$AJ63)*OFFSET(载具产出!$N$49,MATCH(AL$6,$AK$6:$AN$6,0)-1,0)),OFFSET(载具产出!G$59,$AJ63-1,0)*10+OFFSET(载具产出!K$59,$AJ63-1,0)+($AI63*10-_xlfn.XLOOKUP($AJ63-1,载具产出!$D$59:$D$67,载具产出!$E$59:$E$67))/10*(10*OFFSET(载具产出!$D$45,MATCH(AL$6,$AK$6:$AN$6,0)-1,$AJ63)+OFFSET(载具产出!$D$49,MATCH(AL$6,$AK$6:$AN$6,0)-1,$AJ63)*OFFSET(载具产出!$N$49,MATCH(AL$6,$AK$6:$AN$6,0)-1,0)))</f>
        <v>266.126666666667</v>
      </c>
      <c r="AM63" s="44">
        <f ca="1">IF($AJ63=1,($AI63)*(10*OFFSET(载具产出!$D$45,MATCH(AM$6,$AK$6:$AN$6,0)-1,$AJ63)+OFFSET(载具产出!$D$49,MATCH(AM$6,$AK$6:$AN$6,0)-1,$AJ63)*OFFSET(载具产出!$N$49,MATCH(AM$6,$AK$6:$AN$6,0)-1,0)),OFFSET(载具产出!H$59,$AJ63-1,0)*10+OFFSET(载具产出!L$59,$AJ63-1,0)+($AI63*10-_xlfn.XLOOKUP($AJ63-1,载具产出!$D$59:$D$67,载具产出!$E$59:$E$67))/10*(10*OFFSET(载具产出!$D$45,MATCH(AM$6,$AK$6:$AN$6,0)-1,$AJ63)+OFFSET(载具产出!$D$49,MATCH(AM$6,$AK$6:$AN$6,0)-1,$AJ63)*OFFSET(载具产出!$N$49,MATCH(AM$6,$AK$6:$AN$6,0)-1,0)))</f>
        <v>128.330666666667</v>
      </c>
      <c r="AN63" s="44">
        <f ca="1">IF($AJ63=1,($AI63)*(10*OFFSET(载具产出!$D$45,MATCH(AN$6,$AK$6:$AN$6,0)-1,$AJ63)+OFFSET(载具产出!$D$49,MATCH(AN$6,$AK$6:$AN$6,0)-1,$AJ63)*OFFSET(载具产出!$N$49,MATCH(AN$6,$AK$6:$AN$6,0)-1,0)),OFFSET(载具产出!I$59,$AJ63-1,0)*10+OFFSET(载具产出!M$59,$AJ63-1,0)+($AI63*10-_xlfn.XLOOKUP($AJ63-1,载具产出!$D$59:$D$67,载具产出!$E$59:$E$67))/10*(10*OFFSET(载具产出!$D$45,MATCH(AN$6,$AK$6:$AN$6,0)-1,$AJ63)+OFFSET(载具产出!$D$49,MATCH(AN$6,$AK$6:$AN$6,0)-1,$AJ63)*OFFSET(载具产出!$N$49,MATCH(AN$6,$AK$6:$AN$6,0)-1,0)))</f>
        <v>29.4520000000001</v>
      </c>
      <c r="AO63" s="44">
        <f ca="1" t="shared" si="3"/>
        <v>1051.08866666667</v>
      </c>
      <c r="AP63" s="44">
        <f ca="1" t="shared" si="4"/>
        <v>489.033333333334</v>
      </c>
      <c r="AQ63" s="44">
        <f ca="1" t="shared" si="5"/>
        <v>137.290666666667</v>
      </c>
      <c r="AR63" s="44">
        <f ca="1" t="shared" si="6"/>
        <v>29.4520000000001</v>
      </c>
      <c r="AS63" s="45">
        <f ca="1">IFERROR(MATCH(AO63/载具产出!R$58,载具属性!$G$33:$G$92,1),0)</f>
        <v>17</v>
      </c>
      <c r="AT63" s="45">
        <f ca="1">IFERROR(MATCH(AP63/载具产出!S$58,载具属性!$G$33:$G$92,1),0)</f>
        <v>11</v>
      </c>
      <c r="AU63" s="45">
        <f ca="1">IFERROR(MATCH(AQ63/载具产出!T$58,载具属性!$G$33:$G$92,1),0)</f>
        <v>3</v>
      </c>
      <c r="AV63" s="45">
        <f ca="1">IFERROR(MATCH(AR63/载具产出!U$58,载具属性!$G$33:$G$92,1),0)</f>
        <v>0</v>
      </c>
      <c r="AW63" s="46" t="str">
        <f ca="1" t="shared" si="7"/>
        <v>[{62,190},{63,17735},{2,43000},{6030001,665},{6030002,623},{6030003,26}]</v>
      </c>
      <c r="AX63" t="str">
        <f ca="1" t="shared" si="8"/>
        <v>{62,190}</v>
      </c>
      <c r="AY63" t="str">
        <f ca="1" t="shared" si="9"/>
        <v>{63,17735}</v>
      </c>
      <c r="AZ63" t="str">
        <f ca="1" t="shared" si="10"/>
        <v>{2,43000}</v>
      </c>
      <c r="BA63" t="str">
        <f ca="1" t="shared" si="11"/>
        <v>{6030001,665}</v>
      </c>
      <c r="BB63" t="str">
        <f ca="1" t="shared" si="12"/>
        <v>{6030002,623}</v>
      </c>
      <c r="BC63" t="str">
        <f ca="1" t="shared" si="13"/>
        <v>{6030003,26}</v>
      </c>
      <c r="BD63" t="str">
        <f ca="1" t="shared" si="14"/>
        <v/>
      </c>
    </row>
    <row r="64" spans="3:56">
      <c r="C64">
        <f ca="1" t="shared" si="1"/>
        <v>99.8245614035088</v>
      </c>
      <c r="D64" s="40">
        <v>58</v>
      </c>
      <c r="E64" s="40">
        <v>85</v>
      </c>
      <c r="F64" s="40">
        <v>100</v>
      </c>
      <c r="G64" s="41">
        <v>114</v>
      </c>
      <c r="H64" s="40">
        <v>142</v>
      </c>
      <c r="I64" s="40">
        <v>176</v>
      </c>
      <c r="J64" s="40">
        <f t="shared" si="16"/>
        <v>140</v>
      </c>
      <c r="K64" s="40">
        <f ca="1">SUM(U$36:U64)-SUM(OFFSET(载具产出!H$399,0,0,$R64+1,1))</f>
        <v>197</v>
      </c>
      <c r="L64" s="40">
        <f ca="1">SUM(T$36:T64)-SUM(OFFSET(载具产出!G$399,0,0,$R64+1,1))</f>
        <v>18550</v>
      </c>
      <c r="M64" s="40">
        <f ca="1">SUM(V$36:V64)/2-SUM(OFFSET(载具产出!I$399,0,0,$R64+1,1))</f>
        <v>45600</v>
      </c>
      <c r="N64" s="40">
        <f ca="1">SUM(AA$36:AA64)-SUM(OFFSET(载具产出!J$399,0,0,$R64+1,1))</f>
        <v>693.6</v>
      </c>
      <c r="O64" s="40">
        <f ca="1">SUM(AB$36:AB64)-SUM(OFFSET(载具产出!K$399,0,0,$R64+1,1))</f>
        <v>647.8</v>
      </c>
      <c r="P64" s="40">
        <f ca="1">SUM(AC$36:AC64)-SUM(OFFSET(载具产出!L$399,0,0,$R64+1,1))</f>
        <v>27.6</v>
      </c>
      <c r="Q64" s="40">
        <f ca="1">SUM(AD$36:AD64)-SUM(OFFSET(载具产出!M$399,0,0,$R64+1,1))</f>
        <v>0</v>
      </c>
      <c r="R64" s="40">
        <v>6</v>
      </c>
      <c r="S64" s="40" t="str">
        <f ca="1">OFFSET(载具产出!$D$111,IFERROR(MATCH(OFFSET($D64,0,MATCH($D$5,$E$6:$H$6,0)),载具产出!$E$112:$E$151,1),0),0)</f>
        <v>豪华Ⅱ</v>
      </c>
      <c r="T64" s="40">
        <f ca="1">OFFSET(载具产出!$F$399,IFERROR(MATCH(OFFSET($D64,0,MATCH($D$5,$E$6:$H$6,0)),载具产出!$E$400:$E$439,1),0),MATCH(T$6,载具产出!$G$399:$O$399,0))</f>
        <v>815</v>
      </c>
      <c r="U64" s="40">
        <v>7</v>
      </c>
      <c r="V64" s="40">
        <f ca="1">OFFSET(载具产出!$F$399,IFERROR(MATCH(OFFSET($D64,0,MATCH($D$5,$E$6:$H$6,0)),载具产出!$E$400:$E$439,1),0),MATCH(V$6,载具产出!$G$399:$O$399,0))</f>
        <v>5200</v>
      </c>
      <c r="W64" s="43">
        <f ca="1">_xlfn.XLOOKUP(Z64,载具属性!$E$98:$E$497,载具属性!$G$98:$G$497)+6000+OFFSET(载具属性!L$33,AS64,0)*载具属性!M$30+OFFSET(载具属性!M$33,AT64,0)*载具属性!N$30+OFFSET(载具属性!N$33,AU64,0)*载具属性!O$30+OFFSET(载具属性!O$33,AV64,0)*载具属性!P$30</f>
        <v>11380</v>
      </c>
      <c r="X64" s="43">
        <f ca="1">_xlfn.XLOOKUP(Z64,载具属性!$E$98:$E$497,载具属性!$G$98:$G$497)</f>
        <v>2950</v>
      </c>
      <c r="Y64" s="43">
        <f ca="1">OFFSET(载具属性!L$33,AS64,0)*载具属性!M$30+OFFSET(载具属性!M$33,AT64,0)*载具属性!N$30+OFFSET(载具属性!N$33,AU64,0)*载具属性!O$30+OFFSET(载具属性!O$33,AV64,0)*载具属性!P$30</f>
        <v>2430</v>
      </c>
      <c r="Z64" s="40">
        <f ca="1">MATCH(SUM($T$7:T64),载具属性!$I$98:$I$497,1)</f>
        <v>55</v>
      </c>
      <c r="AA64" s="40">
        <f ca="1">OFFSET(载具产出!$F$399,IFERROR(MATCH(OFFSET($D64,0,MATCH($D$5,$E$6:$H$6,0)),载具产出!$E$112:$E$151,1),0),MATCH(AA$6,载具产出!$G$111:$O$111,0))*2</f>
        <v>28</v>
      </c>
      <c r="AB64" s="40">
        <f ca="1">OFFSET(载具产出!$F$399,IFERROR(MATCH(OFFSET($D64,0,MATCH($D$5,$E$6:$H$6,0)),载具产出!$E$112:$E$151,1),0),MATCH(AB$6,载具产出!$G$111:$O$111,0))*2</f>
        <v>24.56</v>
      </c>
      <c r="AC64" s="40">
        <f ca="1">OFFSET(载具产出!$F$399,IFERROR(MATCH(OFFSET($D64,0,MATCH($D$5,$E$6:$H$6,0)),载具产出!$E$112:$E$151,1),0),MATCH(AC$6,载具产出!$G$111:$O$111,0))*2</f>
        <v>1.44</v>
      </c>
      <c r="AD64" s="40">
        <f ca="1">OFFSET(载具产出!$F$399,IFERROR(MATCH(OFFSET($D64,0,MATCH($D$5,$E$6:$H$6,0)),载具产出!$E$112:$E$151,1),0),MATCH(AD$6,载具产出!$G$111:$O$111,0))*2</f>
        <v>0</v>
      </c>
      <c r="AE64" s="44">
        <f ca="1">SUM(AA$36:AA64)/3</f>
        <v>262.8</v>
      </c>
      <c r="AF64" s="44">
        <f ca="1">SUM(AB$36:AB64)/3</f>
        <v>231.093333333333</v>
      </c>
      <c r="AG64" s="44">
        <f ca="1">SUM(AC$36:AC64)/3</f>
        <v>9.44</v>
      </c>
      <c r="AH64" s="44">
        <f ca="1">SUM(AD$36:AD64)/3</f>
        <v>0</v>
      </c>
      <c r="AI64" s="44">
        <f>_xlfn.XLOOKUP($D$5,载具产出!$D$71:$D$75,载具产出!$E$71:$E$75)*(D64-30+1)</f>
        <v>341.095238095239</v>
      </c>
      <c r="AJ64" s="44">
        <f>IFERROR(MATCH(_xlfn.XLOOKUP($D$5,载具产出!$D$71:$D$75,载具产出!$E$71:$E$75)*(D64-30+1)*10,载具产出!$E$60:$E$67,1),0)+1</f>
        <v>5</v>
      </c>
      <c r="AK64" s="44">
        <f ca="1">IF($AJ64=1,($AI64)*(10*OFFSET(载具产出!$D$45,MATCH(AK$6,$AK$6:$AN$6,0)-1,$AJ64)+OFFSET(载具产出!$D$49,MATCH(AK$6,$AK$6:$AN$6,0)-1,$AJ64)*OFFSET(载具产出!$N$49,MATCH(AK$6,$AK$6:$AN$6,0)-1,0)),OFFSET(载具产出!F$59,$AJ64-1,0)*10+OFFSET(载具产出!J$59,$AJ64-1,0)+($AI64*10-_xlfn.XLOOKUP($AJ64-1,载具产出!$D$59:$D$67,载具产出!$E$59:$E$67))/10*(10*OFFSET(载具产出!$D$45,MATCH(AK$6,$AK$6:$AN$6,0)-1,$AJ64)+OFFSET(载具产出!$D$49,MATCH(AK$6,$AK$6:$AN$6,0)-1,$AJ64)*OFFSET(载具产出!$N$49,MATCH(AK$6,$AK$6:$AN$6,0)-1,0)))</f>
        <v>823.874571428574</v>
      </c>
      <c r="AL64" s="44">
        <f ca="1">IF($AJ64=1,($AI64)*(10*OFFSET(载具产出!$D$45,MATCH(AL$6,$AK$6:$AN$6,0)-1,$AJ64)+OFFSET(载具产出!$D$49,MATCH(AL$6,$AK$6:$AN$6,0)-1,$AJ64)*OFFSET(载具产出!$N$49,MATCH(AL$6,$AK$6:$AN$6,0)-1,0)),OFFSET(载具产出!G$59,$AJ64-1,0)*10+OFFSET(载具产出!K$59,$AJ64-1,0)+($AI64*10-_xlfn.XLOOKUP($AJ64-1,载具产出!$D$59:$D$67,载具产出!$E$59:$E$67))/10*(10*OFFSET(载具产出!$D$45,MATCH(AL$6,$AK$6:$AN$6,0)-1,$AJ64)+OFFSET(载具产出!$D$49,MATCH(AL$6,$AK$6:$AN$6,0)-1,$AJ64)*OFFSET(载具产出!$N$49,MATCH(AL$6,$AK$6:$AN$6,0)-1,0)))</f>
        <v>276.241904761906</v>
      </c>
      <c r="AM64" s="44">
        <f ca="1">IF($AJ64=1,($AI64)*(10*OFFSET(载具产出!$D$45,MATCH(AM$6,$AK$6:$AN$6,0)-1,$AJ64)+OFFSET(载具产出!$D$49,MATCH(AM$6,$AK$6:$AN$6,0)-1,$AJ64)*OFFSET(载具产出!$N$49,MATCH(AM$6,$AK$6:$AN$6,0)-1,0)),OFFSET(载具产出!H$59,$AJ64-1,0)*10+OFFSET(载具产出!L$59,$AJ64-1,0)+($AI64*10-_xlfn.XLOOKUP($AJ64-1,载具产出!$D$59:$D$67,载具产出!$E$59:$E$67))/10*(10*OFFSET(载具产出!$D$45,MATCH(AM$6,$AK$6:$AN$6,0)-1,$AJ64)+OFFSET(载具产出!$D$49,MATCH(AM$6,$AK$6:$AN$6,0)-1,$AJ64)*OFFSET(载具产出!$N$49,MATCH(AM$6,$AK$6:$AN$6,0)-1,0)))</f>
        <v>133.788190476191</v>
      </c>
      <c r="AN64" s="44">
        <f ca="1">IF($AJ64=1,($AI64)*(10*OFFSET(载具产出!$D$45,MATCH(AN$6,$AK$6:$AN$6,0)-1,$AJ64)+OFFSET(载具产出!$D$49,MATCH(AN$6,$AK$6:$AN$6,0)-1,$AJ64)*OFFSET(载具产出!$N$49,MATCH(AN$6,$AK$6:$AN$6,0)-1,0)),OFFSET(载具产出!I$59,$AJ64-1,0)*10+OFFSET(载具产出!M$59,$AJ64-1,0)+($AI64*10-_xlfn.XLOOKUP($AJ64-1,载具产出!$D$59:$D$67,载具产出!$E$59:$E$67))/10*(10*OFFSET(载具产出!$D$45,MATCH(AN$6,$AK$6:$AN$6,0)-1,$AJ64)+OFFSET(载具产出!$D$49,MATCH(AN$6,$AK$6:$AN$6,0)-1,$AJ64)*OFFSET(载具产出!$N$49,MATCH(AN$6,$AK$6:$AN$6,0)-1,0)))</f>
        <v>31.1810000000001</v>
      </c>
      <c r="AO64" s="44">
        <f ca="1" t="shared" si="3"/>
        <v>1086.67457142857</v>
      </c>
      <c r="AP64" s="44">
        <f ca="1" t="shared" si="4"/>
        <v>507.335238095239</v>
      </c>
      <c r="AQ64" s="44">
        <f ca="1" t="shared" si="5"/>
        <v>143.228190476191</v>
      </c>
      <c r="AR64" s="44">
        <f ca="1" t="shared" si="6"/>
        <v>31.1810000000001</v>
      </c>
      <c r="AS64" s="45">
        <f ca="1">IFERROR(MATCH(AO64/载具产出!R$58,载具属性!$G$33:$G$92,1),0)</f>
        <v>18</v>
      </c>
      <c r="AT64" s="45">
        <f ca="1">IFERROR(MATCH(AP64/载具产出!S$58,载具属性!$G$33:$G$92,1),0)</f>
        <v>11</v>
      </c>
      <c r="AU64" s="45">
        <f ca="1">IFERROR(MATCH(AQ64/载具产出!T$58,载具属性!$G$33:$G$92,1),0)</f>
        <v>3</v>
      </c>
      <c r="AV64" s="45">
        <f ca="1">IFERROR(MATCH(AR64/载具产出!U$58,载具属性!$G$33:$G$92,1),0)</f>
        <v>0</v>
      </c>
      <c r="AW64" s="46" t="str">
        <f ca="1" t="shared" si="7"/>
        <v>[{62,197},{63,18550},{2,45600},{6030001,693},{6030002,647},{6030003,27}]</v>
      </c>
      <c r="AX64" t="str">
        <f ca="1" t="shared" si="8"/>
        <v>{62,197}</v>
      </c>
      <c r="AY64" t="str">
        <f ca="1" t="shared" si="9"/>
        <v>{63,18550}</v>
      </c>
      <c r="AZ64" t="str">
        <f ca="1" t="shared" si="10"/>
        <v>{2,45600}</v>
      </c>
      <c r="BA64" t="str">
        <f ca="1" t="shared" si="11"/>
        <v>{6030001,693}</v>
      </c>
      <c r="BB64" t="str">
        <f ca="1" t="shared" si="12"/>
        <v>{6030002,647}</v>
      </c>
      <c r="BC64" t="str">
        <f ca="1" t="shared" si="13"/>
        <v>{6030003,27}</v>
      </c>
      <c r="BD64" t="str">
        <f ca="1" t="shared" si="14"/>
        <v/>
      </c>
    </row>
    <row r="65" spans="3:56">
      <c r="C65">
        <f ca="1" t="shared" si="1"/>
        <v>100.260869565217</v>
      </c>
      <c r="D65" s="40">
        <v>59</v>
      </c>
      <c r="E65" s="40">
        <v>86</v>
      </c>
      <c r="F65" s="40">
        <v>100</v>
      </c>
      <c r="G65" s="41">
        <v>115</v>
      </c>
      <c r="H65" s="40">
        <v>143</v>
      </c>
      <c r="I65" s="40">
        <v>176</v>
      </c>
      <c r="J65" s="40">
        <f t="shared" si="16"/>
        <v>142</v>
      </c>
      <c r="K65" s="40">
        <f ca="1">SUM(U$36:U65)-SUM(OFFSET(载具产出!H$399,0,0,$R65+1,1))</f>
        <v>203</v>
      </c>
      <c r="L65" s="40">
        <f ca="1">SUM(T$36:T65)-SUM(OFFSET(载具产出!G$399,0,0,$R65+1,1))</f>
        <v>18590</v>
      </c>
      <c r="M65" s="40">
        <f ca="1">SUM(V$36:V65)/2-SUM(OFFSET(载具产出!I$399,0,0,$R65+1,1))</f>
        <v>43100</v>
      </c>
      <c r="N65" s="40">
        <f ca="1">SUM(AA$36:AA65)-SUM(OFFSET(载具产出!J$399,0,0,$R65+1,1))</f>
        <v>707.6</v>
      </c>
      <c r="O65" s="40">
        <f ca="1">SUM(AB$36:AB65)-SUM(OFFSET(载具产出!K$399,0,0,$R65+1,1))</f>
        <v>661.6</v>
      </c>
      <c r="P65" s="40">
        <f ca="1">SUM(AC$36:AC65)-SUM(OFFSET(载具产出!L$399,0,0,$R65+1,1))</f>
        <v>28.8</v>
      </c>
      <c r="Q65" s="40">
        <f ca="1">SUM(AD$36:AD65)-SUM(OFFSET(载具产出!M$399,0,0,$R65+1,1))</f>
        <v>0</v>
      </c>
      <c r="R65" s="40">
        <v>7</v>
      </c>
      <c r="S65" s="40" t="str">
        <f ca="1">OFFSET(载具产出!$D$111,IFERROR(MATCH(OFFSET($D65,0,MATCH($D$5,$E$6:$H$6,0)),载具产出!$E$112:$E$151,1),0),0)</f>
        <v>豪华Ⅲ</v>
      </c>
      <c r="T65" s="40">
        <f ca="1">OFFSET(载具产出!$F$399,IFERROR(MATCH(OFFSET($D65,0,MATCH($D$5,$E$6:$H$6,0)),载具产出!$E$400:$E$439,1),0),MATCH(T$6,载具产出!$G$399:$O$399,0))</f>
        <v>855</v>
      </c>
      <c r="U65" s="40">
        <v>7</v>
      </c>
      <c r="V65" s="40">
        <f ca="1">OFFSET(载具产出!$F$399,IFERROR(MATCH(OFFSET($D65,0,MATCH($D$5,$E$6:$H$6,0)),载具产出!$E$400:$E$439,1),0),MATCH(V$6,载具产出!$G$399:$O$399,0))</f>
        <v>5400</v>
      </c>
      <c r="W65" s="43">
        <f ca="1">_xlfn.XLOOKUP(Z65,载具属性!$E$98:$E$497,载具属性!$G$98:$G$497)+6000+OFFSET(载具属性!L$33,AS65,0)*载具属性!M$30+OFFSET(载具属性!M$33,AT65,0)*载具属性!N$30+OFFSET(载具属性!N$33,AU65,0)*载具属性!O$30+OFFSET(载具属性!O$33,AV65,0)*载具属性!P$30</f>
        <v>11530</v>
      </c>
      <c r="X65" s="43">
        <f ca="1">_xlfn.XLOOKUP(Z65,载具属性!$E$98:$E$497,载具属性!$G$98:$G$497)</f>
        <v>3010</v>
      </c>
      <c r="Y65" s="43">
        <f ca="1">OFFSET(载具属性!L$33,AS65,0)*载具属性!M$30+OFFSET(载具属性!M$33,AT65,0)*载具属性!N$30+OFFSET(载具属性!N$33,AU65,0)*载具属性!O$30+OFFSET(载具属性!O$33,AV65,0)*载具属性!P$30</f>
        <v>2520</v>
      </c>
      <c r="Z65" s="40">
        <f ca="1">MATCH(SUM($T$7:T65),载具属性!$I$98:$I$497,1)</f>
        <v>56</v>
      </c>
      <c r="AA65" s="40">
        <f ca="1">OFFSET(载具产出!$F$399,IFERROR(MATCH(OFFSET($D65,0,MATCH($D$5,$E$6:$H$6,0)),载具产出!$E$112:$E$151,1),0),MATCH(AA$6,载具产出!$G$111:$O$111,0))*2</f>
        <v>28</v>
      </c>
      <c r="AB65" s="40">
        <f ca="1">OFFSET(载具产出!$F$399,IFERROR(MATCH(OFFSET($D65,0,MATCH($D$5,$E$6:$H$6,0)),载具产出!$E$112:$E$151,1),0),MATCH(AB$6,载具产出!$G$111:$O$111,0))*2</f>
        <v>26.08</v>
      </c>
      <c r="AC65" s="40">
        <f ca="1">OFFSET(载具产出!$F$399,IFERROR(MATCH(OFFSET($D65,0,MATCH($D$5,$E$6:$H$6,0)),载具产出!$E$112:$E$151,1),0),MATCH(AC$6,载具产出!$G$111:$O$111,0))*2</f>
        <v>1.92</v>
      </c>
      <c r="AD65" s="40">
        <f ca="1">OFFSET(载具产出!$F$399,IFERROR(MATCH(OFFSET($D65,0,MATCH($D$5,$E$6:$H$6,0)),载具产出!$E$112:$E$151,1),0),MATCH(AD$6,载具产出!$G$111:$O$111,0))*2</f>
        <v>0</v>
      </c>
      <c r="AE65" s="44">
        <f ca="1">SUM(AA$36:AA65)/3</f>
        <v>272.133333333333</v>
      </c>
      <c r="AF65" s="44">
        <f ca="1">SUM(AB$36:AB65)/3</f>
        <v>239.786666666667</v>
      </c>
      <c r="AG65" s="44">
        <f ca="1">SUM(AC$36:AC65)/3</f>
        <v>10.08</v>
      </c>
      <c r="AH65" s="44">
        <f ca="1">SUM(AD$36:AD65)/3</f>
        <v>0</v>
      </c>
      <c r="AI65" s="44">
        <f>_xlfn.XLOOKUP($D$5,载具产出!$D$71:$D$75,载具产出!$E$71:$E$75)*(D65-30+1)</f>
        <v>352.857142857144</v>
      </c>
      <c r="AJ65" s="44">
        <f>IFERROR(MATCH(_xlfn.XLOOKUP($D$5,载具产出!$D$71:$D$75,载具产出!$E$71:$E$75)*(D65-30+1)*10,载具产出!$E$60:$E$67,1),0)+1</f>
        <v>5</v>
      </c>
      <c r="AK65" s="44">
        <f ca="1">IF($AJ65=1,($AI65)*(10*OFFSET(载具产出!$D$45,MATCH(AK$6,$AK$6:$AN$6,0)-1,$AJ65)+OFFSET(载具产出!$D$49,MATCH(AK$6,$AK$6:$AN$6,0)-1,$AJ65)*OFFSET(载具产出!$N$49,MATCH(AK$6,$AK$6:$AN$6,0)-1,0)),OFFSET(载具产出!F$59,$AJ65-1,0)*10+OFFSET(载具产出!J$59,$AJ65-1,0)+($AI65*10-_xlfn.XLOOKUP($AJ65-1,载具产出!$D$59:$D$67,载具产出!$E$59:$E$67))/10*(10*OFFSET(载具产出!$D$45,MATCH(AK$6,$AK$6:$AN$6,0)-1,$AJ65)+OFFSET(载具产出!$D$49,MATCH(AK$6,$AK$6:$AN$6,0)-1,$AJ65)*OFFSET(载具产出!$N$49,MATCH(AK$6,$AK$6:$AN$6,0)-1,0)))</f>
        <v>850.127142857145</v>
      </c>
      <c r="AL65" s="44">
        <f ca="1">IF($AJ65=1,($AI65)*(10*OFFSET(载具产出!$D$45,MATCH(AL$6,$AK$6:$AN$6,0)-1,$AJ65)+OFFSET(载具产出!$D$49,MATCH(AL$6,$AK$6:$AN$6,0)-1,$AJ65)*OFFSET(载具产出!$N$49,MATCH(AL$6,$AK$6:$AN$6,0)-1,0)),OFFSET(载具产出!G$59,$AJ65-1,0)*10+OFFSET(载具产出!K$59,$AJ65-1,0)+($AI65*10-_xlfn.XLOOKUP($AJ65-1,载具产出!$D$59:$D$67,载具产出!$E$59:$E$67))/10*(10*OFFSET(载具产出!$D$45,MATCH(AL$6,$AK$6:$AN$6,0)-1,$AJ65)+OFFSET(载具产出!$D$49,MATCH(AL$6,$AK$6:$AN$6,0)-1,$AJ65)*OFFSET(载具产出!$N$49,MATCH(AL$6,$AK$6:$AN$6,0)-1,0)))</f>
        <v>286.357142857144</v>
      </c>
      <c r="AM65" s="44">
        <f ca="1">IF($AJ65=1,($AI65)*(10*OFFSET(载具产出!$D$45,MATCH(AM$6,$AK$6:$AN$6,0)-1,$AJ65)+OFFSET(载具产出!$D$49,MATCH(AM$6,$AK$6:$AN$6,0)-1,$AJ65)*OFFSET(载具产出!$N$49,MATCH(AM$6,$AK$6:$AN$6,0)-1,0)),OFFSET(载具产出!H$59,$AJ65-1,0)*10+OFFSET(载具产出!L$59,$AJ65-1,0)+($AI65*10-_xlfn.XLOOKUP($AJ65-1,载具产出!$D$59:$D$67,载具产出!$E$59:$E$67))/10*(10*OFFSET(载具产出!$D$45,MATCH(AM$6,$AK$6:$AN$6,0)-1,$AJ65)+OFFSET(载具产出!$D$49,MATCH(AM$6,$AK$6:$AN$6,0)-1,$AJ65)*OFFSET(载具产出!$N$49,MATCH(AM$6,$AK$6:$AN$6,0)-1,0)))</f>
        <v>139.245714285715</v>
      </c>
      <c r="AN65" s="44">
        <f ca="1">IF($AJ65=1,($AI65)*(10*OFFSET(载具产出!$D$45,MATCH(AN$6,$AK$6:$AN$6,0)-1,$AJ65)+OFFSET(载具产出!$D$49,MATCH(AN$6,$AK$6:$AN$6,0)-1,$AJ65)*OFFSET(载具产出!$N$49,MATCH(AN$6,$AK$6:$AN$6,0)-1,0)),OFFSET(载具产出!I$59,$AJ65-1,0)*10+OFFSET(载具产出!M$59,$AJ65-1,0)+($AI65*10-_xlfn.XLOOKUP($AJ65-1,载具产出!$D$59:$D$67,载具产出!$E$59:$E$67))/10*(10*OFFSET(载具产出!$D$45,MATCH(AN$6,$AK$6:$AN$6,0)-1,$AJ65)+OFFSET(载具产出!$D$49,MATCH(AN$6,$AK$6:$AN$6,0)-1,$AJ65)*OFFSET(载具产出!$N$49,MATCH(AN$6,$AK$6:$AN$6,0)-1,0)))</f>
        <v>32.9100000000002</v>
      </c>
      <c r="AO65" s="44">
        <f ca="1" t="shared" si="3"/>
        <v>1122.26047619048</v>
      </c>
      <c r="AP65" s="44">
        <f ca="1" t="shared" si="4"/>
        <v>526.14380952381</v>
      </c>
      <c r="AQ65" s="44">
        <f ca="1" t="shared" si="5"/>
        <v>149.325714285715</v>
      </c>
      <c r="AR65" s="44">
        <f ca="1" t="shared" si="6"/>
        <v>32.9100000000002</v>
      </c>
      <c r="AS65" s="45">
        <f ca="1">IFERROR(MATCH(AO65/载具产出!R$58,载具属性!$G$33:$G$92,1),0)</f>
        <v>18</v>
      </c>
      <c r="AT65" s="45">
        <f ca="1">IFERROR(MATCH(AP65/载具产出!S$58,载具属性!$G$33:$G$92,1),0)</f>
        <v>12</v>
      </c>
      <c r="AU65" s="45">
        <f ca="1">IFERROR(MATCH(AQ65/载具产出!T$58,载具属性!$G$33:$G$92,1),0)</f>
        <v>3</v>
      </c>
      <c r="AV65" s="45">
        <f ca="1">IFERROR(MATCH(AR65/载具产出!U$58,载具属性!$G$33:$G$92,1),0)</f>
        <v>0</v>
      </c>
      <c r="AW65" s="46" t="str">
        <f ca="1" t="shared" si="7"/>
        <v>[{62,203},{63,18590},{2,43100},{6030001,707},{6030002,661},{6030003,28}]</v>
      </c>
      <c r="AX65" t="str">
        <f ca="1" t="shared" si="8"/>
        <v>{62,203}</v>
      </c>
      <c r="AY65" t="str">
        <f ca="1" t="shared" si="9"/>
        <v>{63,18590}</v>
      </c>
      <c r="AZ65" t="str">
        <f ca="1" t="shared" si="10"/>
        <v>{2,43100}</v>
      </c>
      <c r="BA65" t="str">
        <f ca="1" t="shared" si="11"/>
        <v>{6030001,707}</v>
      </c>
      <c r="BB65" t="str">
        <f ca="1" t="shared" si="12"/>
        <v>{6030002,661}</v>
      </c>
      <c r="BC65" t="str">
        <f ca="1" t="shared" si="13"/>
        <v>{6030003,28}</v>
      </c>
      <c r="BD65" t="str">
        <f ca="1" t="shared" si="14"/>
        <v/>
      </c>
    </row>
    <row r="66" spans="3:56">
      <c r="C66">
        <f ca="1" t="shared" si="1"/>
        <v>100.948275862069</v>
      </c>
      <c r="D66" s="40">
        <v>60</v>
      </c>
      <c r="E66" s="40">
        <v>86</v>
      </c>
      <c r="F66" s="40">
        <v>101</v>
      </c>
      <c r="G66" s="41">
        <v>116</v>
      </c>
      <c r="H66" s="40">
        <v>145</v>
      </c>
      <c r="I66" s="40">
        <v>176</v>
      </c>
      <c r="J66" s="40">
        <f>MIN(INT(H66*(120-(D66-60))/120+(D66-60)/120*I66),I66)</f>
        <v>145</v>
      </c>
      <c r="K66" s="40">
        <f ca="1">SUM(U$36:U66)-SUM(OFFSET(载具产出!H$399,0,0,$R66+1,1))</f>
        <v>210</v>
      </c>
      <c r="L66" s="40">
        <f ca="1">SUM(T$36:T66)-SUM(OFFSET(载具产出!G$399,0,0,$R66+1,1))</f>
        <v>19445</v>
      </c>
      <c r="M66" s="40">
        <f ca="1">SUM(V$36:V66)/2-SUM(OFFSET(载具产出!I$399,0,0,$R66+1,1))</f>
        <v>45800</v>
      </c>
      <c r="N66" s="40">
        <f ca="1">SUM(AA$36:AA66)-SUM(OFFSET(载具产出!J$399,0,0,$R66+1,1))</f>
        <v>735.6</v>
      </c>
      <c r="O66" s="40">
        <f ca="1">SUM(AB$36:AB66)-SUM(OFFSET(载具产出!K$399,0,0,$R66+1,1))</f>
        <v>687.68</v>
      </c>
      <c r="P66" s="40">
        <f ca="1">SUM(AC$36:AC66)-SUM(OFFSET(载具产出!L$399,0,0,$R66+1,1))</f>
        <v>30.72</v>
      </c>
      <c r="Q66" s="40">
        <f ca="1">SUM(AD$36:AD66)-SUM(OFFSET(载具产出!M$399,0,0,$R66+1,1))</f>
        <v>0</v>
      </c>
      <c r="R66" s="40">
        <v>7</v>
      </c>
      <c r="S66" s="40" t="str">
        <f ca="1">OFFSET(载具产出!$D$111,IFERROR(MATCH(OFFSET($D66,0,MATCH($D$5,$E$6:$H$6,0)),载具产出!$E$112:$E$151,1),0),0)</f>
        <v>豪华Ⅲ</v>
      </c>
      <c r="T66" s="40">
        <f ca="1">OFFSET(载具产出!$F$399,IFERROR(MATCH(OFFSET($D66,0,MATCH($D$5,$E$6:$H$6,0)),载具产出!$E$400:$E$439,1),0),MATCH(T$6,载具产出!$G$399:$O$399,0))</f>
        <v>855</v>
      </c>
      <c r="U66" s="40">
        <v>7</v>
      </c>
      <c r="V66" s="40">
        <f ca="1">OFFSET(载具产出!$F$399,IFERROR(MATCH(OFFSET($D66,0,MATCH($D$5,$E$6:$H$6,0)),载具产出!$E$400:$E$439,1),0),MATCH(V$6,载具产出!$G$399:$O$399,0))</f>
        <v>5400</v>
      </c>
      <c r="W66" s="43">
        <f ca="1">_xlfn.XLOOKUP(Z66,载具属性!$E$98:$E$497,载具属性!$G$98:$G$497)+6000+OFFSET(载具属性!L$33,AS66,0)*载具属性!M$30+OFFSET(载具属性!M$33,AT66,0)*载具属性!N$30+OFFSET(载具属性!N$33,AU66,0)*载具属性!O$30+OFFSET(载具属性!O$33,AV66,0)*载具属性!P$30</f>
        <v>11710</v>
      </c>
      <c r="X66" s="43">
        <f ca="1">_xlfn.XLOOKUP(Z66,载具属性!$E$98:$E$497,载具属性!$G$98:$G$497)</f>
        <v>3070</v>
      </c>
      <c r="Y66" s="43">
        <f ca="1">OFFSET(载具属性!L$33,AS66,0)*载具属性!M$30+OFFSET(载具属性!M$33,AT66,0)*载具属性!N$30+OFFSET(载具属性!N$33,AU66,0)*载具属性!O$30+OFFSET(载具属性!O$33,AV66,0)*载具属性!P$30</f>
        <v>2640</v>
      </c>
      <c r="Z66" s="40">
        <f ca="1">MATCH(SUM($T$7:T66),载具属性!$I$98:$I$497,1)</f>
        <v>57</v>
      </c>
      <c r="AA66" s="40">
        <f ca="1">OFFSET(载具产出!$F$399,IFERROR(MATCH(OFFSET($D66,0,MATCH($D$5,$E$6:$H$6,0)),载具产出!$E$112:$E$151,1),0),MATCH(AA$6,载具产出!$G$111:$O$111,0))*2</f>
        <v>28</v>
      </c>
      <c r="AB66" s="40">
        <f ca="1">OFFSET(载具产出!$F$399,IFERROR(MATCH(OFFSET($D66,0,MATCH($D$5,$E$6:$H$6,0)),载具产出!$E$112:$E$151,1),0),MATCH(AB$6,载具产出!$G$111:$O$111,0))*2</f>
        <v>26.08</v>
      </c>
      <c r="AC66" s="40">
        <f ca="1">OFFSET(载具产出!$F$399,IFERROR(MATCH(OFFSET($D66,0,MATCH($D$5,$E$6:$H$6,0)),载具产出!$E$112:$E$151,1),0),MATCH(AC$6,载具产出!$G$111:$O$111,0))*2</f>
        <v>1.92</v>
      </c>
      <c r="AD66" s="40">
        <f ca="1">OFFSET(载具产出!$F$399,IFERROR(MATCH(OFFSET($D66,0,MATCH($D$5,$E$6:$H$6,0)),载具产出!$E$112:$E$151,1),0),MATCH(AD$6,载具产出!$G$111:$O$111,0))*2</f>
        <v>0</v>
      </c>
      <c r="AE66" s="44">
        <f ca="1">SUM(AA$36:AA66)/3</f>
        <v>281.466666666667</v>
      </c>
      <c r="AF66" s="44">
        <f ca="1">SUM(AB$36:AB66)/3</f>
        <v>248.48</v>
      </c>
      <c r="AG66" s="44">
        <f ca="1">SUM(AC$36:AC66)/3</f>
        <v>10.72</v>
      </c>
      <c r="AH66" s="44">
        <f ca="1">SUM(AD$36:AD66)/3</f>
        <v>0</v>
      </c>
      <c r="AI66" s="44">
        <f>_xlfn.XLOOKUP($D$5,载具产出!$D$71:$D$75,载具产出!$E$71:$E$75)*(D66-30+1)</f>
        <v>364.619047619049</v>
      </c>
      <c r="AJ66" s="44">
        <f>IFERROR(MATCH(_xlfn.XLOOKUP($D$5,载具产出!$D$71:$D$75,载具产出!$E$71:$E$75)*(D66-30+1)*10,载具产出!$E$60:$E$67,1),0)+1</f>
        <v>5</v>
      </c>
      <c r="AK66" s="44">
        <f ca="1">IF($AJ66=1,($AI66)*(10*OFFSET(载具产出!$D$45,MATCH(AK$6,$AK$6:$AN$6,0)-1,$AJ66)+OFFSET(载具产出!$D$49,MATCH(AK$6,$AK$6:$AN$6,0)-1,$AJ66)*OFFSET(载具产出!$N$49,MATCH(AK$6,$AK$6:$AN$6,0)-1,0)),OFFSET(载具产出!F$59,$AJ66-1,0)*10+OFFSET(载具产出!J$59,$AJ66-1,0)+($AI66*10-_xlfn.XLOOKUP($AJ66-1,载具产出!$D$59:$D$67,载具产出!$E$59:$E$67))/10*(10*OFFSET(载具产出!$D$45,MATCH(AK$6,$AK$6:$AN$6,0)-1,$AJ66)+OFFSET(载具产出!$D$49,MATCH(AK$6,$AK$6:$AN$6,0)-1,$AJ66)*OFFSET(载具产出!$N$49,MATCH(AK$6,$AK$6:$AN$6,0)-1,0)))</f>
        <v>876.379714285717</v>
      </c>
      <c r="AL66" s="44">
        <f ca="1">IF($AJ66=1,($AI66)*(10*OFFSET(载具产出!$D$45,MATCH(AL$6,$AK$6:$AN$6,0)-1,$AJ66)+OFFSET(载具产出!$D$49,MATCH(AL$6,$AK$6:$AN$6,0)-1,$AJ66)*OFFSET(载具产出!$N$49,MATCH(AL$6,$AK$6:$AN$6,0)-1,0)),OFFSET(载具产出!G$59,$AJ66-1,0)*10+OFFSET(载具产出!K$59,$AJ66-1,0)+($AI66*10-_xlfn.XLOOKUP($AJ66-1,载具产出!$D$59:$D$67,载具产出!$E$59:$E$67))/10*(10*OFFSET(载具产出!$D$45,MATCH(AL$6,$AK$6:$AN$6,0)-1,$AJ66)+OFFSET(载具产出!$D$49,MATCH(AL$6,$AK$6:$AN$6,0)-1,$AJ66)*OFFSET(载具产出!$N$49,MATCH(AL$6,$AK$6:$AN$6,0)-1,0)))</f>
        <v>296.472380952382</v>
      </c>
      <c r="AM66" s="44">
        <f ca="1">IF($AJ66=1,($AI66)*(10*OFFSET(载具产出!$D$45,MATCH(AM$6,$AK$6:$AN$6,0)-1,$AJ66)+OFFSET(载具产出!$D$49,MATCH(AM$6,$AK$6:$AN$6,0)-1,$AJ66)*OFFSET(载具产出!$N$49,MATCH(AM$6,$AK$6:$AN$6,0)-1,0)),OFFSET(载具产出!H$59,$AJ66-1,0)*10+OFFSET(载具产出!L$59,$AJ66-1,0)+($AI66*10-_xlfn.XLOOKUP($AJ66-1,载具产出!$D$59:$D$67,载具产出!$E$59:$E$67))/10*(10*OFFSET(载具产出!$D$45,MATCH(AM$6,$AK$6:$AN$6,0)-1,$AJ66)+OFFSET(载具产出!$D$49,MATCH(AM$6,$AK$6:$AN$6,0)-1,$AJ66)*OFFSET(载具产出!$N$49,MATCH(AM$6,$AK$6:$AN$6,0)-1,0)))</f>
        <v>144.703238095239</v>
      </c>
      <c r="AN66" s="44">
        <f ca="1">IF($AJ66=1,($AI66)*(10*OFFSET(载具产出!$D$45,MATCH(AN$6,$AK$6:$AN$6,0)-1,$AJ66)+OFFSET(载具产出!$D$49,MATCH(AN$6,$AK$6:$AN$6,0)-1,$AJ66)*OFFSET(载具产出!$N$49,MATCH(AN$6,$AK$6:$AN$6,0)-1,0)),OFFSET(载具产出!I$59,$AJ66-1,0)*10+OFFSET(载具产出!M$59,$AJ66-1,0)+($AI66*10-_xlfn.XLOOKUP($AJ66-1,载具产出!$D$59:$D$67,载具产出!$E$59:$E$67))/10*(10*OFFSET(载具产出!$D$45,MATCH(AN$6,$AK$6:$AN$6,0)-1,$AJ66)+OFFSET(载具产出!$D$49,MATCH(AN$6,$AK$6:$AN$6,0)-1,$AJ66)*OFFSET(载具产出!$N$49,MATCH(AN$6,$AK$6:$AN$6,0)-1,0)))</f>
        <v>34.6390000000002</v>
      </c>
      <c r="AO66" s="44">
        <f ca="1" t="shared" si="3"/>
        <v>1157.84638095238</v>
      </c>
      <c r="AP66" s="44">
        <f ca="1" t="shared" si="4"/>
        <v>544.952380952382</v>
      </c>
      <c r="AQ66" s="44">
        <f ca="1" t="shared" si="5"/>
        <v>155.423238095239</v>
      </c>
      <c r="AR66" s="44">
        <f ca="1" t="shared" si="6"/>
        <v>34.6390000000002</v>
      </c>
      <c r="AS66" s="45">
        <f ca="1">IFERROR(MATCH(AO66/载具产出!R$58,载具属性!$G$33:$G$92,1),0)</f>
        <v>18</v>
      </c>
      <c r="AT66" s="45">
        <f ca="1">IFERROR(MATCH(AP66/载具产出!S$58,载具属性!$G$33:$G$92,1),0)</f>
        <v>12</v>
      </c>
      <c r="AU66" s="45">
        <f ca="1">IFERROR(MATCH(AQ66/载具产出!T$58,载具属性!$G$33:$G$92,1),0)</f>
        <v>4</v>
      </c>
      <c r="AV66" s="45">
        <f ca="1">IFERROR(MATCH(AR66/载具产出!U$58,载具属性!$G$33:$G$92,1),0)</f>
        <v>0</v>
      </c>
      <c r="AW66" s="46" t="str">
        <f ca="1" t="shared" si="7"/>
        <v>[{62,210},{63,19445},{2,45800},{6030001,735},{6030002,687},{6030003,30}]</v>
      </c>
      <c r="AX66" t="str">
        <f ca="1" t="shared" si="8"/>
        <v>{62,210}</v>
      </c>
      <c r="AY66" t="str">
        <f ca="1" t="shared" si="9"/>
        <v>{63,19445}</v>
      </c>
      <c r="AZ66" t="str">
        <f ca="1" t="shared" si="10"/>
        <v>{2,45800}</v>
      </c>
      <c r="BA66" t="str">
        <f ca="1" t="shared" si="11"/>
        <v>{6030001,735}</v>
      </c>
      <c r="BB66" t="str">
        <f ca="1" t="shared" si="12"/>
        <v>{6030002,687}</v>
      </c>
      <c r="BC66" t="str">
        <f ca="1" t="shared" si="13"/>
        <v>{6030003,30}</v>
      </c>
      <c r="BD66" t="str">
        <f ca="1" t="shared" si="14"/>
        <v/>
      </c>
    </row>
    <row r="67" spans="3:56">
      <c r="C67">
        <f ca="1" t="shared" si="1"/>
        <v>100.598290598291</v>
      </c>
      <c r="D67" s="40">
        <v>61</v>
      </c>
      <c r="E67" s="40">
        <v>87</v>
      </c>
      <c r="F67" s="40">
        <v>102</v>
      </c>
      <c r="G67" s="41">
        <v>117</v>
      </c>
      <c r="H67" s="40">
        <v>146</v>
      </c>
      <c r="I67" s="40">
        <v>176</v>
      </c>
      <c r="J67" s="40">
        <f t="shared" ref="J67:J89" si="17">MIN(INT(H67*(120-(D67-60))/120+(D67-60)/120*I67),I67)</f>
        <v>146</v>
      </c>
      <c r="K67" s="40">
        <f ca="1">SUM(U$36:U67)-SUM(OFFSET(载具产出!H$399,0,0,$R67+1,1))</f>
        <v>217</v>
      </c>
      <c r="L67" s="40">
        <f ca="1">SUM(T$36:T67)-SUM(OFFSET(载具产出!G$399,0,0,$R67+1,1))</f>
        <v>20300</v>
      </c>
      <c r="M67" s="40">
        <f ca="1">SUM(V$36:V67)/2-SUM(OFFSET(载具产出!I$399,0,0,$R67+1,1))</f>
        <v>48500</v>
      </c>
      <c r="N67" s="40">
        <f ca="1">SUM(AA$36:AA67)-SUM(OFFSET(载具产出!J$399,0,0,$R67+1,1))</f>
        <v>763.6</v>
      </c>
      <c r="O67" s="40">
        <f ca="1">SUM(AB$36:AB67)-SUM(OFFSET(载具产出!K$399,0,0,$R67+1,1))</f>
        <v>713.76</v>
      </c>
      <c r="P67" s="40">
        <f ca="1">SUM(AC$36:AC67)-SUM(OFFSET(载具产出!L$399,0,0,$R67+1,1))</f>
        <v>32.64</v>
      </c>
      <c r="Q67" s="40">
        <f ca="1">SUM(AD$36:AD67)-SUM(OFFSET(载具产出!M$399,0,0,$R67+1,1))</f>
        <v>0</v>
      </c>
      <c r="R67" s="40">
        <v>7</v>
      </c>
      <c r="S67" s="40" t="str">
        <f ca="1">OFFSET(载具产出!$D$111,IFERROR(MATCH(OFFSET($D67,0,MATCH($D$5,$E$6:$H$6,0)),载具产出!$E$112:$E$151,1),0),0)</f>
        <v>豪华Ⅲ</v>
      </c>
      <c r="T67" s="40">
        <f ca="1">OFFSET(载具产出!$F$399,IFERROR(MATCH(OFFSET($D67,0,MATCH($D$5,$E$6:$H$6,0)),载具产出!$E$400:$E$439,1),0),MATCH(T$6,载具产出!$G$399:$O$399,0))</f>
        <v>855</v>
      </c>
      <c r="U67" s="40">
        <v>7</v>
      </c>
      <c r="V67" s="40">
        <f ca="1">OFFSET(载具产出!$F$399,IFERROR(MATCH(OFFSET($D67,0,MATCH($D$5,$E$6:$H$6,0)),载具产出!$E$400:$E$439,1),0),MATCH(V$6,载具产出!$G$399:$O$399,0))</f>
        <v>5400</v>
      </c>
      <c r="W67" s="43">
        <f ca="1">_xlfn.XLOOKUP(Z67,载具属性!$E$98:$E$497,载具属性!$G$98:$G$497)+6000+OFFSET(载具属性!L$33,AS67,0)*载具属性!M$30+OFFSET(载具属性!M$33,AT67,0)*载具属性!N$30+OFFSET(载具属性!N$33,AU67,0)*载具属性!O$30+OFFSET(载具属性!O$33,AV67,0)*载具属性!P$30</f>
        <v>11770</v>
      </c>
      <c r="X67" s="43">
        <f ca="1">_xlfn.XLOOKUP(Z67,载具属性!$E$98:$E$497,载具属性!$G$98:$G$497)</f>
        <v>3130</v>
      </c>
      <c r="Y67" s="43">
        <f ca="1">OFFSET(载具属性!L$33,AS67,0)*载具属性!M$30+OFFSET(载具属性!M$33,AT67,0)*载具属性!N$30+OFFSET(载具属性!N$33,AU67,0)*载具属性!O$30+OFFSET(载具属性!O$33,AV67,0)*载具属性!P$30</f>
        <v>2640</v>
      </c>
      <c r="Z67" s="40">
        <f ca="1">MATCH(SUM($T$7:T67),载具属性!$I$98:$I$497,1)</f>
        <v>58</v>
      </c>
      <c r="AA67" s="40">
        <f ca="1">OFFSET(载具产出!$F$399,IFERROR(MATCH(OFFSET($D67,0,MATCH($D$5,$E$6:$H$6,0)),载具产出!$E$112:$E$151,1),0),MATCH(AA$6,载具产出!$G$111:$O$111,0))*2</f>
        <v>28</v>
      </c>
      <c r="AB67" s="40">
        <f ca="1">OFFSET(载具产出!$F$399,IFERROR(MATCH(OFFSET($D67,0,MATCH($D$5,$E$6:$H$6,0)),载具产出!$E$112:$E$151,1),0),MATCH(AB$6,载具产出!$G$111:$O$111,0))*2</f>
        <v>26.08</v>
      </c>
      <c r="AC67" s="40">
        <f ca="1">OFFSET(载具产出!$F$399,IFERROR(MATCH(OFFSET($D67,0,MATCH($D$5,$E$6:$H$6,0)),载具产出!$E$112:$E$151,1),0),MATCH(AC$6,载具产出!$G$111:$O$111,0))*2</f>
        <v>1.92</v>
      </c>
      <c r="AD67" s="40">
        <f ca="1">OFFSET(载具产出!$F$399,IFERROR(MATCH(OFFSET($D67,0,MATCH($D$5,$E$6:$H$6,0)),载具产出!$E$112:$E$151,1),0),MATCH(AD$6,载具产出!$G$111:$O$111,0))*2</f>
        <v>0</v>
      </c>
      <c r="AE67" s="44">
        <f ca="1">SUM(AA$36:AA67)/3</f>
        <v>290.8</v>
      </c>
      <c r="AF67" s="44">
        <f ca="1">SUM(AB$36:AB67)/3</f>
        <v>257.173333333333</v>
      </c>
      <c r="AG67" s="44">
        <f ca="1">SUM(AC$36:AC67)/3</f>
        <v>11.36</v>
      </c>
      <c r="AH67" s="44">
        <f ca="1">SUM(AD$36:AD67)/3</f>
        <v>0</v>
      </c>
      <c r="AI67" s="44">
        <f>_xlfn.XLOOKUP($D$5,载具产出!$D$71:$D$75,载具产出!$E$71:$E$75)*(D67-30+1)</f>
        <v>376.380952380954</v>
      </c>
      <c r="AJ67" s="44">
        <f>IFERROR(MATCH(_xlfn.XLOOKUP($D$5,载具产出!$D$71:$D$75,载具产出!$E$71:$E$75)*(D67-30+1)*10,载具产出!$E$60:$E$67,1),0)+1</f>
        <v>5</v>
      </c>
      <c r="AK67" s="44">
        <f ca="1">IF($AJ67=1,($AI67)*(10*OFFSET(载具产出!$D$45,MATCH(AK$6,$AK$6:$AN$6,0)-1,$AJ67)+OFFSET(载具产出!$D$49,MATCH(AK$6,$AK$6:$AN$6,0)-1,$AJ67)*OFFSET(载具产出!$N$49,MATCH(AK$6,$AK$6:$AN$6,0)-1,0)),OFFSET(载具产出!F$59,$AJ67-1,0)*10+OFFSET(载具产出!J$59,$AJ67-1,0)+($AI67*10-_xlfn.XLOOKUP($AJ67-1,载具产出!$D$59:$D$67,载具产出!$E$59:$E$67))/10*(10*OFFSET(载具产出!$D$45,MATCH(AK$6,$AK$6:$AN$6,0)-1,$AJ67)+OFFSET(载具产出!$D$49,MATCH(AK$6,$AK$6:$AN$6,0)-1,$AJ67)*OFFSET(载具产出!$N$49,MATCH(AK$6,$AK$6:$AN$6,0)-1,0)))</f>
        <v>902.632285714289</v>
      </c>
      <c r="AL67" s="44">
        <f ca="1">IF($AJ67=1,($AI67)*(10*OFFSET(载具产出!$D$45,MATCH(AL$6,$AK$6:$AN$6,0)-1,$AJ67)+OFFSET(载具产出!$D$49,MATCH(AL$6,$AK$6:$AN$6,0)-1,$AJ67)*OFFSET(载具产出!$N$49,MATCH(AL$6,$AK$6:$AN$6,0)-1,0)),OFFSET(载具产出!G$59,$AJ67-1,0)*10+OFFSET(载具产出!K$59,$AJ67-1,0)+($AI67*10-_xlfn.XLOOKUP($AJ67-1,载具产出!$D$59:$D$67,载具产出!$E$59:$E$67))/10*(10*OFFSET(载具产出!$D$45,MATCH(AL$6,$AK$6:$AN$6,0)-1,$AJ67)+OFFSET(载具产出!$D$49,MATCH(AL$6,$AK$6:$AN$6,0)-1,$AJ67)*OFFSET(载具产出!$N$49,MATCH(AL$6,$AK$6:$AN$6,0)-1,0)))</f>
        <v>306.58761904762</v>
      </c>
      <c r="AM67" s="44">
        <f ca="1">IF($AJ67=1,($AI67)*(10*OFFSET(载具产出!$D$45,MATCH(AM$6,$AK$6:$AN$6,0)-1,$AJ67)+OFFSET(载具产出!$D$49,MATCH(AM$6,$AK$6:$AN$6,0)-1,$AJ67)*OFFSET(载具产出!$N$49,MATCH(AM$6,$AK$6:$AN$6,0)-1,0)),OFFSET(载具产出!H$59,$AJ67-1,0)*10+OFFSET(载具产出!L$59,$AJ67-1,0)+($AI67*10-_xlfn.XLOOKUP($AJ67-1,载具产出!$D$59:$D$67,载具产出!$E$59:$E$67))/10*(10*OFFSET(载具产出!$D$45,MATCH(AM$6,$AK$6:$AN$6,0)-1,$AJ67)+OFFSET(载具产出!$D$49,MATCH(AM$6,$AK$6:$AN$6,0)-1,$AJ67)*OFFSET(载具产出!$N$49,MATCH(AM$6,$AK$6:$AN$6,0)-1,0)))</f>
        <v>150.160761904763</v>
      </c>
      <c r="AN67" s="44">
        <f ca="1">IF($AJ67=1,($AI67)*(10*OFFSET(载具产出!$D$45,MATCH(AN$6,$AK$6:$AN$6,0)-1,$AJ67)+OFFSET(载具产出!$D$49,MATCH(AN$6,$AK$6:$AN$6,0)-1,$AJ67)*OFFSET(载具产出!$N$49,MATCH(AN$6,$AK$6:$AN$6,0)-1,0)),OFFSET(载具产出!I$59,$AJ67-1,0)*10+OFFSET(载具产出!M$59,$AJ67-1,0)+($AI67*10-_xlfn.XLOOKUP($AJ67-1,载具产出!$D$59:$D$67,载具产出!$E$59:$E$67))/10*(10*OFFSET(载具产出!$D$45,MATCH(AN$6,$AK$6:$AN$6,0)-1,$AJ67)+OFFSET(载具产出!$D$49,MATCH(AN$6,$AK$6:$AN$6,0)-1,$AJ67)*OFFSET(载具产出!$N$49,MATCH(AN$6,$AK$6:$AN$6,0)-1,0)))</f>
        <v>36.3680000000002</v>
      </c>
      <c r="AO67" s="44">
        <f ca="1" t="shared" si="3"/>
        <v>1193.43228571429</v>
      </c>
      <c r="AP67" s="44">
        <f ca="1" t="shared" si="4"/>
        <v>563.760952380954</v>
      </c>
      <c r="AQ67" s="44">
        <f ca="1" t="shared" si="5"/>
        <v>161.520761904763</v>
      </c>
      <c r="AR67" s="44">
        <f ca="1" t="shared" si="6"/>
        <v>36.3680000000002</v>
      </c>
      <c r="AS67" s="45">
        <f ca="1">IFERROR(MATCH(AO67/载具产出!R$58,载具属性!$G$33:$G$92,1),0)</f>
        <v>18</v>
      </c>
      <c r="AT67" s="45">
        <f ca="1">IFERROR(MATCH(AP67/载具产出!S$58,载具属性!$G$33:$G$92,1),0)</f>
        <v>12</v>
      </c>
      <c r="AU67" s="45">
        <f ca="1">IFERROR(MATCH(AQ67/载具产出!T$58,载具属性!$G$33:$G$92,1),0)</f>
        <v>4</v>
      </c>
      <c r="AV67" s="45">
        <f ca="1">IFERROR(MATCH(AR67/载具产出!U$58,载具属性!$G$33:$G$92,1),0)</f>
        <v>0</v>
      </c>
      <c r="AW67" s="46" t="str">
        <f ca="1" t="shared" si="7"/>
        <v>[{62,217},{63,20300},{2,48500},{6030001,763},{6030002,713},{6030003,32}]</v>
      </c>
      <c r="AX67" t="str">
        <f ca="1" t="shared" si="8"/>
        <v>{62,217}</v>
      </c>
      <c r="AY67" t="str">
        <f ca="1" t="shared" si="9"/>
        <v>{63,20300}</v>
      </c>
      <c r="AZ67" t="str">
        <f ca="1" t="shared" si="10"/>
        <v>{2,48500}</v>
      </c>
      <c r="BA67" t="str">
        <f ca="1" t="shared" si="11"/>
        <v>{6030001,763}</v>
      </c>
      <c r="BB67" t="str">
        <f ca="1" t="shared" si="12"/>
        <v>{6030002,713}</v>
      </c>
      <c r="BC67" t="str">
        <f ca="1" t="shared" si="13"/>
        <v>{6030003,32}</v>
      </c>
      <c r="BD67" t="str">
        <f ca="1" t="shared" si="14"/>
        <v/>
      </c>
    </row>
    <row r="68" spans="3:56">
      <c r="C68">
        <f ca="1" t="shared" si="1"/>
        <v>101.271186440678</v>
      </c>
      <c r="D68" s="40">
        <v>62</v>
      </c>
      <c r="E68" s="40">
        <v>87</v>
      </c>
      <c r="F68" s="40">
        <v>103</v>
      </c>
      <c r="G68" s="41">
        <v>118</v>
      </c>
      <c r="H68" s="40">
        <v>147</v>
      </c>
      <c r="I68" s="40">
        <v>176</v>
      </c>
      <c r="J68" s="40">
        <f t="shared" si="17"/>
        <v>147</v>
      </c>
      <c r="K68" s="40">
        <f ca="1">SUM(U$36:U68)-SUM(OFFSET(载具产出!H$399,0,0,$R68+1,1))</f>
        <v>224</v>
      </c>
      <c r="L68" s="40">
        <f ca="1">SUM(T$36:T68)-SUM(OFFSET(载具产出!G$399,0,0,$R68+1,1))</f>
        <v>21155</v>
      </c>
      <c r="M68" s="40">
        <f ca="1">SUM(V$36:V68)/2-SUM(OFFSET(载具产出!I$399,0,0,$R68+1,1))</f>
        <v>51200</v>
      </c>
      <c r="N68" s="40">
        <f ca="1">SUM(AA$36:AA68)-SUM(OFFSET(载具产出!J$399,0,0,$R68+1,1))</f>
        <v>791.6</v>
      </c>
      <c r="O68" s="40">
        <f ca="1">SUM(AB$36:AB68)-SUM(OFFSET(载具产出!K$399,0,0,$R68+1,1))</f>
        <v>739.84</v>
      </c>
      <c r="P68" s="40">
        <f ca="1">SUM(AC$36:AC68)-SUM(OFFSET(载具产出!L$399,0,0,$R68+1,1))</f>
        <v>34.56</v>
      </c>
      <c r="Q68" s="40">
        <f ca="1">SUM(AD$36:AD68)-SUM(OFFSET(载具产出!M$399,0,0,$R68+1,1))</f>
        <v>0</v>
      </c>
      <c r="R68" s="40">
        <v>7</v>
      </c>
      <c r="S68" s="40" t="str">
        <f ca="1">OFFSET(载具产出!$D$111,IFERROR(MATCH(OFFSET($D68,0,MATCH($D$5,$E$6:$H$6,0)),载具产出!$E$112:$E$151,1),0),0)</f>
        <v>豪华Ⅲ</v>
      </c>
      <c r="T68" s="40">
        <f ca="1">OFFSET(载具产出!$F$399,IFERROR(MATCH(OFFSET($D68,0,MATCH($D$5,$E$6:$H$6,0)),载具产出!$E$400:$E$439,1),0),MATCH(T$6,载具产出!$G$399:$O$399,0))</f>
        <v>855</v>
      </c>
      <c r="U68" s="40">
        <v>7</v>
      </c>
      <c r="V68" s="40">
        <f ca="1">OFFSET(载具产出!$F$399,IFERROR(MATCH(OFFSET($D68,0,MATCH($D$5,$E$6:$H$6,0)),载具产出!$E$400:$E$439,1),0),MATCH(V$6,载具产出!$G$399:$O$399,0))</f>
        <v>5400</v>
      </c>
      <c r="W68" s="43">
        <f ca="1">_xlfn.XLOOKUP(Z68,载具属性!$E$98:$E$497,载具属性!$G$98:$G$497)+6000+OFFSET(载具属性!L$33,AS68,0)*载具属性!M$30+OFFSET(载具属性!M$33,AT68,0)*载具属性!N$30+OFFSET(载具属性!N$33,AU68,0)*载具属性!O$30+OFFSET(载具属性!O$33,AV68,0)*载具属性!P$30</f>
        <v>11950</v>
      </c>
      <c r="X68" s="43">
        <f ca="1">_xlfn.XLOOKUP(Z68,载具属性!$E$98:$E$497,载具属性!$G$98:$G$497)</f>
        <v>3250</v>
      </c>
      <c r="Y68" s="43">
        <f ca="1">OFFSET(载具属性!L$33,AS68,0)*载具属性!M$30+OFFSET(载具属性!M$33,AT68,0)*载具属性!N$30+OFFSET(载具属性!N$33,AU68,0)*载具属性!O$30+OFFSET(载具属性!O$33,AV68,0)*载具属性!P$30</f>
        <v>2700</v>
      </c>
      <c r="Z68" s="40">
        <f ca="1">MATCH(SUM($T$7:T68),载具属性!$I$98:$I$497,1)</f>
        <v>60</v>
      </c>
      <c r="AA68" s="40">
        <f ca="1">OFFSET(载具产出!$F$399,IFERROR(MATCH(OFFSET($D68,0,MATCH($D$5,$E$6:$H$6,0)),载具产出!$E$112:$E$151,1),0),MATCH(AA$6,载具产出!$G$111:$O$111,0))*2</f>
        <v>28</v>
      </c>
      <c r="AB68" s="40">
        <f ca="1">OFFSET(载具产出!$F$399,IFERROR(MATCH(OFFSET($D68,0,MATCH($D$5,$E$6:$H$6,0)),载具产出!$E$112:$E$151,1),0),MATCH(AB$6,载具产出!$G$111:$O$111,0))*2</f>
        <v>26.08</v>
      </c>
      <c r="AC68" s="40">
        <f ca="1">OFFSET(载具产出!$F$399,IFERROR(MATCH(OFFSET($D68,0,MATCH($D$5,$E$6:$H$6,0)),载具产出!$E$112:$E$151,1),0),MATCH(AC$6,载具产出!$G$111:$O$111,0))*2</f>
        <v>1.92</v>
      </c>
      <c r="AD68" s="40">
        <f ca="1">OFFSET(载具产出!$F$399,IFERROR(MATCH(OFFSET($D68,0,MATCH($D$5,$E$6:$H$6,0)),载具产出!$E$112:$E$151,1),0),MATCH(AD$6,载具产出!$G$111:$O$111,0))*2</f>
        <v>0</v>
      </c>
      <c r="AE68" s="44">
        <f ca="1">SUM(AA$36:AA68)/3</f>
        <v>300.133333333333</v>
      </c>
      <c r="AF68" s="44">
        <f ca="1">SUM(AB$36:AB68)/3</f>
        <v>265.866666666667</v>
      </c>
      <c r="AG68" s="44">
        <f ca="1">SUM(AC$36:AC68)/3</f>
        <v>12</v>
      </c>
      <c r="AH68" s="44">
        <f ca="1">SUM(AD$36:AD68)/3</f>
        <v>0</v>
      </c>
      <c r="AI68" s="44">
        <f>_xlfn.XLOOKUP($D$5,载具产出!$D$71:$D$75,载具产出!$E$71:$E$75)*(D68-30+1)</f>
        <v>388.142857142858</v>
      </c>
      <c r="AJ68" s="44">
        <f>IFERROR(MATCH(_xlfn.XLOOKUP($D$5,载具产出!$D$71:$D$75,载具产出!$E$71:$E$75)*(D68-30+1)*10,载具产出!$E$60:$E$67,1),0)+1</f>
        <v>5</v>
      </c>
      <c r="AK68" s="44">
        <f ca="1">IF($AJ68=1,($AI68)*(10*OFFSET(载具产出!$D$45,MATCH(AK$6,$AK$6:$AN$6,0)-1,$AJ68)+OFFSET(载具产出!$D$49,MATCH(AK$6,$AK$6:$AN$6,0)-1,$AJ68)*OFFSET(载具产出!$N$49,MATCH(AK$6,$AK$6:$AN$6,0)-1,0)),OFFSET(载具产出!F$59,$AJ68-1,0)*10+OFFSET(载具产出!J$59,$AJ68-1,0)+($AI68*10-_xlfn.XLOOKUP($AJ68-1,载具产出!$D$59:$D$67,载具产出!$E$59:$E$67))/10*(10*OFFSET(载具产出!$D$45,MATCH(AK$6,$AK$6:$AN$6,0)-1,$AJ68)+OFFSET(载具产出!$D$49,MATCH(AK$6,$AK$6:$AN$6,0)-1,$AJ68)*OFFSET(载具产出!$N$49,MATCH(AK$6,$AK$6:$AN$6,0)-1,0)))</f>
        <v>928.884857142859</v>
      </c>
      <c r="AL68" s="44">
        <f ca="1">IF($AJ68=1,($AI68)*(10*OFFSET(载具产出!$D$45,MATCH(AL$6,$AK$6:$AN$6,0)-1,$AJ68)+OFFSET(载具产出!$D$49,MATCH(AL$6,$AK$6:$AN$6,0)-1,$AJ68)*OFFSET(载具产出!$N$49,MATCH(AL$6,$AK$6:$AN$6,0)-1,0)),OFFSET(载具产出!G$59,$AJ68-1,0)*10+OFFSET(载具产出!K$59,$AJ68-1,0)+($AI68*10-_xlfn.XLOOKUP($AJ68-1,载具产出!$D$59:$D$67,载具产出!$E$59:$E$67))/10*(10*OFFSET(载具产出!$D$45,MATCH(AL$6,$AK$6:$AN$6,0)-1,$AJ68)+OFFSET(载具产出!$D$49,MATCH(AL$6,$AK$6:$AN$6,0)-1,$AJ68)*OFFSET(载具产出!$N$49,MATCH(AL$6,$AK$6:$AN$6,0)-1,0)))</f>
        <v>316.702857142858</v>
      </c>
      <c r="AM68" s="44">
        <f ca="1">IF($AJ68=1,($AI68)*(10*OFFSET(载具产出!$D$45,MATCH(AM$6,$AK$6:$AN$6,0)-1,$AJ68)+OFFSET(载具产出!$D$49,MATCH(AM$6,$AK$6:$AN$6,0)-1,$AJ68)*OFFSET(载具产出!$N$49,MATCH(AM$6,$AK$6:$AN$6,0)-1,0)),OFFSET(载具产出!H$59,$AJ68-1,0)*10+OFFSET(载具产出!L$59,$AJ68-1,0)+($AI68*10-_xlfn.XLOOKUP($AJ68-1,载具产出!$D$59:$D$67,载具产出!$E$59:$E$67))/10*(10*OFFSET(载具产出!$D$45,MATCH(AM$6,$AK$6:$AN$6,0)-1,$AJ68)+OFFSET(载具产出!$D$49,MATCH(AM$6,$AK$6:$AN$6,0)-1,$AJ68)*OFFSET(载具产出!$N$49,MATCH(AM$6,$AK$6:$AN$6,0)-1,0)))</f>
        <v>155.618285714286</v>
      </c>
      <c r="AN68" s="44">
        <f ca="1">IF($AJ68=1,($AI68)*(10*OFFSET(载具产出!$D$45,MATCH(AN$6,$AK$6:$AN$6,0)-1,$AJ68)+OFFSET(载具产出!$D$49,MATCH(AN$6,$AK$6:$AN$6,0)-1,$AJ68)*OFFSET(载具产出!$N$49,MATCH(AN$6,$AK$6:$AN$6,0)-1,0)),OFFSET(载具产出!I$59,$AJ68-1,0)*10+OFFSET(载具产出!M$59,$AJ68-1,0)+($AI68*10-_xlfn.XLOOKUP($AJ68-1,载具产出!$D$59:$D$67,载具产出!$E$59:$E$67))/10*(10*OFFSET(载具产出!$D$45,MATCH(AN$6,$AK$6:$AN$6,0)-1,$AJ68)+OFFSET(载具产出!$D$49,MATCH(AN$6,$AK$6:$AN$6,0)-1,$AJ68)*OFFSET(载具产出!$N$49,MATCH(AN$6,$AK$6:$AN$6,0)-1,0)))</f>
        <v>38.0970000000001</v>
      </c>
      <c r="AO68" s="44">
        <f ca="1" t="shared" si="3"/>
        <v>1229.01819047619</v>
      </c>
      <c r="AP68" s="44">
        <f ca="1" t="shared" si="4"/>
        <v>582.569523809525</v>
      </c>
      <c r="AQ68" s="44">
        <f ca="1" t="shared" si="5"/>
        <v>167.618285714286</v>
      </c>
      <c r="AR68" s="44">
        <f ca="1" t="shared" si="6"/>
        <v>38.0970000000001</v>
      </c>
      <c r="AS68" s="45">
        <f ca="1">IFERROR(MATCH(AO68/载具产出!R$58,载具属性!$G$33:$G$92,1),0)</f>
        <v>19</v>
      </c>
      <c r="AT68" s="45">
        <f ca="1">IFERROR(MATCH(AP68/载具产出!S$58,载具属性!$G$33:$G$92,1),0)</f>
        <v>12</v>
      </c>
      <c r="AU68" s="45">
        <f ca="1">IFERROR(MATCH(AQ68/载具产出!T$58,载具属性!$G$33:$G$92,1),0)</f>
        <v>4</v>
      </c>
      <c r="AV68" s="45">
        <f ca="1">IFERROR(MATCH(AR68/载具产出!U$58,载具属性!$G$33:$G$92,1),0)</f>
        <v>0</v>
      </c>
      <c r="AW68" s="46" t="str">
        <f ca="1" t="shared" si="7"/>
        <v>[{62,224},{63,21155},{2,51200},{6030001,791},{6030002,739},{6030003,34}]</v>
      </c>
      <c r="AX68" t="str">
        <f ca="1" t="shared" si="8"/>
        <v>{62,224}</v>
      </c>
      <c r="AY68" t="str">
        <f ca="1" t="shared" si="9"/>
        <v>{63,21155}</v>
      </c>
      <c r="AZ68" t="str">
        <f ca="1" t="shared" si="10"/>
        <v>{2,51200}</v>
      </c>
      <c r="BA68" t="str">
        <f ca="1" t="shared" si="11"/>
        <v>{6030001,791}</v>
      </c>
      <c r="BB68" t="str">
        <f ca="1" t="shared" si="12"/>
        <v>{6030002,739}</v>
      </c>
      <c r="BC68" t="str">
        <f ca="1" t="shared" si="13"/>
        <v>{6030003,34}</v>
      </c>
      <c r="BD68" t="str">
        <f ca="1" t="shared" si="14"/>
        <v/>
      </c>
    </row>
    <row r="69" spans="3:56">
      <c r="C69">
        <f ca="1" t="shared" si="1"/>
        <v>100.966386554622</v>
      </c>
      <c r="D69" s="40">
        <v>63</v>
      </c>
      <c r="E69" s="40">
        <v>88</v>
      </c>
      <c r="F69" s="40">
        <v>103</v>
      </c>
      <c r="G69" s="41">
        <v>119</v>
      </c>
      <c r="H69" s="40">
        <v>148</v>
      </c>
      <c r="I69" s="40">
        <v>177</v>
      </c>
      <c r="J69" s="40">
        <f t="shared" si="17"/>
        <v>148</v>
      </c>
      <c r="K69" s="40">
        <f ca="1">SUM(U$36:U69)-SUM(OFFSET(载具产出!H$399,0,0,$R69+1,1))</f>
        <v>231</v>
      </c>
      <c r="L69" s="40">
        <f ca="1">SUM(T$36:T69)-SUM(OFFSET(载具产出!G$399,0,0,$R69+1,1))</f>
        <v>22010</v>
      </c>
      <c r="M69" s="40">
        <f ca="1">SUM(V$36:V69)/2-SUM(OFFSET(载具产出!I$399,0,0,$R69+1,1))</f>
        <v>53900</v>
      </c>
      <c r="N69" s="40">
        <f ca="1">SUM(AA$36:AA69)-SUM(OFFSET(载具产出!J$399,0,0,$R69+1,1))</f>
        <v>819.6</v>
      </c>
      <c r="O69" s="40">
        <f ca="1">SUM(AB$36:AB69)-SUM(OFFSET(载具产出!K$399,0,0,$R69+1,1))</f>
        <v>765.92</v>
      </c>
      <c r="P69" s="40">
        <f ca="1">SUM(AC$36:AC69)-SUM(OFFSET(载具产出!L$399,0,0,$R69+1,1))</f>
        <v>36.48</v>
      </c>
      <c r="Q69" s="40">
        <f ca="1">SUM(AD$36:AD69)-SUM(OFFSET(载具产出!M$399,0,0,$R69+1,1))</f>
        <v>0</v>
      </c>
      <c r="R69" s="40">
        <v>7</v>
      </c>
      <c r="S69" s="40" t="str">
        <f ca="1">OFFSET(载具产出!$D$111,IFERROR(MATCH(OFFSET($D69,0,MATCH($D$5,$E$6:$H$6,0)),载具产出!$E$112:$E$151,1),0),0)</f>
        <v>豪华Ⅲ</v>
      </c>
      <c r="T69" s="40">
        <f ca="1">OFFSET(载具产出!$F$399,IFERROR(MATCH(OFFSET($D69,0,MATCH($D$5,$E$6:$H$6,0)),载具产出!$E$400:$E$439,1),0),MATCH(T$6,载具产出!$G$399:$O$399,0))</f>
        <v>855</v>
      </c>
      <c r="U69" s="40">
        <v>7</v>
      </c>
      <c r="V69" s="40">
        <f ca="1">OFFSET(载具产出!$F$399,IFERROR(MATCH(OFFSET($D69,0,MATCH($D$5,$E$6:$H$6,0)),载具产出!$E$400:$E$439,1),0),MATCH(V$6,载具产出!$G$399:$O$399,0))</f>
        <v>5400</v>
      </c>
      <c r="W69" s="43">
        <f ca="1">_xlfn.XLOOKUP(Z69,载具属性!$E$98:$E$497,载具属性!$G$98:$G$497)+6000+OFFSET(载具属性!L$33,AS69,0)*载具属性!M$30+OFFSET(载具属性!M$33,AT69,0)*载具属性!N$30+OFFSET(载具属性!N$33,AU69,0)*载具属性!O$30+OFFSET(载具属性!O$33,AV69,0)*载具属性!P$30</f>
        <v>12015</v>
      </c>
      <c r="X69" s="43">
        <f ca="1">_xlfn.XLOOKUP(Z69,载具属性!$E$98:$E$497,载具属性!$G$98:$G$497)</f>
        <v>3315</v>
      </c>
      <c r="Y69" s="43">
        <f ca="1">OFFSET(载具属性!L$33,AS69,0)*载具属性!M$30+OFFSET(载具属性!M$33,AT69,0)*载具属性!N$30+OFFSET(载具属性!N$33,AU69,0)*载具属性!O$30+OFFSET(载具属性!O$33,AV69,0)*载具属性!P$30</f>
        <v>2700</v>
      </c>
      <c r="Z69" s="40">
        <f ca="1">MATCH(SUM($T$7:T69),载具属性!$I$98:$I$497,1)</f>
        <v>61</v>
      </c>
      <c r="AA69" s="40">
        <f ca="1">OFFSET(载具产出!$F$399,IFERROR(MATCH(OFFSET($D69,0,MATCH($D$5,$E$6:$H$6,0)),载具产出!$E$112:$E$151,1),0),MATCH(AA$6,载具产出!$G$111:$O$111,0))*2</f>
        <v>28</v>
      </c>
      <c r="AB69" s="40">
        <f ca="1">OFFSET(载具产出!$F$399,IFERROR(MATCH(OFFSET($D69,0,MATCH($D$5,$E$6:$H$6,0)),载具产出!$E$112:$E$151,1),0),MATCH(AB$6,载具产出!$G$111:$O$111,0))*2</f>
        <v>26.08</v>
      </c>
      <c r="AC69" s="40">
        <f ca="1">OFFSET(载具产出!$F$399,IFERROR(MATCH(OFFSET($D69,0,MATCH($D$5,$E$6:$H$6,0)),载具产出!$E$112:$E$151,1),0),MATCH(AC$6,载具产出!$G$111:$O$111,0))*2</f>
        <v>1.92</v>
      </c>
      <c r="AD69" s="40">
        <f ca="1">OFFSET(载具产出!$F$399,IFERROR(MATCH(OFFSET($D69,0,MATCH($D$5,$E$6:$H$6,0)),载具产出!$E$112:$E$151,1),0),MATCH(AD$6,载具产出!$G$111:$O$111,0))*2</f>
        <v>0</v>
      </c>
      <c r="AE69" s="44">
        <f ca="1">SUM(AA$36:AA69)/3</f>
        <v>309.466666666667</v>
      </c>
      <c r="AF69" s="44">
        <f ca="1">SUM(AB$36:AB69)/3</f>
        <v>274.56</v>
      </c>
      <c r="AG69" s="44">
        <f ca="1">SUM(AC$36:AC69)/3</f>
        <v>12.64</v>
      </c>
      <c r="AH69" s="44">
        <f ca="1">SUM(AD$36:AD69)/3</f>
        <v>0</v>
      </c>
      <c r="AI69" s="44">
        <f>_xlfn.XLOOKUP($D$5,载具产出!$D$71:$D$75,载具产出!$E$71:$E$75)*(D69-30+1)</f>
        <v>399.904761904763</v>
      </c>
      <c r="AJ69" s="44">
        <f>IFERROR(MATCH(_xlfn.XLOOKUP($D$5,载具产出!$D$71:$D$75,载具产出!$E$71:$E$75)*(D69-30+1)*10,载具产出!$E$60:$E$67,1),0)+1</f>
        <v>5</v>
      </c>
      <c r="AK69" s="44">
        <f ca="1">IF($AJ69=1,($AI69)*(10*OFFSET(载具产出!$D$45,MATCH(AK$6,$AK$6:$AN$6,0)-1,$AJ69)+OFFSET(载具产出!$D$49,MATCH(AK$6,$AK$6:$AN$6,0)-1,$AJ69)*OFFSET(载具产出!$N$49,MATCH(AK$6,$AK$6:$AN$6,0)-1,0)),OFFSET(载具产出!F$59,$AJ69-1,0)*10+OFFSET(载具产出!J$59,$AJ69-1,0)+($AI69*10-_xlfn.XLOOKUP($AJ69-1,载具产出!$D$59:$D$67,载具产出!$E$59:$E$67))/10*(10*OFFSET(载具产出!$D$45,MATCH(AK$6,$AK$6:$AN$6,0)-1,$AJ69)+OFFSET(载具产出!$D$49,MATCH(AK$6,$AK$6:$AN$6,0)-1,$AJ69)*OFFSET(载具产出!$N$49,MATCH(AK$6,$AK$6:$AN$6,0)-1,0)))</f>
        <v>955.137428571431</v>
      </c>
      <c r="AL69" s="44">
        <f ca="1">IF($AJ69=1,($AI69)*(10*OFFSET(载具产出!$D$45,MATCH(AL$6,$AK$6:$AN$6,0)-1,$AJ69)+OFFSET(载具产出!$D$49,MATCH(AL$6,$AK$6:$AN$6,0)-1,$AJ69)*OFFSET(载具产出!$N$49,MATCH(AL$6,$AK$6:$AN$6,0)-1,0)),OFFSET(载具产出!G$59,$AJ69-1,0)*10+OFFSET(载具产出!K$59,$AJ69-1,0)+($AI69*10-_xlfn.XLOOKUP($AJ69-1,载具产出!$D$59:$D$67,载具产出!$E$59:$E$67))/10*(10*OFFSET(载具产出!$D$45,MATCH(AL$6,$AK$6:$AN$6,0)-1,$AJ69)+OFFSET(载具产出!$D$49,MATCH(AL$6,$AK$6:$AN$6,0)-1,$AJ69)*OFFSET(载具产出!$N$49,MATCH(AL$6,$AK$6:$AN$6,0)-1,0)))</f>
        <v>326.818095238096</v>
      </c>
      <c r="AM69" s="44">
        <f ca="1">IF($AJ69=1,($AI69)*(10*OFFSET(载具产出!$D$45,MATCH(AM$6,$AK$6:$AN$6,0)-1,$AJ69)+OFFSET(载具产出!$D$49,MATCH(AM$6,$AK$6:$AN$6,0)-1,$AJ69)*OFFSET(载具产出!$N$49,MATCH(AM$6,$AK$6:$AN$6,0)-1,0)),OFFSET(载具产出!H$59,$AJ69-1,0)*10+OFFSET(载具产出!L$59,$AJ69-1,0)+($AI69*10-_xlfn.XLOOKUP($AJ69-1,载具产出!$D$59:$D$67,载具产出!$E$59:$E$67))/10*(10*OFFSET(载具产出!$D$45,MATCH(AM$6,$AK$6:$AN$6,0)-1,$AJ69)+OFFSET(载具产出!$D$49,MATCH(AM$6,$AK$6:$AN$6,0)-1,$AJ69)*OFFSET(载具产出!$N$49,MATCH(AM$6,$AK$6:$AN$6,0)-1,0)))</f>
        <v>161.07580952381</v>
      </c>
      <c r="AN69" s="44">
        <f ca="1">IF($AJ69=1,($AI69)*(10*OFFSET(载具产出!$D$45,MATCH(AN$6,$AK$6:$AN$6,0)-1,$AJ69)+OFFSET(载具产出!$D$49,MATCH(AN$6,$AK$6:$AN$6,0)-1,$AJ69)*OFFSET(载具产出!$N$49,MATCH(AN$6,$AK$6:$AN$6,0)-1,0)),OFFSET(载具产出!I$59,$AJ69-1,0)*10+OFFSET(载具产出!M$59,$AJ69-1,0)+($AI69*10-_xlfn.XLOOKUP($AJ69-1,载具产出!$D$59:$D$67,载具产出!$E$59:$E$67))/10*(10*OFFSET(载具产出!$D$45,MATCH(AN$6,$AK$6:$AN$6,0)-1,$AJ69)+OFFSET(载具产出!$D$49,MATCH(AN$6,$AK$6:$AN$6,0)-1,$AJ69)*OFFSET(载具产出!$N$49,MATCH(AN$6,$AK$6:$AN$6,0)-1,0)))</f>
        <v>39.8260000000002</v>
      </c>
      <c r="AO69" s="44">
        <f ca="1" t="shared" si="3"/>
        <v>1264.6040952381</v>
      </c>
      <c r="AP69" s="44">
        <f ca="1" t="shared" si="4"/>
        <v>601.378095238096</v>
      </c>
      <c r="AQ69" s="44">
        <f ca="1" t="shared" si="5"/>
        <v>173.71580952381</v>
      </c>
      <c r="AR69" s="44">
        <f ca="1" t="shared" si="6"/>
        <v>39.8260000000002</v>
      </c>
      <c r="AS69" s="45">
        <f ca="1">IFERROR(MATCH(AO69/载具产出!R$58,载具属性!$G$33:$G$92,1),0)</f>
        <v>19</v>
      </c>
      <c r="AT69" s="45">
        <f ca="1">IFERROR(MATCH(AP69/载具产出!S$58,载具属性!$G$33:$G$92,1),0)</f>
        <v>12</v>
      </c>
      <c r="AU69" s="45">
        <f ca="1">IFERROR(MATCH(AQ69/载具产出!T$58,载具属性!$G$33:$G$92,1),0)</f>
        <v>4</v>
      </c>
      <c r="AV69" s="45">
        <f ca="1">IFERROR(MATCH(AR69/载具产出!U$58,载具属性!$G$33:$G$92,1),0)</f>
        <v>0</v>
      </c>
      <c r="AW69" s="46" t="str">
        <f ca="1" t="shared" si="7"/>
        <v>[{62,231},{63,22010},{2,53900},{6030001,819},{6030002,765},{6030003,36}]</v>
      </c>
      <c r="AX69" t="str">
        <f ca="1" t="shared" si="8"/>
        <v>{62,231}</v>
      </c>
      <c r="AY69" t="str">
        <f ca="1" t="shared" si="9"/>
        <v>{63,22010}</v>
      </c>
      <c r="AZ69" t="str">
        <f ca="1" t="shared" si="10"/>
        <v>{2,53900}</v>
      </c>
      <c r="BA69" t="str">
        <f ca="1" t="shared" si="11"/>
        <v>{6030001,819}</v>
      </c>
      <c r="BB69" t="str">
        <f ca="1" t="shared" si="12"/>
        <v>{6030002,765}</v>
      </c>
      <c r="BC69" t="str">
        <f ca="1" t="shared" si="13"/>
        <v>{6030003,36}</v>
      </c>
      <c r="BD69" t="str">
        <f ca="1" t="shared" si="14"/>
        <v/>
      </c>
    </row>
    <row r="70" spans="3:56">
      <c r="C70">
        <f ca="1" t="shared" si="1"/>
        <v>101.416666666667</v>
      </c>
      <c r="D70" s="40">
        <v>64</v>
      </c>
      <c r="E70" s="40">
        <v>88</v>
      </c>
      <c r="F70" s="40">
        <v>104</v>
      </c>
      <c r="G70" s="41">
        <v>120</v>
      </c>
      <c r="H70" s="40">
        <f>H69+1</f>
        <v>149</v>
      </c>
      <c r="I70" s="40">
        <v>177</v>
      </c>
      <c r="J70" s="40">
        <f t="shared" si="17"/>
        <v>149</v>
      </c>
      <c r="K70" s="40">
        <f ca="1">SUM(U$36:U70)-SUM(OFFSET(载具产出!H$399,0,0,$R70+1,1))</f>
        <v>238</v>
      </c>
      <c r="L70" s="40">
        <f ca="1">SUM(T$36:T70)-SUM(OFFSET(载具产出!G$399,0,0,$R70+1,1))</f>
        <v>22865</v>
      </c>
      <c r="M70" s="40">
        <f ca="1">SUM(V$36:V70)/2-SUM(OFFSET(载具产出!I$399,0,0,$R70+1,1))</f>
        <v>56600</v>
      </c>
      <c r="N70" s="40">
        <f ca="1">SUM(AA$36:AA70)-SUM(OFFSET(载具产出!J$399,0,0,$R70+1,1))</f>
        <v>847.6</v>
      </c>
      <c r="O70" s="40">
        <f ca="1">SUM(AB$36:AB70)-SUM(OFFSET(载具产出!K$399,0,0,$R70+1,1))</f>
        <v>792</v>
      </c>
      <c r="P70" s="40">
        <f ca="1">SUM(AC$36:AC70)-SUM(OFFSET(载具产出!L$399,0,0,$R70+1,1))</f>
        <v>38.4</v>
      </c>
      <c r="Q70" s="40">
        <f ca="1">SUM(AD$36:AD70)-SUM(OFFSET(载具产出!M$399,0,0,$R70+1,1))</f>
        <v>0</v>
      </c>
      <c r="R70" s="40">
        <v>7</v>
      </c>
      <c r="S70" s="40" t="str">
        <f ca="1">OFFSET(载具产出!$D$111,IFERROR(MATCH(OFFSET($D70,0,MATCH($D$5,$E$6:$H$6,0)),载具产出!$E$112:$E$151,1),0),0)</f>
        <v>豪华Ⅲ</v>
      </c>
      <c r="T70" s="40">
        <f ca="1">OFFSET(载具产出!$F$399,IFERROR(MATCH(OFFSET($D70,0,MATCH($D$5,$E$6:$H$6,0)),载具产出!$E$400:$E$439,1),0),MATCH(T$6,载具产出!$G$399:$O$399,0))</f>
        <v>855</v>
      </c>
      <c r="U70" s="40">
        <v>7</v>
      </c>
      <c r="V70" s="40">
        <f ca="1">OFFSET(载具产出!$F$399,IFERROR(MATCH(OFFSET($D70,0,MATCH($D$5,$E$6:$H$6,0)),载具产出!$E$400:$E$439,1),0),MATCH(V$6,载具产出!$G$399:$O$399,0))</f>
        <v>5400</v>
      </c>
      <c r="W70" s="43">
        <f ca="1">_xlfn.XLOOKUP(Z70,载具属性!$E$98:$E$497,载具属性!$G$98:$G$497)+6000+OFFSET(载具属性!L$33,AS70,0)*载具属性!M$30+OFFSET(载具属性!M$33,AT70,0)*载具属性!N$30+OFFSET(载具属性!N$33,AU70,0)*载具属性!O$30+OFFSET(载具属性!O$33,AV70,0)*载具属性!P$30</f>
        <v>12170</v>
      </c>
      <c r="X70" s="43">
        <f ca="1">_xlfn.XLOOKUP(Z70,载具属性!$E$98:$E$497,载具属性!$G$98:$G$497)</f>
        <v>3380</v>
      </c>
      <c r="Y70" s="43">
        <f ca="1">OFFSET(载具属性!L$33,AS70,0)*载具属性!M$30+OFFSET(载具属性!M$33,AT70,0)*载具属性!N$30+OFFSET(载具属性!N$33,AU70,0)*载具属性!O$30+OFFSET(载具属性!O$33,AV70,0)*载具属性!P$30</f>
        <v>2790</v>
      </c>
      <c r="Z70" s="40">
        <f ca="1">MATCH(SUM($T$7:T70),载具属性!$I$98:$I$497,1)</f>
        <v>62</v>
      </c>
      <c r="AA70" s="40">
        <f ca="1">OFFSET(载具产出!$F$399,IFERROR(MATCH(OFFSET($D70,0,MATCH($D$5,$E$6:$H$6,0)),载具产出!$E$112:$E$151,1),0),MATCH(AA$6,载具产出!$G$111:$O$111,0))*2</f>
        <v>28</v>
      </c>
      <c r="AB70" s="40">
        <f ca="1">OFFSET(载具产出!$F$399,IFERROR(MATCH(OFFSET($D70,0,MATCH($D$5,$E$6:$H$6,0)),载具产出!$E$112:$E$151,1),0),MATCH(AB$6,载具产出!$G$111:$O$111,0))*2</f>
        <v>26.08</v>
      </c>
      <c r="AC70" s="40">
        <f ca="1">OFFSET(载具产出!$F$399,IFERROR(MATCH(OFFSET($D70,0,MATCH($D$5,$E$6:$H$6,0)),载具产出!$E$112:$E$151,1),0),MATCH(AC$6,载具产出!$G$111:$O$111,0))*2</f>
        <v>1.92</v>
      </c>
      <c r="AD70" s="40">
        <f ca="1">OFFSET(载具产出!$F$399,IFERROR(MATCH(OFFSET($D70,0,MATCH($D$5,$E$6:$H$6,0)),载具产出!$E$112:$E$151,1),0),MATCH(AD$6,载具产出!$G$111:$O$111,0))*2</f>
        <v>0</v>
      </c>
      <c r="AE70" s="44">
        <f ca="1">SUM(AA$36:AA70)/3</f>
        <v>318.8</v>
      </c>
      <c r="AF70" s="44">
        <f ca="1">SUM(AB$36:AB70)/3</f>
        <v>283.253333333333</v>
      </c>
      <c r="AG70" s="44">
        <f ca="1">SUM(AC$36:AC70)/3</f>
        <v>13.28</v>
      </c>
      <c r="AH70" s="44">
        <f ca="1">SUM(AD$36:AD70)/3</f>
        <v>0</v>
      </c>
      <c r="AI70" s="44">
        <f>_xlfn.XLOOKUP($D$5,载具产出!$D$71:$D$75,载具产出!$E$71:$E$75)*(D70-30+1)</f>
        <v>411.666666666668</v>
      </c>
      <c r="AJ70" s="44">
        <f>IFERROR(MATCH(_xlfn.XLOOKUP($D$5,载具产出!$D$71:$D$75,载具产出!$E$71:$E$75)*(D70-30+1)*10,载具产出!$E$60:$E$67,1),0)+1</f>
        <v>5</v>
      </c>
      <c r="AK70" s="44">
        <f ca="1">IF($AJ70=1,($AI70)*(10*OFFSET(载具产出!$D$45,MATCH(AK$6,$AK$6:$AN$6,0)-1,$AJ70)+OFFSET(载具产出!$D$49,MATCH(AK$6,$AK$6:$AN$6,0)-1,$AJ70)*OFFSET(载具产出!$N$49,MATCH(AK$6,$AK$6:$AN$6,0)-1,0)),OFFSET(载具产出!F$59,$AJ70-1,0)*10+OFFSET(载具产出!J$59,$AJ70-1,0)+($AI70*10-_xlfn.XLOOKUP($AJ70-1,载具产出!$D$59:$D$67,载具产出!$E$59:$E$67))/10*(10*OFFSET(载具产出!$D$45,MATCH(AK$6,$AK$6:$AN$6,0)-1,$AJ70)+OFFSET(载具产出!$D$49,MATCH(AK$6,$AK$6:$AN$6,0)-1,$AJ70)*OFFSET(载具产出!$N$49,MATCH(AK$6,$AK$6:$AN$6,0)-1,0)))</f>
        <v>981.390000000003</v>
      </c>
      <c r="AL70" s="44">
        <f ca="1">IF($AJ70=1,($AI70)*(10*OFFSET(载具产出!$D$45,MATCH(AL$6,$AK$6:$AN$6,0)-1,$AJ70)+OFFSET(载具产出!$D$49,MATCH(AL$6,$AK$6:$AN$6,0)-1,$AJ70)*OFFSET(载具产出!$N$49,MATCH(AL$6,$AK$6:$AN$6,0)-1,0)),OFFSET(载具产出!G$59,$AJ70-1,0)*10+OFFSET(载具产出!K$59,$AJ70-1,0)+($AI70*10-_xlfn.XLOOKUP($AJ70-1,载具产出!$D$59:$D$67,载具产出!$E$59:$E$67))/10*(10*OFFSET(载具产出!$D$45,MATCH(AL$6,$AK$6:$AN$6,0)-1,$AJ70)+OFFSET(载具产出!$D$49,MATCH(AL$6,$AK$6:$AN$6,0)-1,$AJ70)*OFFSET(载具产出!$N$49,MATCH(AL$6,$AK$6:$AN$6,0)-1,0)))</f>
        <v>336.933333333334</v>
      </c>
      <c r="AM70" s="44">
        <f ca="1">IF($AJ70=1,($AI70)*(10*OFFSET(载具产出!$D$45,MATCH(AM$6,$AK$6:$AN$6,0)-1,$AJ70)+OFFSET(载具产出!$D$49,MATCH(AM$6,$AK$6:$AN$6,0)-1,$AJ70)*OFFSET(载具产出!$N$49,MATCH(AM$6,$AK$6:$AN$6,0)-1,0)),OFFSET(载具产出!H$59,$AJ70-1,0)*10+OFFSET(载具产出!L$59,$AJ70-1,0)+($AI70*10-_xlfn.XLOOKUP($AJ70-1,载具产出!$D$59:$D$67,载具产出!$E$59:$E$67))/10*(10*OFFSET(载具产出!$D$45,MATCH(AM$6,$AK$6:$AN$6,0)-1,$AJ70)+OFFSET(载具产出!$D$49,MATCH(AM$6,$AK$6:$AN$6,0)-1,$AJ70)*OFFSET(载具产出!$N$49,MATCH(AM$6,$AK$6:$AN$6,0)-1,0)))</f>
        <v>166.533333333334</v>
      </c>
      <c r="AN70" s="44">
        <f ca="1">IF($AJ70=1,($AI70)*(10*OFFSET(载具产出!$D$45,MATCH(AN$6,$AK$6:$AN$6,0)-1,$AJ70)+OFFSET(载具产出!$D$49,MATCH(AN$6,$AK$6:$AN$6,0)-1,$AJ70)*OFFSET(载具产出!$N$49,MATCH(AN$6,$AK$6:$AN$6,0)-1,0)),OFFSET(载具产出!I$59,$AJ70-1,0)*10+OFFSET(载具产出!M$59,$AJ70-1,0)+($AI70*10-_xlfn.XLOOKUP($AJ70-1,载具产出!$D$59:$D$67,载具产出!$E$59:$E$67))/10*(10*OFFSET(载具产出!$D$45,MATCH(AN$6,$AK$6:$AN$6,0)-1,$AJ70)+OFFSET(载具产出!$D$49,MATCH(AN$6,$AK$6:$AN$6,0)-1,$AJ70)*OFFSET(载具产出!$N$49,MATCH(AN$6,$AK$6:$AN$6,0)-1,0)))</f>
        <v>41.5550000000002</v>
      </c>
      <c r="AO70" s="44">
        <f ca="1" t="shared" si="3"/>
        <v>1300.19</v>
      </c>
      <c r="AP70" s="44">
        <f ca="1" t="shared" si="4"/>
        <v>620.186666666668</v>
      </c>
      <c r="AQ70" s="44">
        <f ca="1" t="shared" si="5"/>
        <v>179.813333333334</v>
      </c>
      <c r="AR70" s="44">
        <f ca="1" t="shared" si="6"/>
        <v>41.5550000000002</v>
      </c>
      <c r="AS70" s="45">
        <f ca="1">IFERROR(MATCH(AO70/载具产出!R$58,载具属性!$G$33:$G$92,1),0)</f>
        <v>19</v>
      </c>
      <c r="AT70" s="45">
        <f ca="1">IFERROR(MATCH(AP70/载具产出!S$58,载具属性!$G$33:$G$92,1),0)</f>
        <v>13</v>
      </c>
      <c r="AU70" s="45">
        <f ca="1">IFERROR(MATCH(AQ70/载具产出!T$58,载具属性!$G$33:$G$92,1),0)</f>
        <v>4</v>
      </c>
      <c r="AV70" s="45">
        <f ca="1">IFERROR(MATCH(AR70/载具产出!U$58,载具属性!$G$33:$G$92,1),0)</f>
        <v>0</v>
      </c>
      <c r="AW70" s="46" t="str">
        <f ca="1" t="shared" si="7"/>
        <v>[{62,238},{63,22865},{2,56600},{6030001,847},{6030002,792},{6030003,38}]</v>
      </c>
      <c r="AX70" t="str">
        <f ca="1" t="shared" si="8"/>
        <v>{62,238}</v>
      </c>
      <c r="AY70" t="str">
        <f ca="1" t="shared" si="9"/>
        <v>{63,22865}</v>
      </c>
      <c r="AZ70" t="str">
        <f ca="1" t="shared" si="10"/>
        <v>{2,56600}</v>
      </c>
      <c r="BA70" t="str">
        <f ca="1" t="shared" si="11"/>
        <v>{6030001,847}</v>
      </c>
      <c r="BB70" t="str">
        <f ca="1" t="shared" si="12"/>
        <v>{6030002,792}</v>
      </c>
      <c r="BC70" t="str">
        <f ca="1" t="shared" si="13"/>
        <v>{6030003,38}</v>
      </c>
      <c r="BD70" t="str">
        <f ca="1" t="shared" si="14"/>
        <v/>
      </c>
    </row>
    <row r="71" spans="3:56">
      <c r="C71">
        <f ca="1" t="shared" si="1"/>
        <v>102.958333333333</v>
      </c>
      <c r="D71" s="40">
        <v>65</v>
      </c>
      <c r="E71" s="40">
        <v>89</v>
      </c>
      <c r="F71" s="40">
        <v>104</v>
      </c>
      <c r="G71" s="41">
        <v>120</v>
      </c>
      <c r="H71" s="40">
        <f t="shared" ref="H71:H134" si="18">H70+1</f>
        <v>150</v>
      </c>
      <c r="I71" s="40">
        <v>178</v>
      </c>
      <c r="J71" s="40">
        <f t="shared" si="17"/>
        <v>151</v>
      </c>
      <c r="K71" s="40">
        <f ca="1">SUM(U$36:U71)-SUM(OFFSET(载具产出!H$399,0,0,$R71+1,1))</f>
        <v>245</v>
      </c>
      <c r="L71" s="40">
        <f ca="1">SUM(T$36:T71)-SUM(OFFSET(载具产出!G$399,0,0,$R71+1,1))</f>
        <v>23720</v>
      </c>
      <c r="M71" s="40">
        <f ca="1">SUM(V$36:V71)/2-SUM(OFFSET(载具产出!I$399,0,0,$R71+1,1))</f>
        <v>59300</v>
      </c>
      <c r="N71" s="40">
        <f ca="1">SUM(AA$36:AA71)-SUM(OFFSET(载具产出!J$399,0,0,$R71+1,1))</f>
        <v>875.6</v>
      </c>
      <c r="O71" s="40">
        <f ca="1">SUM(AB$36:AB71)-SUM(OFFSET(载具产出!K$399,0,0,$R71+1,1))</f>
        <v>818.08</v>
      </c>
      <c r="P71" s="40">
        <f ca="1">SUM(AC$36:AC71)-SUM(OFFSET(载具产出!L$399,0,0,$R71+1,1))</f>
        <v>40.32</v>
      </c>
      <c r="Q71" s="40">
        <f ca="1">SUM(AD$36:AD71)-SUM(OFFSET(载具产出!M$399,0,0,$R71+1,1))</f>
        <v>0</v>
      </c>
      <c r="R71" s="40">
        <v>7</v>
      </c>
      <c r="S71" s="40" t="str">
        <f ca="1">OFFSET(载具产出!$D$111,IFERROR(MATCH(OFFSET($D71,0,MATCH($D$5,$E$6:$H$6,0)),载具产出!$E$112:$E$151,1),0),0)</f>
        <v>豪华Ⅲ</v>
      </c>
      <c r="T71" s="40">
        <f ca="1">OFFSET(载具产出!$F$399,IFERROR(MATCH(OFFSET($D71,0,MATCH($D$5,$E$6:$H$6,0)),载具产出!$E$400:$E$439,1),0),MATCH(T$6,载具产出!$G$399:$O$399,0))</f>
        <v>855</v>
      </c>
      <c r="U71" s="40">
        <v>7</v>
      </c>
      <c r="V71" s="40">
        <f ca="1">OFFSET(载具产出!$F$399,IFERROR(MATCH(OFFSET($D71,0,MATCH($D$5,$E$6:$H$6,0)),载具产出!$E$400:$E$439,1),0),MATCH(V$6,载具产出!$G$399:$O$399,0))</f>
        <v>5400</v>
      </c>
      <c r="W71" s="43">
        <f ca="1">_xlfn.XLOOKUP(Z71,载具属性!$E$98:$E$497,载具属性!$G$98:$G$497)+6000+OFFSET(载具属性!L$33,AS71,0)*载具属性!M$30+OFFSET(载具属性!M$33,AT71,0)*载具属性!N$30+OFFSET(载具属性!N$33,AU71,0)*载具属性!O$30+OFFSET(载具属性!O$33,AV71,0)*载具属性!P$30</f>
        <v>12355</v>
      </c>
      <c r="X71" s="43">
        <f ca="1">_xlfn.XLOOKUP(Z71,载具属性!$E$98:$E$497,载具属性!$G$98:$G$497)</f>
        <v>3445</v>
      </c>
      <c r="Y71" s="43">
        <f ca="1">OFFSET(载具属性!L$33,AS71,0)*载具属性!M$30+OFFSET(载具属性!M$33,AT71,0)*载具属性!N$30+OFFSET(载具属性!N$33,AU71,0)*载具属性!O$30+OFFSET(载具属性!O$33,AV71,0)*载具属性!P$30</f>
        <v>2910</v>
      </c>
      <c r="Z71" s="40">
        <f ca="1">MATCH(SUM($T$7:T71),载具属性!$I$98:$I$497,1)</f>
        <v>63</v>
      </c>
      <c r="AA71" s="40">
        <f ca="1">OFFSET(载具产出!$F$399,IFERROR(MATCH(OFFSET($D71,0,MATCH($D$5,$E$6:$H$6,0)),载具产出!$E$112:$E$151,1),0),MATCH(AA$6,载具产出!$G$111:$O$111,0))*2</f>
        <v>28</v>
      </c>
      <c r="AB71" s="40">
        <f ca="1">OFFSET(载具产出!$F$399,IFERROR(MATCH(OFFSET($D71,0,MATCH($D$5,$E$6:$H$6,0)),载具产出!$E$112:$E$151,1),0),MATCH(AB$6,载具产出!$G$111:$O$111,0))*2</f>
        <v>26.08</v>
      </c>
      <c r="AC71" s="40">
        <f ca="1">OFFSET(载具产出!$F$399,IFERROR(MATCH(OFFSET($D71,0,MATCH($D$5,$E$6:$H$6,0)),载具产出!$E$112:$E$151,1),0),MATCH(AC$6,载具产出!$G$111:$O$111,0))*2</f>
        <v>1.92</v>
      </c>
      <c r="AD71" s="40">
        <f ca="1">OFFSET(载具产出!$F$399,IFERROR(MATCH(OFFSET($D71,0,MATCH($D$5,$E$6:$H$6,0)),载具产出!$E$112:$E$151,1),0),MATCH(AD$6,载具产出!$G$111:$O$111,0))*2</f>
        <v>0</v>
      </c>
      <c r="AE71" s="44">
        <f ca="1">SUM(AA$36:AA71)/3</f>
        <v>328.133333333333</v>
      </c>
      <c r="AF71" s="44">
        <f ca="1">SUM(AB$36:AB71)/3</f>
        <v>291.946666666667</v>
      </c>
      <c r="AG71" s="44">
        <f ca="1">SUM(AC$36:AC71)/3</f>
        <v>13.92</v>
      </c>
      <c r="AH71" s="44">
        <f ca="1">SUM(AD$36:AD71)/3</f>
        <v>0</v>
      </c>
      <c r="AI71" s="44">
        <f>_xlfn.XLOOKUP($D$5,载具产出!$D$71:$D$75,载具产出!$E$71:$E$75)*(D71-30+1)</f>
        <v>423.428571428573</v>
      </c>
      <c r="AJ71" s="44">
        <f>IFERROR(MATCH(_xlfn.XLOOKUP($D$5,载具产出!$D$71:$D$75,载具产出!$E$71:$E$75)*(D71-30+1)*10,载具产出!$E$60:$E$67,1),0)+1</f>
        <v>5</v>
      </c>
      <c r="AK71" s="44">
        <f ca="1">IF($AJ71=1,($AI71)*(10*OFFSET(载具产出!$D$45,MATCH(AK$6,$AK$6:$AN$6,0)-1,$AJ71)+OFFSET(载具产出!$D$49,MATCH(AK$6,$AK$6:$AN$6,0)-1,$AJ71)*OFFSET(载具产出!$N$49,MATCH(AK$6,$AK$6:$AN$6,0)-1,0)),OFFSET(载具产出!F$59,$AJ71-1,0)*10+OFFSET(载具产出!J$59,$AJ71-1,0)+($AI71*10-_xlfn.XLOOKUP($AJ71-1,载具产出!$D$59:$D$67,载具产出!$E$59:$E$67))/10*(10*OFFSET(载具产出!$D$45,MATCH(AK$6,$AK$6:$AN$6,0)-1,$AJ71)+OFFSET(载具产出!$D$49,MATCH(AK$6,$AK$6:$AN$6,0)-1,$AJ71)*OFFSET(载具产出!$N$49,MATCH(AK$6,$AK$6:$AN$6,0)-1,0)))</f>
        <v>1007.64257142858</v>
      </c>
      <c r="AL71" s="44">
        <f ca="1">IF($AJ71=1,($AI71)*(10*OFFSET(载具产出!$D$45,MATCH(AL$6,$AK$6:$AN$6,0)-1,$AJ71)+OFFSET(载具产出!$D$49,MATCH(AL$6,$AK$6:$AN$6,0)-1,$AJ71)*OFFSET(载具产出!$N$49,MATCH(AL$6,$AK$6:$AN$6,0)-1,0)),OFFSET(载具产出!G$59,$AJ71-1,0)*10+OFFSET(载具产出!K$59,$AJ71-1,0)+($AI71*10-_xlfn.XLOOKUP($AJ71-1,载具产出!$D$59:$D$67,载具产出!$E$59:$E$67))/10*(10*OFFSET(载具产出!$D$45,MATCH(AL$6,$AK$6:$AN$6,0)-1,$AJ71)+OFFSET(载具产出!$D$49,MATCH(AL$6,$AK$6:$AN$6,0)-1,$AJ71)*OFFSET(载具产出!$N$49,MATCH(AL$6,$AK$6:$AN$6,0)-1,0)))</f>
        <v>347.048571428573</v>
      </c>
      <c r="AM71" s="44">
        <f ca="1">IF($AJ71=1,($AI71)*(10*OFFSET(载具产出!$D$45,MATCH(AM$6,$AK$6:$AN$6,0)-1,$AJ71)+OFFSET(载具产出!$D$49,MATCH(AM$6,$AK$6:$AN$6,0)-1,$AJ71)*OFFSET(载具产出!$N$49,MATCH(AM$6,$AK$6:$AN$6,0)-1,0)),OFFSET(载具产出!H$59,$AJ71-1,0)*10+OFFSET(载具产出!L$59,$AJ71-1,0)+($AI71*10-_xlfn.XLOOKUP($AJ71-1,载具产出!$D$59:$D$67,载具产出!$E$59:$E$67))/10*(10*OFFSET(载具产出!$D$45,MATCH(AM$6,$AK$6:$AN$6,0)-1,$AJ71)+OFFSET(载具产出!$D$49,MATCH(AM$6,$AK$6:$AN$6,0)-1,$AJ71)*OFFSET(载具产出!$N$49,MATCH(AM$6,$AK$6:$AN$6,0)-1,0)))</f>
        <v>171.990857142858</v>
      </c>
      <c r="AN71" s="44">
        <f ca="1">IF($AJ71=1,($AI71)*(10*OFFSET(载具产出!$D$45,MATCH(AN$6,$AK$6:$AN$6,0)-1,$AJ71)+OFFSET(载具产出!$D$49,MATCH(AN$6,$AK$6:$AN$6,0)-1,$AJ71)*OFFSET(载具产出!$N$49,MATCH(AN$6,$AK$6:$AN$6,0)-1,0)),OFFSET(载具产出!I$59,$AJ71-1,0)*10+OFFSET(载具产出!M$59,$AJ71-1,0)+($AI71*10-_xlfn.XLOOKUP($AJ71-1,载具产出!$D$59:$D$67,载具产出!$E$59:$E$67))/10*(10*OFFSET(载具产出!$D$45,MATCH(AN$6,$AK$6:$AN$6,0)-1,$AJ71)+OFFSET(载具产出!$D$49,MATCH(AN$6,$AK$6:$AN$6,0)-1,$AJ71)*OFFSET(载具产出!$N$49,MATCH(AN$6,$AK$6:$AN$6,0)-1,0)))</f>
        <v>43.2840000000002</v>
      </c>
      <c r="AO71" s="44">
        <f ca="1" t="shared" si="3"/>
        <v>1335.77590476191</v>
      </c>
      <c r="AP71" s="44">
        <f ca="1" t="shared" si="4"/>
        <v>638.99523809524</v>
      </c>
      <c r="AQ71" s="44">
        <f ca="1" t="shared" si="5"/>
        <v>185.910857142858</v>
      </c>
      <c r="AR71" s="44">
        <f ca="1" t="shared" si="6"/>
        <v>43.2840000000002</v>
      </c>
      <c r="AS71" s="45">
        <f ca="1">IFERROR(MATCH(AO71/载具产出!R$58,载具属性!$G$33:$G$92,1),0)</f>
        <v>19</v>
      </c>
      <c r="AT71" s="45">
        <f ca="1">IFERROR(MATCH(AP71/载具产出!S$58,载具属性!$G$33:$G$92,1),0)</f>
        <v>13</v>
      </c>
      <c r="AU71" s="45">
        <f ca="1">IFERROR(MATCH(AQ71/载具产出!T$58,载具属性!$G$33:$G$92,1),0)</f>
        <v>5</v>
      </c>
      <c r="AV71" s="45">
        <f ca="1">IFERROR(MATCH(AR71/载具产出!U$58,载具属性!$G$33:$G$92,1),0)</f>
        <v>0</v>
      </c>
      <c r="AW71" s="46" t="str">
        <f ca="1" t="shared" si="7"/>
        <v>[{62,245},{63,23720},{2,59300},{6030001,875},{6030002,818},{6030003,40}]</v>
      </c>
      <c r="AX71" t="str">
        <f ca="1" t="shared" si="8"/>
        <v>{62,245}</v>
      </c>
      <c r="AY71" t="str">
        <f ca="1" t="shared" si="9"/>
        <v>{63,23720}</v>
      </c>
      <c r="AZ71" t="str">
        <f ca="1" t="shared" si="10"/>
        <v>{2,59300}</v>
      </c>
      <c r="BA71" t="str">
        <f ca="1" t="shared" si="11"/>
        <v>{6030001,875}</v>
      </c>
      <c r="BB71" t="str">
        <f ca="1" t="shared" si="12"/>
        <v>{6030002,818}</v>
      </c>
      <c r="BC71" t="str">
        <f ca="1" t="shared" si="13"/>
        <v>{6030003,40}</v>
      </c>
      <c r="BD71" t="str">
        <f ca="1" t="shared" si="14"/>
        <v/>
      </c>
    </row>
    <row r="72" spans="3:56">
      <c r="C72">
        <f ca="1" t="shared" si="1"/>
        <v>103.140495867769</v>
      </c>
      <c r="D72" s="40">
        <v>66</v>
      </c>
      <c r="E72" s="40">
        <v>89</v>
      </c>
      <c r="F72" s="40">
        <v>105</v>
      </c>
      <c r="G72" s="41">
        <v>121</v>
      </c>
      <c r="H72" s="40">
        <f t="shared" si="18"/>
        <v>151</v>
      </c>
      <c r="I72" s="40">
        <v>178</v>
      </c>
      <c r="J72" s="40">
        <f t="shared" si="17"/>
        <v>152</v>
      </c>
      <c r="K72" s="40">
        <f ca="1">SUM(U$36:U72)-SUM(OFFSET(载具产出!H$399,0,0,$R72+1,1))</f>
        <v>252</v>
      </c>
      <c r="L72" s="40">
        <f ca="1">SUM(T$36:T72)-SUM(OFFSET(载具产出!G$399,0,0,$R72+1,1))</f>
        <v>24575</v>
      </c>
      <c r="M72" s="40">
        <f ca="1">SUM(V$36:V72)/2-SUM(OFFSET(载具产出!I$399,0,0,$R72+1,1))</f>
        <v>62000</v>
      </c>
      <c r="N72" s="40">
        <f ca="1">SUM(AA$36:AA72)-SUM(OFFSET(载具产出!J$399,0,0,$R72+1,1))</f>
        <v>903.6</v>
      </c>
      <c r="O72" s="40">
        <f ca="1">SUM(AB$36:AB72)-SUM(OFFSET(载具产出!K$399,0,0,$R72+1,1))</f>
        <v>844.16</v>
      </c>
      <c r="P72" s="40">
        <f ca="1">SUM(AC$36:AC72)-SUM(OFFSET(载具产出!L$399,0,0,$R72+1,1))</f>
        <v>42.24</v>
      </c>
      <c r="Q72" s="40">
        <f ca="1">SUM(AD$36:AD72)-SUM(OFFSET(载具产出!M$399,0,0,$R72+1,1))</f>
        <v>0</v>
      </c>
      <c r="R72" s="40">
        <v>7</v>
      </c>
      <c r="S72" s="40" t="str">
        <f ca="1">OFFSET(载具产出!$D$111,IFERROR(MATCH(OFFSET($D72,0,MATCH($D$5,$E$6:$H$6,0)),载具产出!$E$112:$E$151,1),0),0)</f>
        <v>豪华Ⅲ</v>
      </c>
      <c r="T72" s="40">
        <f ca="1">OFFSET(载具产出!$F$399,IFERROR(MATCH(OFFSET($D72,0,MATCH($D$5,$E$6:$H$6,0)),载具产出!$E$400:$E$439,1),0),MATCH(T$6,载具产出!$G$399:$O$399,0))</f>
        <v>855</v>
      </c>
      <c r="U72" s="40">
        <v>7</v>
      </c>
      <c r="V72" s="40">
        <f ca="1">OFFSET(载具产出!$F$399,IFERROR(MATCH(OFFSET($D72,0,MATCH($D$5,$E$6:$H$6,0)),载具产出!$E$400:$E$439,1),0),MATCH(V$6,载具产出!$G$399:$O$399,0))</f>
        <v>5400</v>
      </c>
      <c r="W72" s="43">
        <f ca="1">_xlfn.XLOOKUP(Z72,载具属性!$E$98:$E$497,载具属性!$G$98:$G$497)+6000+OFFSET(载具属性!L$33,AS72,0)*载具属性!M$30+OFFSET(载具属性!M$33,AT72,0)*载具属性!N$30+OFFSET(载具属性!N$33,AU72,0)*载具属性!O$30+OFFSET(载具属性!O$33,AV72,0)*载具属性!P$30</f>
        <v>12480</v>
      </c>
      <c r="X72" s="43">
        <f ca="1">_xlfn.XLOOKUP(Z72,载具属性!$E$98:$E$497,载具属性!$G$98:$G$497)</f>
        <v>3510</v>
      </c>
      <c r="Y72" s="43">
        <f ca="1">OFFSET(载具属性!L$33,AS72,0)*载具属性!M$30+OFFSET(载具属性!M$33,AT72,0)*载具属性!N$30+OFFSET(载具属性!N$33,AU72,0)*载具属性!O$30+OFFSET(载具属性!O$33,AV72,0)*载具属性!P$30</f>
        <v>2970</v>
      </c>
      <c r="Z72" s="40">
        <f ca="1">MATCH(SUM($T$7:T72),载具属性!$I$98:$I$497,1)</f>
        <v>64</v>
      </c>
      <c r="AA72" s="40">
        <f ca="1">OFFSET(载具产出!$F$399,IFERROR(MATCH(OFFSET($D72,0,MATCH($D$5,$E$6:$H$6,0)),载具产出!$E$112:$E$151,1),0),MATCH(AA$6,载具产出!$G$111:$O$111,0))*2</f>
        <v>28</v>
      </c>
      <c r="AB72" s="40">
        <f ca="1">OFFSET(载具产出!$F$399,IFERROR(MATCH(OFFSET($D72,0,MATCH($D$5,$E$6:$H$6,0)),载具产出!$E$112:$E$151,1),0),MATCH(AB$6,载具产出!$G$111:$O$111,0))*2</f>
        <v>26.08</v>
      </c>
      <c r="AC72" s="40">
        <f ca="1">OFFSET(载具产出!$F$399,IFERROR(MATCH(OFFSET($D72,0,MATCH($D$5,$E$6:$H$6,0)),载具产出!$E$112:$E$151,1),0),MATCH(AC$6,载具产出!$G$111:$O$111,0))*2</f>
        <v>1.92</v>
      </c>
      <c r="AD72" s="40">
        <f ca="1">OFFSET(载具产出!$F$399,IFERROR(MATCH(OFFSET($D72,0,MATCH($D$5,$E$6:$H$6,0)),载具产出!$E$112:$E$151,1),0),MATCH(AD$6,载具产出!$G$111:$O$111,0))*2</f>
        <v>0</v>
      </c>
      <c r="AE72" s="44">
        <f ca="1">SUM(AA$36:AA72)/3</f>
        <v>337.466666666667</v>
      </c>
      <c r="AF72" s="44">
        <f ca="1">SUM(AB$36:AB72)/3</f>
        <v>300.64</v>
      </c>
      <c r="AG72" s="44">
        <f ca="1">SUM(AC$36:AC72)/3</f>
        <v>14.56</v>
      </c>
      <c r="AH72" s="44">
        <f ca="1">SUM(AD$36:AD72)/3</f>
        <v>0</v>
      </c>
      <c r="AI72" s="44">
        <f>_xlfn.XLOOKUP($D$5,载具产出!$D$71:$D$75,载具产出!$E$71:$E$75)*(D72-30+1)</f>
        <v>435.190476190478</v>
      </c>
      <c r="AJ72" s="44">
        <f>IFERROR(MATCH(_xlfn.XLOOKUP($D$5,载具产出!$D$71:$D$75,载具产出!$E$71:$E$75)*(D72-30+1)*10,载具产出!$E$60:$E$67,1),0)+1</f>
        <v>5</v>
      </c>
      <c r="AK72" s="44">
        <f ca="1">IF($AJ72=1,($AI72)*(10*OFFSET(载具产出!$D$45,MATCH(AK$6,$AK$6:$AN$6,0)-1,$AJ72)+OFFSET(载具产出!$D$49,MATCH(AK$6,$AK$6:$AN$6,0)-1,$AJ72)*OFFSET(载具产出!$N$49,MATCH(AK$6,$AK$6:$AN$6,0)-1,0)),OFFSET(载具产出!F$59,$AJ72-1,0)*10+OFFSET(载具产出!J$59,$AJ72-1,0)+($AI72*10-_xlfn.XLOOKUP($AJ72-1,载具产出!$D$59:$D$67,载具产出!$E$59:$E$67))/10*(10*OFFSET(载具产出!$D$45,MATCH(AK$6,$AK$6:$AN$6,0)-1,$AJ72)+OFFSET(载具产出!$D$49,MATCH(AK$6,$AK$6:$AN$6,0)-1,$AJ72)*OFFSET(载具产出!$N$49,MATCH(AK$6,$AK$6:$AN$6,0)-1,0)))</f>
        <v>1033.89514285715</v>
      </c>
      <c r="AL72" s="44">
        <f ca="1">IF($AJ72=1,($AI72)*(10*OFFSET(载具产出!$D$45,MATCH(AL$6,$AK$6:$AN$6,0)-1,$AJ72)+OFFSET(载具产出!$D$49,MATCH(AL$6,$AK$6:$AN$6,0)-1,$AJ72)*OFFSET(载具产出!$N$49,MATCH(AL$6,$AK$6:$AN$6,0)-1,0)),OFFSET(载具产出!G$59,$AJ72-1,0)*10+OFFSET(载具产出!K$59,$AJ72-1,0)+($AI72*10-_xlfn.XLOOKUP($AJ72-1,载具产出!$D$59:$D$67,载具产出!$E$59:$E$67))/10*(10*OFFSET(载具产出!$D$45,MATCH(AL$6,$AK$6:$AN$6,0)-1,$AJ72)+OFFSET(载具产出!$D$49,MATCH(AL$6,$AK$6:$AN$6,0)-1,$AJ72)*OFFSET(载具产出!$N$49,MATCH(AL$6,$AK$6:$AN$6,0)-1,0)))</f>
        <v>357.163809523811</v>
      </c>
      <c r="AM72" s="44">
        <f ca="1">IF($AJ72=1,($AI72)*(10*OFFSET(载具产出!$D$45,MATCH(AM$6,$AK$6:$AN$6,0)-1,$AJ72)+OFFSET(载具产出!$D$49,MATCH(AM$6,$AK$6:$AN$6,0)-1,$AJ72)*OFFSET(载具产出!$N$49,MATCH(AM$6,$AK$6:$AN$6,0)-1,0)),OFFSET(载具产出!H$59,$AJ72-1,0)*10+OFFSET(载具产出!L$59,$AJ72-1,0)+($AI72*10-_xlfn.XLOOKUP($AJ72-1,载具产出!$D$59:$D$67,载具产出!$E$59:$E$67))/10*(10*OFFSET(载具产出!$D$45,MATCH(AM$6,$AK$6:$AN$6,0)-1,$AJ72)+OFFSET(载具产出!$D$49,MATCH(AM$6,$AK$6:$AN$6,0)-1,$AJ72)*OFFSET(载具产出!$N$49,MATCH(AM$6,$AK$6:$AN$6,0)-1,0)))</f>
        <v>177.448380952382</v>
      </c>
      <c r="AN72" s="44">
        <f ca="1">IF($AJ72=1,($AI72)*(10*OFFSET(载具产出!$D$45,MATCH(AN$6,$AK$6:$AN$6,0)-1,$AJ72)+OFFSET(载具产出!$D$49,MATCH(AN$6,$AK$6:$AN$6,0)-1,$AJ72)*OFFSET(载具产出!$N$49,MATCH(AN$6,$AK$6:$AN$6,0)-1,0)),OFFSET(载具产出!I$59,$AJ72-1,0)*10+OFFSET(载具产出!M$59,$AJ72-1,0)+($AI72*10-_xlfn.XLOOKUP($AJ72-1,载具产出!$D$59:$D$67,载具产出!$E$59:$E$67))/10*(10*OFFSET(载具产出!$D$45,MATCH(AN$6,$AK$6:$AN$6,0)-1,$AJ72)+OFFSET(载具产出!$D$49,MATCH(AN$6,$AK$6:$AN$6,0)-1,$AJ72)*OFFSET(载具产出!$N$49,MATCH(AN$6,$AK$6:$AN$6,0)-1,0)))</f>
        <v>45.0130000000003</v>
      </c>
      <c r="AO72" s="44">
        <f ca="1" t="shared" si="3"/>
        <v>1371.36180952381</v>
      </c>
      <c r="AP72" s="44">
        <f ca="1" t="shared" si="4"/>
        <v>657.803809523811</v>
      </c>
      <c r="AQ72" s="44">
        <f ca="1" t="shared" si="5"/>
        <v>192.008380952382</v>
      </c>
      <c r="AR72" s="44">
        <f ca="1" t="shared" si="6"/>
        <v>45.0130000000003</v>
      </c>
      <c r="AS72" s="45">
        <f ca="1">IFERROR(MATCH(AO72/载具产出!R$58,载具属性!$G$33:$G$92,1),0)</f>
        <v>20</v>
      </c>
      <c r="AT72" s="45">
        <f ca="1">IFERROR(MATCH(AP72/载具产出!S$58,载具属性!$G$33:$G$92,1),0)</f>
        <v>13</v>
      </c>
      <c r="AU72" s="45">
        <f ca="1">IFERROR(MATCH(AQ72/载具产出!T$58,载具属性!$G$33:$G$92,1),0)</f>
        <v>5</v>
      </c>
      <c r="AV72" s="45">
        <f ca="1">IFERROR(MATCH(AR72/载具产出!U$58,载具属性!$G$33:$G$92,1),0)</f>
        <v>0</v>
      </c>
      <c r="AW72" s="46" t="str">
        <f ca="1" t="shared" si="7"/>
        <v>[{62,252},{63,24575},{2,62000},{6030001,903},{6030002,844},{6030003,42}]</v>
      </c>
      <c r="AX72" t="str">
        <f ca="1" t="shared" si="8"/>
        <v>{62,252}</v>
      </c>
      <c r="AY72" t="str">
        <f ca="1" t="shared" si="9"/>
        <v>{63,24575}</v>
      </c>
      <c r="AZ72" t="str">
        <f ca="1" t="shared" si="10"/>
        <v>{2,62000}</v>
      </c>
      <c r="BA72" t="str">
        <f ca="1" t="shared" si="11"/>
        <v>{6030001,903}</v>
      </c>
      <c r="BB72" t="str">
        <f ca="1" t="shared" si="12"/>
        <v>{6030002,844}</v>
      </c>
      <c r="BC72" t="str">
        <f ca="1" t="shared" si="13"/>
        <v>{6030003,42}</v>
      </c>
      <c r="BD72" t="str">
        <f ca="1" t="shared" si="14"/>
        <v/>
      </c>
    </row>
    <row r="73" spans="3:56">
      <c r="C73">
        <f ca="1" t="shared" si="1"/>
        <v>103.677685950413</v>
      </c>
      <c r="D73" s="40">
        <v>67</v>
      </c>
      <c r="E73" s="40">
        <v>90</v>
      </c>
      <c r="F73" s="40">
        <v>105</v>
      </c>
      <c r="G73" s="41">
        <v>121</v>
      </c>
      <c r="H73" s="40">
        <f t="shared" si="18"/>
        <v>152</v>
      </c>
      <c r="I73" s="40">
        <v>178</v>
      </c>
      <c r="J73" s="40">
        <f t="shared" si="17"/>
        <v>153</v>
      </c>
      <c r="K73" s="40">
        <f ca="1">SUM(U$36:U73)-SUM(OFFSET(载具产出!H$399,0,0,$R73+1,1))</f>
        <v>258</v>
      </c>
      <c r="L73" s="40">
        <f ca="1">SUM(T$36:T73)-SUM(OFFSET(载具产出!G$399,0,0,$R73+1,1))</f>
        <v>24575</v>
      </c>
      <c r="M73" s="40">
        <f ca="1">SUM(V$36:V73)/2-SUM(OFFSET(载具产出!I$399,0,0,$R73+1,1))</f>
        <v>59300</v>
      </c>
      <c r="N73" s="40">
        <f ca="1">SUM(AA$36:AA73)-SUM(OFFSET(载具产出!J$399,0,0,$R73+1,1))</f>
        <v>917.6</v>
      </c>
      <c r="O73" s="40">
        <f ca="1">SUM(AB$36:AB73)-SUM(OFFSET(载具产出!K$399,0,0,$R73+1,1))</f>
        <v>857.2</v>
      </c>
      <c r="P73" s="40">
        <f ca="1">SUM(AC$36:AC73)-SUM(OFFSET(载具产出!L$399,0,0,$R73+1,1))</f>
        <v>43.2</v>
      </c>
      <c r="Q73" s="40">
        <f ca="1">SUM(AD$36:AD73)-SUM(OFFSET(载具产出!M$399,0,0,$R73+1,1))</f>
        <v>0</v>
      </c>
      <c r="R73" s="40">
        <v>8</v>
      </c>
      <c r="S73" s="40" t="str">
        <f ca="1">OFFSET(载具产出!$D$111,IFERROR(MATCH(OFFSET($D73,0,MATCH($D$5,$E$6:$H$6,0)),载具产出!$E$112:$E$151,1),0),0)</f>
        <v>豪华Ⅲ</v>
      </c>
      <c r="T73" s="40">
        <f ca="1">OFFSET(载具产出!$F$399,IFERROR(MATCH(OFFSET($D73,0,MATCH($D$5,$E$6:$H$6,0)),载具产出!$E$400:$E$439,1),0),MATCH(T$6,载具产出!$G$399:$O$399,0))</f>
        <v>855</v>
      </c>
      <c r="U73" s="40">
        <v>7</v>
      </c>
      <c r="V73" s="40">
        <f ca="1">OFFSET(载具产出!$F$399,IFERROR(MATCH(OFFSET($D73,0,MATCH($D$5,$E$6:$H$6,0)),载具产出!$E$400:$E$439,1),0),MATCH(V$6,载具产出!$G$399:$O$399,0))</f>
        <v>5400</v>
      </c>
      <c r="W73" s="43">
        <f ca="1">_xlfn.XLOOKUP(Z73,载具属性!$E$98:$E$497,载具属性!$G$98:$G$497)+6000+OFFSET(载具属性!L$33,AS73,0)*载具属性!M$30+OFFSET(载具属性!M$33,AT73,0)*载具属性!N$30+OFFSET(载具属性!N$33,AU73,0)*载具属性!O$30+OFFSET(载具属性!O$33,AV73,0)*载具属性!P$30</f>
        <v>12545</v>
      </c>
      <c r="X73" s="43">
        <f ca="1">_xlfn.XLOOKUP(Z73,载具属性!$E$98:$E$497,载具属性!$G$98:$G$497)</f>
        <v>3575</v>
      </c>
      <c r="Y73" s="43">
        <f ca="1">OFFSET(载具属性!L$33,AS73,0)*载具属性!M$30+OFFSET(载具属性!M$33,AT73,0)*载具属性!N$30+OFFSET(载具属性!N$33,AU73,0)*载具属性!O$30+OFFSET(载具属性!O$33,AV73,0)*载具属性!P$30</f>
        <v>2970</v>
      </c>
      <c r="Z73" s="40">
        <f ca="1">MATCH(SUM($T$7:T73),载具属性!$I$98:$I$497,1)</f>
        <v>65</v>
      </c>
      <c r="AA73" s="40">
        <f ca="1">OFFSET(载具产出!$F$399,IFERROR(MATCH(OFFSET($D73,0,MATCH($D$5,$E$6:$H$6,0)),载具产出!$E$112:$E$151,1),0),MATCH(AA$6,载具产出!$G$111:$O$111,0))*2</f>
        <v>28</v>
      </c>
      <c r="AB73" s="40">
        <f ca="1">OFFSET(载具产出!$F$399,IFERROR(MATCH(OFFSET($D73,0,MATCH($D$5,$E$6:$H$6,0)),载具产出!$E$112:$E$151,1),0),MATCH(AB$6,载具产出!$G$111:$O$111,0))*2</f>
        <v>26.08</v>
      </c>
      <c r="AC73" s="40">
        <f ca="1">OFFSET(载具产出!$F$399,IFERROR(MATCH(OFFSET($D73,0,MATCH($D$5,$E$6:$H$6,0)),载具产出!$E$112:$E$151,1),0),MATCH(AC$6,载具产出!$G$111:$O$111,0))*2</f>
        <v>1.92</v>
      </c>
      <c r="AD73" s="40">
        <f ca="1">OFFSET(载具产出!$F$399,IFERROR(MATCH(OFFSET($D73,0,MATCH($D$5,$E$6:$H$6,0)),载具产出!$E$112:$E$151,1),0),MATCH(AD$6,载具产出!$G$111:$O$111,0))*2</f>
        <v>0</v>
      </c>
      <c r="AE73" s="44">
        <f ca="1">SUM(AA$36:AA73)/3</f>
        <v>346.8</v>
      </c>
      <c r="AF73" s="44">
        <f ca="1">SUM(AB$36:AB73)/3</f>
        <v>309.333333333333</v>
      </c>
      <c r="AG73" s="44">
        <f ca="1">SUM(AC$36:AC73)/3</f>
        <v>15.2</v>
      </c>
      <c r="AH73" s="44">
        <f ca="1">SUM(AD$36:AD73)/3</f>
        <v>0</v>
      </c>
      <c r="AI73" s="44">
        <f>_xlfn.XLOOKUP($D$5,载具产出!$D$71:$D$75,载具产出!$E$71:$E$75)*(D73-30+1)</f>
        <v>446.952380952382</v>
      </c>
      <c r="AJ73" s="44">
        <f>IFERROR(MATCH(_xlfn.XLOOKUP($D$5,载具产出!$D$71:$D$75,载具产出!$E$71:$E$75)*(D73-30+1)*10,载具产出!$E$60:$E$67,1),0)+1</f>
        <v>5</v>
      </c>
      <c r="AK73" s="44">
        <f ca="1">IF($AJ73=1,($AI73)*(10*OFFSET(载具产出!$D$45,MATCH(AK$6,$AK$6:$AN$6,0)-1,$AJ73)+OFFSET(载具产出!$D$49,MATCH(AK$6,$AK$6:$AN$6,0)-1,$AJ73)*OFFSET(载具产出!$N$49,MATCH(AK$6,$AK$6:$AN$6,0)-1,0)),OFFSET(载具产出!F$59,$AJ73-1,0)*10+OFFSET(载具产出!J$59,$AJ73-1,0)+($AI73*10-_xlfn.XLOOKUP($AJ73-1,载具产出!$D$59:$D$67,载具产出!$E$59:$E$67))/10*(10*OFFSET(载具产出!$D$45,MATCH(AK$6,$AK$6:$AN$6,0)-1,$AJ73)+OFFSET(载具产出!$D$49,MATCH(AK$6,$AK$6:$AN$6,0)-1,$AJ73)*OFFSET(载具产出!$N$49,MATCH(AK$6,$AK$6:$AN$6,0)-1,0)))</f>
        <v>1060.14771428572</v>
      </c>
      <c r="AL73" s="44">
        <f ca="1">IF($AJ73=1,($AI73)*(10*OFFSET(载具产出!$D$45,MATCH(AL$6,$AK$6:$AN$6,0)-1,$AJ73)+OFFSET(载具产出!$D$49,MATCH(AL$6,$AK$6:$AN$6,0)-1,$AJ73)*OFFSET(载具产出!$N$49,MATCH(AL$6,$AK$6:$AN$6,0)-1,0)),OFFSET(载具产出!G$59,$AJ73-1,0)*10+OFFSET(载具产出!K$59,$AJ73-1,0)+($AI73*10-_xlfn.XLOOKUP($AJ73-1,载具产出!$D$59:$D$67,载具产出!$E$59:$E$67))/10*(10*OFFSET(载具产出!$D$45,MATCH(AL$6,$AK$6:$AN$6,0)-1,$AJ73)+OFFSET(载具产出!$D$49,MATCH(AL$6,$AK$6:$AN$6,0)-1,$AJ73)*OFFSET(载具产出!$N$49,MATCH(AL$6,$AK$6:$AN$6,0)-1,0)))</f>
        <v>367.279047619049</v>
      </c>
      <c r="AM73" s="44">
        <f ca="1">IF($AJ73=1,($AI73)*(10*OFFSET(载具产出!$D$45,MATCH(AM$6,$AK$6:$AN$6,0)-1,$AJ73)+OFFSET(载具产出!$D$49,MATCH(AM$6,$AK$6:$AN$6,0)-1,$AJ73)*OFFSET(载具产出!$N$49,MATCH(AM$6,$AK$6:$AN$6,0)-1,0)),OFFSET(载具产出!H$59,$AJ73-1,0)*10+OFFSET(载具产出!L$59,$AJ73-1,0)+($AI73*10-_xlfn.XLOOKUP($AJ73-1,载具产出!$D$59:$D$67,载具产出!$E$59:$E$67))/10*(10*OFFSET(载具产出!$D$45,MATCH(AM$6,$AK$6:$AN$6,0)-1,$AJ73)+OFFSET(载具产出!$D$49,MATCH(AM$6,$AK$6:$AN$6,0)-1,$AJ73)*OFFSET(载具产出!$N$49,MATCH(AM$6,$AK$6:$AN$6,0)-1,0)))</f>
        <v>182.905904761905</v>
      </c>
      <c r="AN73" s="44">
        <f ca="1">IF($AJ73=1,($AI73)*(10*OFFSET(载具产出!$D$45,MATCH(AN$6,$AK$6:$AN$6,0)-1,$AJ73)+OFFSET(载具产出!$D$49,MATCH(AN$6,$AK$6:$AN$6,0)-1,$AJ73)*OFFSET(载具产出!$N$49,MATCH(AN$6,$AK$6:$AN$6,0)-1,0)),OFFSET(载具产出!I$59,$AJ73-1,0)*10+OFFSET(载具产出!M$59,$AJ73-1,0)+($AI73*10-_xlfn.XLOOKUP($AJ73-1,载具产出!$D$59:$D$67,载具产出!$E$59:$E$67))/10*(10*OFFSET(载具产出!$D$45,MATCH(AN$6,$AK$6:$AN$6,0)-1,$AJ73)+OFFSET(载具产出!$D$49,MATCH(AN$6,$AK$6:$AN$6,0)-1,$AJ73)*OFFSET(载具产出!$N$49,MATCH(AN$6,$AK$6:$AN$6,0)-1,0)))</f>
        <v>46.7420000000002</v>
      </c>
      <c r="AO73" s="44">
        <f ca="1" t="shared" si="3"/>
        <v>1406.94771428572</v>
      </c>
      <c r="AP73" s="44">
        <f ca="1" t="shared" si="4"/>
        <v>676.612380952382</v>
      </c>
      <c r="AQ73" s="44">
        <f ca="1" t="shared" si="5"/>
        <v>198.105904761905</v>
      </c>
      <c r="AR73" s="44">
        <f ca="1" t="shared" si="6"/>
        <v>46.7420000000002</v>
      </c>
      <c r="AS73" s="45">
        <f ca="1">IFERROR(MATCH(AO73/载具产出!R$58,载具属性!$G$33:$G$92,1),0)</f>
        <v>20</v>
      </c>
      <c r="AT73" s="45">
        <f ca="1">IFERROR(MATCH(AP73/载具产出!S$58,载具属性!$G$33:$G$92,1),0)</f>
        <v>13</v>
      </c>
      <c r="AU73" s="45">
        <f ca="1">IFERROR(MATCH(AQ73/载具产出!T$58,载具属性!$G$33:$G$92,1),0)</f>
        <v>5</v>
      </c>
      <c r="AV73" s="45">
        <f ca="1">IFERROR(MATCH(AR73/载具产出!U$58,载具属性!$G$33:$G$92,1),0)</f>
        <v>0</v>
      </c>
      <c r="AW73" s="46" t="str">
        <f ca="1" t="shared" si="7"/>
        <v>[{62,258},{63,24575},{2,59300},{6030001,917},{6030002,857},{6030003,43}]</v>
      </c>
      <c r="AX73" t="str">
        <f ca="1" t="shared" si="8"/>
        <v>{62,258}</v>
      </c>
      <c r="AY73" t="str">
        <f ca="1" t="shared" si="9"/>
        <v>{63,24575}</v>
      </c>
      <c r="AZ73" t="str">
        <f ca="1" t="shared" si="10"/>
        <v>{2,59300}</v>
      </c>
      <c r="BA73" t="str">
        <f ca="1" t="shared" si="11"/>
        <v>{6030001,917}</v>
      </c>
      <c r="BB73" t="str">
        <f ca="1" t="shared" si="12"/>
        <v>{6030002,857}</v>
      </c>
      <c r="BC73" t="str">
        <f ca="1" t="shared" si="13"/>
        <v>{6030003,43}</v>
      </c>
      <c r="BD73" t="str">
        <f ca="1" t="shared" si="14"/>
        <v/>
      </c>
    </row>
    <row r="74" spans="3:56">
      <c r="C74">
        <f ca="1" t="shared" si="1"/>
        <v>103.360655737705</v>
      </c>
      <c r="D74" s="40">
        <v>68</v>
      </c>
      <c r="E74" s="40">
        <v>90</v>
      </c>
      <c r="F74" s="40">
        <v>106</v>
      </c>
      <c r="G74" s="41">
        <v>122</v>
      </c>
      <c r="H74" s="40">
        <f t="shared" si="18"/>
        <v>153</v>
      </c>
      <c r="I74" s="40">
        <v>178</v>
      </c>
      <c r="J74" s="40">
        <f t="shared" si="17"/>
        <v>154</v>
      </c>
      <c r="K74" s="40">
        <f ca="1">SUM(U$36:U74)-SUM(OFFSET(载具产出!H$399,0,0,$R74+1,1))</f>
        <v>265</v>
      </c>
      <c r="L74" s="40">
        <f ca="1">SUM(T$36:T74)-SUM(OFFSET(载具产出!G$399,0,0,$R74+1,1))</f>
        <v>25430</v>
      </c>
      <c r="M74" s="40">
        <f ca="1">SUM(V$36:V74)/2-SUM(OFFSET(载具产出!I$399,0,0,$R74+1,1))</f>
        <v>62000</v>
      </c>
      <c r="N74" s="40">
        <f ca="1">SUM(AA$36:AA74)-SUM(OFFSET(载具产出!J$399,0,0,$R74+1,1))</f>
        <v>945.6</v>
      </c>
      <c r="O74" s="40">
        <f ca="1">SUM(AB$36:AB74)-SUM(OFFSET(载具产出!K$399,0,0,$R74+1,1))</f>
        <v>883.28</v>
      </c>
      <c r="P74" s="40">
        <f ca="1">SUM(AC$36:AC74)-SUM(OFFSET(载具产出!L$399,0,0,$R74+1,1))</f>
        <v>45.12</v>
      </c>
      <c r="Q74" s="40">
        <f ca="1">SUM(AD$36:AD74)-SUM(OFFSET(载具产出!M$399,0,0,$R74+1,1))</f>
        <v>0</v>
      </c>
      <c r="R74" s="40">
        <v>8</v>
      </c>
      <c r="S74" s="40" t="str">
        <f ca="1">OFFSET(载具产出!$D$111,IFERROR(MATCH(OFFSET($D74,0,MATCH($D$5,$E$6:$H$6,0)),载具产出!$E$112:$E$151,1),0),0)</f>
        <v>豪华Ⅲ</v>
      </c>
      <c r="T74" s="40">
        <f ca="1">OFFSET(载具产出!$F$399,IFERROR(MATCH(OFFSET($D74,0,MATCH($D$5,$E$6:$H$6,0)),载具产出!$E$400:$E$439,1),0),MATCH(T$6,载具产出!$G$399:$O$399,0))</f>
        <v>855</v>
      </c>
      <c r="U74" s="40">
        <v>7</v>
      </c>
      <c r="V74" s="40">
        <f ca="1">OFFSET(载具产出!$F$399,IFERROR(MATCH(OFFSET($D74,0,MATCH($D$5,$E$6:$H$6,0)),载具产出!$E$400:$E$439,1),0),MATCH(V$6,载具产出!$G$399:$O$399,0))</f>
        <v>5400</v>
      </c>
      <c r="W74" s="43">
        <f ca="1">_xlfn.XLOOKUP(Z74,载具属性!$E$98:$E$497,载具属性!$G$98:$G$497)+6000+OFFSET(载具属性!L$33,AS74,0)*载具属性!M$30+OFFSET(载具属性!M$33,AT74,0)*载具属性!N$30+OFFSET(载具属性!N$33,AU74,0)*载具属性!O$30+OFFSET(载具属性!O$33,AV74,0)*载具属性!P$30</f>
        <v>12610</v>
      </c>
      <c r="X74" s="43">
        <f ca="1">_xlfn.XLOOKUP(Z74,载具属性!$E$98:$E$497,载具属性!$G$98:$G$497)</f>
        <v>3640</v>
      </c>
      <c r="Y74" s="43">
        <f ca="1">OFFSET(载具属性!L$33,AS74,0)*载具属性!M$30+OFFSET(载具属性!M$33,AT74,0)*载具属性!N$30+OFFSET(载具属性!N$33,AU74,0)*载具属性!O$30+OFFSET(载具属性!O$33,AV74,0)*载具属性!P$30</f>
        <v>2970</v>
      </c>
      <c r="Z74" s="40">
        <f ca="1">MATCH(SUM($T$7:T74),载具属性!$I$98:$I$497,1)</f>
        <v>66</v>
      </c>
      <c r="AA74" s="40">
        <f ca="1">OFFSET(载具产出!$F$399,IFERROR(MATCH(OFFSET($D74,0,MATCH($D$5,$E$6:$H$6,0)),载具产出!$E$112:$E$151,1),0),MATCH(AA$6,载具产出!$G$111:$O$111,0))*2</f>
        <v>28</v>
      </c>
      <c r="AB74" s="40">
        <f ca="1">OFFSET(载具产出!$F$399,IFERROR(MATCH(OFFSET($D74,0,MATCH($D$5,$E$6:$H$6,0)),载具产出!$E$112:$E$151,1),0),MATCH(AB$6,载具产出!$G$111:$O$111,0))*2</f>
        <v>26.08</v>
      </c>
      <c r="AC74" s="40">
        <f ca="1">OFFSET(载具产出!$F$399,IFERROR(MATCH(OFFSET($D74,0,MATCH($D$5,$E$6:$H$6,0)),载具产出!$E$112:$E$151,1),0),MATCH(AC$6,载具产出!$G$111:$O$111,0))*2</f>
        <v>1.92</v>
      </c>
      <c r="AD74" s="40">
        <f ca="1">OFFSET(载具产出!$F$399,IFERROR(MATCH(OFFSET($D74,0,MATCH($D$5,$E$6:$H$6,0)),载具产出!$E$112:$E$151,1),0),MATCH(AD$6,载具产出!$G$111:$O$111,0))*2</f>
        <v>0</v>
      </c>
      <c r="AE74" s="44">
        <f ca="1">SUM(AA$36:AA74)/3</f>
        <v>356.133333333333</v>
      </c>
      <c r="AF74" s="44">
        <f ca="1">SUM(AB$36:AB74)/3</f>
        <v>318.026666666667</v>
      </c>
      <c r="AG74" s="44">
        <f ca="1">SUM(AC$36:AC74)/3</f>
        <v>15.84</v>
      </c>
      <c r="AH74" s="44">
        <f ca="1">SUM(AD$36:AD74)/3</f>
        <v>0</v>
      </c>
      <c r="AI74" s="44">
        <f>_xlfn.XLOOKUP($D$5,载具产出!$D$71:$D$75,载具产出!$E$71:$E$75)*(D74-30+1)</f>
        <v>458.714285714287</v>
      </c>
      <c r="AJ74" s="44">
        <f>IFERROR(MATCH(_xlfn.XLOOKUP($D$5,载具产出!$D$71:$D$75,载具产出!$E$71:$E$75)*(D74-30+1)*10,载具产出!$E$60:$E$67,1),0)+1</f>
        <v>5</v>
      </c>
      <c r="AK74" s="44">
        <f ca="1">IF($AJ74=1,($AI74)*(10*OFFSET(载具产出!$D$45,MATCH(AK$6,$AK$6:$AN$6,0)-1,$AJ74)+OFFSET(载具产出!$D$49,MATCH(AK$6,$AK$6:$AN$6,0)-1,$AJ74)*OFFSET(载具产出!$N$49,MATCH(AK$6,$AK$6:$AN$6,0)-1,0)),OFFSET(载具产出!F$59,$AJ74-1,0)*10+OFFSET(载具产出!J$59,$AJ74-1,0)+($AI74*10-_xlfn.XLOOKUP($AJ74-1,载具产出!$D$59:$D$67,载具产出!$E$59:$E$67))/10*(10*OFFSET(载具产出!$D$45,MATCH(AK$6,$AK$6:$AN$6,0)-1,$AJ74)+OFFSET(载具产出!$D$49,MATCH(AK$6,$AK$6:$AN$6,0)-1,$AJ74)*OFFSET(载具产出!$N$49,MATCH(AK$6,$AK$6:$AN$6,0)-1,0)))</f>
        <v>1086.40028571429</v>
      </c>
      <c r="AL74" s="44">
        <f ca="1">IF($AJ74=1,($AI74)*(10*OFFSET(载具产出!$D$45,MATCH(AL$6,$AK$6:$AN$6,0)-1,$AJ74)+OFFSET(载具产出!$D$49,MATCH(AL$6,$AK$6:$AN$6,0)-1,$AJ74)*OFFSET(载具产出!$N$49,MATCH(AL$6,$AK$6:$AN$6,0)-1,0)),OFFSET(载具产出!G$59,$AJ74-1,0)*10+OFFSET(载具产出!K$59,$AJ74-1,0)+($AI74*10-_xlfn.XLOOKUP($AJ74-1,载具产出!$D$59:$D$67,载具产出!$E$59:$E$67))/10*(10*OFFSET(载具产出!$D$45,MATCH(AL$6,$AK$6:$AN$6,0)-1,$AJ74)+OFFSET(载具产出!$D$49,MATCH(AL$6,$AK$6:$AN$6,0)-1,$AJ74)*OFFSET(载具产出!$N$49,MATCH(AL$6,$AK$6:$AN$6,0)-1,0)))</f>
        <v>377.394285714287</v>
      </c>
      <c r="AM74" s="44">
        <f ca="1">IF($AJ74=1,($AI74)*(10*OFFSET(载具产出!$D$45,MATCH(AM$6,$AK$6:$AN$6,0)-1,$AJ74)+OFFSET(载具产出!$D$49,MATCH(AM$6,$AK$6:$AN$6,0)-1,$AJ74)*OFFSET(载具产出!$N$49,MATCH(AM$6,$AK$6:$AN$6,0)-1,0)),OFFSET(载具产出!H$59,$AJ74-1,0)*10+OFFSET(载具产出!L$59,$AJ74-1,0)+($AI74*10-_xlfn.XLOOKUP($AJ74-1,载具产出!$D$59:$D$67,载具产出!$E$59:$E$67))/10*(10*OFFSET(载具产出!$D$45,MATCH(AM$6,$AK$6:$AN$6,0)-1,$AJ74)+OFFSET(载具产出!$D$49,MATCH(AM$6,$AK$6:$AN$6,0)-1,$AJ74)*OFFSET(载具产出!$N$49,MATCH(AM$6,$AK$6:$AN$6,0)-1,0)))</f>
        <v>188.363428571429</v>
      </c>
      <c r="AN74" s="44">
        <f ca="1">IF($AJ74=1,($AI74)*(10*OFFSET(载具产出!$D$45,MATCH(AN$6,$AK$6:$AN$6,0)-1,$AJ74)+OFFSET(载具产出!$D$49,MATCH(AN$6,$AK$6:$AN$6,0)-1,$AJ74)*OFFSET(载具产出!$N$49,MATCH(AN$6,$AK$6:$AN$6,0)-1,0)),OFFSET(载具产出!I$59,$AJ74-1,0)*10+OFFSET(载具产出!M$59,$AJ74-1,0)+($AI74*10-_xlfn.XLOOKUP($AJ74-1,载具产出!$D$59:$D$67,载具产出!$E$59:$E$67))/10*(10*OFFSET(载具产出!$D$45,MATCH(AN$6,$AK$6:$AN$6,0)-1,$AJ74)+OFFSET(载具产出!$D$49,MATCH(AN$6,$AK$6:$AN$6,0)-1,$AJ74)*OFFSET(载具产出!$N$49,MATCH(AN$6,$AK$6:$AN$6,0)-1,0)))</f>
        <v>48.4710000000002</v>
      </c>
      <c r="AO74" s="44">
        <f ca="1" t="shared" si="3"/>
        <v>1442.53361904762</v>
      </c>
      <c r="AP74" s="44">
        <f ca="1" t="shared" si="4"/>
        <v>695.420952380954</v>
      </c>
      <c r="AQ74" s="44">
        <f ca="1" t="shared" si="5"/>
        <v>204.203428571429</v>
      </c>
      <c r="AR74" s="44">
        <f ca="1" t="shared" si="6"/>
        <v>48.4710000000002</v>
      </c>
      <c r="AS74" s="45">
        <f ca="1">IFERROR(MATCH(AO74/载具产出!R$58,载具属性!$G$33:$G$92,1),0)</f>
        <v>20</v>
      </c>
      <c r="AT74" s="45">
        <f ca="1">IFERROR(MATCH(AP74/载具产出!S$58,载具属性!$G$33:$G$92,1),0)</f>
        <v>13</v>
      </c>
      <c r="AU74" s="45">
        <f ca="1">IFERROR(MATCH(AQ74/载具产出!T$58,载具属性!$G$33:$G$92,1),0)</f>
        <v>5</v>
      </c>
      <c r="AV74" s="45">
        <f ca="1">IFERROR(MATCH(AR74/载具产出!U$58,载具属性!$G$33:$G$92,1),0)</f>
        <v>0</v>
      </c>
      <c r="AW74" s="46" t="str">
        <f ca="1" t="shared" si="7"/>
        <v>[{62,265},{63,25430},{2,62000},{6030001,945},{6030002,883},{6030003,45}]</v>
      </c>
      <c r="AX74" t="str">
        <f ca="1" t="shared" si="8"/>
        <v>{62,265}</v>
      </c>
      <c r="AY74" t="str">
        <f ca="1" t="shared" si="9"/>
        <v>{63,25430}</v>
      </c>
      <c r="AZ74" t="str">
        <f ca="1" t="shared" si="10"/>
        <v>{2,62000}</v>
      </c>
      <c r="BA74" t="str">
        <f ca="1" t="shared" si="11"/>
        <v>{6030001,945}</v>
      </c>
      <c r="BB74" t="str">
        <f ca="1" t="shared" si="12"/>
        <v>{6030002,883}</v>
      </c>
      <c r="BC74" t="str">
        <f ca="1" t="shared" si="13"/>
        <v>{6030003,45}</v>
      </c>
      <c r="BD74" t="str">
        <f ca="1" t="shared" si="14"/>
        <v/>
      </c>
    </row>
    <row r="75" spans="3:56">
      <c r="C75">
        <f ca="1" t="shared" si="1"/>
        <v>103.893442622951</v>
      </c>
      <c r="D75" s="40">
        <v>69</v>
      </c>
      <c r="E75" s="40">
        <v>90</v>
      </c>
      <c r="F75" s="40">
        <v>106</v>
      </c>
      <c r="G75" s="41">
        <v>122</v>
      </c>
      <c r="H75" s="40">
        <f t="shared" si="18"/>
        <v>154</v>
      </c>
      <c r="I75" s="40">
        <v>178</v>
      </c>
      <c r="J75" s="40">
        <f t="shared" si="17"/>
        <v>155</v>
      </c>
      <c r="K75" s="40">
        <f ca="1">SUM(U$36:U75)-SUM(OFFSET(载具产出!H$399,0,0,$R75+1,1))</f>
        <v>272</v>
      </c>
      <c r="L75" s="40">
        <f ca="1">SUM(T$36:T75)-SUM(OFFSET(载具产出!G$399,0,0,$R75+1,1))</f>
        <v>26285</v>
      </c>
      <c r="M75" s="40">
        <f ca="1">SUM(V$36:V75)/2-SUM(OFFSET(载具产出!I$399,0,0,$R75+1,1))</f>
        <v>64700</v>
      </c>
      <c r="N75" s="40">
        <f ca="1">SUM(AA$36:AA75)-SUM(OFFSET(载具产出!J$399,0,0,$R75+1,1))</f>
        <v>973.6</v>
      </c>
      <c r="O75" s="40">
        <f ca="1">SUM(AB$36:AB75)-SUM(OFFSET(载具产出!K$399,0,0,$R75+1,1))</f>
        <v>909.36</v>
      </c>
      <c r="P75" s="40">
        <f ca="1">SUM(AC$36:AC75)-SUM(OFFSET(载具产出!L$399,0,0,$R75+1,1))</f>
        <v>47.04</v>
      </c>
      <c r="Q75" s="40">
        <f ca="1">SUM(AD$36:AD75)-SUM(OFFSET(载具产出!M$399,0,0,$R75+1,1))</f>
        <v>0</v>
      </c>
      <c r="R75" s="40">
        <v>8</v>
      </c>
      <c r="S75" s="40" t="str">
        <f ca="1">OFFSET(载具产出!$D$111,IFERROR(MATCH(OFFSET($D75,0,MATCH($D$5,$E$6:$H$6,0)),载具产出!$E$112:$E$151,1),0),0)</f>
        <v>豪华Ⅲ</v>
      </c>
      <c r="T75" s="40">
        <f ca="1">OFFSET(载具产出!$F$399,IFERROR(MATCH(OFFSET($D75,0,MATCH($D$5,$E$6:$H$6,0)),载具产出!$E$400:$E$439,1),0),MATCH(T$6,载具产出!$G$399:$O$399,0))</f>
        <v>855</v>
      </c>
      <c r="U75" s="40">
        <v>7</v>
      </c>
      <c r="V75" s="40">
        <f ca="1">OFFSET(载具产出!$F$399,IFERROR(MATCH(OFFSET($D75,0,MATCH($D$5,$E$6:$H$6,0)),载具产出!$E$400:$E$439,1),0),MATCH(V$6,载具产出!$G$399:$O$399,0))</f>
        <v>5400</v>
      </c>
      <c r="W75" s="43">
        <f ca="1">_xlfn.XLOOKUP(Z75,载具属性!$E$98:$E$497,载具属性!$G$98:$G$497)+6000+OFFSET(载具属性!L$33,AS75,0)*载具属性!M$30+OFFSET(载具属性!M$33,AT75,0)*载具属性!N$30+OFFSET(载具属性!N$33,AU75,0)*载具属性!O$30+OFFSET(载具属性!O$33,AV75,0)*载具属性!P$30</f>
        <v>12675</v>
      </c>
      <c r="X75" s="43">
        <f ca="1">_xlfn.XLOOKUP(Z75,载具属性!$E$98:$E$497,载具属性!$G$98:$G$497)</f>
        <v>3705</v>
      </c>
      <c r="Y75" s="43">
        <f ca="1">OFFSET(载具属性!L$33,AS75,0)*载具属性!M$30+OFFSET(载具属性!M$33,AT75,0)*载具属性!N$30+OFFSET(载具属性!N$33,AU75,0)*载具属性!O$30+OFFSET(载具属性!O$33,AV75,0)*载具属性!P$30</f>
        <v>2970</v>
      </c>
      <c r="Z75" s="40">
        <f ca="1">MATCH(SUM($T$7:T75),载具属性!$I$98:$I$497,1)</f>
        <v>67</v>
      </c>
      <c r="AA75" s="40">
        <f ca="1">OFFSET(载具产出!$F$399,IFERROR(MATCH(OFFSET($D75,0,MATCH($D$5,$E$6:$H$6,0)),载具产出!$E$112:$E$151,1),0),MATCH(AA$6,载具产出!$G$111:$O$111,0))*2</f>
        <v>28</v>
      </c>
      <c r="AB75" s="40">
        <f ca="1">OFFSET(载具产出!$F$399,IFERROR(MATCH(OFFSET($D75,0,MATCH($D$5,$E$6:$H$6,0)),载具产出!$E$112:$E$151,1),0),MATCH(AB$6,载具产出!$G$111:$O$111,0))*2</f>
        <v>26.08</v>
      </c>
      <c r="AC75" s="40">
        <f ca="1">OFFSET(载具产出!$F$399,IFERROR(MATCH(OFFSET($D75,0,MATCH($D$5,$E$6:$H$6,0)),载具产出!$E$112:$E$151,1),0),MATCH(AC$6,载具产出!$G$111:$O$111,0))*2</f>
        <v>1.92</v>
      </c>
      <c r="AD75" s="40">
        <f ca="1">OFFSET(载具产出!$F$399,IFERROR(MATCH(OFFSET($D75,0,MATCH($D$5,$E$6:$H$6,0)),载具产出!$E$112:$E$151,1),0),MATCH(AD$6,载具产出!$G$111:$O$111,0))*2</f>
        <v>0</v>
      </c>
      <c r="AE75" s="44">
        <f ca="1">SUM(AA$36:AA75)/3</f>
        <v>365.466666666667</v>
      </c>
      <c r="AF75" s="44">
        <f ca="1">SUM(AB$36:AB75)/3</f>
        <v>326.72</v>
      </c>
      <c r="AG75" s="44">
        <f ca="1">SUM(AC$36:AC75)/3</f>
        <v>16.48</v>
      </c>
      <c r="AH75" s="44">
        <f ca="1">SUM(AD$36:AD75)/3</f>
        <v>0</v>
      </c>
      <c r="AI75" s="44">
        <f>_xlfn.XLOOKUP($D$5,载具产出!$D$71:$D$75,载具产出!$E$71:$E$75)*(D75-30+1)</f>
        <v>470.476190476192</v>
      </c>
      <c r="AJ75" s="44">
        <f>IFERROR(MATCH(_xlfn.XLOOKUP($D$5,载具产出!$D$71:$D$75,载具产出!$E$71:$E$75)*(D75-30+1)*10,载具产出!$E$60:$E$67,1),0)+1</f>
        <v>5</v>
      </c>
      <c r="AK75" s="44">
        <f ca="1">IF($AJ75=1,($AI75)*(10*OFFSET(载具产出!$D$45,MATCH(AK$6,$AK$6:$AN$6,0)-1,$AJ75)+OFFSET(载具产出!$D$49,MATCH(AK$6,$AK$6:$AN$6,0)-1,$AJ75)*OFFSET(载具产出!$N$49,MATCH(AK$6,$AK$6:$AN$6,0)-1,0)),OFFSET(载具产出!F$59,$AJ75-1,0)*10+OFFSET(载具产出!J$59,$AJ75-1,0)+($AI75*10-_xlfn.XLOOKUP($AJ75-1,载具产出!$D$59:$D$67,载具产出!$E$59:$E$67))/10*(10*OFFSET(载具产出!$D$45,MATCH(AK$6,$AK$6:$AN$6,0)-1,$AJ75)+OFFSET(载具产出!$D$49,MATCH(AK$6,$AK$6:$AN$6,0)-1,$AJ75)*OFFSET(载具产出!$N$49,MATCH(AK$6,$AK$6:$AN$6,0)-1,0)))</f>
        <v>1112.65285714286</v>
      </c>
      <c r="AL75" s="44">
        <f ca="1">IF($AJ75=1,($AI75)*(10*OFFSET(载具产出!$D$45,MATCH(AL$6,$AK$6:$AN$6,0)-1,$AJ75)+OFFSET(载具产出!$D$49,MATCH(AL$6,$AK$6:$AN$6,0)-1,$AJ75)*OFFSET(载具产出!$N$49,MATCH(AL$6,$AK$6:$AN$6,0)-1,0)),OFFSET(载具产出!G$59,$AJ75-1,0)*10+OFFSET(载具产出!K$59,$AJ75-1,0)+($AI75*10-_xlfn.XLOOKUP($AJ75-1,载具产出!$D$59:$D$67,载具产出!$E$59:$E$67))/10*(10*OFFSET(载具产出!$D$45,MATCH(AL$6,$AK$6:$AN$6,0)-1,$AJ75)+OFFSET(载具产出!$D$49,MATCH(AL$6,$AK$6:$AN$6,0)-1,$AJ75)*OFFSET(载具产出!$N$49,MATCH(AL$6,$AK$6:$AN$6,0)-1,0)))</f>
        <v>387.509523809525</v>
      </c>
      <c r="AM75" s="44">
        <f ca="1">IF($AJ75=1,($AI75)*(10*OFFSET(载具产出!$D$45,MATCH(AM$6,$AK$6:$AN$6,0)-1,$AJ75)+OFFSET(载具产出!$D$49,MATCH(AM$6,$AK$6:$AN$6,0)-1,$AJ75)*OFFSET(载具产出!$N$49,MATCH(AM$6,$AK$6:$AN$6,0)-1,0)),OFFSET(载具产出!H$59,$AJ75-1,0)*10+OFFSET(载具产出!L$59,$AJ75-1,0)+($AI75*10-_xlfn.XLOOKUP($AJ75-1,载具产出!$D$59:$D$67,载具产出!$E$59:$E$67))/10*(10*OFFSET(载具产出!$D$45,MATCH(AM$6,$AK$6:$AN$6,0)-1,$AJ75)+OFFSET(载具产出!$D$49,MATCH(AM$6,$AK$6:$AN$6,0)-1,$AJ75)*OFFSET(载具产出!$N$49,MATCH(AM$6,$AK$6:$AN$6,0)-1,0)))</f>
        <v>193.820952380953</v>
      </c>
      <c r="AN75" s="44">
        <f ca="1">IF($AJ75=1,($AI75)*(10*OFFSET(载具产出!$D$45,MATCH(AN$6,$AK$6:$AN$6,0)-1,$AJ75)+OFFSET(载具产出!$D$49,MATCH(AN$6,$AK$6:$AN$6,0)-1,$AJ75)*OFFSET(载具产出!$N$49,MATCH(AN$6,$AK$6:$AN$6,0)-1,0)),OFFSET(载具产出!I$59,$AJ75-1,0)*10+OFFSET(载具产出!M$59,$AJ75-1,0)+($AI75*10-_xlfn.XLOOKUP($AJ75-1,载具产出!$D$59:$D$67,载具产出!$E$59:$E$67))/10*(10*OFFSET(载具产出!$D$45,MATCH(AN$6,$AK$6:$AN$6,0)-1,$AJ75)+OFFSET(载具产出!$D$49,MATCH(AN$6,$AK$6:$AN$6,0)-1,$AJ75)*OFFSET(载具产出!$N$49,MATCH(AN$6,$AK$6:$AN$6,0)-1,0)))</f>
        <v>50.2000000000002</v>
      </c>
      <c r="AO75" s="44">
        <f ca="1" t="shared" si="3"/>
        <v>1478.11952380953</v>
      </c>
      <c r="AP75" s="44">
        <f ca="1" t="shared" si="4"/>
        <v>714.229523809525</v>
      </c>
      <c r="AQ75" s="44">
        <f ca="1" t="shared" si="5"/>
        <v>210.300952380953</v>
      </c>
      <c r="AR75" s="44">
        <f ca="1" t="shared" si="6"/>
        <v>50.2000000000002</v>
      </c>
      <c r="AS75" s="45">
        <f ca="1">IFERROR(MATCH(AO75/载具产出!R$58,载具属性!$G$33:$G$92,1),0)</f>
        <v>20</v>
      </c>
      <c r="AT75" s="45">
        <f ca="1">IFERROR(MATCH(AP75/载具产出!S$58,载具属性!$G$33:$G$92,1),0)</f>
        <v>13</v>
      </c>
      <c r="AU75" s="45">
        <f ca="1">IFERROR(MATCH(AQ75/载具产出!T$58,载具属性!$G$33:$G$92,1),0)</f>
        <v>5</v>
      </c>
      <c r="AV75" s="45">
        <f ca="1">IFERROR(MATCH(AR75/载具产出!U$58,载具属性!$G$33:$G$92,1),0)</f>
        <v>0</v>
      </c>
      <c r="AW75" s="46" t="str">
        <f ca="1" t="shared" si="7"/>
        <v>[{62,272},{63,26285},{2,64700},{6030001,973},{6030002,909},{6030003,47}]</v>
      </c>
      <c r="AX75" t="str">
        <f ca="1" t="shared" si="8"/>
        <v>{62,272}</v>
      </c>
      <c r="AY75" t="str">
        <f ca="1" t="shared" si="9"/>
        <v>{63,26285}</v>
      </c>
      <c r="AZ75" t="str">
        <f ca="1" t="shared" si="10"/>
        <v>{2,64700}</v>
      </c>
      <c r="BA75" t="str">
        <f ca="1" t="shared" si="11"/>
        <v>{6030001,973}</v>
      </c>
      <c r="BB75" t="str">
        <f ca="1" t="shared" si="12"/>
        <v>{6030002,909}</v>
      </c>
      <c r="BC75" t="str">
        <f ca="1" t="shared" si="13"/>
        <v>{6030003,47}</v>
      </c>
      <c r="BD75" t="str">
        <f ca="1" t="shared" si="14"/>
        <v/>
      </c>
    </row>
    <row r="76" spans="3:56">
      <c r="C76">
        <f ca="1" t="shared" si="1"/>
        <v>103.780487804878</v>
      </c>
      <c r="D76" s="40">
        <v>70</v>
      </c>
      <c r="E76" s="40">
        <v>91</v>
      </c>
      <c r="F76" s="40">
        <v>107</v>
      </c>
      <c r="G76" s="41">
        <v>123</v>
      </c>
      <c r="H76" s="40">
        <f t="shared" si="18"/>
        <v>155</v>
      </c>
      <c r="I76" s="40">
        <v>178</v>
      </c>
      <c r="J76" s="40">
        <f t="shared" si="17"/>
        <v>156</v>
      </c>
      <c r="K76" s="40">
        <f ca="1">SUM(U$36:U76)-SUM(OFFSET(载具产出!H$399,0,0,$R76+1,1))</f>
        <v>279</v>
      </c>
      <c r="L76" s="40">
        <f ca="1">SUM(T$36:T76)-SUM(OFFSET(载具产出!G$399,0,0,$R76+1,1))</f>
        <v>27140</v>
      </c>
      <c r="M76" s="40">
        <f ca="1">SUM(V$36:V76)/2-SUM(OFFSET(载具产出!I$399,0,0,$R76+1,1))</f>
        <v>67400</v>
      </c>
      <c r="N76" s="40">
        <f ca="1">SUM(AA$36:AA76)-SUM(OFFSET(载具产出!J$399,0,0,$R76+1,1))</f>
        <v>1001.6</v>
      </c>
      <c r="O76" s="40">
        <f ca="1">SUM(AB$36:AB76)-SUM(OFFSET(载具产出!K$399,0,0,$R76+1,1))</f>
        <v>935.44</v>
      </c>
      <c r="P76" s="40">
        <f ca="1">SUM(AC$36:AC76)-SUM(OFFSET(载具产出!L$399,0,0,$R76+1,1))</f>
        <v>48.96</v>
      </c>
      <c r="Q76" s="40">
        <f ca="1">SUM(AD$36:AD76)-SUM(OFFSET(载具产出!M$399,0,0,$R76+1,1))</f>
        <v>0</v>
      </c>
      <c r="R76" s="40">
        <v>8</v>
      </c>
      <c r="S76" s="40" t="str">
        <f ca="1">OFFSET(载具产出!$D$111,IFERROR(MATCH(OFFSET($D76,0,MATCH($D$5,$E$6:$H$6,0)),载具产出!$E$112:$E$151,1),0),0)</f>
        <v>豪华Ⅲ</v>
      </c>
      <c r="T76" s="40">
        <f ca="1">OFFSET(载具产出!$F$399,IFERROR(MATCH(OFFSET($D76,0,MATCH($D$5,$E$6:$H$6,0)),载具产出!$E$400:$E$439,1),0),MATCH(T$6,载具产出!$G$399:$O$399,0))</f>
        <v>855</v>
      </c>
      <c r="U76" s="40">
        <v>7</v>
      </c>
      <c r="V76" s="40">
        <f ca="1">OFFSET(载具产出!$F$399,IFERROR(MATCH(OFFSET($D76,0,MATCH($D$5,$E$6:$H$6,0)),载具产出!$E$400:$E$439,1),0),MATCH(V$6,载具产出!$G$399:$O$399,0))</f>
        <v>5400</v>
      </c>
      <c r="W76" s="43">
        <f ca="1">_xlfn.XLOOKUP(Z76,载具属性!$E$98:$E$497,载具属性!$G$98:$G$497)+6000+OFFSET(载具属性!L$33,AS76,0)*载具属性!M$30+OFFSET(载具属性!M$33,AT76,0)*载具属性!N$30+OFFSET(载具属性!N$33,AU76,0)*载具属性!O$30+OFFSET(载具属性!O$33,AV76,0)*载具属性!P$30</f>
        <v>12765</v>
      </c>
      <c r="X76" s="43">
        <f ca="1">_xlfn.XLOOKUP(Z76,载具属性!$E$98:$E$497,载具属性!$G$98:$G$497)</f>
        <v>3705</v>
      </c>
      <c r="Y76" s="43">
        <f ca="1">OFFSET(载具属性!L$33,AS76,0)*载具属性!M$30+OFFSET(载具属性!M$33,AT76,0)*载具属性!N$30+OFFSET(载具属性!N$33,AU76,0)*载具属性!O$30+OFFSET(载具属性!O$33,AV76,0)*载具属性!P$30</f>
        <v>3060</v>
      </c>
      <c r="Z76" s="40">
        <f ca="1">MATCH(SUM($T$7:T76),载具属性!$I$98:$I$497,1)</f>
        <v>67</v>
      </c>
      <c r="AA76" s="40">
        <f ca="1">OFFSET(载具产出!$F$399,IFERROR(MATCH(OFFSET($D76,0,MATCH($D$5,$E$6:$H$6,0)),载具产出!$E$112:$E$151,1),0),MATCH(AA$6,载具产出!$G$111:$O$111,0))*2</f>
        <v>28</v>
      </c>
      <c r="AB76" s="40">
        <f ca="1">OFFSET(载具产出!$F$399,IFERROR(MATCH(OFFSET($D76,0,MATCH($D$5,$E$6:$H$6,0)),载具产出!$E$112:$E$151,1),0),MATCH(AB$6,载具产出!$G$111:$O$111,0))*2</f>
        <v>26.08</v>
      </c>
      <c r="AC76" s="40">
        <f ca="1">OFFSET(载具产出!$F$399,IFERROR(MATCH(OFFSET($D76,0,MATCH($D$5,$E$6:$H$6,0)),载具产出!$E$112:$E$151,1),0),MATCH(AC$6,载具产出!$G$111:$O$111,0))*2</f>
        <v>1.92</v>
      </c>
      <c r="AD76" s="40">
        <f ca="1">OFFSET(载具产出!$F$399,IFERROR(MATCH(OFFSET($D76,0,MATCH($D$5,$E$6:$H$6,0)),载具产出!$E$112:$E$151,1),0),MATCH(AD$6,载具产出!$G$111:$O$111,0))*2</f>
        <v>0</v>
      </c>
      <c r="AE76" s="44">
        <f ca="1">SUM(AA$36:AA76)/3</f>
        <v>374.8</v>
      </c>
      <c r="AF76" s="44">
        <f ca="1">SUM(AB$36:AB76)/3</f>
        <v>335.413333333333</v>
      </c>
      <c r="AG76" s="44">
        <f ca="1">SUM(AC$36:AC76)/3</f>
        <v>17.12</v>
      </c>
      <c r="AH76" s="44">
        <f ca="1">SUM(AD$36:AD76)/3</f>
        <v>0</v>
      </c>
      <c r="AI76" s="44">
        <f>_xlfn.XLOOKUP($D$5,载具产出!$D$71:$D$75,载具产出!$E$71:$E$75)*(D76-30+1)</f>
        <v>482.238095238097</v>
      </c>
      <c r="AJ76" s="44">
        <f>IFERROR(MATCH(_xlfn.XLOOKUP($D$5,载具产出!$D$71:$D$75,载具产出!$E$71:$E$75)*(D76-30+1)*10,载具产出!$E$60:$E$67,1),0)+1</f>
        <v>5</v>
      </c>
      <c r="AK76" s="44">
        <f ca="1">IF($AJ76=1,($AI76)*(10*OFFSET(载具产出!$D$45,MATCH(AK$6,$AK$6:$AN$6,0)-1,$AJ76)+OFFSET(载具产出!$D$49,MATCH(AK$6,$AK$6:$AN$6,0)-1,$AJ76)*OFFSET(载具产出!$N$49,MATCH(AK$6,$AK$6:$AN$6,0)-1,0)),OFFSET(载具产出!F$59,$AJ76-1,0)*10+OFFSET(载具产出!J$59,$AJ76-1,0)+($AI76*10-_xlfn.XLOOKUP($AJ76-1,载具产出!$D$59:$D$67,载具产出!$E$59:$E$67))/10*(10*OFFSET(载具产出!$D$45,MATCH(AK$6,$AK$6:$AN$6,0)-1,$AJ76)+OFFSET(载具产出!$D$49,MATCH(AK$6,$AK$6:$AN$6,0)-1,$AJ76)*OFFSET(载具产出!$N$49,MATCH(AK$6,$AK$6:$AN$6,0)-1,0)))</f>
        <v>1138.90542857143</v>
      </c>
      <c r="AL76" s="44">
        <f ca="1">IF($AJ76=1,($AI76)*(10*OFFSET(载具产出!$D$45,MATCH(AL$6,$AK$6:$AN$6,0)-1,$AJ76)+OFFSET(载具产出!$D$49,MATCH(AL$6,$AK$6:$AN$6,0)-1,$AJ76)*OFFSET(载具产出!$N$49,MATCH(AL$6,$AK$6:$AN$6,0)-1,0)),OFFSET(载具产出!G$59,$AJ76-1,0)*10+OFFSET(载具产出!K$59,$AJ76-1,0)+($AI76*10-_xlfn.XLOOKUP($AJ76-1,载具产出!$D$59:$D$67,载具产出!$E$59:$E$67))/10*(10*OFFSET(载具产出!$D$45,MATCH(AL$6,$AK$6:$AN$6,0)-1,$AJ76)+OFFSET(载具产出!$D$49,MATCH(AL$6,$AK$6:$AN$6,0)-1,$AJ76)*OFFSET(载具产出!$N$49,MATCH(AL$6,$AK$6:$AN$6,0)-1,0)))</f>
        <v>397.624761904763</v>
      </c>
      <c r="AM76" s="44">
        <f ca="1">IF($AJ76=1,($AI76)*(10*OFFSET(载具产出!$D$45,MATCH(AM$6,$AK$6:$AN$6,0)-1,$AJ76)+OFFSET(载具产出!$D$49,MATCH(AM$6,$AK$6:$AN$6,0)-1,$AJ76)*OFFSET(载具产出!$N$49,MATCH(AM$6,$AK$6:$AN$6,0)-1,0)),OFFSET(载具产出!H$59,$AJ76-1,0)*10+OFFSET(载具产出!L$59,$AJ76-1,0)+($AI76*10-_xlfn.XLOOKUP($AJ76-1,载具产出!$D$59:$D$67,载具产出!$E$59:$E$67))/10*(10*OFFSET(载具产出!$D$45,MATCH(AM$6,$AK$6:$AN$6,0)-1,$AJ76)+OFFSET(载具产出!$D$49,MATCH(AM$6,$AK$6:$AN$6,0)-1,$AJ76)*OFFSET(载具产出!$N$49,MATCH(AM$6,$AK$6:$AN$6,0)-1,0)))</f>
        <v>199.278476190477</v>
      </c>
      <c r="AN76" s="44">
        <f ca="1">IF($AJ76=1,($AI76)*(10*OFFSET(载具产出!$D$45,MATCH(AN$6,$AK$6:$AN$6,0)-1,$AJ76)+OFFSET(载具产出!$D$49,MATCH(AN$6,$AK$6:$AN$6,0)-1,$AJ76)*OFFSET(载具产出!$N$49,MATCH(AN$6,$AK$6:$AN$6,0)-1,0)),OFFSET(载具产出!I$59,$AJ76-1,0)*10+OFFSET(载具产出!M$59,$AJ76-1,0)+($AI76*10-_xlfn.XLOOKUP($AJ76-1,载具产出!$D$59:$D$67,载具产出!$E$59:$E$67))/10*(10*OFFSET(载具产出!$D$45,MATCH(AN$6,$AK$6:$AN$6,0)-1,$AJ76)+OFFSET(载具产出!$D$49,MATCH(AN$6,$AK$6:$AN$6,0)-1,$AJ76)*OFFSET(载具产出!$N$49,MATCH(AN$6,$AK$6:$AN$6,0)-1,0)))</f>
        <v>51.9290000000003</v>
      </c>
      <c r="AO76" s="44">
        <f ca="1" t="shared" si="3"/>
        <v>1513.70542857143</v>
      </c>
      <c r="AP76" s="44">
        <f ca="1" t="shared" si="4"/>
        <v>733.038095238097</v>
      </c>
      <c r="AQ76" s="44">
        <f ca="1" t="shared" si="5"/>
        <v>216.398476190477</v>
      </c>
      <c r="AR76" s="44">
        <f ca="1" t="shared" si="6"/>
        <v>51.9290000000003</v>
      </c>
      <c r="AS76" s="45">
        <f ca="1">IFERROR(MATCH(AO76/载具产出!R$58,载具属性!$G$33:$G$92,1),0)</f>
        <v>20</v>
      </c>
      <c r="AT76" s="45">
        <f ca="1">IFERROR(MATCH(AP76/载具产出!S$58,载具属性!$G$33:$G$92,1),0)</f>
        <v>14</v>
      </c>
      <c r="AU76" s="45">
        <f ca="1">IFERROR(MATCH(AQ76/载具产出!T$58,载具属性!$G$33:$G$92,1),0)</f>
        <v>5</v>
      </c>
      <c r="AV76" s="45">
        <f ca="1">IFERROR(MATCH(AR76/载具产出!U$58,载具属性!$G$33:$G$92,1),0)</f>
        <v>0</v>
      </c>
      <c r="AW76" s="46" t="str">
        <f ca="1" t="shared" si="7"/>
        <v>[{62,279},{63,27140},{2,67400},{6030001,1001},{6030002,935},{6030003,48}]</v>
      </c>
      <c r="AX76" t="str">
        <f ca="1" t="shared" si="8"/>
        <v>{62,279}</v>
      </c>
      <c r="AY76" t="str">
        <f ca="1" t="shared" si="9"/>
        <v>{63,27140}</v>
      </c>
      <c r="AZ76" t="str">
        <f ca="1" t="shared" si="10"/>
        <v>{2,67400}</v>
      </c>
      <c r="BA76" t="str">
        <f ca="1" t="shared" si="11"/>
        <v>{6030001,1001}</v>
      </c>
      <c r="BB76" t="str">
        <f ca="1" t="shared" si="12"/>
        <v>{6030002,935}</v>
      </c>
      <c r="BC76" t="str">
        <f ca="1" t="shared" si="13"/>
        <v>{6030003,48}</v>
      </c>
      <c r="BD76" t="str">
        <f ca="1" t="shared" si="14"/>
        <v/>
      </c>
    </row>
    <row r="77" spans="3:56">
      <c r="C77">
        <f ca="1" t="shared" si="1"/>
        <v>104.308943089431</v>
      </c>
      <c r="D77" s="40">
        <v>71</v>
      </c>
      <c r="E77" s="40">
        <v>91</v>
      </c>
      <c r="F77" s="40">
        <v>107</v>
      </c>
      <c r="G77" s="41">
        <v>123</v>
      </c>
      <c r="H77" s="40">
        <f t="shared" si="18"/>
        <v>156</v>
      </c>
      <c r="I77" s="40">
        <v>180</v>
      </c>
      <c r="J77" s="40">
        <f t="shared" si="17"/>
        <v>158</v>
      </c>
      <c r="K77" s="40">
        <f ca="1">SUM(U$36:U77)-SUM(OFFSET(载具产出!H$399,0,0,$R77+1,1))</f>
        <v>286</v>
      </c>
      <c r="L77" s="40">
        <f ca="1">SUM(T$36:T77)-SUM(OFFSET(载具产出!G$399,0,0,$R77+1,1))</f>
        <v>27995</v>
      </c>
      <c r="M77" s="40">
        <f ca="1">SUM(V$36:V77)/2-SUM(OFFSET(载具产出!I$399,0,0,$R77+1,1))</f>
        <v>70100</v>
      </c>
      <c r="N77" s="40">
        <f ca="1">SUM(AA$36:AA77)-SUM(OFFSET(载具产出!J$399,0,0,$R77+1,1))</f>
        <v>1029.6</v>
      </c>
      <c r="O77" s="40">
        <f ca="1">SUM(AB$36:AB77)-SUM(OFFSET(载具产出!K$399,0,0,$R77+1,1))</f>
        <v>961.52</v>
      </c>
      <c r="P77" s="40">
        <f ca="1">SUM(AC$36:AC77)-SUM(OFFSET(载具产出!L$399,0,0,$R77+1,1))</f>
        <v>50.88</v>
      </c>
      <c r="Q77" s="40">
        <f ca="1">SUM(AD$36:AD77)-SUM(OFFSET(载具产出!M$399,0,0,$R77+1,1))</f>
        <v>0</v>
      </c>
      <c r="R77" s="40">
        <v>8</v>
      </c>
      <c r="S77" s="40" t="str">
        <f ca="1">OFFSET(载具产出!$D$111,IFERROR(MATCH(OFFSET($D77,0,MATCH($D$5,$E$6:$H$6,0)),载具产出!$E$112:$E$151,1),0),0)</f>
        <v>豪华Ⅲ</v>
      </c>
      <c r="T77" s="40">
        <f ca="1">OFFSET(载具产出!$F$399,IFERROR(MATCH(OFFSET($D77,0,MATCH($D$5,$E$6:$H$6,0)),载具产出!$E$400:$E$439,1),0),MATCH(T$6,载具产出!$G$399:$O$399,0))</f>
        <v>855</v>
      </c>
      <c r="U77" s="40">
        <v>7</v>
      </c>
      <c r="V77" s="40">
        <f ca="1">OFFSET(载具产出!$F$399,IFERROR(MATCH(OFFSET($D77,0,MATCH($D$5,$E$6:$H$6,0)),载具产出!$E$400:$E$439,1),0),MATCH(V$6,载具产出!$G$399:$O$399,0))</f>
        <v>5400</v>
      </c>
      <c r="W77" s="43">
        <f ca="1">_xlfn.XLOOKUP(Z77,载具属性!$E$98:$E$497,载具属性!$G$98:$G$497)+6000+OFFSET(载具属性!L$33,AS77,0)*载具属性!M$30+OFFSET(载具属性!M$33,AT77,0)*载具属性!N$30+OFFSET(载具属性!N$33,AU77,0)*载具属性!O$30+OFFSET(载具属性!O$33,AV77,0)*载具属性!P$30</f>
        <v>12830</v>
      </c>
      <c r="X77" s="43">
        <f ca="1">_xlfn.XLOOKUP(Z77,载具属性!$E$98:$E$497,载具属性!$G$98:$G$497)</f>
        <v>3770</v>
      </c>
      <c r="Y77" s="43">
        <f ca="1">OFFSET(载具属性!L$33,AS77,0)*载具属性!M$30+OFFSET(载具属性!M$33,AT77,0)*载具属性!N$30+OFFSET(载具属性!N$33,AU77,0)*载具属性!O$30+OFFSET(载具属性!O$33,AV77,0)*载具属性!P$30</f>
        <v>3060</v>
      </c>
      <c r="Z77" s="40">
        <f ca="1">MATCH(SUM($T$7:T77),载具属性!$I$98:$I$497,1)</f>
        <v>68</v>
      </c>
      <c r="AA77" s="40">
        <f ca="1">OFFSET(载具产出!$F$399,IFERROR(MATCH(OFFSET($D77,0,MATCH($D$5,$E$6:$H$6,0)),载具产出!$E$112:$E$151,1),0),MATCH(AA$6,载具产出!$G$111:$O$111,0))*2</f>
        <v>28</v>
      </c>
      <c r="AB77" s="40">
        <f ca="1">OFFSET(载具产出!$F$399,IFERROR(MATCH(OFFSET($D77,0,MATCH($D$5,$E$6:$H$6,0)),载具产出!$E$112:$E$151,1),0),MATCH(AB$6,载具产出!$G$111:$O$111,0))*2</f>
        <v>26.08</v>
      </c>
      <c r="AC77" s="40">
        <f ca="1">OFFSET(载具产出!$F$399,IFERROR(MATCH(OFFSET($D77,0,MATCH($D$5,$E$6:$H$6,0)),载具产出!$E$112:$E$151,1),0),MATCH(AC$6,载具产出!$G$111:$O$111,0))*2</f>
        <v>1.92</v>
      </c>
      <c r="AD77" s="40">
        <f ca="1">OFFSET(载具产出!$F$399,IFERROR(MATCH(OFFSET($D77,0,MATCH($D$5,$E$6:$H$6,0)),载具产出!$E$112:$E$151,1),0),MATCH(AD$6,载具产出!$G$111:$O$111,0))*2</f>
        <v>0</v>
      </c>
      <c r="AE77" s="44">
        <f ca="1">SUM(AA$36:AA77)/3</f>
        <v>384.133333333333</v>
      </c>
      <c r="AF77" s="44">
        <f ca="1">SUM(AB$36:AB77)/3</f>
        <v>344.106666666667</v>
      </c>
      <c r="AG77" s="44">
        <f ca="1">SUM(AC$36:AC77)/3</f>
        <v>17.76</v>
      </c>
      <c r="AH77" s="44">
        <f ca="1">SUM(AD$36:AD77)/3</f>
        <v>0</v>
      </c>
      <c r="AI77" s="44">
        <f>_xlfn.XLOOKUP($D$5,载具产出!$D$71:$D$75,载具产出!$E$71:$E$75)*(D77-30+1)</f>
        <v>494.000000000002</v>
      </c>
      <c r="AJ77" s="44">
        <f>IFERROR(MATCH(_xlfn.XLOOKUP($D$5,载具产出!$D$71:$D$75,载具产出!$E$71:$E$75)*(D77-30+1)*10,载具产出!$E$60:$E$67,1),0)+1</f>
        <v>5</v>
      </c>
      <c r="AK77" s="44">
        <f ca="1">IF($AJ77=1,($AI77)*(10*OFFSET(载具产出!$D$45,MATCH(AK$6,$AK$6:$AN$6,0)-1,$AJ77)+OFFSET(载具产出!$D$49,MATCH(AK$6,$AK$6:$AN$6,0)-1,$AJ77)*OFFSET(载具产出!$N$49,MATCH(AK$6,$AK$6:$AN$6,0)-1,0)),OFFSET(载具产出!F$59,$AJ77-1,0)*10+OFFSET(载具产出!J$59,$AJ77-1,0)+($AI77*10-_xlfn.XLOOKUP($AJ77-1,载具产出!$D$59:$D$67,载具产出!$E$59:$E$67))/10*(10*OFFSET(载具产出!$D$45,MATCH(AK$6,$AK$6:$AN$6,0)-1,$AJ77)+OFFSET(载具产出!$D$49,MATCH(AK$6,$AK$6:$AN$6,0)-1,$AJ77)*OFFSET(载具产出!$N$49,MATCH(AK$6,$AK$6:$AN$6,0)-1,0)))</f>
        <v>1165.158</v>
      </c>
      <c r="AL77" s="44">
        <f ca="1">IF($AJ77=1,($AI77)*(10*OFFSET(载具产出!$D$45,MATCH(AL$6,$AK$6:$AN$6,0)-1,$AJ77)+OFFSET(载具产出!$D$49,MATCH(AL$6,$AK$6:$AN$6,0)-1,$AJ77)*OFFSET(载具产出!$N$49,MATCH(AL$6,$AK$6:$AN$6,0)-1,0)),OFFSET(载具产出!G$59,$AJ77-1,0)*10+OFFSET(载具产出!K$59,$AJ77-1,0)+($AI77*10-_xlfn.XLOOKUP($AJ77-1,载具产出!$D$59:$D$67,载具产出!$E$59:$E$67))/10*(10*OFFSET(载具产出!$D$45,MATCH(AL$6,$AK$6:$AN$6,0)-1,$AJ77)+OFFSET(载具产出!$D$49,MATCH(AL$6,$AK$6:$AN$6,0)-1,$AJ77)*OFFSET(载具产出!$N$49,MATCH(AL$6,$AK$6:$AN$6,0)-1,0)))</f>
        <v>407.740000000002</v>
      </c>
      <c r="AM77" s="44">
        <f ca="1">IF($AJ77=1,($AI77)*(10*OFFSET(载具产出!$D$45,MATCH(AM$6,$AK$6:$AN$6,0)-1,$AJ77)+OFFSET(载具产出!$D$49,MATCH(AM$6,$AK$6:$AN$6,0)-1,$AJ77)*OFFSET(载具产出!$N$49,MATCH(AM$6,$AK$6:$AN$6,0)-1,0)),OFFSET(载具产出!H$59,$AJ77-1,0)*10+OFFSET(载具产出!L$59,$AJ77-1,0)+($AI77*10-_xlfn.XLOOKUP($AJ77-1,载具产出!$D$59:$D$67,载具产出!$E$59:$E$67))/10*(10*OFFSET(载具产出!$D$45,MATCH(AM$6,$AK$6:$AN$6,0)-1,$AJ77)+OFFSET(载具产出!$D$49,MATCH(AM$6,$AK$6:$AN$6,0)-1,$AJ77)*OFFSET(载具产出!$N$49,MATCH(AM$6,$AK$6:$AN$6,0)-1,0)))</f>
        <v>204.736000000001</v>
      </c>
      <c r="AN77" s="44">
        <f ca="1">IF($AJ77=1,($AI77)*(10*OFFSET(载具产出!$D$45,MATCH(AN$6,$AK$6:$AN$6,0)-1,$AJ77)+OFFSET(载具产出!$D$49,MATCH(AN$6,$AK$6:$AN$6,0)-1,$AJ77)*OFFSET(载具产出!$N$49,MATCH(AN$6,$AK$6:$AN$6,0)-1,0)),OFFSET(载具产出!I$59,$AJ77-1,0)*10+OFFSET(载具产出!M$59,$AJ77-1,0)+($AI77*10-_xlfn.XLOOKUP($AJ77-1,载具产出!$D$59:$D$67,载具产出!$E$59:$E$67))/10*(10*OFFSET(载具产出!$D$45,MATCH(AN$6,$AK$6:$AN$6,0)-1,$AJ77)+OFFSET(载具产出!$D$49,MATCH(AN$6,$AK$6:$AN$6,0)-1,$AJ77)*OFFSET(载具产出!$N$49,MATCH(AN$6,$AK$6:$AN$6,0)-1,0)))</f>
        <v>53.6580000000003</v>
      </c>
      <c r="AO77" s="44">
        <f ca="1" t="shared" si="3"/>
        <v>1549.29133333334</v>
      </c>
      <c r="AP77" s="44">
        <f ca="1" t="shared" si="4"/>
        <v>751.846666666668</v>
      </c>
      <c r="AQ77" s="44">
        <f ca="1" t="shared" si="5"/>
        <v>222.496000000001</v>
      </c>
      <c r="AR77" s="44">
        <f ca="1" t="shared" si="6"/>
        <v>53.6580000000003</v>
      </c>
      <c r="AS77" s="45">
        <f ca="1">IFERROR(MATCH(AO77/载具产出!R$58,载具属性!$G$33:$G$92,1),0)</f>
        <v>20</v>
      </c>
      <c r="AT77" s="45">
        <f ca="1">IFERROR(MATCH(AP77/载具产出!S$58,载具属性!$G$33:$G$92,1),0)</f>
        <v>14</v>
      </c>
      <c r="AU77" s="45">
        <f ca="1">IFERROR(MATCH(AQ77/载具产出!T$58,载具属性!$G$33:$G$92,1),0)</f>
        <v>5</v>
      </c>
      <c r="AV77" s="45">
        <f ca="1">IFERROR(MATCH(AR77/载具产出!U$58,载具属性!$G$33:$G$92,1),0)</f>
        <v>0</v>
      </c>
      <c r="AW77" s="46" t="str">
        <f ca="1" t="shared" si="7"/>
        <v>[{62,286},{63,27995},{2,70100},{6030001,1029},{6030002,961},{6030003,50}]</v>
      </c>
      <c r="AX77" t="str">
        <f ca="1" t="shared" si="8"/>
        <v>{62,286}</v>
      </c>
      <c r="AY77" t="str">
        <f ca="1" t="shared" si="9"/>
        <v>{63,27995}</v>
      </c>
      <c r="AZ77" t="str">
        <f ca="1" t="shared" si="10"/>
        <v>{2,70100}</v>
      </c>
      <c r="BA77" t="str">
        <f ca="1" t="shared" si="11"/>
        <v>{6030001,1029}</v>
      </c>
      <c r="BB77" t="str">
        <f ca="1" t="shared" si="12"/>
        <v>{6030002,961}</v>
      </c>
      <c r="BC77" t="str">
        <f ca="1" t="shared" si="13"/>
        <v>{6030003,50}</v>
      </c>
      <c r="BD77" t="str">
        <f ca="1" t="shared" si="14"/>
        <v/>
      </c>
    </row>
    <row r="78" spans="3:56">
      <c r="C78">
        <f ca="1" t="shared" si="1"/>
        <v>104.475806451613</v>
      </c>
      <c r="D78" s="40">
        <v>72</v>
      </c>
      <c r="E78" s="40">
        <v>91</v>
      </c>
      <c r="F78" s="40">
        <v>108</v>
      </c>
      <c r="G78" s="41">
        <v>124</v>
      </c>
      <c r="H78" s="40">
        <f t="shared" si="18"/>
        <v>157</v>
      </c>
      <c r="I78" s="40">
        <v>181</v>
      </c>
      <c r="J78" s="40">
        <f t="shared" si="17"/>
        <v>159</v>
      </c>
      <c r="K78" s="40">
        <f ca="1">SUM(U$36:U78)-SUM(OFFSET(载具产出!H$399,0,0,$R78+1,1))</f>
        <v>293</v>
      </c>
      <c r="L78" s="40">
        <f ca="1">SUM(T$36:T78)-SUM(OFFSET(载具产出!G$399,0,0,$R78+1,1))</f>
        <v>28850</v>
      </c>
      <c r="M78" s="40">
        <f ca="1">SUM(V$36:V78)/2-SUM(OFFSET(载具产出!I$399,0,0,$R78+1,1))</f>
        <v>72800</v>
      </c>
      <c r="N78" s="40">
        <f ca="1">SUM(AA$36:AA78)-SUM(OFFSET(载具产出!J$399,0,0,$R78+1,1))</f>
        <v>1057.6</v>
      </c>
      <c r="O78" s="40">
        <f ca="1">SUM(AB$36:AB78)-SUM(OFFSET(载具产出!K$399,0,0,$R78+1,1))</f>
        <v>987.6</v>
      </c>
      <c r="P78" s="40">
        <f ca="1">SUM(AC$36:AC78)-SUM(OFFSET(载具产出!L$399,0,0,$R78+1,1))</f>
        <v>52.8</v>
      </c>
      <c r="Q78" s="40">
        <f ca="1">SUM(AD$36:AD78)-SUM(OFFSET(载具产出!M$399,0,0,$R78+1,1))</f>
        <v>0</v>
      </c>
      <c r="R78" s="40">
        <v>8</v>
      </c>
      <c r="S78" s="40" t="str">
        <f ca="1">OFFSET(载具产出!$D$111,IFERROR(MATCH(OFFSET($D78,0,MATCH($D$5,$E$6:$H$6,0)),载具产出!$E$112:$E$151,1),0),0)</f>
        <v>豪华Ⅲ</v>
      </c>
      <c r="T78" s="40">
        <f ca="1">OFFSET(载具产出!$F$399,IFERROR(MATCH(OFFSET($D78,0,MATCH($D$5,$E$6:$H$6,0)),载具产出!$E$400:$E$439,1),0),MATCH(T$6,载具产出!$G$399:$O$399,0))</f>
        <v>855</v>
      </c>
      <c r="U78" s="40">
        <v>7</v>
      </c>
      <c r="V78" s="40">
        <f ca="1">OFFSET(载具产出!$F$399,IFERROR(MATCH(OFFSET($D78,0,MATCH($D$5,$E$6:$H$6,0)),载具产出!$E$400:$E$439,1),0),MATCH(V$6,载具产出!$G$399:$O$399,0))</f>
        <v>5400</v>
      </c>
      <c r="W78" s="43">
        <f ca="1">_xlfn.XLOOKUP(Z78,载具属性!$E$98:$E$497,载具属性!$G$98:$G$497)+6000+OFFSET(载具属性!L$33,AS78,0)*载具属性!M$30+OFFSET(载具属性!M$33,AT78,0)*载具属性!N$30+OFFSET(载具属性!N$33,AU78,0)*载具属性!O$30+OFFSET(载具属性!O$33,AV78,0)*载具属性!P$30</f>
        <v>12955</v>
      </c>
      <c r="X78" s="43">
        <f ca="1">_xlfn.XLOOKUP(Z78,载具属性!$E$98:$E$497,载具属性!$G$98:$G$497)</f>
        <v>3835</v>
      </c>
      <c r="Y78" s="43">
        <f ca="1">OFFSET(载具属性!L$33,AS78,0)*载具属性!M$30+OFFSET(载具属性!M$33,AT78,0)*载具属性!N$30+OFFSET(载具属性!N$33,AU78,0)*载具属性!O$30+OFFSET(载具属性!O$33,AV78,0)*载具属性!P$30</f>
        <v>3120</v>
      </c>
      <c r="Z78" s="40">
        <f ca="1">MATCH(SUM($T$7:T78),载具属性!$I$98:$I$497,1)</f>
        <v>69</v>
      </c>
      <c r="AA78" s="40">
        <f ca="1">OFFSET(载具产出!$F$399,IFERROR(MATCH(OFFSET($D78,0,MATCH($D$5,$E$6:$H$6,0)),载具产出!$E$112:$E$151,1),0),MATCH(AA$6,载具产出!$G$111:$O$111,0))*2</f>
        <v>28</v>
      </c>
      <c r="AB78" s="40">
        <f ca="1">OFFSET(载具产出!$F$399,IFERROR(MATCH(OFFSET($D78,0,MATCH($D$5,$E$6:$H$6,0)),载具产出!$E$112:$E$151,1),0),MATCH(AB$6,载具产出!$G$111:$O$111,0))*2</f>
        <v>26.08</v>
      </c>
      <c r="AC78" s="40">
        <f ca="1">OFFSET(载具产出!$F$399,IFERROR(MATCH(OFFSET($D78,0,MATCH($D$5,$E$6:$H$6,0)),载具产出!$E$112:$E$151,1),0),MATCH(AC$6,载具产出!$G$111:$O$111,0))*2</f>
        <v>1.92</v>
      </c>
      <c r="AD78" s="40">
        <f ca="1">OFFSET(载具产出!$F$399,IFERROR(MATCH(OFFSET($D78,0,MATCH($D$5,$E$6:$H$6,0)),载具产出!$E$112:$E$151,1),0),MATCH(AD$6,载具产出!$G$111:$O$111,0))*2</f>
        <v>0</v>
      </c>
      <c r="AE78" s="44">
        <f ca="1">SUM(AA$36:AA78)/3</f>
        <v>393.466666666667</v>
      </c>
      <c r="AF78" s="44">
        <f ca="1">SUM(AB$36:AB78)/3</f>
        <v>352.8</v>
      </c>
      <c r="AG78" s="44">
        <f ca="1">SUM(AC$36:AC78)/3</f>
        <v>18.4</v>
      </c>
      <c r="AH78" s="44">
        <f ca="1">SUM(AD$36:AD78)/3</f>
        <v>0</v>
      </c>
      <c r="AI78" s="44">
        <f>_xlfn.XLOOKUP($D$5,载具产出!$D$71:$D$75,载具产出!$E$71:$E$75)*(D78-30+1)</f>
        <v>505.761904761906</v>
      </c>
      <c r="AJ78" s="44">
        <f>IFERROR(MATCH(_xlfn.XLOOKUP($D$5,载具产出!$D$71:$D$75,载具产出!$E$71:$E$75)*(D78-30+1)*10,载具产出!$E$60:$E$67,1),0)+1</f>
        <v>5</v>
      </c>
      <c r="AK78" s="44">
        <f ca="1">IF($AJ78=1,($AI78)*(10*OFFSET(载具产出!$D$45,MATCH(AK$6,$AK$6:$AN$6,0)-1,$AJ78)+OFFSET(载具产出!$D$49,MATCH(AK$6,$AK$6:$AN$6,0)-1,$AJ78)*OFFSET(载具产出!$N$49,MATCH(AK$6,$AK$6:$AN$6,0)-1,0)),OFFSET(载具产出!F$59,$AJ78-1,0)*10+OFFSET(载具产出!J$59,$AJ78-1,0)+($AI78*10-_xlfn.XLOOKUP($AJ78-1,载具产出!$D$59:$D$67,载具产出!$E$59:$E$67))/10*(10*OFFSET(载具产出!$D$45,MATCH(AK$6,$AK$6:$AN$6,0)-1,$AJ78)+OFFSET(载具产出!$D$49,MATCH(AK$6,$AK$6:$AN$6,0)-1,$AJ78)*OFFSET(载具产出!$N$49,MATCH(AK$6,$AK$6:$AN$6,0)-1,0)))</f>
        <v>1191.41057142857</v>
      </c>
      <c r="AL78" s="44">
        <f ca="1">IF($AJ78=1,($AI78)*(10*OFFSET(载具产出!$D$45,MATCH(AL$6,$AK$6:$AN$6,0)-1,$AJ78)+OFFSET(载具产出!$D$49,MATCH(AL$6,$AK$6:$AN$6,0)-1,$AJ78)*OFFSET(载具产出!$N$49,MATCH(AL$6,$AK$6:$AN$6,0)-1,0)),OFFSET(载具产出!G$59,$AJ78-1,0)*10+OFFSET(载具产出!K$59,$AJ78-1,0)+($AI78*10-_xlfn.XLOOKUP($AJ78-1,载具产出!$D$59:$D$67,载具产出!$E$59:$E$67))/10*(10*OFFSET(载具产出!$D$45,MATCH(AL$6,$AK$6:$AN$6,0)-1,$AJ78)+OFFSET(载具产出!$D$49,MATCH(AL$6,$AK$6:$AN$6,0)-1,$AJ78)*OFFSET(载具产出!$N$49,MATCH(AL$6,$AK$6:$AN$6,0)-1,0)))</f>
        <v>417.855238095239</v>
      </c>
      <c r="AM78" s="44">
        <f ca="1">IF($AJ78=1,($AI78)*(10*OFFSET(载具产出!$D$45,MATCH(AM$6,$AK$6:$AN$6,0)-1,$AJ78)+OFFSET(载具产出!$D$49,MATCH(AM$6,$AK$6:$AN$6,0)-1,$AJ78)*OFFSET(载具产出!$N$49,MATCH(AM$6,$AK$6:$AN$6,0)-1,0)),OFFSET(载具产出!H$59,$AJ78-1,0)*10+OFFSET(载具产出!L$59,$AJ78-1,0)+($AI78*10-_xlfn.XLOOKUP($AJ78-1,载具产出!$D$59:$D$67,载具产出!$E$59:$E$67))/10*(10*OFFSET(载具产出!$D$45,MATCH(AM$6,$AK$6:$AN$6,0)-1,$AJ78)+OFFSET(载具产出!$D$49,MATCH(AM$6,$AK$6:$AN$6,0)-1,$AJ78)*OFFSET(载具产出!$N$49,MATCH(AM$6,$AK$6:$AN$6,0)-1,0)))</f>
        <v>210.193523809524</v>
      </c>
      <c r="AN78" s="44">
        <f ca="1">IF($AJ78=1,($AI78)*(10*OFFSET(载具产出!$D$45,MATCH(AN$6,$AK$6:$AN$6,0)-1,$AJ78)+OFFSET(载具产出!$D$49,MATCH(AN$6,$AK$6:$AN$6,0)-1,$AJ78)*OFFSET(载具产出!$N$49,MATCH(AN$6,$AK$6:$AN$6,0)-1,0)),OFFSET(载具产出!I$59,$AJ78-1,0)*10+OFFSET(载具产出!M$59,$AJ78-1,0)+($AI78*10-_xlfn.XLOOKUP($AJ78-1,载具产出!$D$59:$D$67,载具产出!$E$59:$E$67))/10*(10*OFFSET(载具产出!$D$45,MATCH(AN$6,$AK$6:$AN$6,0)-1,$AJ78)+OFFSET(载具产出!$D$49,MATCH(AN$6,$AK$6:$AN$6,0)-1,$AJ78)*OFFSET(载具产出!$N$49,MATCH(AN$6,$AK$6:$AN$6,0)-1,0)))</f>
        <v>55.3870000000002</v>
      </c>
      <c r="AO78" s="44">
        <f ca="1" t="shared" si="3"/>
        <v>1584.87723809524</v>
      </c>
      <c r="AP78" s="44">
        <f ca="1" t="shared" si="4"/>
        <v>770.655238095239</v>
      </c>
      <c r="AQ78" s="44">
        <f ca="1" t="shared" si="5"/>
        <v>228.593523809524</v>
      </c>
      <c r="AR78" s="44">
        <f ca="1" t="shared" si="6"/>
        <v>55.3870000000002</v>
      </c>
      <c r="AS78" s="45">
        <f ca="1">IFERROR(MATCH(AO78/载具产出!R$58,载具属性!$G$33:$G$92,1),0)</f>
        <v>21</v>
      </c>
      <c r="AT78" s="45">
        <f ca="1">IFERROR(MATCH(AP78/载具产出!S$58,载具属性!$G$33:$G$92,1),0)</f>
        <v>14</v>
      </c>
      <c r="AU78" s="45">
        <f ca="1">IFERROR(MATCH(AQ78/载具产出!T$58,载具属性!$G$33:$G$92,1),0)</f>
        <v>5</v>
      </c>
      <c r="AV78" s="45">
        <f ca="1">IFERROR(MATCH(AR78/载具产出!U$58,载具属性!$G$33:$G$92,1),0)</f>
        <v>0</v>
      </c>
      <c r="AW78" s="46" t="str">
        <f ca="1" t="shared" si="7"/>
        <v>[{62,293},{63,28850},{2,72800},{6030001,1057},{6030002,987},{6030003,52}]</v>
      </c>
      <c r="AX78" t="str">
        <f ca="1" t="shared" si="8"/>
        <v>{62,293}</v>
      </c>
      <c r="AY78" t="str">
        <f ca="1" t="shared" si="9"/>
        <v>{63,28850}</v>
      </c>
      <c r="AZ78" t="str">
        <f ca="1" t="shared" si="10"/>
        <v>{2,72800}</v>
      </c>
      <c r="BA78" t="str">
        <f ca="1" t="shared" si="11"/>
        <v>{6030001,1057}</v>
      </c>
      <c r="BB78" t="str">
        <f ca="1" t="shared" si="12"/>
        <v>{6030002,987}</v>
      </c>
      <c r="BC78" t="str">
        <f ca="1" t="shared" si="13"/>
        <v>{6030003,52}</v>
      </c>
      <c r="BD78" t="str">
        <f ca="1" t="shared" si="14"/>
        <v/>
      </c>
    </row>
    <row r="79" spans="3:56">
      <c r="C79">
        <f ca="1" t="shared" si="1"/>
        <v>105</v>
      </c>
      <c r="D79" s="40">
        <v>73</v>
      </c>
      <c r="E79" s="40">
        <v>92</v>
      </c>
      <c r="F79" s="40">
        <v>108</v>
      </c>
      <c r="G79" s="41">
        <v>124</v>
      </c>
      <c r="H79" s="40">
        <f t="shared" si="18"/>
        <v>158</v>
      </c>
      <c r="I79" s="40">
        <v>182</v>
      </c>
      <c r="J79" s="40">
        <f t="shared" si="17"/>
        <v>160</v>
      </c>
      <c r="K79" s="40">
        <f ca="1">SUM(U$36:U79)-SUM(OFFSET(载具产出!H$399,0,0,$R79+1,1))</f>
        <v>300</v>
      </c>
      <c r="L79" s="40">
        <f ca="1">SUM(T$36:T79)-SUM(OFFSET(载具产出!G$399,0,0,$R79+1,1))</f>
        <v>29705</v>
      </c>
      <c r="M79" s="40">
        <f ca="1">SUM(V$36:V79)/2-SUM(OFFSET(载具产出!I$399,0,0,$R79+1,1))</f>
        <v>75500</v>
      </c>
      <c r="N79" s="40">
        <f ca="1">SUM(AA$36:AA79)-SUM(OFFSET(载具产出!J$399,0,0,$R79+1,1))</f>
        <v>1085.6</v>
      </c>
      <c r="O79" s="40">
        <f ca="1">SUM(AB$36:AB79)-SUM(OFFSET(载具产出!K$399,0,0,$R79+1,1))</f>
        <v>1013.68</v>
      </c>
      <c r="P79" s="40">
        <f ca="1">SUM(AC$36:AC79)-SUM(OFFSET(载具产出!L$399,0,0,$R79+1,1))</f>
        <v>54.72</v>
      </c>
      <c r="Q79" s="40">
        <f ca="1">SUM(AD$36:AD79)-SUM(OFFSET(载具产出!M$399,0,0,$R79+1,1))</f>
        <v>0</v>
      </c>
      <c r="R79" s="40">
        <v>8</v>
      </c>
      <c r="S79" s="40" t="str">
        <f ca="1">OFFSET(载具产出!$D$111,IFERROR(MATCH(OFFSET($D79,0,MATCH($D$5,$E$6:$H$6,0)),载具产出!$E$112:$E$151,1),0),0)</f>
        <v>豪华Ⅲ</v>
      </c>
      <c r="T79" s="40">
        <f ca="1">OFFSET(载具产出!$F$399,IFERROR(MATCH(OFFSET($D79,0,MATCH($D$5,$E$6:$H$6,0)),载具产出!$E$400:$E$439,1),0),MATCH(T$6,载具产出!$G$399:$O$399,0))</f>
        <v>855</v>
      </c>
      <c r="U79" s="40">
        <v>7</v>
      </c>
      <c r="V79" s="40">
        <f ca="1">OFFSET(载具产出!$F$399,IFERROR(MATCH(OFFSET($D79,0,MATCH($D$5,$E$6:$H$6,0)),载具产出!$E$400:$E$439,1),0),MATCH(V$6,载具产出!$G$399:$O$399,0))</f>
        <v>5400</v>
      </c>
      <c r="W79" s="43">
        <f ca="1">_xlfn.XLOOKUP(Z79,载具属性!$E$98:$E$497,载具属性!$G$98:$G$497)+6000+OFFSET(载具属性!L$33,AS79,0)*载具属性!M$30+OFFSET(载具属性!M$33,AT79,0)*载具属性!N$30+OFFSET(载具属性!N$33,AU79,0)*载具属性!O$30+OFFSET(载具属性!O$33,AV79,0)*载具属性!P$30</f>
        <v>13020</v>
      </c>
      <c r="X79" s="43">
        <f ca="1">_xlfn.XLOOKUP(Z79,载具属性!$E$98:$E$497,载具属性!$G$98:$G$497)</f>
        <v>3900</v>
      </c>
      <c r="Y79" s="43">
        <f ca="1">OFFSET(载具属性!L$33,AS79,0)*载具属性!M$30+OFFSET(载具属性!M$33,AT79,0)*载具属性!N$30+OFFSET(载具属性!N$33,AU79,0)*载具属性!O$30+OFFSET(载具属性!O$33,AV79,0)*载具属性!P$30</f>
        <v>3120</v>
      </c>
      <c r="Z79" s="40">
        <f ca="1">MATCH(SUM($T$7:T79),载具属性!$I$98:$I$497,1)</f>
        <v>70</v>
      </c>
      <c r="AA79" s="40">
        <f ca="1">OFFSET(载具产出!$F$399,IFERROR(MATCH(OFFSET($D79,0,MATCH($D$5,$E$6:$H$6,0)),载具产出!$E$112:$E$151,1),0),MATCH(AA$6,载具产出!$G$111:$O$111,0))*2</f>
        <v>28</v>
      </c>
      <c r="AB79" s="40">
        <f ca="1">OFFSET(载具产出!$F$399,IFERROR(MATCH(OFFSET($D79,0,MATCH($D$5,$E$6:$H$6,0)),载具产出!$E$112:$E$151,1),0),MATCH(AB$6,载具产出!$G$111:$O$111,0))*2</f>
        <v>26.08</v>
      </c>
      <c r="AC79" s="40">
        <f ca="1">OFFSET(载具产出!$F$399,IFERROR(MATCH(OFFSET($D79,0,MATCH($D$5,$E$6:$H$6,0)),载具产出!$E$112:$E$151,1),0),MATCH(AC$6,载具产出!$G$111:$O$111,0))*2</f>
        <v>1.92</v>
      </c>
      <c r="AD79" s="40">
        <f ca="1">OFFSET(载具产出!$F$399,IFERROR(MATCH(OFFSET($D79,0,MATCH($D$5,$E$6:$H$6,0)),载具产出!$E$112:$E$151,1),0),MATCH(AD$6,载具产出!$G$111:$O$111,0))*2</f>
        <v>0</v>
      </c>
      <c r="AE79" s="44">
        <f ca="1">SUM(AA$36:AA79)/3</f>
        <v>402.8</v>
      </c>
      <c r="AF79" s="44">
        <f ca="1">SUM(AB$36:AB79)/3</f>
        <v>361.493333333333</v>
      </c>
      <c r="AG79" s="44">
        <f ca="1">SUM(AC$36:AC79)/3</f>
        <v>19.04</v>
      </c>
      <c r="AH79" s="44">
        <f ca="1">SUM(AD$36:AD79)/3</f>
        <v>0</v>
      </c>
      <c r="AI79" s="44">
        <f>_xlfn.XLOOKUP($D$5,载具产出!$D$71:$D$75,载具产出!$E$71:$E$75)*(D79-30+1)</f>
        <v>517.523809523811</v>
      </c>
      <c r="AJ79" s="44">
        <f>IFERROR(MATCH(_xlfn.XLOOKUP($D$5,载具产出!$D$71:$D$75,载具产出!$E$71:$E$75)*(D79-30+1)*10,载具产出!$E$60:$E$67,1),0)+1</f>
        <v>5</v>
      </c>
      <c r="AK79" s="44">
        <f ca="1">IF($AJ79=1,($AI79)*(10*OFFSET(载具产出!$D$45,MATCH(AK$6,$AK$6:$AN$6,0)-1,$AJ79)+OFFSET(载具产出!$D$49,MATCH(AK$6,$AK$6:$AN$6,0)-1,$AJ79)*OFFSET(载具产出!$N$49,MATCH(AK$6,$AK$6:$AN$6,0)-1,0)),OFFSET(载具产出!F$59,$AJ79-1,0)*10+OFFSET(载具产出!J$59,$AJ79-1,0)+($AI79*10-_xlfn.XLOOKUP($AJ79-1,载具产出!$D$59:$D$67,载具产出!$E$59:$E$67))/10*(10*OFFSET(载具产出!$D$45,MATCH(AK$6,$AK$6:$AN$6,0)-1,$AJ79)+OFFSET(载具产出!$D$49,MATCH(AK$6,$AK$6:$AN$6,0)-1,$AJ79)*OFFSET(载具产出!$N$49,MATCH(AK$6,$AK$6:$AN$6,0)-1,0)))</f>
        <v>1217.66314285715</v>
      </c>
      <c r="AL79" s="44">
        <f ca="1">IF($AJ79=1,($AI79)*(10*OFFSET(载具产出!$D$45,MATCH(AL$6,$AK$6:$AN$6,0)-1,$AJ79)+OFFSET(载具产出!$D$49,MATCH(AL$6,$AK$6:$AN$6,0)-1,$AJ79)*OFFSET(载具产出!$N$49,MATCH(AL$6,$AK$6:$AN$6,0)-1,0)),OFFSET(载具产出!G$59,$AJ79-1,0)*10+OFFSET(载具产出!K$59,$AJ79-1,0)+($AI79*10-_xlfn.XLOOKUP($AJ79-1,载具产出!$D$59:$D$67,载具产出!$E$59:$E$67))/10*(10*OFFSET(载具产出!$D$45,MATCH(AL$6,$AK$6:$AN$6,0)-1,$AJ79)+OFFSET(载具产出!$D$49,MATCH(AL$6,$AK$6:$AN$6,0)-1,$AJ79)*OFFSET(载具产出!$N$49,MATCH(AL$6,$AK$6:$AN$6,0)-1,0)))</f>
        <v>427.970476190477</v>
      </c>
      <c r="AM79" s="44">
        <f ca="1">IF($AJ79=1,($AI79)*(10*OFFSET(载具产出!$D$45,MATCH(AM$6,$AK$6:$AN$6,0)-1,$AJ79)+OFFSET(载具产出!$D$49,MATCH(AM$6,$AK$6:$AN$6,0)-1,$AJ79)*OFFSET(载具产出!$N$49,MATCH(AM$6,$AK$6:$AN$6,0)-1,0)),OFFSET(载具产出!H$59,$AJ79-1,0)*10+OFFSET(载具产出!L$59,$AJ79-1,0)+($AI79*10-_xlfn.XLOOKUP($AJ79-1,载具产出!$D$59:$D$67,载具产出!$E$59:$E$67))/10*(10*OFFSET(载具产出!$D$45,MATCH(AM$6,$AK$6:$AN$6,0)-1,$AJ79)+OFFSET(载具产出!$D$49,MATCH(AM$6,$AK$6:$AN$6,0)-1,$AJ79)*OFFSET(载具产出!$N$49,MATCH(AM$6,$AK$6:$AN$6,0)-1,0)))</f>
        <v>215.651047619048</v>
      </c>
      <c r="AN79" s="44">
        <f ca="1">IF($AJ79=1,($AI79)*(10*OFFSET(载具产出!$D$45,MATCH(AN$6,$AK$6:$AN$6,0)-1,$AJ79)+OFFSET(载具产出!$D$49,MATCH(AN$6,$AK$6:$AN$6,0)-1,$AJ79)*OFFSET(载具产出!$N$49,MATCH(AN$6,$AK$6:$AN$6,0)-1,0)),OFFSET(载具产出!I$59,$AJ79-1,0)*10+OFFSET(载具产出!M$59,$AJ79-1,0)+($AI79*10-_xlfn.XLOOKUP($AJ79-1,载具产出!$D$59:$D$67,载具产出!$E$59:$E$67))/10*(10*OFFSET(载具产出!$D$45,MATCH(AN$6,$AK$6:$AN$6,0)-1,$AJ79)+OFFSET(载具产出!$D$49,MATCH(AN$6,$AK$6:$AN$6,0)-1,$AJ79)*OFFSET(载具产出!$N$49,MATCH(AN$6,$AK$6:$AN$6,0)-1,0)))</f>
        <v>57.1160000000002</v>
      </c>
      <c r="AO79" s="44">
        <f ca="1" t="shared" si="3"/>
        <v>1620.46314285715</v>
      </c>
      <c r="AP79" s="44">
        <f ca="1" t="shared" si="4"/>
        <v>789.463809523811</v>
      </c>
      <c r="AQ79" s="44">
        <f ca="1" t="shared" si="5"/>
        <v>234.691047619048</v>
      </c>
      <c r="AR79" s="44">
        <f ca="1" t="shared" si="6"/>
        <v>57.1160000000002</v>
      </c>
      <c r="AS79" s="45">
        <f ca="1">IFERROR(MATCH(AO79/载具产出!R$58,载具属性!$G$33:$G$92,1),0)</f>
        <v>21</v>
      </c>
      <c r="AT79" s="45">
        <f ca="1">IFERROR(MATCH(AP79/载具产出!S$58,载具属性!$G$33:$G$92,1),0)</f>
        <v>14</v>
      </c>
      <c r="AU79" s="45">
        <f ca="1">IFERROR(MATCH(AQ79/载具产出!T$58,载具属性!$G$33:$G$92,1),0)</f>
        <v>5</v>
      </c>
      <c r="AV79" s="45">
        <f ca="1">IFERROR(MATCH(AR79/载具产出!U$58,载具属性!$G$33:$G$92,1),0)</f>
        <v>0</v>
      </c>
      <c r="AW79" s="46" t="str">
        <f ca="1" t="shared" si="7"/>
        <v>[{62,300},{63,29705},{2,75500},{6030001,1085},{6030002,1013},{6030003,54}]</v>
      </c>
      <c r="AX79" t="str">
        <f ca="1" t="shared" si="8"/>
        <v>{62,300}</v>
      </c>
      <c r="AY79" t="str">
        <f ca="1" t="shared" si="9"/>
        <v>{63,29705}</v>
      </c>
      <c r="AZ79" t="str">
        <f ca="1" t="shared" si="10"/>
        <v>{2,75500}</v>
      </c>
      <c r="BA79" t="str">
        <f ca="1" t="shared" si="11"/>
        <v>{6030001,1085}</v>
      </c>
      <c r="BB79" t="str">
        <f ca="1" t="shared" si="12"/>
        <v>{6030002,1013}</v>
      </c>
      <c r="BC79" t="str">
        <f ca="1" t="shared" si="13"/>
        <v>{6030003,54}</v>
      </c>
      <c r="BD79" t="str">
        <f ca="1" t="shared" si="14"/>
        <v/>
      </c>
    </row>
    <row r="80" spans="3:56">
      <c r="C80">
        <f ca="1" t="shared" si="1"/>
        <v>105.64</v>
      </c>
      <c r="D80" s="40">
        <v>74</v>
      </c>
      <c r="E80" s="40">
        <v>92</v>
      </c>
      <c r="F80" s="40">
        <v>108</v>
      </c>
      <c r="G80" s="41">
        <v>125</v>
      </c>
      <c r="H80" s="40">
        <f t="shared" si="18"/>
        <v>159</v>
      </c>
      <c r="I80" s="40">
        <v>184</v>
      </c>
      <c r="J80" s="40">
        <f t="shared" si="17"/>
        <v>161</v>
      </c>
      <c r="K80" s="40">
        <f ca="1">SUM(U$36:U80)-SUM(OFFSET(载具产出!H$399,0,0,$R80+1,1))</f>
        <v>307</v>
      </c>
      <c r="L80" s="40">
        <f ca="1">SUM(T$36:T80)-SUM(OFFSET(载具产出!G$399,0,0,$R80+1,1))</f>
        <v>30580</v>
      </c>
      <c r="M80" s="40">
        <f ca="1">SUM(V$36:V80)/2-SUM(OFFSET(载具产出!I$399,0,0,$R80+1,1))</f>
        <v>78300</v>
      </c>
      <c r="N80" s="40">
        <f ca="1">SUM(AA$36:AA80)-SUM(OFFSET(载具产出!J$399,0,0,$R80+1,1))</f>
        <v>1115.6</v>
      </c>
      <c r="O80" s="40">
        <f ca="1">SUM(AB$36:AB80)-SUM(OFFSET(载具产出!K$399,0,0,$R80+1,1))</f>
        <v>1039.28</v>
      </c>
      <c r="P80" s="40">
        <f ca="1">SUM(AC$36:AC80)-SUM(OFFSET(载具产出!L$399,0,0,$R80+1,1))</f>
        <v>57.12</v>
      </c>
      <c r="Q80" s="40">
        <f ca="1">SUM(AD$36:AD80)-SUM(OFFSET(载具产出!M$399,0,0,$R80+1,1))</f>
        <v>0</v>
      </c>
      <c r="R80" s="40">
        <v>8</v>
      </c>
      <c r="S80" s="40" t="str">
        <f ca="1">OFFSET(载具产出!$D$111,IFERROR(MATCH(OFFSET($D80,0,MATCH($D$5,$E$6:$H$6,0)),载具产出!$E$112:$E$151,1),0),0)</f>
        <v>豪华Ⅳ</v>
      </c>
      <c r="T80" s="40">
        <f ca="1">OFFSET(载具产出!$F$399,IFERROR(MATCH(OFFSET($D80,0,MATCH($D$5,$E$6:$H$6,0)),载具产出!$E$400:$E$439,1),0),MATCH(T$6,载具产出!$G$399:$O$399,0))</f>
        <v>875</v>
      </c>
      <c r="U80" s="40">
        <v>7</v>
      </c>
      <c r="V80" s="40">
        <f ca="1">OFFSET(载具产出!$F$399,IFERROR(MATCH(OFFSET($D80,0,MATCH($D$5,$E$6:$H$6,0)),载具产出!$E$400:$E$439,1),0),MATCH(V$6,载具产出!$G$399:$O$399,0))</f>
        <v>5600</v>
      </c>
      <c r="W80" s="43">
        <f ca="1">_xlfn.XLOOKUP(Z80,载具属性!$E$98:$E$497,载具属性!$G$98:$G$497)+6000+OFFSET(载具属性!L$33,AS80,0)*载具属性!M$30+OFFSET(载具属性!M$33,AT80,0)*载具属性!N$30+OFFSET(载具属性!N$33,AU80,0)*载具属性!O$30+OFFSET(载具属性!O$33,AV80,0)*载具属性!P$30</f>
        <v>13205</v>
      </c>
      <c r="X80" s="43">
        <f ca="1">_xlfn.XLOOKUP(Z80,载具属性!$E$98:$E$497,载具属性!$G$98:$G$497)</f>
        <v>3965</v>
      </c>
      <c r="Y80" s="43">
        <f ca="1">OFFSET(载具属性!L$33,AS80,0)*载具属性!M$30+OFFSET(载具属性!M$33,AT80,0)*载具属性!N$30+OFFSET(载具属性!N$33,AU80,0)*载具属性!O$30+OFFSET(载具属性!O$33,AV80,0)*载具属性!P$30</f>
        <v>3240</v>
      </c>
      <c r="Z80" s="40">
        <f ca="1">MATCH(SUM($T$7:T80),载具属性!$I$98:$I$497,1)</f>
        <v>71</v>
      </c>
      <c r="AA80" s="40">
        <f ca="1">OFFSET(载具产出!$F$399,IFERROR(MATCH(OFFSET($D80,0,MATCH($D$5,$E$6:$H$6,0)),载具产出!$E$112:$E$151,1),0),MATCH(AA$6,载具产出!$G$111:$O$111,0))*2</f>
        <v>30</v>
      </c>
      <c r="AB80" s="40">
        <f ca="1">OFFSET(载具产出!$F$399,IFERROR(MATCH(OFFSET($D80,0,MATCH($D$5,$E$6:$H$6,0)),载具产出!$E$112:$E$151,1),0),MATCH(AB$6,载具产出!$G$111:$O$111,0))*2</f>
        <v>25.6</v>
      </c>
      <c r="AC80" s="40">
        <f ca="1">OFFSET(载具产出!$F$399,IFERROR(MATCH(OFFSET($D80,0,MATCH($D$5,$E$6:$H$6,0)),载具产出!$E$112:$E$151,1),0),MATCH(AC$6,载具产出!$G$111:$O$111,0))*2</f>
        <v>2.4</v>
      </c>
      <c r="AD80" s="40">
        <f ca="1">OFFSET(载具产出!$F$399,IFERROR(MATCH(OFFSET($D80,0,MATCH($D$5,$E$6:$H$6,0)),载具产出!$E$112:$E$151,1),0),MATCH(AD$6,载具产出!$G$111:$O$111,0))*2</f>
        <v>0</v>
      </c>
      <c r="AE80" s="44">
        <f ca="1">SUM(AA$36:AA80)/3</f>
        <v>412.8</v>
      </c>
      <c r="AF80" s="44">
        <f ca="1">SUM(AB$36:AB80)/3</f>
        <v>370.026666666667</v>
      </c>
      <c r="AG80" s="44">
        <f ca="1">SUM(AC$36:AC80)/3</f>
        <v>19.84</v>
      </c>
      <c r="AH80" s="44">
        <f ca="1">SUM(AD$36:AD80)/3</f>
        <v>0</v>
      </c>
      <c r="AI80" s="44">
        <f>_xlfn.XLOOKUP($D$5,载具产出!$D$71:$D$75,载具产出!$E$71:$E$75)*(D80-30+1)</f>
        <v>529.285714285716</v>
      </c>
      <c r="AJ80" s="44">
        <f>IFERROR(MATCH(_xlfn.XLOOKUP($D$5,载具产出!$D$71:$D$75,载具产出!$E$71:$E$75)*(D80-30+1)*10,载具产出!$E$60:$E$67,1),0)+1</f>
        <v>5</v>
      </c>
      <c r="AK80" s="44">
        <f ca="1">IF($AJ80=1,($AI80)*(10*OFFSET(载具产出!$D$45,MATCH(AK$6,$AK$6:$AN$6,0)-1,$AJ80)+OFFSET(载具产出!$D$49,MATCH(AK$6,$AK$6:$AN$6,0)-1,$AJ80)*OFFSET(载具产出!$N$49,MATCH(AK$6,$AK$6:$AN$6,0)-1,0)),OFFSET(载具产出!F$59,$AJ80-1,0)*10+OFFSET(载具产出!J$59,$AJ80-1,0)+($AI80*10-_xlfn.XLOOKUP($AJ80-1,载具产出!$D$59:$D$67,载具产出!$E$59:$E$67))/10*(10*OFFSET(载具产出!$D$45,MATCH(AK$6,$AK$6:$AN$6,0)-1,$AJ80)+OFFSET(载具产出!$D$49,MATCH(AK$6,$AK$6:$AN$6,0)-1,$AJ80)*OFFSET(载具产出!$N$49,MATCH(AK$6,$AK$6:$AN$6,0)-1,0)))</f>
        <v>1243.91571428572</v>
      </c>
      <c r="AL80" s="44">
        <f ca="1">IF($AJ80=1,($AI80)*(10*OFFSET(载具产出!$D$45,MATCH(AL$6,$AK$6:$AN$6,0)-1,$AJ80)+OFFSET(载具产出!$D$49,MATCH(AL$6,$AK$6:$AN$6,0)-1,$AJ80)*OFFSET(载具产出!$N$49,MATCH(AL$6,$AK$6:$AN$6,0)-1,0)),OFFSET(载具产出!G$59,$AJ80-1,0)*10+OFFSET(载具产出!K$59,$AJ80-1,0)+($AI80*10-_xlfn.XLOOKUP($AJ80-1,载具产出!$D$59:$D$67,载具产出!$E$59:$E$67))/10*(10*OFFSET(载具产出!$D$45,MATCH(AL$6,$AK$6:$AN$6,0)-1,$AJ80)+OFFSET(载具产出!$D$49,MATCH(AL$6,$AK$6:$AN$6,0)-1,$AJ80)*OFFSET(载具产出!$N$49,MATCH(AL$6,$AK$6:$AN$6,0)-1,0)))</f>
        <v>438.085714285716</v>
      </c>
      <c r="AM80" s="44">
        <f ca="1">IF($AJ80=1,($AI80)*(10*OFFSET(载具产出!$D$45,MATCH(AM$6,$AK$6:$AN$6,0)-1,$AJ80)+OFFSET(载具产出!$D$49,MATCH(AM$6,$AK$6:$AN$6,0)-1,$AJ80)*OFFSET(载具产出!$N$49,MATCH(AM$6,$AK$6:$AN$6,0)-1,0)),OFFSET(载具产出!H$59,$AJ80-1,0)*10+OFFSET(载具产出!L$59,$AJ80-1,0)+($AI80*10-_xlfn.XLOOKUP($AJ80-1,载具产出!$D$59:$D$67,载具产出!$E$59:$E$67))/10*(10*OFFSET(载具产出!$D$45,MATCH(AM$6,$AK$6:$AN$6,0)-1,$AJ80)+OFFSET(载具产出!$D$49,MATCH(AM$6,$AK$6:$AN$6,0)-1,$AJ80)*OFFSET(载具产出!$N$49,MATCH(AM$6,$AK$6:$AN$6,0)-1,0)))</f>
        <v>221.108571428572</v>
      </c>
      <c r="AN80" s="44">
        <f ca="1">IF($AJ80=1,($AI80)*(10*OFFSET(载具产出!$D$45,MATCH(AN$6,$AK$6:$AN$6,0)-1,$AJ80)+OFFSET(载具产出!$D$49,MATCH(AN$6,$AK$6:$AN$6,0)-1,$AJ80)*OFFSET(载具产出!$N$49,MATCH(AN$6,$AK$6:$AN$6,0)-1,0)),OFFSET(载具产出!I$59,$AJ80-1,0)*10+OFFSET(载具产出!M$59,$AJ80-1,0)+($AI80*10-_xlfn.XLOOKUP($AJ80-1,载具产出!$D$59:$D$67,载具产出!$E$59:$E$67))/10*(10*OFFSET(载具产出!$D$45,MATCH(AN$6,$AK$6:$AN$6,0)-1,$AJ80)+OFFSET(载具产出!$D$49,MATCH(AN$6,$AK$6:$AN$6,0)-1,$AJ80)*OFFSET(载具产出!$N$49,MATCH(AN$6,$AK$6:$AN$6,0)-1,0)))</f>
        <v>58.8450000000003</v>
      </c>
      <c r="AO80" s="44">
        <f ca="1" t="shared" si="3"/>
        <v>1656.71571428572</v>
      </c>
      <c r="AP80" s="44">
        <f ca="1" t="shared" si="4"/>
        <v>808.112380952382</v>
      </c>
      <c r="AQ80" s="44">
        <f ca="1" t="shared" si="5"/>
        <v>240.948571428572</v>
      </c>
      <c r="AR80" s="44">
        <f ca="1" t="shared" si="6"/>
        <v>58.8450000000003</v>
      </c>
      <c r="AS80" s="45">
        <f ca="1">IFERROR(MATCH(AO80/载具产出!R$58,载具属性!$G$33:$G$92,1),0)</f>
        <v>21</v>
      </c>
      <c r="AT80" s="45">
        <f ca="1">IFERROR(MATCH(AP80/载具产出!S$58,载具属性!$G$33:$G$92,1),0)</f>
        <v>14</v>
      </c>
      <c r="AU80" s="45">
        <f ca="1">IFERROR(MATCH(AQ80/载具产出!T$58,载具属性!$G$33:$G$92,1),0)</f>
        <v>6</v>
      </c>
      <c r="AV80" s="45">
        <f ca="1">IFERROR(MATCH(AR80/载具产出!U$58,载具属性!$G$33:$G$92,1),0)</f>
        <v>0</v>
      </c>
      <c r="AW80" s="46" t="str">
        <f ca="1" t="shared" si="7"/>
        <v>[{62,307},{63,30580},{2,78300},{6030001,1115},{6030002,1039},{6030003,57}]</v>
      </c>
      <c r="AX80" t="str">
        <f ca="1" t="shared" si="8"/>
        <v>{62,307}</v>
      </c>
      <c r="AY80" t="str">
        <f ca="1" t="shared" si="9"/>
        <v>{63,30580}</v>
      </c>
      <c r="AZ80" t="str">
        <f ca="1" t="shared" si="10"/>
        <v>{2,78300}</v>
      </c>
      <c r="BA80" t="str">
        <f ca="1" t="shared" si="11"/>
        <v>{6030001,1115}</v>
      </c>
      <c r="BB80" t="str">
        <f ca="1" t="shared" si="12"/>
        <v>{6030002,1039}</v>
      </c>
      <c r="BC80" t="str">
        <f ca="1" t="shared" si="13"/>
        <v>{6030003,57}</v>
      </c>
      <c r="BD80" t="str">
        <f ca="1" t="shared" si="14"/>
        <v/>
      </c>
    </row>
    <row r="81" spans="3:56">
      <c r="C81">
        <f ca="1" t="shared" si="1"/>
        <v>106.88</v>
      </c>
      <c r="D81" s="40">
        <v>75</v>
      </c>
      <c r="E81" s="40">
        <v>92</v>
      </c>
      <c r="F81" s="40">
        <v>109</v>
      </c>
      <c r="G81" s="41">
        <v>125</v>
      </c>
      <c r="H81" s="40">
        <f t="shared" si="18"/>
        <v>160</v>
      </c>
      <c r="I81" s="40">
        <v>186</v>
      </c>
      <c r="J81" s="40">
        <f t="shared" si="17"/>
        <v>163</v>
      </c>
      <c r="K81" s="40">
        <f ca="1">SUM(U$36:U81)-SUM(OFFSET(载具产出!H$399,0,0,$R81+1,1))</f>
        <v>314</v>
      </c>
      <c r="L81" s="40">
        <f ca="1">SUM(T$36:T81)-SUM(OFFSET(载具产出!G$399,0,0,$R81+1,1))</f>
        <v>31455</v>
      </c>
      <c r="M81" s="40">
        <f ca="1">SUM(V$36:V81)/2-SUM(OFFSET(载具产出!I$399,0,0,$R81+1,1))</f>
        <v>81100</v>
      </c>
      <c r="N81" s="40">
        <f ca="1">SUM(AA$36:AA81)-SUM(OFFSET(载具产出!J$399,0,0,$R81+1,1))</f>
        <v>1145.6</v>
      </c>
      <c r="O81" s="40">
        <f ca="1">SUM(AB$36:AB81)-SUM(OFFSET(载具产出!K$399,0,0,$R81+1,1))</f>
        <v>1064.88</v>
      </c>
      <c r="P81" s="40">
        <f ca="1">SUM(AC$36:AC81)-SUM(OFFSET(载具产出!L$399,0,0,$R81+1,1))</f>
        <v>59.52</v>
      </c>
      <c r="Q81" s="40">
        <f ca="1">SUM(AD$36:AD81)-SUM(OFFSET(载具产出!M$399,0,0,$R81+1,1))</f>
        <v>0</v>
      </c>
      <c r="R81" s="40">
        <v>8</v>
      </c>
      <c r="S81" s="40" t="str">
        <f ca="1">OFFSET(载具产出!$D$111,IFERROR(MATCH(OFFSET($D81,0,MATCH($D$5,$E$6:$H$6,0)),载具产出!$E$112:$E$151,1),0),0)</f>
        <v>豪华Ⅳ</v>
      </c>
      <c r="T81" s="40">
        <f ca="1">OFFSET(载具产出!$F$399,IFERROR(MATCH(OFFSET($D81,0,MATCH($D$5,$E$6:$H$6,0)),载具产出!$E$400:$E$439,1),0),MATCH(T$6,载具产出!$G$399:$O$399,0))</f>
        <v>875</v>
      </c>
      <c r="U81" s="40">
        <v>7</v>
      </c>
      <c r="V81" s="40">
        <f ca="1">OFFSET(载具产出!$F$399,IFERROR(MATCH(OFFSET($D81,0,MATCH($D$5,$E$6:$H$6,0)),载具产出!$E$400:$E$439,1),0),MATCH(V$6,载具产出!$G$399:$O$399,0))</f>
        <v>5600</v>
      </c>
      <c r="W81" s="43">
        <f ca="1">_xlfn.XLOOKUP(Z81,载具属性!$E$98:$E$497,载具属性!$G$98:$G$497)+6000+OFFSET(载具属性!L$33,AS81,0)*载具属性!M$30+OFFSET(载具属性!M$33,AT81,0)*载具属性!N$30+OFFSET(载具属性!N$33,AU81,0)*载具属性!O$30+OFFSET(载具属性!O$33,AV81,0)*载具属性!P$30</f>
        <v>13360</v>
      </c>
      <c r="X81" s="43">
        <f ca="1">_xlfn.XLOOKUP(Z81,载具属性!$E$98:$E$497,载具属性!$G$98:$G$497)</f>
        <v>4030</v>
      </c>
      <c r="Y81" s="43">
        <f ca="1">OFFSET(载具属性!L$33,AS81,0)*载具属性!M$30+OFFSET(载具属性!M$33,AT81,0)*载具属性!N$30+OFFSET(载具属性!N$33,AU81,0)*载具属性!O$30+OFFSET(载具属性!O$33,AV81,0)*载具属性!P$30</f>
        <v>3330</v>
      </c>
      <c r="Z81" s="40">
        <f ca="1">MATCH(SUM($T$7:T81),载具属性!$I$98:$I$497,1)</f>
        <v>72</v>
      </c>
      <c r="AA81" s="40">
        <f ca="1">OFFSET(载具产出!$F$399,IFERROR(MATCH(OFFSET($D81,0,MATCH($D$5,$E$6:$H$6,0)),载具产出!$E$112:$E$151,1),0),MATCH(AA$6,载具产出!$G$111:$O$111,0))*2</f>
        <v>30</v>
      </c>
      <c r="AB81" s="40">
        <f ca="1">OFFSET(载具产出!$F$399,IFERROR(MATCH(OFFSET($D81,0,MATCH($D$5,$E$6:$H$6,0)),载具产出!$E$112:$E$151,1),0),MATCH(AB$6,载具产出!$G$111:$O$111,0))*2</f>
        <v>25.6</v>
      </c>
      <c r="AC81" s="40">
        <f ca="1">OFFSET(载具产出!$F$399,IFERROR(MATCH(OFFSET($D81,0,MATCH($D$5,$E$6:$H$6,0)),载具产出!$E$112:$E$151,1),0),MATCH(AC$6,载具产出!$G$111:$O$111,0))*2</f>
        <v>2.4</v>
      </c>
      <c r="AD81" s="40">
        <f ca="1">OFFSET(载具产出!$F$399,IFERROR(MATCH(OFFSET($D81,0,MATCH($D$5,$E$6:$H$6,0)),载具产出!$E$112:$E$151,1),0),MATCH(AD$6,载具产出!$G$111:$O$111,0))*2</f>
        <v>0</v>
      </c>
      <c r="AE81" s="44">
        <f ca="1">SUM(AA$36:AA81)/3</f>
        <v>422.8</v>
      </c>
      <c r="AF81" s="44">
        <f ca="1">SUM(AB$36:AB81)/3</f>
        <v>378.56</v>
      </c>
      <c r="AG81" s="44">
        <f ca="1">SUM(AC$36:AC81)/3</f>
        <v>20.64</v>
      </c>
      <c r="AH81" s="44">
        <f ca="1">SUM(AD$36:AD81)/3</f>
        <v>0</v>
      </c>
      <c r="AI81" s="44">
        <f>_xlfn.XLOOKUP($D$5,载具产出!$D$71:$D$75,载具产出!$E$71:$E$75)*(D81-30+1)</f>
        <v>541.047619047621</v>
      </c>
      <c r="AJ81" s="44">
        <f>IFERROR(MATCH(_xlfn.XLOOKUP($D$5,载具产出!$D$71:$D$75,载具产出!$E$71:$E$75)*(D81-30+1)*10,载具产出!$E$60:$E$67,1),0)+1</f>
        <v>5</v>
      </c>
      <c r="AK81" s="44">
        <f ca="1">IF($AJ81=1,($AI81)*(10*OFFSET(载具产出!$D$45,MATCH(AK$6,$AK$6:$AN$6,0)-1,$AJ81)+OFFSET(载具产出!$D$49,MATCH(AK$6,$AK$6:$AN$6,0)-1,$AJ81)*OFFSET(载具产出!$N$49,MATCH(AK$6,$AK$6:$AN$6,0)-1,0)),OFFSET(载具产出!F$59,$AJ81-1,0)*10+OFFSET(载具产出!J$59,$AJ81-1,0)+($AI81*10-_xlfn.XLOOKUP($AJ81-1,载具产出!$D$59:$D$67,载具产出!$E$59:$E$67))/10*(10*OFFSET(载具产出!$D$45,MATCH(AK$6,$AK$6:$AN$6,0)-1,$AJ81)+OFFSET(载具产出!$D$49,MATCH(AK$6,$AK$6:$AN$6,0)-1,$AJ81)*OFFSET(载具产出!$N$49,MATCH(AK$6,$AK$6:$AN$6,0)-1,0)))</f>
        <v>1270.16828571429</v>
      </c>
      <c r="AL81" s="44">
        <f ca="1">IF($AJ81=1,($AI81)*(10*OFFSET(载具产出!$D$45,MATCH(AL$6,$AK$6:$AN$6,0)-1,$AJ81)+OFFSET(载具产出!$D$49,MATCH(AL$6,$AK$6:$AN$6,0)-1,$AJ81)*OFFSET(载具产出!$N$49,MATCH(AL$6,$AK$6:$AN$6,0)-1,0)),OFFSET(载具产出!G$59,$AJ81-1,0)*10+OFFSET(载具产出!K$59,$AJ81-1,0)+($AI81*10-_xlfn.XLOOKUP($AJ81-1,载具产出!$D$59:$D$67,载具产出!$E$59:$E$67))/10*(10*OFFSET(载具产出!$D$45,MATCH(AL$6,$AK$6:$AN$6,0)-1,$AJ81)+OFFSET(载具产出!$D$49,MATCH(AL$6,$AK$6:$AN$6,0)-1,$AJ81)*OFFSET(载具产出!$N$49,MATCH(AL$6,$AK$6:$AN$6,0)-1,0)))</f>
        <v>448.200952380954</v>
      </c>
      <c r="AM81" s="44">
        <f ca="1">IF($AJ81=1,($AI81)*(10*OFFSET(载具产出!$D$45,MATCH(AM$6,$AK$6:$AN$6,0)-1,$AJ81)+OFFSET(载具产出!$D$49,MATCH(AM$6,$AK$6:$AN$6,0)-1,$AJ81)*OFFSET(载具产出!$N$49,MATCH(AM$6,$AK$6:$AN$6,0)-1,0)),OFFSET(载具产出!H$59,$AJ81-1,0)*10+OFFSET(载具产出!L$59,$AJ81-1,0)+($AI81*10-_xlfn.XLOOKUP($AJ81-1,载具产出!$D$59:$D$67,载具产出!$E$59:$E$67))/10*(10*OFFSET(载具产出!$D$45,MATCH(AM$6,$AK$6:$AN$6,0)-1,$AJ81)+OFFSET(载具产出!$D$49,MATCH(AM$6,$AK$6:$AN$6,0)-1,$AJ81)*OFFSET(载具产出!$N$49,MATCH(AM$6,$AK$6:$AN$6,0)-1,0)))</f>
        <v>226.566095238096</v>
      </c>
      <c r="AN81" s="44">
        <f ca="1">IF($AJ81=1,($AI81)*(10*OFFSET(载具产出!$D$45,MATCH(AN$6,$AK$6:$AN$6,0)-1,$AJ81)+OFFSET(载具产出!$D$49,MATCH(AN$6,$AK$6:$AN$6,0)-1,$AJ81)*OFFSET(载具产出!$N$49,MATCH(AN$6,$AK$6:$AN$6,0)-1,0)),OFFSET(载具产出!I$59,$AJ81-1,0)*10+OFFSET(载具产出!M$59,$AJ81-1,0)+($AI81*10-_xlfn.XLOOKUP($AJ81-1,载具产出!$D$59:$D$67,载具产出!$E$59:$E$67))/10*(10*OFFSET(载具产出!$D$45,MATCH(AN$6,$AK$6:$AN$6,0)-1,$AJ81)+OFFSET(载具产出!$D$49,MATCH(AN$6,$AK$6:$AN$6,0)-1,$AJ81)*OFFSET(载具产出!$N$49,MATCH(AN$6,$AK$6:$AN$6,0)-1,0)))</f>
        <v>60.5740000000003</v>
      </c>
      <c r="AO81" s="44">
        <f ca="1" t="shared" si="3"/>
        <v>1692.96828571429</v>
      </c>
      <c r="AP81" s="44">
        <f ca="1" t="shared" si="4"/>
        <v>826.760952380954</v>
      </c>
      <c r="AQ81" s="44">
        <f ca="1" t="shared" si="5"/>
        <v>247.206095238096</v>
      </c>
      <c r="AR81" s="44">
        <f ca="1" t="shared" si="6"/>
        <v>60.5740000000003</v>
      </c>
      <c r="AS81" s="45">
        <f ca="1">IFERROR(MATCH(AO81/载具产出!R$58,载具属性!$G$33:$G$92,1),0)</f>
        <v>21</v>
      </c>
      <c r="AT81" s="45">
        <f ca="1">IFERROR(MATCH(AP81/载具产出!S$58,载具属性!$G$33:$G$92,1),0)</f>
        <v>15</v>
      </c>
      <c r="AU81" s="45">
        <f ca="1">IFERROR(MATCH(AQ81/载具产出!T$58,载具属性!$G$33:$G$92,1),0)</f>
        <v>6</v>
      </c>
      <c r="AV81" s="45">
        <f ca="1">IFERROR(MATCH(AR81/载具产出!U$58,载具属性!$G$33:$G$92,1),0)</f>
        <v>0</v>
      </c>
      <c r="AW81" s="46" t="str">
        <f ca="1" t="shared" si="7"/>
        <v>[{62,314},{63,31455},{2,81100},{6030001,1145},{6030002,1064},{6030003,59}]</v>
      </c>
      <c r="AX81" t="str">
        <f ca="1" t="shared" si="8"/>
        <v>{62,314}</v>
      </c>
      <c r="AY81" t="str">
        <f ca="1" t="shared" si="9"/>
        <v>{63,31455}</v>
      </c>
      <c r="AZ81" t="str">
        <f ca="1" t="shared" si="10"/>
        <v>{2,81100}</v>
      </c>
      <c r="BA81" t="str">
        <f ca="1" t="shared" si="11"/>
        <v>{6030001,1145}</v>
      </c>
      <c r="BB81" t="str">
        <f ca="1" t="shared" si="12"/>
        <v>{6030002,1064}</v>
      </c>
      <c r="BC81" t="str">
        <f ca="1" t="shared" si="13"/>
        <v>{6030003,59}</v>
      </c>
      <c r="BD81" t="str">
        <f ca="1" t="shared" si="14"/>
        <v/>
      </c>
    </row>
    <row r="82" spans="3:56">
      <c r="C82">
        <f ca="1" t="shared" si="1"/>
        <v>106.547619047619</v>
      </c>
      <c r="D82" s="40">
        <v>76</v>
      </c>
      <c r="E82" s="40">
        <v>93</v>
      </c>
      <c r="F82" s="40">
        <v>109</v>
      </c>
      <c r="G82" s="41">
        <v>126</v>
      </c>
      <c r="H82" s="40">
        <f t="shared" si="18"/>
        <v>161</v>
      </c>
      <c r="I82" s="40">
        <v>186</v>
      </c>
      <c r="J82" s="40">
        <f t="shared" si="17"/>
        <v>164</v>
      </c>
      <c r="K82" s="40">
        <f ca="1">SUM(U$36:U82)-SUM(OFFSET(载具产出!H$399,0,0,$R82+1,1))</f>
        <v>321</v>
      </c>
      <c r="L82" s="40">
        <f ca="1">SUM(T$36:T82)-SUM(OFFSET(载具产出!G$399,0,0,$R82+1,1))</f>
        <v>32330</v>
      </c>
      <c r="M82" s="40">
        <f ca="1">SUM(V$36:V82)/2-SUM(OFFSET(载具产出!I$399,0,0,$R82+1,1))</f>
        <v>83900</v>
      </c>
      <c r="N82" s="40">
        <f ca="1">SUM(AA$36:AA82)-SUM(OFFSET(载具产出!J$399,0,0,$R82+1,1))</f>
        <v>1175.6</v>
      </c>
      <c r="O82" s="40">
        <f ca="1">SUM(AB$36:AB82)-SUM(OFFSET(载具产出!K$399,0,0,$R82+1,1))</f>
        <v>1090.48</v>
      </c>
      <c r="P82" s="40">
        <f ca="1">SUM(AC$36:AC82)-SUM(OFFSET(载具产出!L$399,0,0,$R82+1,1))</f>
        <v>61.92</v>
      </c>
      <c r="Q82" s="40">
        <f ca="1">SUM(AD$36:AD82)-SUM(OFFSET(载具产出!M$399,0,0,$R82+1,1))</f>
        <v>0</v>
      </c>
      <c r="R82" s="40">
        <v>8</v>
      </c>
      <c r="S82" s="40" t="str">
        <f ca="1">OFFSET(载具产出!$D$111,IFERROR(MATCH(OFFSET($D82,0,MATCH($D$5,$E$6:$H$6,0)),载具产出!$E$112:$E$151,1),0),0)</f>
        <v>豪华Ⅳ</v>
      </c>
      <c r="T82" s="40">
        <f ca="1">OFFSET(载具产出!$F$399,IFERROR(MATCH(OFFSET($D82,0,MATCH($D$5,$E$6:$H$6,0)),载具产出!$E$400:$E$439,1),0),MATCH(T$6,载具产出!$G$399:$O$399,0))</f>
        <v>875</v>
      </c>
      <c r="U82" s="40">
        <v>7</v>
      </c>
      <c r="V82" s="40">
        <f ca="1">OFFSET(载具产出!$F$399,IFERROR(MATCH(OFFSET($D82,0,MATCH($D$5,$E$6:$H$6,0)),载具产出!$E$400:$E$439,1),0),MATCH(V$6,载具产出!$G$399:$O$399,0))</f>
        <v>5600</v>
      </c>
      <c r="W82" s="43">
        <f ca="1">_xlfn.XLOOKUP(Z82,载具属性!$E$98:$E$497,载具属性!$G$98:$G$497)+6000+OFFSET(载具属性!L$33,AS82,0)*载具属性!M$30+OFFSET(载具属性!M$33,AT82,0)*载具属性!N$30+OFFSET(载具属性!N$33,AU82,0)*载具属性!O$30+OFFSET(载具属性!O$33,AV82,0)*载具属性!P$30</f>
        <v>13425</v>
      </c>
      <c r="X82" s="43">
        <f ca="1">_xlfn.XLOOKUP(Z82,载具属性!$E$98:$E$497,载具属性!$G$98:$G$497)</f>
        <v>4095</v>
      </c>
      <c r="Y82" s="43">
        <f ca="1">OFFSET(载具属性!L$33,AS82,0)*载具属性!M$30+OFFSET(载具属性!M$33,AT82,0)*载具属性!N$30+OFFSET(载具属性!N$33,AU82,0)*载具属性!O$30+OFFSET(载具属性!O$33,AV82,0)*载具属性!P$30</f>
        <v>3330</v>
      </c>
      <c r="Z82" s="40">
        <f ca="1">MATCH(SUM($T$7:T82),载具属性!$I$98:$I$497,1)</f>
        <v>73</v>
      </c>
      <c r="AA82" s="40">
        <f ca="1">OFFSET(载具产出!$F$399,IFERROR(MATCH(OFFSET($D82,0,MATCH($D$5,$E$6:$H$6,0)),载具产出!$E$112:$E$151,1),0),MATCH(AA$6,载具产出!$G$111:$O$111,0))*2</f>
        <v>30</v>
      </c>
      <c r="AB82" s="40">
        <f ca="1">OFFSET(载具产出!$F$399,IFERROR(MATCH(OFFSET($D82,0,MATCH($D$5,$E$6:$H$6,0)),载具产出!$E$112:$E$151,1),0),MATCH(AB$6,载具产出!$G$111:$O$111,0))*2</f>
        <v>25.6</v>
      </c>
      <c r="AC82" s="40">
        <f ca="1">OFFSET(载具产出!$F$399,IFERROR(MATCH(OFFSET($D82,0,MATCH($D$5,$E$6:$H$6,0)),载具产出!$E$112:$E$151,1),0),MATCH(AC$6,载具产出!$G$111:$O$111,0))*2</f>
        <v>2.4</v>
      </c>
      <c r="AD82" s="40">
        <f ca="1">OFFSET(载具产出!$F$399,IFERROR(MATCH(OFFSET($D82,0,MATCH($D$5,$E$6:$H$6,0)),载具产出!$E$112:$E$151,1),0),MATCH(AD$6,载具产出!$G$111:$O$111,0))*2</f>
        <v>0</v>
      </c>
      <c r="AE82" s="44">
        <f ca="1">SUM(AA$36:AA82)/3</f>
        <v>432.8</v>
      </c>
      <c r="AF82" s="44">
        <f ca="1">SUM(AB$36:AB82)/3</f>
        <v>387.093333333333</v>
      </c>
      <c r="AG82" s="44">
        <f ca="1">SUM(AC$36:AC82)/3</f>
        <v>21.44</v>
      </c>
      <c r="AH82" s="44">
        <f ca="1">SUM(AD$36:AD82)/3</f>
        <v>0</v>
      </c>
      <c r="AI82" s="44">
        <f>_xlfn.XLOOKUP($D$5,载具产出!$D$71:$D$75,载具产出!$E$71:$E$75)*(D82-30+1)</f>
        <v>552.809523809526</v>
      </c>
      <c r="AJ82" s="44">
        <f>IFERROR(MATCH(_xlfn.XLOOKUP($D$5,载具产出!$D$71:$D$75,载具产出!$E$71:$E$75)*(D82-30+1)*10,载具产出!$E$60:$E$67,1),0)+1</f>
        <v>5</v>
      </c>
      <c r="AK82" s="44">
        <f ca="1">IF($AJ82=1,($AI82)*(10*OFFSET(载具产出!$D$45,MATCH(AK$6,$AK$6:$AN$6,0)-1,$AJ82)+OFFSET(载具产出!$D$49,MATCH(AK$6,$AK$6:$AN$6,0)-1,$AJ82)*OFFSET(载具产出!$N$49,MATCH(AK$6,$AK$6:$AN$6,0)-1,0)),OFFSET(载具产出!F$59,$AJ82-1,0)*10+OFFSET(载具产出!J$59,$AJ82-1,0)+($AI82*10-_xlfn.XLOOKUP($AJ82-1,载具产出!$D$59:$D$67,载具产出!$E$59:$E$67))/10*(10*OFFSET(载具产出!$D$45,MATCH(AK$6,$AK$6:$AN$6,0)-1,$AJ82)+OFFSET(载具产出!$D$49,MATCH(AK$6,$AK$6:$AN$6,0)-1,$AJ82)*OFFSET(载具产出!$N$49,MATCH(AK$6,$AK$6:$AN$6,0)-1,0)))</f>
        <v>1296.42085714286</v>
      </c>
      <c r="AL82" s="44">
        <f ca="1">IF($AJ82=1,($AI82)*(10*OFFSET(载具产出!$D$45,MATCH(AL$6,$AK$6:$AN$6,0)-1,$AJ82)+OFFSET(载具产出!$D$49,MATCH(AL$6,$AK$6:$AN$6,0)-1,$AJ82)*OFFSET(载具产出!$N$49,MATCH(AL$6,$AK$6:$AN$6,0)-1,0)),OFFSET(载具产出!G$59,$AJ82-1,0)*10+OFFSET(载具产出!K$59,$AJ82-1,0)+($AI82*10-_xlfn.XLOOKUP($AJ82-1,载具产出!$D$59:$D$67,载具产出!$E$59:$E$67))/10*(10*OFFSET(载具产出!$D$45,MATCH(AL$6,$AK$6:$AN$6,0)-1,$AJ82)+OFFSET(载具产出!$D$49,MATCH(AL$6,$AK$6:$AN$6,0)-1,$AJ82)*OFFSET(载具产出!$N$49,MATCH(AL$6,$AK$6:$AN$6,0)-1,0)))</f>
        <v>458.316190476192</v>
      </c>
      <c r="AM82" s="44">
        <f ca="1">IF($AJ82=1,($AI82)*(10*OFFSET(载具产出!$D$45,MATCH(AM$6,$AK$6:$AN$6,0)-1,$AJ82)+OFFSET(载具产出!$D$49,MATCH(AM$6,$AK$6:$AN$6,0)-1,$AJ82)*OFFSET(载具产出!$N$49,MATCH(AM$6,$AK$6:$AN$6,0)-1,0)),OFFSET(载具产出!H$59,$AJ82-1,0)*10+OFFSET(载具产出!L$59,$AJ82-1,0)+($AI82*10-_xlfn.XLOOKUP($AJ82-1,载具产出!$D$59:$D$67,载具产出!$E$59:$E$67))/10*(10*OFFSET(载具产出!$D$45,MATCH(AM$6,$AK$6:$AN$6,0)-1,$AJ82)+OFFSET(载具产出!$D$49,MATCH(AM$6,$AK$6:$AN$6,0)-1,$AJ82)*OFFSET(载具产出!$N$49,MATCH(AM$6,$AK$6:$AN$6,0)-1,0)))</f>
        <v>232.02361904762</v>
      </c>
      <c r="AN82" s="44">
        <f ca="1">IF($AJ82=1,($AI82)*(10*OFFSET(载具产出!$D$45,MATCH(AN$6,$AK$6:$AN$6,0)-1,$AJ82)+OFFSET(载具产出!$D$49,MATCH(AN$6,$AK$6:$AN$6,0)-1,$AJ82)*OFFSET(载具产出!$N$49,MATCH(AN$6,$AK$6:$AN$6,0)-1,0)),OFFSET(载具产出!I$59,$AJ82-1,0)*10+OFFSET(载具产出!M$59,$AJ82-1,0)+($AI82*10-_xlfn.XLOOKUP($AJ82-1,载具产出!$D$59:$D$67,载具产出!$E$59:$E$67))/10*(10*OFFSET(载具产出!$D$45,MATCH(AN$6,$AK$6:$AN$6,0)-1,$AJ82)+OFFSET(载具产出!$D$49,MATCH(AN$6,$AK$6:$AN$6,0)-1,$AJ82)*OFFSET(载具产出!$N$49,MATCH(AN$6,$AK$6:$AN$6,0)-1,0)))</f>
        <v>62.3030000000003</v>
      </c>
      <c r="AO82" s="44">
        <f ca="1" t="shared" si="3"/>
        <v>1729.22085714286</v>
      </c>
      <c r="AP82" s="44">
        <f ca="1" t="shared" si="4"/>
        <v>845.409523809526</v>
      </c>
      <c r="AQ82" s="44">
        <f ca="1" t="shared" si="5"/>
        <v>253.46361904762</v>
      </c>
      <c r="AR82" s="44">
        <f ca="1" t="shared" si="6"/>
        <v>62.3030000000003</v>
      </c>
      <c r="AS82" s="45">
        <f ca="1">IFERROR(MATCH(AO82/载具产出!R$58,载具属性!$G$33:$G$92,1),0)</f>
        <v>21</v>
      </c>
      <c r="AT82" s="45">
        <f ca="1">IFERROR(MATCH(AP82/载具产出!S$58,载具属性!$G$33:$G$92,1),0)</f>
        <v>15</v>
      </c>
      <c r="AU82" s="45">
        <f ca="1">IFERROR(MATCH(AQ82/载具产出!T$58,载具属性!$G$33:$G$92,1),0)</f>
        <v>6</v>
      </c>
      <c r="AV82" s="45">
        <f ca="1">IFERROR(MATCH(AR82/载具产出!U$58,载具属性!$G$33:$G$92,1),0)</f>
        <v>0</v>
      </c>
      <c r="AW82" s="46" t="str">
        <f ca="1" t="shared" si="7"/>
        <v>[{62,321},{63,32330},{2,83900},{6030001,1175},{6030002,1090},{6030003,61}]</v>
      </c>
      <c r="AX82" t="str">
        <f ca="1" t="shared" si="8"/>
        <v>{62,321}</v>
      </c>
      <c r="AY82" t="str">
        <f ca="1" t="shared" si="9"/>
        <v>{63,32330}</v>
      </c>
      <c r="AZ82" t="str">
        <f ca="1" t="shared" si="10"/>
        <v>{2,83900}</v>
      </c>
      <c r="BA82" t="str">
        <f ca="1" t="shared" si="11"/>
        <v>{6030001,1175}</v>
      </c>
      <c r="BB82" t="str">
        <f ca="1" t="shared" si="12"/>
        <v>{6030002,1090}</v>
      </c>
      <c r="BC82" t="str">
        <f ca="1" t="shared" si="13"/>
        <v>{6030003,61}</v>
      </c>
      <c r="BD82" t="str">
        <f ca="1" t="shared" si="14"/>
        <v/>
      </c>
    </row>
    <row r="83" spans="3:56">
      <c r="C83">
        <f ca="1" t="shared" si="1"/>
        <v>107.063492063492</v>
      </c>
      <c r="D83" s="40">
        <v>77</v>
      </c>
      <c r="E83" s="40">
        <v>93</v>
      </c>
      <c r="F83" s="40">
        <v>109</v>
      </c>
      <c r="G83" s="41">
        <v>126</v>
      </c>
      <c r="H83" s="40">
        <f t="shared" si="18"/>
        <v>162</v>
      </c>
      <c r="I83" s="40">
        <v>186</v>
      </c>
      <c r="J83" s="40">
        <f t="shared" si="17"/>
        <v>165</v>
      </c>
      <c r="K83" s="40">
        <f ca="1">SUM(U$36:U83)-SUM(OFFSET(载具产出!H$399,0,0,$R83+1,1))</f>
        <v>327</v>
      </c>
      <c r="L83" s="40">
        <f ca="1">SUM(T$36:T83)-SUM(OFFSET(载具产出!G$399,0,0,$R83+1,1))</f>
        <v>32330</v>
      </c>
      <c r="M83" s="40">
        <f ca="1">SUM(V$36:V83)/2-SUM(OFFSET(载具产出!I$399,0,0,$R83+1,1))</f>
        <v>81100</v>
      </c>
      <c r="N83" s="40">
        <f ca="1">SUM(AA$36:AA83)-SUM(OFFSET(载具产出!J$399,0,0,$R83+1,1))</f>
        <v>1190.6</v>
      </c>
      <c r="O83" s="40">
        <f ca="1">SUM(AB$36:AB83)-SUM(OFFSET(载具产出!K$399,0,0,$R83+1,1))</f>
        <v>1103.28</v>
      </c>
      <c r="P83" s="40">
        <f ca="1">SUM(AC$36:AC83)-SUM(OFFSET(载具产出!L$399,0,0,$R83+1,1))</f>
        <v>63.12</v>
      </c>
      <c r="Q83" s="40">
        <f ca="1">SUM(AD$36:AD83)-SUM(OFFSET(载具产出!M$399,0,0,$R83+1,1))</f>
        <v>0</v>
      </c>
      <c r="R83" s="40">
        <v>9</v>
      </c>
      <c r="S83" s="40" t="str">
        <f ca="1">OFFSET(载具产出!$D$111,IFERROR(MATCH(OFFSET($D83,0,MATCH($D$5,$E$6:$H$6,0)),载具产出!$E$112:$E$151,1),0),0)</f>
        <v>豪华Ⅳ</v>
      </c>
      <c r="T83" s="40">
        <f ca="1">OFFSET(载具产出!$F$399,IFERROR(MATCH(OFFSET($D83,0,MATCH($D$5,$E$6:$H$6,0)),载具产出!$E$400:$E$439,1),0),MATCH(T$6,载具产出!$G$399:$O$399,0))</f>
        <v>875</v>
      </c>
      <c r="U83" s="40">
        <v>7</v>
      </c>
      <c r="V83" s="40">
        <f ca="1">OFFSET(载具产出!$F$399,IFERROR(MATCH(OFFSET($D83,0,MATCH($D$5,$E$6:$H$6,0)),载具产出!$E$400:$E$439,1),0),MATCH(V$6,载具产出!$G$399:$O$399,0))</f>
        <v>5600</v>
      </c>
      <c r="W83" s="43">
        <f ca="1">_xlfn.XLOOKUP(Z83,载具属性!$E$98:$E$497,载具属性!$G$98:$G$497)+6000+OFFSET(载具属性!L$33,AS83,0)*载具属性!M$30+OFFSET(载具属性!M$33,AT83,0)*载具属性!N$30+OFFSET(载具属性!N$33,AU83,0)*载具属性!O$30+OFFSET(载具属性!O$33,AV83,0)*载具属性!P$30</f>
        <v>13490</v>
      </c>
      <c r="X83" s="43">
        <f ca="1">_xlfn.XLOOKUP(Z83,载具属性!$E$98:$E$497,载具属性!$G$98:$G$497)</f>
        <v>4160</v>
      </c>
      <c r="Y83" s="43">
        <f ca="1">OFFSET(载具属性!L$33,AS83,0)*载具属性!M$30+OFFSET(载具属性!M$33,AT83,0)*载具属性!N$30+OFFSET(载具属性!N$33,AU83,0)*载具属性!O$30+OFFSET(载具属性!O$33,AV83,0)*载具属性!P$30</f>
        <v>3330</v>
      </c>
      <c r="Z83" s="40">
        <f ca="1">MATCH(SUM($T$7:T83),载具属性!$I$98:$I$497,1)</f>
        <v>74</v>
      </c>
      <c r="AA83" s="40">
        <f ca="1">OFFSET(载具产出!$F$399,IFERROR(MATCH(OFFSET($D83,0,MATCH($D$5,$E$6:$H$6,0)),载具产出!$E$112:$E$151,1),0),MATCH(AA$6,载具产出!$G$111:$O$111,0))*2</f>
        <v>30</v>
      </c>
      <c r="AB83" s="40">
        <f ca="1">OFFSET(载具产出!$F$399,IFERROR(MATCH(OFFSET($D83,0,MATCH($D$5,$E$6:$H$6,0)),载具产出!$E$112:$E$151,1),0),MATCH(AB$6,载具产出!$G$111:$O$111,0))*2</f>
        <v>25.6</v>
      </c>
      <c r="AC83" s="40">
        <f ca="1">OFFSET(载具产出!$F$399,IFERROR(MATCH(OFFSET($D83,0,MATCH($D$5,$E$6:$H$6,0)),载具产出!$E$112:$E$151,1),0),MATCH(AC$6,载具产出!$G$111:$O$111,0))*2</f>
        <v>2.4</v>
      </c>
      <c r="AD83" s="40">
        <f ca="1">OFFSET(载具产出!$F$399,IFERROR(MATCH(OFFSET($D83,0,MATCH($D$5,$E$6:$H$6,0)),载具产出!$E$112:$E$151,1),0),MATCH(AD$6,载具产出!$G$111:$O$111,0))*2</f>
        <v>0</v>
      </c>
      <c r="AE83" s="44">
        <f ca="1">SUM(AA$36:AA83)/3</f>
        <v>442.8</v>
      </c>
      <c r="AF83" s="44">
        <f ca="1">SUM(AB$36:AB83)/3</f>
        <v>395.626666666667</v>
      </c>
      <c r="AG83" s="44">
        <f ca="1">SUM(AC$36:AC83)/3</f>
        <v>22.24</v>
      </c>
      <c r="AH83" s="44">
        <f ca="1">SUM(AD$36:AD83)/3</f>
        <v>0</v>
      </c>
      <c r="AI83" s="44">
        <f>_xlfn.XLOOKUP($D$5,载具产出!$D$71:$D$75,载具产出!$E$71:$E$75)*(D83-30+1)</f>
        <v>564.57142857143</v>
      </c>
      <c r="AJ83" s="44">
        <f>IFERROR(MATCH(_xlfn.XLOOKUP($D$5,载具产出!$D$71:$D$75,载具产出!$E$71:$E$75)*(D83-30+1)*10,载具产出!$E$60:$E$67,1),0)+1</f>
        <v>5</v>
      </c>
      <c r="AK83" s="44">
        <f ca="1">IF($AJ83=1,($AI83)*(10*OFFSET(载具产出!$D$45,MATCH(AK$6,$AK$6:$AN$6,0)-1,$AJ83)+OFFSET(载具产出!$D$49,MATCH(AK$6,$AK$6:$AN$6,0)-1,$AJ83)*OFFSET(载具产出!$N$49,MATCH(AK$6,$AK$6:$AN$6,0)-1,0)),OFFSET(载具产出!F$59,$AJ83-1,0)*10+OFFSET(载具产出!J$59,$AJ83-1,0)+($AI83*10-_xlfn.XLOOKUP($AJ83-1,载具产出!$D$59:$D$67,载具产出!$E$59:$E$67))/10*(10*OFFSET(载具产出!$D$45,MATCH(AK$6,$AK$6:$AN$6,0)-1,$AJ83)+OFFSET(载具产出!$D$49,MATCH(AK$6,$AK$6:$AN$6,0)-1,$AJ83)*OFFSET(载具产出!$N$49,MATCH(AK$6,$AK$6:$AN$6,0)-1,0)))</f>
        <v>1322.67342857143</v>
      </c>
      <c r="AL83" s="44">
        <f ca="1">IF($AJ83=1,($AI83)*(10*OFFSET(载具产出!$D$45,MATCH(AL$6,$AK$6:$AN$6,0)-1,$AJ83)+OFFSET(载具产出!$D$49,MATCH(AL$6,$AK$6:$AN$6,0)-1,$AJ83)*OFFSET(载具产出!$N$49,MATCH(AL$6,$AK$6:$AN$6,0)-1,0)),OFFSET(载具产出!G$59,$AJ83-1,0)*10+OFFSET(载具产出!K$59,$AJ83-1,0)+($AI83*10-_xlfn.XLOOKUP($AJ83-1,载具产出!$D$59:$D$67,载具产出!$E$59:$E$67))/10*(10*OFFSET(载具产出!$D$45,MATCH(AL$6,$AK$6:$AN$6,0)-1,$AJ83)+OFFSET(载具产出!$D$49,MATCH(AL$6,$AK$6:$AN$6,0)-1,$AJ83)*OFFSET(载具产出!$N$49,MATCH(AL$6,$AK$6:$AN$6,0)-1,0)))</f>
        <v>468.43142857143</v>
      </c>
      <c r="AM83" s="44">
        <f ca="1">IF($AJ83=1,($AI83)*(10*OFFSET(载具产出!$D$45,MATCH(AM$6,$AK$6:$AN$6,0)-1,$AJ83)+OFFSET(载具产出!$D$49,MATCH(AM$6,$AK$6:$AN$6,0)-1,$AJ83)*OFFSET(载具产出!$N$49,MATCH(AM$6,$AK$6:$AN$6,0)-1,0)),OFFSET(载具产出!H$59,$AJ83-1,0)*10+OFFSET(载具产出!L$59,$AJ83-1,0)+($AI83*10-_xlfn.XLOOKUP($AJ83-1,载具产出!$D$59:$D$67,载具产出!$E$59:$E$67))/10*(10*OFFSET(载具产出!$D$45,MATCH(AM$6,$AK$6:$AN$6,0)-1,$AJ83)+OFFSET(载具产出!$D$49,MATCH(AM$6,$AK$6:$AN$6,0)-1,$AJ83)*OFFSET(载具产出!$N$49,MATCH(AM$6,$AK$6:$AN$6,0)-1,0)))</f>
        <v>237.481142857144</v>
      </c>
      <c r="AN83" s="44">
        <f ca="1">IF($AJ83=1,($AI83)*(10*OFFSET(载具产出!$D$45,MATCH(AN$6,$AK$6:$AN$6,0)-1,$AJ83)+OFFSET(载具产出!$D$49,MATCH(AN$6,$AK$6:$AN$6,0)-1,$AJ83)*OFFSET(载具产出!$N$49,MATCH(AN$6,$AK$6:$AN$6,0)-1,0)),OFFSET(载具产出!I$59,$AJ83-1,0)*10+OFFSET(载具产出!M$59,$AJ83-1,0)+($AI83*10-_xlfn.XLOOKUP($AJ83-1,载具产出!$D$59:$D$67,载具产出!$E$59:$E$67))/10*(10*OFFSET(载具产出!$D$45,MATCH(AN$6,$AK$6:$AN$6,0)-1,$AJ83)+OFFSET(载具产出!$D$49,MATCH(AN$6,$AK$6:$AN$6,0)-1,$AJ83)*OFFSET(载具产出!$N$49,MATCH(AN$6,$AK$6:$AN$6,0)-1,0)))</f>
        <v>64.0320000000002</v>
      </c>
      <c r="AO83" s="44">
        <f ca="1" t="shared" si="3"/>
        <v>1765.47342857143</v>
      </c>
      <c r="AP83" s="44">
        <f ca="1" t="shared" si="4"/>
        <v>864.058095238096</v>
      </c>
      <c r="AQ83" s="44">
        <f ca="1" t="shared" si="5"/>
        <v>259.721142857144</v>
      </c>
      <c r="AR83" s="44">
        <f ca="1" t="shared" si="6"/>
        <v>64.0320000000002</v>
      </c>
      <c r="AS83" s="45">
        <f ca="1">IFERROR(MATCH(AO83/载具产出!R$58,载具属性!$G$33:$G$92,1),0)</f>
        <v>21</v>
      </c>
      <c r="AT83" s="45">
        <f ca="1">IFERROR(MATCH(AP83/载具产出!S$58,载具属性!$G$33:$G$92,1),0)</f>
        <v>15</v>
      </c>
      <c r="AU83" s="45">
        <f ca="1">IFERROR(MATCH(AQ83/载具产出!T$58,载具属性!$G$33:$G$92,1),0)</f>
        <v>6</v>
      </c>
      <c r="AV83" s="45">
        <f ca="1">IFERROR(MATCH(AR83/载具产出!U$58,载具属性!$G$33:$G$92,1),0)</f>
        <v>0</v>
      </c>
      <c r="AW83" s="46" t="str">
        <f ca="1" t="shared" si="7"/>
        <v>[{62,327},{63,32330},{2,81100},{6030001,1190},{6030002,1103},{6030003,63}]</v>
      </c>
      <c r="AX83" t="str">
        <f ca="1" t="shared" si="8"/>
        <v>{62,327}</v>
      </c>
      <c r="AY83" t="str">
        <f ca="1" t="shared" si="9"/>
        <v>{63,32330}</v>
      </c>
      <c r="AZ83" t="str">
        <f ca="1" t="shared" si="10"/>
        <v>{2,81100}</v>
      </c>
      <c r="BA83" t="str">
        <f ca="1" t="shared" si="11"/>
        <v>{6030001,1190}</v>
      </c>
      <c r="BB83" t="str">
        <f ca="1" t="shared" si="12"/>
        <v>{6030002,1103}</v>
      </c>
      <c r="BC83" t="str">
        <f ca="1" t="shared" si="13"/>
        <v>{6030003,63}</v>
      </c>
      <c r="BD83" t="str">
        <f ca="1" t="shared" si="14"/>
        <v/>
      </c>
    </row>
    <row r="84" spans="3:56">
      <c r="C84">
        <f ca="1" t="shared" si="1"/>
        <v>107.204724409449</v>
      </c>
      <c r="D84" s="40">
        <v>78</v>
      </c>
      <c r="E84" s="40">
        <v>93</v>
      </c>
      <c r="F84" s="40">
        <v>110</v>
      </c>
      <c r="G84" s="41">
        <v>127</v>
      </c>
      <c r="H84" s="40">
        <f t="shared" si="18"/>
        <v>163</v>
      </c>
      <c r="I84" s="40">
        <v>186</v>
      </c>
      <c r="J84" s="40">
        <f t="shared" si="17"/>
        <v>166</v>
      </c>
      <c r="K84" s="40">
        <f ca="1">SUM(U$36:U84)-SUM(OFFSET(载具产出!H$399,0,0,$R84+1,1))</f>
        <v>334</v>
      </c>
      <c r="L84" s="40">
        <f ca="1">SUM(T$36:T84)-SUM(OFFSET(载具产出!G$399,0,0,$R84+1,1))</f>
        <v>33205</v>
      </c>
      <c r="M84" s="40">
        <f ca="1">SUM(V$36:V84)/2-SUM(OFFSET(载具产出!I$399,0,0,$R84+1,1))</f>
        <v>83900</v>
      </c>
      <c r="N84" s="40">
        <f ca="1">SUM(AA$36:AA84)-SUM(OFFSET(载具产出!J$399,0,0,$R84+1,1))</f>
        <v>1220.6</v>
      </c>
      <c r="O84" s="40">
        <f ca="1">SUM(AB$36:AB84)-SUM(OFFSET(载具产出!K$399,0,0,$R84+1,1))</f>
        <v>1128.88</v>
      </c>
      <c r="P84" s="40">
        <f ca="1">SUM(AC$36:AC84)-SUM(OFFSET(载具产出!L$399,0,0,$R84+1,1))</f>
        <v>65.5200000000001</v>
      </c>
      <c r="Q84" s="40">
        <f ca="1">SUM(AD$36:AD84)-SUM(OFFSET(载具产出!M$399,0,0,$R84+1,1))</f>
        <v>0</v>
      </c>
      <c r="R84" s="40">
        <v>9</v>
      </c>
      <c r="S84" s="40" t="str">
        <f ca="1">OFFSET(载具产出!$D$111,IFERROR(MATCH(OFFSET($D84,0,MATCH($D$5,$E$6:$H$6,0)),载具产出!$E$112:$E$151,1),0),0)</f>
        <v>豪华Ⅳ</v>
      </c>
      <c r="T84" s="40">
        <f ca="1">OFFSET(载具产出!$F$399,IFERROR(MATCH(OFFSET($D84,0,MATCH($D$5,$E$6:$H$6,0)),载具产出!$E$400:$E$439,1),0),MATCH(T$6,载具产出!$G$399:$O$399,0))</f>
        <v>875</v>
      </c>
      <c r="U84" s="40">
        <v>7</v>
      </c>
      <c r="V84" s="40">
        <f ca="1">OFFSET(载具产出!$F$399,IFERROR(MATCH(OFFSET($D84,0,MATCH($D$5,$E$6:$H$6,0)),载具产出!$E$400:$E$439,1),0),MATCH(V$6,载具产出!$G$399:$O$399,0))</f>
        <v>5600</v>
      </c>
      <c r="W84" s="43">
        <f ca="1">_xlfn.XLOOKUP(Z84,载具属性!$E$98:$E$497,载具属性!$G$98:$G$497)+6000+OFFSET(载具属性!L$33,AS84,0)*载具属性!M$30+OFFSET(载具属性!M$33,AT84,0)*载具属性!N$30+OFFSET(载具属性!N$33,AU84,0)*载具属性!O$30+OFFSET(载具属性!O$33,AV84,0)*载具属性!P$30</f>
        <v>13615</v>
      </c>
      <c r="X84" s="43">
        <f ca="1">_xlfn.XLOOKUP(Z84,载具属性!$E$98:$E$497,载具属性!$G$98:$G$497)</f>
        <v>4225</v>
      </c>
      <c r="Y84" s="43">
        <f ca="1">OFFSET(载具属性!L$33,AS84,0)*载具属性!M$30+OFFSET(载具属性!M$33,AT84,0)*载具属性!N$30+OFFSET(载具属性!N$33,AU84,0)*载具属性!O$30+OFFSET(载具属性!O$33,AV84,0)*载具属性!P$30</f>
        <v>3390</v>
      </c>
      <c r="Z84" s="40">
        <f ca="1">MATCH(SUM($T$7:T84),载具属性!$I$98:$I$497,1)</f>
        <v>75</v>
      </c>
      <c r="AA84" s="40">
        <f ca="1">OFFSET(载具产出!$F$399,IFERROR(MATCH(OFFSET($D84,0,MATCH($D$5,$E$6:$H$6,0)),载具产出!$E$112:$E$151,1),0),MATCH(AA$6,载具产出!$G$111:$O$111,0))*2</f>
        <v>30</v>
      </c>
      <c r="AB84" s="40">
        <f ca="1">OFFSET(载具产出!$F$399,IFERROR(MATCH(OFFSET($D84,0,MATCH($D$5,$E$6:$H$6,0)),载具产出!$E$112:$E$151,1),0),MATCH(AB$6,载具产出!$G$111:$O$111,0))*2</f>
        <v>25.6</v>
      </c>
      <c r="AC84" s="40">
        <f ca="1">OFFSET(载具产出!$F$399,IFERROR(MATCH(OFFSET($D84,0,MATCH($D$5,$E$6:$H$6,0)),载具产出!$E$112:$E$151,1),0),MATCH(AC$6,载具产出!$G$111:$O$111,0))*2</f>
        <v>2.4</v>
      </c>
      <c r="AD84" s="40">
        <f ca="1">OFFSET(载具产出!$F$399,IFERROR(MATCH(OFFSET($D84,0,MATCH($D$5,$E$6:$H$6,0)),载具产出!$E$112:$E$151,1),0),MATCH(AD$6,载具产出!$G$111:$O$111,0))*2</f>
        <v>0</v>
      </c>
      <c r="AE84" s="44">
        <f ca="1">SUM(AA$36:AA84)/3</f>
        <v>452.8</v>
      </c>
      <c r="AF84" s="44">
        <f ca="1">SUM(AB$36:AB84)/3</f>
        <v>404.16</v>
      </c>
      <c r="AG84" s="44">
        <f ca="1">SUM(AC$36:AC84)/3</f>
        <v>23.04</v>
      </c>
      <c r="AH84" s="44">
        <f ca="1">SUM(AD$36:AD84)/3</f>
        <v>0</v>
      </c>
      <c r="AI84" s="44">
        <f>_xlfn.XLOOKUP($D$5,载具产出!$D$71:$D$75,载具产出!$E$71:$E$75)*(D84-30+1)</f>
        <v>576.333333333335</v>
      </c>
      <c r="AJ84" s="44">
        <f>IFERROR(MATCH(_xlfn.XLOOKUP($D$5,载具产出!$D$71:$D$75,载具产出!$E$71:$E$75)*(D84-30+1)*10,载具产出!$E$60:$E$67,1),0)+1</f>
        <v>5</v>
      </c>
      <c r="AK84" s="44">
        <f ca="1">IF($AJ84=1,($AI84)*(10*OFFSET(载具产出!$D$45,MATCH(AK$6,$AK$6:$AN$6,0)-1,$AJ84)+OFFSET(载具产出!$D$49,MATCH(AK$6,$AK$6:$AN$6,0)-1,$AJ84)*OFFSET(载具产出!$N$49,MATCH(AK$6,$AK$6:$AN$6,0)-1,0)),OFFSET(载具产出!F$59,$AJ84-1,0)*10+OFFSET(载具产出!J$59,$AJ84-1,0)+($AI84*10-_xlfn.XLOOKUP($AJ84-1,载具产出!$D$59:$D$67,载具产出!$E$59:$E$67))/10*(10*OFFSET(载具产出!$D$45,MATCH(AK$6,$AK$6:$AN$6,0)-1,$AJ84)+OFFSET(载具产出!$D$49,MATCH(AK$6,$AK$6:$AN$6,0)-1,$AJ84)*OFFSET(载具产出!$N$49,MATCH(AK$6,$AK$6:$AN$6,0)-1,0)))</f>
        <v>1348.926</v>
      </c>
      <c r="AL84" s="44">
        <f ca="1">IF($AJ84=1,($AI84)*(10*OFFSET(载具产出!$D$45,MATCH(AL$6,$AK$6:$AN$6,0)-1,$AJ84)+OFFSET(载具产出!$D$49,MATCH(AL$6,$AK$6:$AN$6,0)-1,$AJ84)*OFFSET(载具产出!$N$49,MATCH(AL$6,$AK$6:$AN$6,0)-1,0)),OFFSET(载具产出!G$59,$AJ84-1,0)*10+OFFSET(载具产出!K$59,$AJ84-1,0)+($AI84*10-_xlfn.XLOOKUP($AJ84-1,载具产出!$D$59:$D$67,载具产出!$E$59:$E$67))/10*(10*OFFSET(载具产出!$D$45,MATCH(AL$6,$AK$6:$AN$6,0)-1,$AJ84)+OFFSET(载具产出!$D$49,MATCH(AL$6,$AK$6:$AN$6,0)-1,$AJ84)*OFFSET(载具产出!$N$49,MATCH(AL$6,$AK$6:$AN$6,0)-1,0)))</f>
        <v>478.546666666668</v>
      </c>
      <c r="AM84" s="44">
        <f ca="1">IF($AJ84=1,($AI84)*(10*OFFSET(载具产出!$D$45,MATCH(AM$6,$AK$6:$AN$6,0)-1,$AJ84)+OFFSET(载具产出!$D$49,MATCH(AM$6,$AK$6:$AN$6,0)-1,$AJ84)*OFFSET(载具产出!$N$49,MATCH(AM$6,$AK$6:$AN$6,0)-1,0)),OFFSET(载具产出!H$59,$AJ84-1,0)*10+OFFSET(载具产出!L$59,$AJ84-1,0)+($AI84*10-_xlfn.XLOOKUP($AJ84-1,载具产出!$D$59:$D$67,载具产出!$E$59:$E$67))/10*(10*OFFSET(载具产出!$D$45,MATCH(AM$6,$AK$6:$AN$6,0)-1,$AJ84)+OFFSET(载具产出!$D$49,MATCH(AM$6,$AK$6:$AN$6,0)-1,$AJ84)*OFFSET(载具产出!$N$49,MATCH(AM$6,$AK$6:$AN$6,0)-1,0)))</f>
        <v>242.938666666667</v>
      </c>
      <c r="AN84" s="44">
        <f ca="1">IF($AJ84=1,($AI84)*(10*OFFSET(载具产出!$D$45,MATCH(AN$6,$AK$6:$AN$6,0)-1,$AJ84)+OFFSET(载具产出!$D$49,MATCH(AN$6,$AK$6:$AN$6,0)-1,$AJ84)*OFFSET(载具产出!$N$49,MATCH(AN$6,$AK$6:$AN$6,0)-1,0)),OFFSET(载具产出!I$59,$AJ84-1,0)*10+OFFSET(载具产出!M$59,$AJ84-1,0)+($AI84*10-_xlfn.XLOOKUP($AJ84-1,载具产出!$D$59:$D$67,载具产出!$E$59:$E$67))/10*(10*OFFSET(载具产出!$D$45,MATCH(AN$6,$AK$6:$AN$6,0)-1,$AJ84)+OFFSET(载具产出!$D$49,MATCH(AN$6,$AK$6:$AN$6,0)-1,$AJ84)*OFFSET(载具产出!$N$49,MATCH(AN$6,$AK$6:$AN$6,0)-1,0)))</f>
        <v>65.7610000000002</v>
      </c>
      <c r="AO84" s="44">
        <f ca="1" t="shared" si="3"/>
        <v>1801.726</v>
      </c>
      <c r="AP84" s="44">
        <f ca="1" t="shared" si="4"/>
        <v>882.706666666668</v>
      </c>
      <c r="AQ84" s="44">
        <f ca="1" t="shared" si="5"/>
        <v>265.978666666667</v>
      </c>
      <c r="AR84" s="44">
        <f ca="1" t="shared" si="6"/>
        <v>65.7610000000002</v>
      </c>
      <c r="AS84" s="45">
        <f ca="1">IFERROR(MATCH(AO84/载具产出!R$58,载具属性!$G$33:$G$92,1),0)</f>
        <v>22</v>
      </c>
      <c r="AT84" s="45">
        <f ca="1">IFERROR(MATCH(AP84/载具产出!S$58,载具属性!$G$33:$G$92,1),0)</f>
        <v>15</v>
      </c>
      <c r="AU84" s="45">
        <f ca="1">IFERROR(MATCH(AQ84/载具产出!T$58,载具属性!$G$33:$G$92,1),0)</f>
        <v>6</v>
      </c>
      <c r="AV84" s="45">
        <f ca="1">IFERROR(MATCH(AR84/载具产出!U$58,载具属性!$G$33:$G$92,1),0)</f>
        <v>0</v>
      </c>
      <c r="AW84" s="46" t="str">
        <f ca="1" t="shared" si="7"/>
        <v>[{62,334},{63,33205},{2,83900},{6030001,1220},{6030002,1128},{6030003,65}]</v>
      </c>
      <c r="AX84" t="str">
        <f ca="1" t="shared" si="8"/>
        <v>{62,334}</v>
      </c>
      <c r="AY84" t="str">
        <f ca="1" t="shared" si="9"/>
        <v>{63,33205}</v>
      </c>
      <c r="AZ84" t="str">
        <f ca="1" t="shared" si="10"/>
        <v>{2,83900}</v>
      </c>
      <c r="BA84" t="str">
        <f ca="1" t="shared" si="11"/>
        <v>{6030001,1220}</v>
      </c>
      <c r="BB84" t="str">
        <f ca="1" t="shared" si="12"/>
        <v>{6030002,1128}</v>
      </c>
      <c r="BC84" t="str">
        <f ca="1" t="shared" si="13"/>
        <v>{6030003,65}</v>
      </c>
      <c r="BD84" t="str">
        <f ca="1" t="shared" si="14"/>
        <v/>
      </c>
    </row>
    <row r="85" spans="3:56">
      <c r="C85">
        <f ca="1" t="shared" si="1"/>
        <v>107.716535433071</v>
      </c>
      <c r="D85" s="40">
        <v>79</v>
      </c>
      <c r="E85" s="40">
        <v>94</v>
      </c>
      <c r="F85" s="40">
        <v>110</v>
      </c>
      <c r="G85" s="41">
        <v>127</v>
      </c>
      <c r="H85" s="40">
        <f t="shared" si="18"/>
        <v>164</v>
      </c>
      <c r="I85" s="40">
        <v>186</v>
      </c>
      <c r="J85" s="40">
        <f t="shared" si="17"/>
        <v>167</v>
      </c>
      <c r="K85" s="40">
        <f ca="1">SUM(U$36:U85)-SUM(OFFSET(载具产出!H$399,0,0,$R85+1,1))</f>
        <v>341</v>
      </c>
      <c r="L85" s="40">
        <f ca="1">SUM(T$36:T85)-SUM(OFFSET(载具产出!G$399,0,0,$R85+1,1))</f>
        <v>34080</v>
      </c>
      <c r="M85" s="40">
        <f ca="1">SUM(V$36:V85)/2-SUM(OFFSET(载具产出!I$399,0,0,$R85+1,1))</f>
        <v>86700</v>
      </c>
      <c r="N85" s="40">
        <f ca="1">SUM(AA$36:AA85)-SUM(OFFSET(载具产出!J$399,0,0,$R85+1,1))</f>
        <v>1250.6</v>
      </c>
      <c r="O85" s="40">
        <f ca="1">SUM(AB$36:AB85)-SUM(OFFSET(载具产出!K$399,0,0,$R85+1,1))</f>
        <v>1154.48</v>
      </c>
      <c r="P85" s="40">
        <f ca="1">SUM(AC$36:AC85)-SUM(OFFSET(载具产出!L$399,0,0,$R85+1,1))</f>
        <v>67.9200000000001</v>
      </c>
      <c r="Q85" s="40">
        <f ca="1">SUM(AD$36:AD85)-SUM(OFFSET(载具产出!M$399,0,0,$R85+1,1))</f>
        <v>0</v>
      </c>
      <c r="R85" s="40">
        <v>9</v>
      </c>
      <c r="S85" s="40" t="str">
        <f ca="1">OFFSET(载具产出!$D$111,IFERROR(MATCH(OFFSET($D85,0,MATCH($D$5,$E$6:$H$6,0)),载具产出!$E$112:$E$151,1),0),0)</f>
        <v>豪华Ⅳ</v>
      </c>
      <c r="T85" s="40">
        <f ca="1">OFFSET(载具产出!$F$399,IFERROR(MATCH(OFFSET($D85,0,MATCH($D$5,$E$6:$H$6,0)),载具产出!$E$400:$E$439,1),0),MATCH(T$6,载具产出!$G$399:$O$399,0))</f>
        <v>875</v>
      </c>
      <c r="U85" s="40">
        <v>7</v>
      </c>
      <c r="V85" s="40">
        <f ca="1">OFFSET(载具产出!$F$399,IFERROR(MATCH(OFFSET($D85,0,MATCH($D$5,$E$6:$H$6,0)),载具产出!$E$400:$E$439,1),0),MATCH(V$6,载具产出!$G$399:$O$399,0))</f>
        <v>5600</v>
      </c>
      <c r="W85" s="43">
        <f ca="1">_xlfn.XLOOKUP(Z85,载具属性!$E$98:$E$497,载具属性!$G$98:$G$497)+6000+OFFSET(载具属性!L$33,AS85,0)*载具属性!M$30+OFFSET(载具属性!M$33,AT85,0)*载具属性!N$30+OFFSET(载具属性!N$33,AU85,0)*载具属性!O$30+OFFSET(载具属性!O$33,AV85,0)*载具属性!P$30</f>
        <v>13680</v>
      </c>
      <c r="X85" s="43">
        <f ca="1">_xlfn.XLOOKUP(Z85,载具属性!$E$98:$E$497,载具属性!$G$98:$G$497)</f>
        <v>4290</v>
      </c>
      <c r="Y85" s="43">
        <f ca="1">OFFSET(载具属性!L$33,AS85,0)*载具属性!M$30+OFFSET(载具属性!M$33,AT85,0)*载具属性!N$30+OFFSET(载具属性!N$33,AU85,0)*载具属性!O$30+OFFSET(载具属性!O$33,AV85,0)*载具属性!P$30</f>
        <v>3390</v>
      </c>
      <c r="Z85" s="40">
        <f ca="1">MATCH(SUM($T$7:T85),载具属性!$I$98:$I$497,1)</f>
        <v>76</v>
      </c>
      <c r="AA85" s="40">
        <f ca="1">OFFSET(载具产出!$F$399,IFERROR(MATCH(OFFSET($D85,0,MATCH($D$5,$E$6:$H$6,0)),载具产出!$E$112:$E$151,1),0),MATCH(AA$6,载具产出!$G$111:$O$111,0))*2</f>
        <v>30</v>
      </c>
      <c r="AB85" s="40">
        <f ca="1">OFFSET(载具产出!$F$399,IFERROR(MATCH(OFFSET($D85,0,MATCH($D$5,$E$6:$H$6,0)),载具产出!$E$112:$E$151,1),0),MATCH(AB$6,载具产出!$G$111:$O$111,0))*2</f>
        <v>25.6</v>
      </c>
      <c r="AC85" s="40">
        <f ca="1">OFFSET(载具产出!$F$399,IFERROR(MATCH(OFFSET($D85,0,MATCH($D$5,$E$6:$H$6,0)),载具产出!$E$112:$E$151,1),0),MATCH(AC$6,载具产出!$G$111:$O$111,0))*2</f>
        <v>2.4</v>
      </c>
      <c r="AD85" s="40">
        <f ca="1">OFFSET(载具产出!$F$399,IFERROR(MATCH(OFFSET($D85,0,MATCH($D$5,$E$6:$H$6,0)),载具产出!$E$112:$E$151,1),0),MATCH(AD$6,载具产出!$G$111:$O$111,0))*2</f>
        <v>0</v>
      </c>
      <c r="AE85" s="44">
        <f ca="1">SUM(AA$36:AA85)/3</f>
        <v>462.8</v>
      </c>
      <c r="AF85" s="44">
        <f ca="1">SUM(AB$36:AB85)/3</f>
        <v>412.693333333333</v>
      </c>
      <c r="AG85" s="44">
        <f ca="1">SUM(AC$36:AC85)/3</f>
        <v>23.84</v>
      </c>
      <c r="AH85" s="44">
        <f ca="1">SUM(AD$36:AD85)/3</f>
        <v>0</v>
      </c>
      <c r="AI85" s="44">
        <f>_xlfn.XLOOKUP($D$5,载具产出!$D$71:$D$75,载具产出!$E$71:$E$75)*(D85-30+1)</f>
        <v>588.09523809524</v>
      </c>
      <c r="AJ85" s="44">
        <f>IFERROR(MATCH(_xlfn.XLOOKUP($D$5,载具产出!$D$71:$D$75,载具产出!$E$71:$E$75)*(D85-30+1)*10,载具产出!$E$60:$E$67,1),0)+1</f>
        <v>5</v>
      </c>
      <c r="AK85" s="44">
        <f ca="1">IF($AJ85=1,($AI85)*(10*OFFSET(载具产出!$D$45,MATCH(AK$6,$AK$6:$AN$6,0)-1,$AJ85)+OFFSET(载具产出!$D$49,MATCH(AK$6,$AK$6:$AN$6,0)-1,$AJ85)*OFFSET(载具产出!$N$49,MATCH(AK$6,$AK$6:$AN$6,0)-1,0)),OFFSET(载具产出!F$59,$AJ85-1,0)*10+OFFSET(载具产出!J$59,$AJ85-1,0)+($AI85*10-_xlfn.XLOOKUP($AJ85-1,载具产出!$D$59:$D$67,载具产出!$E$59:$E$67))/10*(10*OFFSET(载具产出!$D$45,MATCH(AK$6,$AK$6:$AN$6,0)-1,$AJ85)+OFFSET(载具产出!$D$49,MATCH(AK$6,$AK$6:$AN$6,0)-1,$AJ85)*OFFSET(载具产出!$N$49,MATCH(AK$6,$AK$6:$AN$6,0)-1,0)))</f>
        <v>1375.17857142858</v>
      </c>
      <c r="AL85" s="44">
        <f ca="1">IF($AJ85=1,($AI85)*(10*OFFSET(载具产出!$D$45,MATCH(AL$6,$AK$6:$AN$6,0)-1,$AJ85)+OFFSET(载具产出!$D$49,MATCH(AL$6,$AK$6:$AN$6,0)-1,$AJ85)*OFFSET(载具产出!$N$49,MATCH(AL$6,$AK$6:$AN$6,0)-1,0)),OFFSET(载具产出!G$59,$AJ85-1,0)*10+OFFSET(载具产出!K$59,$AJ85-1,0)+($AI85*10-_xlfn.XLOOKUP($AJ85-1,载具产出!$D$59:$D$67,载具产出!$E$59:$E$67))/10*(10*OFFSET(载具产出!$D$45,MATCH(AL$6,$AK$6:$AN$6,0)-1,$AJ85)+OFFSET(载具产出!$D$49,MATCH(AL$6,$AK$6:$AN$6,0)-1,$AJ85)*OFFSET(载具产出!$N$49,MATCH(AL$6,$AK$6:$AN$6,0)-1,0)))</f>
        <v>488.661904761906</v>
      </c>
      <c r="AM85" s="44">
        <f ca="1">IF($AJ85=1,($AI85)*(10*OFFSET(载具产出!$D$45,MATCH(AM$6,$AK$6:$AN$6,0)-1,$AJ85)+OFFSET(载具产出!$D$49,MATCH(AM$6,$AK$6:$AN$6,0)-1,$AJ85)*OFFSET(载具产出!$N$49,MATCH(AM$6,$AK$6:$AN$6,0)-1,0)),OFFSET(载具产出!H$59,$AJ85-1,0)*10+OFFSET(载具产出!L$59,$AJ85-1,0)+($AI85*10-_xlfn.XLOOKUP($AJ85-1,载具产出!$D$59:$D$67,载具产出!$E$59:$E$67))/10*(10*OFFSET(载具产出!$D$45,MATCH(AM$6,$AK$6:$AN$6,0)-1,$AJ85)+OFFSET(载具产出!$D$49,MATCH(AM$6,$AK$6:$AN$6,0)-1,$AJ85)*OFFSET(载具产出!$N$49,MATCH(AM$6,$AK$6:$AN$6,0)-1,0)))</f>
        <v>248.396190476191</v>
      </c>
      <c r="AN85" s="44">
        <f ca="1">IF($AJ85=1,($AI85)*(10*OFFSET(载具产出!$D$45,MATCH(AN$6,$AK$6:$AN$6,0)-1,$AJ85)+OFFSET(载具产出!$D$49,MATCH(AN$6,$AK$6:$AN$6,0)-1,$AJ85)*OFFSET(载具产出!$N$49,MATCH(AN$6,$AK$6:$AN$6,0)-1,0)),OFFSET(载具产出!I$59,$AJ85-1,0)*10+OFFSET(载具产出!M$59,$AJ85-1,0)+($AI85*10-_xlfn.XLOOKUP($AJ85-1,载具产出!$D$59:$D$67,载具产出!$E$59:$E$67))/10*(10*OFFSET(载具产出!$D$45,MATCH(AN$6,$AK$6:$AN$6,0)-1,$AJ85)+OFFSET(载具产出!$D$49,MATCH(AN$6,$AK$6:$AN$6,0)-1,$AJ85)*OFFSET(载具产出!$N$49,MATCH(AN$6,$AK$6:$AN$6,0)-1,0)))</f>
        <v>67.4900000000003</v>
      </c>
      <c r="AO85" s="44">
        <f ca="1" t="shared" si="3"/>
        <v>1837.97857142858</v>
      </c>
      <c r="AP85" s="44">
        <f ca="1" t="shared" si="4"/>
        <v>901.35523809524</v>
      </c>
      <c r="AQ85" s="44">
        <f ca="1" t="shared" si="5"/>
        <v>272.236190476191</v>
      </c>
      <c r="AR85" s="44">
        <f ca="1" t="shared" si="6"/>
        <v>67.4900000000003</v>
      </c>
      <c r="AS85" s="45">
        <f ca="1">IFERROR(MATCH(AO85/载具产出!R$58,载具属性!$G$33:$G$92,1),0)</f>
        <v>22</v>
      </c>
      <c r="AT85" s="45">
        <f ca="1">IFERROR(MATCH(AP85/载具产出!S$58,载具属性!$G$33:$G$92,1),0)</f>
        <v>15</v>
      </c>
      <c r="AU85" s="45">
        <f ca="1">IFERROR(MATCH(AQ85/载具产出!T$58,载具属性!$G$33:$G$92,1),0)</f>
        <v>6</v>
      </c>
      <c r="AV85" s="45">
        <f ca="1">IFERROR(MATCH(AR85/载具产出!U$58,载具属性!$G$33:$G$92,1),0)</f>
        <v>0</v>
      </c>
      <c r="AW85" s="46" t="str">
        <f ca="1" t="shared" si="7"/>
        <v>[{62,341},{63,34080},{2,86700},{6030001,1250},{6030002,1154},{6030003,67}]</v>
      </c>
      <c r="AX85" t="str">
        <f ca="1" t="shared" si="8"/>
        <v>{62,341}</v>
      </c>
      <c r="AY85" t="str">
        <f ca="1" t="shared" si="9"/>
        <v>{63,34080}</v>
      </c>
      <c r="AZ85" t="str">
        <f ca="1" t="shared" si="10"/>
        <v>{2,86700}</v>
      </c>
      <c r="BA85" t="str">
        <f ca="1" t="shared" si="11"/>
        <v>{6030001,1250}</v>
      </c>
      <c r="BB85" t="str">
        <f ca="1" t="shared" si="12"/>
        <v>{6030002,1154}</v>
      </c>
      <c r="BC85" t="str">
        <f ca="1" t="shared" si="13"/>
        <v>{6030003,67}</v>
      </c>
      <c r="BD85" t="str">
        <f ca="1" t="shared" si="14"/>
        <v/>
      </c>
    </row>
    <row r="86" spans="3:56">
      <c r="C86">
        <f ca="1" t="shared" si="1"/>
        <v>106.875</v>
      </c>
      <c r="D86" s="40">
        <v>80</v>
      </c>
      <c r="E86" s="40">
        <v>94</v>
      </c>
      <c r="F86" s="40">
        <v>111</v>
      </c>
      <c r="G86" s="41">
        <v>128</v>
      </c>
      <c r="H86" s="40">
        <f t="shared" si="18"/>
        <v>165</v>
      </c>
      <c r="I86" s="40">
        <v>186</v>
      </c>
      <c r="J86" s="40">
        <f t="shared" si="17"/>
        <v>168</v>
      </c>
      <c r="K86" s="40">
        <f ca="1">SUM(U$36:U86)-SUM(OFFSET(载具产出!H$399,0,0,$R86+1,1))</f>
        <v>348</v>
      </c>
      <c r="L86" s="40">
        <f ca="1">SUM(T$36:T86)-SUM(OFFSET(载具产出!G$399,0,0,$R86+1,1))</f>
        <v>34955</v>
      </c>
      <c r="M86" s="40">
        <f ca="1">SUM(V$36:V86)/2-SUM(OFFSET(载具产出!I$399,0,0,$R86+1,1))</f>
        <v>89500</v>
      </c>
      <c r="N86" s="40">
        <f ca="1">SUM(AA$36:AA86)-SUM(OFFSET(载具产出!J$399,0,0,$R86+1,1))</f>
        <v>1280.6</v>
      </c>
      <c r="O86" s="40">
        <f ca="1">SUM(AB$36:AB86)-SUM(OFFSET(载具产出!K$399,0,0,$R86+1,1))</f>
        <v>1180.08</v>
      </c>
      <c r="P86" s="40">
        <f ca="1">SUM(AC$36:AC86)-SUM(OFFSET(载具产出!L$399,0,0,$R86+1,1))</f>
        <v>70.3200000000001</v>
      </c>
      <c r="Q86" s="40">
        <f ca="1">SUM(AD$36:AD86)-SUM(OFFSET(载具产出!M$399,0,0,$R86+1,1))</f>
        <v>0</v>
      </c>
      <c r="R86" s="40">
        <v>9</v>
      </c>
      <c r="S86" s="40" t="str">
        <f ca="1">OFFSET(载具产出!$D$111,IFERROR(MATCH(OFFSET($D86,0,MATCH($D$5,$E$6:$H$6,0)),载具产出!$E$112:$E$151,1),0),0)</f>
        <v>豪华Ⅳ</v>
      </c>
      <c r="T86" s="40">
        <f ca="1">OFFSET(载具产出!$F$399,IFERROR(MATCH(OFFSET($D86,0,MATCH($D$5,$E$6:$H$6,0)),载具产出!$E$400:$E$439,1),0),MATCH(T$6,载具产出!$G$399:$O$399,0))</f>
        <v>875</v>
      </c>
      <c r="U86" s="40">
        <v>7</v>
      </c>
      <c r="V86" s="40">
        <f ca="1">OFFSET(载具产出!$F$399,IFERROR(MATCH(OFFSET($D86,0,MATCH($D$5,$E$6:$H$6,0)),载具产出!$E$400:$E$439,1),0),MATCH(V$6,载具产出!$G$399:$O$399,0))</f>
        <v>5600</v>
      </c>
      <c r="W86" s="43">
        <f ca="1">_xlfn.XLOOKUP(Z86,载具属性!$E$98:$E$497,载具属性!$G$98:$G$497)+6000+OFFSET(载具属性!L$33,AS86,0)*载具属性!M$30+OFFSET(载具属性!M$33,AT86,0)*载具属性!N$30+OFFSET(载具属性!N$33,AU86,0)*载具属性!O$30+OFFSET(载具属性!O$33,AV86,0)*载具属性!P$30</f>
        <v>13680</v>
      </c>
      <c r="X86" s="43">
        <f ca="1">_xlfn.XLOOKUP(Z86,载具属性!$E$98:$E$497,载具属性!$G$98:$G$497)</f>
        <v>4290</v>
      </c>
      <c r="Y86" s="43">
        <f ca="1">OFFSET(载具属性!L$33,AS86,0)*载具属性!M$30+OFFSET(载具属性!M$33,AT86,0)*载具属性!N$30+OFFSET(载具属性!N$33,AU86,0)*载具属性!O$30+OFFSET(载具属性!O$33,AV86,0)*载具属性!P$30</f>
        <v>3390</v>
      </c>
      <c r="Z86" s="40">
        <f ca="1">MATCH(SUM($T$7:T86),载具属性!$I$98:$I$497,1)</f>
        <v>76</v>
      </c>
      <c r="AA86" s="40">
        <f ca="1">OFFSET(载具产出!$F$399,IFERROR(MATCH(OFFSET($D86,0,MATCH($D$5,$E$6:$H$6,0)),载具产出!$E$112:$E$151,1),0),MATCH(AA$6,载具产出!$G$111:$O$111,0))*2</f>
        <v>30</v>
      </c>
      <c r="AB86" s="40">
        <f ca="1">OFFSET(载具产出!$F$399,IFERROR(MATCH(OFFSET($D86,0,MATCH($D$5,$E$6:$H$6,0)),载具产出!$E$112:$E$151,1),0),MATCH(AB$6,载具产出!$G$111:$O$111,0))*2</f>
        <v>25.6</v>
      </c>
      <c r="AC86" s="40">
        <f ca="1">OFFSET(载具产出!$F$399,IFERROR(MATCH(OFFSET($D86,0,MATCH($D$5,$E$6:$H$6,0)),载具产出!$E$112:$E$151,1),0),MATCH(AC$6,载具产出!$G$111:$O$111,0))*2</f>
        <v>2.4</v>
      </c>
      <c r="AD86" s="40">
        <f ca="1">OFFSET(载具产出!$F$399,IFERROR(MATCH(OFFSET($D86,0,MATCH($D$5,$E$6:$H$6,0)),载具产出!$E$112:$E$151,1),0),MATCH(AD$6,载具产出!$G$111:$O$111,0))*2</f>
        <v>0</v>
      </c>
      <c r="AE86" s="44">
        <f ca="1">SUM(AA$36:AA86)/3</f>
        <v>472.8</v>
      </c>
      <c r="AF86" s="44">
        <f ca="1">SUM(AB$36:AB86)/3</f>
        <v>421.226666666666</v>
      </c>
      <c r="AG86" s="44">
        <f ca="1">SUM(AC$36:AC86)/3</f>
        <v>24.64</v>
      </c>
      <c r="AH86" s="44">
        <f ca="1">SUM(AD$36:AD86)/3</f>
        <v>0</v>
      </c>
      <c r="AI86" s="44">
        <f>_xlfn.XLOOKUP($D$5,载具产出!$D$71:$D$75,载具产出!$E$71:$E$75)*(D86-30+1)</f>
        <v>599.857142857145</v>
      </c>
      <c r="AJ86" s="44">
        <f>IFERROR(MATCH(_xlfn.XLOOKUP($D$5,载具产出!$D$71:$D$75,载具产出!$E$71:$E$75)*(D86-30+1)*10,载具产出!$E$60:$E$67,1),0)+1</f>
        <v>5</v>
      </c>
      <c r="AK86" s="44">
        <f ca="1">IF($AJ86=1,($AI86)*(10*OFFSET(载具产出!$D$45,MATCH(AK$6,$AK$6:$AN$6,0)-1,$AJ86)+OFFSET(载具产出!$D$49,MATCH(AK$6,$AK$6:$AN$6,0)-1,$AJ86)*OFFSET(载具产出!$N$49,MATCH(AK$6,$AK$6:$AN$6,0)-1,0)),OFFSET(载具产出!F$59,$AJ86-1,0)*10+OFFSET(载具产出!J$59,$AJ86-1,0)+($AI86*10-_xlfn.XLOOKUP($AJ86-1,载具产出!$D$59:$D$67,载具产出!$E$59:$E$67))/10*(10*OFFSET(载具产出!$D$45,MATCH(AK$6,$AK$6:$AN$6,0)-1,$AJ86)+OFFSET(载具产出!$D$49,MATCH(AK$6,$AK$6:$AN$6,0)-1,$AJ86)*OFFSET(载具产出!$N$49,MATCH(AK$6,$AK$6:$AN$6,0)-1,0)))</f>
        <v>1401.43114285715</v>
      </c>
      <c r="AL86" s="44">
        <f ca="1">IF($AJ86=1,($AI86)*(10*OFFSET(载具产出!$D$45,MATCH(AL$6,$AK$6:$AN$6,0)-1,$AJ86)+OFFSET(载具产出!$D$49,MATCH(AL$6,$AK$6:$AN$6,0)-1,$AJ86)*OFFSET(载具产出!$N$49,MATCH(AL$6,$AK$6:$AN$6,0)-1,0)),OFFSET(载具产出!G$59,$AJ86-1,0)*10+OFFSET(载具产出!K$59,$AJ86-1,0)+($AI86*10-_xlfn.XLOOKUP($AJ86-1,载具产出!$D$59:$D$67,载具产出!$E$59:$E$67))/10*(10*OFFSET(载具产出!$D$45,MATCH(AL$6,$AK$6:$AN$6,0)-1,$AJ86)+OFFSET(载具产出!$D$49,MATCH(AL$6,$AK$6:$AN$6,0)-1,$AJ86)*OFFSET(载具产出!$N$49,MATCH(AL$6,$AK$6:$AN$6,0)-1,0)))</f>
        <v>498.777142857145</v>
      </c>
      <c r="AM86" s="44">
        <f ca="1">IF($AJ86=1,($AI86)*(10*OFFSET(载具产出!$D$45,MATCH(AM$6,$AK$6:$AN$6,0)-1,$AJ86)+OFFSET(载具产出!$D$49,MATCH(AM$6,$AK$6:$AN$6,0)-1,$AJ86)*OFFSET(载具产出!$N$49,MATCH(AM$6,$AK$6:$AN$6,0)-1,0)),OFFSET(载具产出!H$59,$AJ86-1,0)*10+OFFSET(载具产出!L$59,$AJ86-1,0)+($AI86*10-_xlfn.XLOOKUP($AJ86-1,载具产出!$D$59:$D$67,载具产出!$E$59:$E$67))/10*(10*OFFSET(载具产出!$D$45,MATCH(AM$6,$AK$6:$AN$6,0)-1,$AJ86)+OFFSET(载具产出!$D$49,MATCH(AM$6,$AK$6:$AN$6,0)-1,$AJ86)*OFFSET(载具产出!$N$49,MATCH(AM$6,$AK$6:$AN$6,0)-1,0)))</f>
        <v>253.853714285715</v>
      </c>
      <c r="AN86" s="44">
        <f ca="1">IF($AJ86=1,($AI86)*(10*OFFSET(载具产出!$D$45,MATCH(AN$6,$AK$6:$AN$6,0)-1,$AJ86)+OFFSET(载具产出!$D$49,MATCH(AN$6,$AK$6:$AN$6,0)-1,$AJ86)*OFFSET(载具产出!$N$49,MATCH(AN$6,$AK$6:$AN$6,0)-1,0)),OFFSET(载具产出!I$59,$AJ86-1,0)*10+OFFSET(载具产出!M$59,$AJ86-1,0)+($AI86*10-_xlfn.XLOOKUP($AJ86-1,载具产出!$D$59:$D$67,载具产出!$E$59:$E$67))/10*(10*OFFSET(载具产出!$D$45,MATCH(AN$6,$AK$6:$AN$6,0)-1,$AJ86)+OFFSET(载具产出!$D$49,MATCH(AN$6,$AK$6:$AN$6,0)-1,$AJ86)*OFFSET(载具产出!$N$49,MATCH(AN$6,$AK$6:$AN$6,0)-1,0)))</f>
        <v>69.2190000000003</v>
      </c>
      <c r="AO86" s="44">
        <f ca="1" t="shared" si="3"/>
        <v>1874.23114285715</v>
      </c>
      <c r="AP86" s="44">
        <f ca="1" t="shared" si="4"/>
        <v>920.003809523811</v>
      </c>
      <c r="AQ86" s="44">
        <f ca="1" t="shared" si="5"/>
        <v>278.493714285715</v>
      </c>
      <c r="AR86" s="44">
        <f ca="1" t="shared" si="6"/>
        <v>69.2190000000003</v>
      </c>
      <c r="AS86" s="45">
        <f ca="1">IFERROR(MATCH(AO86/载具产出!R$58,载具属性!$G$33:$G$92,1),0)</f>
        <v>22</v>
      </c>
      <c r="AT86" s="45">
        <f ca="1">IFERROR(MATCH(AP86/载具产出!S$58,载具属性!$G$33:$G$92,1),0)</f>
        <v>15</v>
      </c>
      <c r="AU86" s="45">
        <f ca="1">IFERROR(MATCH(AQ86/载具产出!T$58,载具属性!$G$33:$G$92,1),0)</f>
        <v>6</v>
      </c>
      <c r="AV86" s="45">
        <f ca="1">IFERROR(MATCH(AR86/载具产出!U$58,载具属性!$G$33:$G$92,1),0)</f>
        <v>0</v>
      </c>
      <c r="AW86" s="46" t="str">
        <f ca="1" t="shared" si="7"/>
        <v>[{62,348},{63,34955},{2,89500},{6030001,1280},{6030002,1180},{6030003,70}]</v>
      </c>
      <c r="AX86" t="str">
        <f ca="1" t="shared" si="8"/>
        <v>{62,348}</v>
      </c>
      <c r="AY86" t="str">
        <f ca="1" t="shared" si="9"/>
        <v>{63,34955}</v>
      </c>
      <c r="AZ86" t="str">
        <f ca="1" t="shared" si="10"/>
        <v>{2,89500}</v>
      </c>
      <c r="BA86" t="str">
        <f ca="1" t="shared" si="11"/>
        <v>{6030001,1280}</v>
      </c>
      <c r="BB86" t="str">
        <f ca="1" t="shared" si="12"/>
        <v>{6030002,1180}</v>
      </c>
      <c r="BC86" t="str">
        <f ca="1" t="shared" si="13"/>
        <v>{6030003,70}</v>
      </c>
      <c r="BD86" t="str">
        <f ca="1" t="shared" si="14"/>
        <v/>
      </c>
    </row>
    <row r="87" spans="3:56">
      <c r="C87">
        <f ca="1" t="shared" si="1"/>
        <v>107.3828125</v>
      </c>
      <c r="D87" s="40">
        <v>81</v>
      </c>
      <c r="E87" s="40">
        <v>94</v>
      </c>
      <c r="F87" s="40">
        <v>111</v>
      </c>
      <c r="G87" s="41">
        <v>128</v>
      </c>
      <c r="H87" s="40">
        <f t="shared" si="18"/>
        <v>166</v>
      </c>
      <c r="I87" s="40">
        <v>187</v>
      </c>
      <c r="J87" s="40">
        <f t="shared" si="17"/>
        <v>169</v>
      </c>
      <c r="K87" s="40">
        <f ca="1">SUM(U$36:U87)-SUM(OFFSET(载具产出!H$399,0,0,$R87+1,1))</f>
        <v>355</v>
      </c>
      <c r="L87" s="40">
        <f ca="1">SUM(T$36:T87)-SUM(OFFSET(载具产出!G$399,0,0,$R87+1,1))</f>
        <v>35830</v>
      </c>
      <c r="M87" s="40">
        <f ca="1">SUM(V$36:V87)/2-SUM(OFFSET(载具产出!I$399,0,0,$R87+1,1))</f>
        <v>92300</v>
      </c>
      <c r="N87" s="40">
        <f ca="1">SUM(AA$36:AA87)-SUM(OFFSET(载具产出!J$399,0,0,$R87+1,1))</f>
        <v>1310.6</v>
      </c>
      <c r="O87" s="40">
        <f ca="1">SUM(AB$36:AB87)-SUM(OFFSET(载具产出!K$399,0,0,$R87+1,1))</f>
        <v>1205.68</v>
      </c>
      <c r="P87" s="40">
        <f ca="1">SUM(AC$36:AC87)-SUM(OFFSET(载具产出!L$399,0,0,$R87+1,1))</f>
        <v>72.7200000000001</v>
      </c>
      <c r="Q87" s="40">
        <f ca="1">SUM(AD$36:AD87)-SUM(OFFSET(载具产出!M$399,0,0,$R87+1,1))</f>
        <v>0</v>
      </c>
      <c r="R87" s="40">
        <v>9</v>
      </c>
      <c r="S87" s="40" t="str">
        <f ca="1">OFFSET(载具产出!$D$111,IFERROR(MATCH(OFFSET($D87,0,MATCH($D$5,$E$6:$H$6,0)),载具产出!$E$112:$E$151,1),0),0)</f>
        <v>豪华Ⅳ</v>
      </c>
      <c r="T87" s="40">
        <f ca="1">OFFSET(载具产出!$F$399,IFERROR(MATCH(OFFSET($D87,0,MATCH($D$5,$E$6:$H$6,0)),载具产出!$E$400:$E$439,1),0),MATCH(T$6,载具产出!$G$399:$O$399,0))</f>
        <v>875</v>
      </c>
      <c r="U87" s="40">
        <v>7</v>
      </c>
      <c r="V87" s="40">
        <f ca="1">OFFSET(载具产出!$F$399,IFERROR(MATCH(OFFSET($D87,0,MATCH($D$5,$E$6:$H$6,0)),载具产出!$E$400:$E$439,1),0),MATCH(V$6,载具产出!$G$399:$O$399,0))</f>
        <v>5600</v>
      </c>
      <c r="W87" s="43">
        <f ca="1">_xlfn.XLOOKUP(Z87,载具属性!$E$98:$E$497,载具属性!$G$98:$G$497)+6000+OFFSET(载具属性!L$33,AS87,0)*载具属性!M$30+OFFSET(载具属性!M$33,AT87,0)*载具属性!N$30+OFFSET(载具属性!N$33,AU87,0)*载具属性!O$30+OFFSET(载具属性!O$33,AV87,0)*载具属性!P$30</f>
        <v>13745</v>
      </c>
      <c r="X87" s="43">
        <f ca="1">_xlfn.XLOOKUP(Z87,载具属性!$E$98:$E$497,载具属性!$G$98:$G$497)</f>
        <v>4355</v>
      </c>
      <c r="Y87" s="43">
        <f ca="1">OFFSET(载具属性!L$33,AS87,0)*载具属性!M$30+OFFSET(载具属性!M$33,AT87,0)*载具属性!N$30+OFFSET(载具属性!N$33,AU87,0)*载具属性!O$30+OFFSET(载具属性!O$33,AV87,0)*载具属性!P$30</f>
        <v>3390</v>
      </c>
      <c r="Z87" s="40">
        <f ca="1">MATCH(SUM($T$7:T87),载具属性!$I$98:$I$497,1)</f>
        <v>77</v>
      </c>
      <c r="AA87" s="40">
        <f ca="1">OFFSET(载具产出!$F$399,IFERROR(MATCH(OFFSET($D87,0,MATCH($D$5,$E$6:$H$6,0)),载具产出!$E$112:$E$151,1),0),MATCH(AA$6,载具产出!$G$111:$O$111,0))*2</f>
        <v>30</v>
      </c>
      <c r="AB87" s="40">
        <f ca="1">OFFSET(载具产出!$F$399,IFERROR(MATCH(OFFSET($D87,0,MATCH($D$5,$E$6:$H$6,0)),载具产出!$E$112:$E$151,1),0),MATCH(AB$6,载具产出!$G$111:$O$111,0))*2</f>
        <v>25.6</v>
      </c>
      <c r="AC87" s="40">
        <f ca="1">OFFSET(载具产出!$F$399,IFERROR(MATCH(OFFSET($D87,0,MATCH($D$5,$E$6:$H$6,0)),载具产出!$E$112:$E$151,1),0),MATCH(AC$6,载具产出!$G$111:$O$111,0))*2</f>
        <v>2.4</v>
      </c>
      <c r="AD87" s="40">
        <f ca="1">OFFSET(载具产出!$F$399,IFERROR(MATCH(OFFSET($D87,0,MATCH($D$5,$E$6:$H$6,0)),载具产出!$E$112:$E$151,1),0),MATCH(AD$6,载具产出!$G$111:$O$111,0))*2</f>
        <v>0</v>
      </c>
      <c r="AE87" s="44">
        <f ca="1">SUM(AA$36:AA87)/3</f>
        <v>482.8</v>
      </c>
      <c r="AF87" s="44">
        <f ca="1">SUM(AB$36:AB87)/3</f>
        <v>429.76</v>
      </c>
      <c r="AG87" s="44">
        <f ca="1">SUM(AC$36:AC87)/3</f>
        <v>25.44</v>
      </c>
      <c r="AH87" s="44">
        <f ca="1">SUM(AD$36:AD87)/3</f>
        <v>0</v>
      </c>
      <c r="AI87" s="44">
        <f>_xlfn.XLOOKUP($D$5,载具产出!$D$71:$D$75,载具产出!$E$71:$E$75)*(D87-30+1)</f>
        <v>611.61904761905</v>
      </c>
      <c r="AJ87" s="44">
        <f>IFERROR(MATCH(_xlfn.XLOOKUP($D$5,载具产出!$D$71:$D$75,载具产出!$E$71:$E$75)*(D87-30+1)*10,载具产出!$E$60:$E$67,1),0)+1</f>
        <v>6</v>
      </c>
      <c r="AK87" s="44">
        <f ca="1">IF($AJ87=1,($AI87)*(10*OFFSET(载具产出!$D$45,MATCH(AK$6,$AK$6:$AN$6,0)-1,$AJ87)+OFFSET(载具产出!$D$49,MATCH(AK$6,$AK$6:$AN$6,0)-1,$AJ87)*OFFSET(载具产出!$N$49,MATCH(AK$6,$AK$6:$AN$6,0)-1,0)),OFFSET(载具产出!F$59,$AJ87-1,0)*10+OFFSET(载具产出!J$59,$AJ87-1,0)+($AI87*10-_xlfn.XLOOKUP($AJ87-1,载具产出!$D$59:$D$67,载具产出!$E$59:$E$67))/10*(10*OFFSET(载具产出!$D$45,MATCH(AK$6,$AK$6:$AN$6,0)-1,$AJ87)+OFFSET(载具产出!$D$49,MATCH(AK$6,$AK$6:$AN$6,0)-1,$AJ87)*OFFSET(载具产出!$N$49,MATCH(AK$6,$AK$6:$AN$6,0)-1,0)))</f>
        <v>1426.98657142858</v>
      </c>
      <c r="AL87" s="44">
        <f ca="1">IF($AJ87=1,($AI87)*(10*OFFSET(载具产出!$D$45,MATCH(AL$6,$AK$6:$AN$6,0)-1,$AJ87)+OFFSET(载具产出!$D$49,MATCH(AL$6,$AK$6:$AN$6,0)-1,$AJ87)*OFFSET(载具产出!$N$49,MATCH(AL$6,$AK$6:$AN$6,0)-1,0)),OFFSET(载具产出!G$59,$AJ87-1,0)*10+OFFSET(载具产出!K$59,$AJ87-1,0)+($AI87*10-_xlfn.XLOOKUP($AJ87-1,载具产出!$D$59:$D$67,载具产出!$E$59:$E$67))/10*(10*OFFSET(载具产出!$D$45,MATCH(AL$6,$AK$6:$AN$6,0)-1,$AJ87)+OFFSET(载具产出!$D$49,MATCH(AL$6,$AK$6:$AN$6,0)-1,$AJ87)*OFFSET(载具产出!$N$49,MATCH(AL$6,$AK$6:$AN$6,0)-1,0)))</f>
        <v>509.357142857145</v>
      </c>
      <c r="AM87" s="44">
        <f ca="1">IF($AJ87=1,($AI87)*(10*OFFSET(载具产出!$D$45,MATCH(AM$6,$AK$6:$AN$6,0)-1,$AJ87)+OFFSET(载具产出!$D$49,MATCH(AM$6,$AK$6:$AN$6,0)-1,$AJ87)*OFFSET(载具产出!$N$49,MATCH(AM$6,$AK$6:$AN$6,0)-1,0)),OFFSET(载具产出!H$59,$AJ87-1,0)*10+OFFSET(载具产出!L$59,$AJ87-1,0)+($AI87*10-_xlfn.XLOOKUP($AJ87-1,载具产出!$D$59:$D$67,载具产出!$E$59:$E$67))/10*(10*OFFSET(载具产出!$D$45,MATCH(AM$6,$AK$6:$AN$6,0)-1,$AJ87)+OFFSET(载具产出!$D$49,MATCH(AM$6,$AK$6:$AN$6,0)-1,$AJ87)*OFFSET(载具产出!$N$49,MATCH(AM$6,$AK$6:$AN$6,0)-1,0)))</f>
        <v>259.683047619049</v>
      </c>
      <c r="AN87" s="44">
        <f ca="1">IF($AJ87=1,($AI87)*(10*OFFSET(载具产出!$D$45,MATCH(AN$6,$AK$6:$AN$6,0)-1,$AJ87)+OFFSET(载具产出!$D$49,MATCH(AN$6,$AK$6:$AN$6,0)-1,$AJ87)*OFFSET(载具产出!$N$49,MATCH(AN$6,$AK$6:$AN$6,0)-1,0)),OFFSET(载具产出!I$59,$AJ87-1,0)*10+OFFSET(载具产出!M$59,$AJ87-1,0)+($AI87*10-_xlfn.XLOOKUP($AJ87-1,载具产出!$D$59:$D$67,载具产出!$E$59:$E$67))/10*(10*OFFSET(载具产出!$D$45,MATCH(AN$6,$AK$6:$AN$6,0)-1,$AJ87)+OFFSET(载具产出!$D$49,MATCH(AN$6,$AK$6:$AN$6,0)-1,$AJ87)*OFFSET(载具产出!$N$49,MATCH(AN$6,$AK$6:$AN$6,0)-1,0)))</f>
        <v>71.0758095238099</v>
      </c>
      <c r="AO87" s="44">
        <f ca="1" t="shared" si="3"/>
        <v>1909.78657142858</v>
      </c>
      <c r="AP87" s="44">
        <f ca="1" t="shared" si="4"/>
        <v>939.117142857145</v>
      </c>
      <c r="AQ87" s="44">
        <f ca="1" t="shared" si="5"/>
        <v>285.123047619049</v>
      </c>
      <c r="AR87" s="44">
        <f ca="1" t="shared" si="6"/>
        <v>71.0758095238099</v>
      </c>
      <c r="AS87" s="45">
        <f ca="1">IFERROR(MATCH(AO87/载具产出!R$58,载具属性!$G$33:$G$92,1),0)</f>
        <v>22</v>
      </c>
      <c r="AT87" s="45">
        <f ca="1">IFERROR(MATCH(AP87/载具产出!S$58,载具属性!$G$33:$G$92,1),0)</f>
        <v>15</v>
      </c>
      <c r="AU87" s="45">
        <f ca="1">IFERROR(MATCH(AQ87/载具产出!T$58,载具属性!$G$33:$G$92,1),0)</f>
        <v>6</v>
      </c>
      <c r="AV87" s="45">
        <f ca="1">IFERROR(MATCH(AR87/载具产出!U$58,载具属性!$G$33:$G$92,1),0)</f>
        <v>0</v>
      </c>
      <c r="AW87" s="46" t="str">
        <f ca="1" t="shared" si="7"/>
        <v>[{62,355},{63,35830},{2,92300},{6030001,1310},{6030002,1205},{6030003,72}]</v>
      </c>
      <c r="AX87" t="str">
        <f ca="1" t="shared" si="8"/>
        <v>{62,355}</v>
      </c>
      <c r="AY87" t="str">
        <f ca="1" t="shared" si="9"/>
        <v>{63,35830}</v>
      </c>
      <c r="AZ87" t="str">
        <f ca="1" t="shared" si="10"/>
        <v>{2,92300}</v>
      </c>
      <c r="BA87" t="str">
        <f ca="1" t="shared" si="11"/>
        <v>{6030001,1310}</v>
      </c>
      <c r="BB87" t="str">
        <f ca="1" t="shared" si="12"/>
        <v>{6030002,1205}</v>
      </c>
      <c r="BC87" t="str">
        <f ca="1" t="shared" si="13"/>
        <v>{6030003,72}</v>
      </c>
      <c r="BD87" t="str">
        <f ca="1" t="shared" si="14"/>
        <v/>
      </c>
    </row>
    <row r="88" spans="3:56">
      <c r="C88">
        <f ca="1" t="shared" si="1"/>
        <v>107.054263565891</v>
      </c>
      <c r="D88" s="40">
        <v>82</v>
      </c>
      <c r="E88" s="40">
        <v>95</v>
      </c>
      <c r="F88" s="40">
        <v>112</v>
      </c>
      <c r="G88" s="41">
        <v>129</v>
      </c>
      <c r="H88" s="40">
        <f t="shared" si="18"/>
        <v>167</v>
      </c>
      <c r="I88" s="40">
        <v>192</v>
      </c>
      <c r="J88" s="40">
        <f t="shared" si="17"/>
        <v>171</v>
      </c>
      <c r="K88" s="40">
        <f ca="1">SUM(U$36:U88)-SUM(OFFSET(载具产出!H$399,0,0,$R88+1,1))</f>
        <v>362</v>
      </c>
      <c r="L88" s="40">
        <f ca="1">SUM(T$36:T88)-SUM(OFFSET(载具产出!G$399,0,0,$R88+1,1))</f>
        <v>36705</v>
      </c>
      <c r="M88" s="40">
        <f ca="1">SUM(V$36:V88)/2-SUM(OFFSET(载具产出!I$399,0,0,$R88+1,1))</f>
        <v>95100</v>
      </c>
      <c r="N88" s="40">
        <f ca="1">SUM(AA$36:AA88)-SUM(OFFSET(载具产出!J$399,0,0,$R88+1,1))</f>
        <v>1340.6</v>
      </c>
      <c r="O88" s="40">
        <f ca="1">SUM(AB$36:AB88)-SUM(OFFSET(载具产出!K$399,0,0,$R88+1,1))</f>
        <v>1231.28</v>
      </c>
      <c r="P88" s="40">
        <f ca="1">SUM(AC$36:AC88)-SUM(OFFSET(载具产出!L$399,0,0,$R88+1,1))</f>
        <v>75.1200000000001</v>
      </c>
      <c r="Q88" s="40">
        <f ca="1">SUM(AD$36:AD88)-SUM(OFFSET(载具产出!M$399,0,0,$R88+1,1))</f>
        <v>0</v>
      </c>
      <c r="R88" s="40">
        <v>9</v>
      </c>
      <c r="S88" s="40" t="str">
        <f ca="1">OFFSET(载具产出!$D$111,IFERROR(MATCH(OFFSET($D88,0,MATCH($D$5,$E$6:$H$6,0)),载具产出!$E$112:$E$151,1),0),0)</f>
        <v>豪华Ⅳ</v>
      </c>
      <c r="T88" s="40">
        <f ca="1">OFFSET(载具产出!$F$399,IFERROR(MATCH(OFFSET($D88,0,MATCH($D$5,$E$6:$H$6,0)),载具产出!$E$400:$E$439,1),0),MATCH(T$6,载具产出!$G$399:$O$399,0))</f>
        <v>875</v>
      </c>
      <c r="U88" s="40">
        <v>7</v>
      </c>
      <c r="V88" s="40">
        <f ca="1">OFFSET(载具产出!$F$399,IFERROR(MATCH(OFFSET($D88,0,MATCH($D$5,$E$6:$H$6,0)),载具产出!$E$400:$E$439,1),0),MATCH(V$6,载具产出!$G$399:$O$399,0))</f>
        <v>5600</v>
      </c>
      <c r="W88" s="43">
        <f ca="1">_xlfn.XLOOKUP(Z88,载具属性!$E$98:$E$497,载具属性!$G$98:$G$497)+6000+OFFSET(载具属性!L$33,AS88,0)*载具属性!M$30+OFFSET(载具属性!M$33,AT88,0)*载具属性!N$30+OFFSET(载具属性!N$33,AU88,0)*载具属性!O$30+OFFSET(载具属性!O$33,AV88,0)*载具属性!P$30</f>
        <v>13810</v>
      </c>
      <c r="X88" s="43">
        <f ca="1">_xlfn.XLOOKUP(Z88,载具属性!$E$98:$E$497,载具属性!$G$98:$G$497)</f>
        <v>4420</v>
      </c>
      <c r="Y88" s="43">
        <f ca="1">OFFSET(载具属性!L$33,AS88,0)*载具属性!M$30+OFFSET(载具属性!M$33,AT88,0)*载具属性!N$30+OFFSET(载具属性!N$33,AU88,0)*载具属性!O$30+OFFSET(载具属性!O$33,AV88,0)*载具属性!P$30</f>
        <v>3390</v>
      </c>
      <c r="Z88" s="40">
        <f ca="1">MATCH(SUM($T$7:T88),载具属性!$I$98:$I$497,1)</f>
        <v>78</v>
      </c>
      <c r="AA88" s="40">
        <f ca="1">OFFSET(载具产出!$F$399,IFERROR(MATCH(OFFSET($D88,0,MATCH($D$5,$E$6:$H$6,0)),载具产出!$E$112:$E$151,1),0),MATCH(AA$6,载具产出!$G$111:$O$111,0))*2</f>
        <v>30</v>
      </c>
      <c r="AB88" s="40">
        <f ca="1">OFFSET(载具产出!$F$399,IFERROR(MATCH(OFFSET($D88,0,MATCH($D$5,$E$6:$H$6,0)),载具产出!$E$112:$E$151,1),0),MATCH(AB$6,载具产出!$G$111:$O$111,0))*2</f>
        <v>25.6</v>
      </c>
      <c r="AC88" s="40">
        <f ca="1">OFFSET(载具产出!$F$399,IFERROR(MATCH(OFFSET($D88,0,MATCH($D$5,$E$6:$H$6,0)),载具产出!$E$112:$E$151,1),0),MATCH(AC$6,载具产出!$G$111:$O$111,0))*2</f>
        <v>2.4</v>
      </c>
      <c r="AD88" s="40">
        <f ca="1">OFFSET(载具产出!$F$399,IFERROR(MATCH(OFFSET($D88,0,MATCH($D$5,$E$6:$H$6,0)),载具产出!$E$112:$E$151,1),0),MATCH(AD$6,载具产出!$G$111:$O$111,0))*2</f>
        <v>0</v>
      </c>
      <c r="AE88" s="44">
        <f ca="1">SUM(AA$36:AA88)/3</f>
        <v>492.8</v>
      </c>
      <c r="AF88" s="44">
        <f ca="1">SUM(AB$36:AB88)/3</f>
        <v>438.293333333333</v>
      </c>
      <c r="AG88" s="44">
        <f ca="1">SUM(AC$36:AC88)/3</f>
        <v>26.24</v>
      </c>
      <c r="AH88" s="44">
        <f ca="1">SUM(AD$36:AD88)/3</f>
        <v>0</v>
      </c>
      <c r="AI88" s="44">
        <f>_xlfn.XLOOKUP($D$5,载具产出!$D$71:$D$75,载具产出!$E$71:$E$75)*(D88-30+1)</f>
        <v>623.380952380954</v>
      </c>
      <c r="AJ88" s="44">
        <f>IFERROR(MATCH(_xlfn.XLOOKUP($D$5,载具产出!$D$71:$D$75,载具产出!$E$71:$E$75)*(D88-30+1)*10,载具产出!$E$60:$E$67,1),0)+1</f>
        <v>6</v>
      </c>
      <c r="AK88" s="44">
        <f ca="1">IF($AJ88=1,($AI88)*(10*OFFSET(载具产出!$D$45,MATCH(AK$6,$AK$6:$AN$6,0)-1,$AJ88)+OFFSET(载具产出!$D$49,MATCH(AK$6,$AK$6:$AN$6,0)-1,$AJ88)*OFFSET(载具产出!$N$49,MATCH(AK$6,$AK$6:$AN$6,0)-1,0)),OFFSET(载具产出!F$59,$AJ88-1,0)*10+OFFSET(载具产出!J$59,$AJ88-1,0)+($AI88*10-_xlfn.XLOOKUP($AJ88-1,载具产出!$D$59:$D$67,载具产出!$E$59:$E$67))/10*(10*OFFSET(载具产出!$D$45,MATCH(AK$6,$AK$6:$AN$6,0)-1,$AJ88)+OFFSET(载具产出!$D$49,MATCH(AK$6,$AK$6:$AN$6,0)-1,$AJ88)*OFFSET(载具产出!$N$49,MATCH(AK$6,$AK$6:$AN$6,0)-1,0)))</f>
        <v>1452.53342857143</v>
      </c>
      <c r="AL88" s="44">
        <f ca="1">IF($AJ88=1,($AI88)*(10*OFFSET(载具产出!$D$45,MATCH(AL$6,$AK$6:$AN$6,0)-1,$AJ88)+OFFSET(载具产出!$D$49,MATCH(AL$6,$AK$6:$AN$6,0)-1,$AJ88)*OFFSET(载具产出!$N$49,MATCH(AL$6,$AK$6:$AN$6,0)-1,0)),OFFSET(载具产出!G$59,$AJ88-1,0)*10+OFFSET(载具产出!K$59,$AJ88-1,0)+($AI88*10-_xlfn.XLOOKUP($AJ88-1,载具产出!$D$59:$D$67,载具产出!$E$59:$E$67))/10*(10*OFFSET(载具产出!$D$45,MATCH(AL$6,$AK$6:$AN$6,0)-1,$AJ88)+OFFSET(载具产出!$D$49,MATCH(AL$6,$AK$6:$AN$6,0)-1,$AJ88)*OFFSET(载具产出!$N$49,MATCH(AL$6,$AK$6:$AN$6,0)-1,0)))</f>
        <v>519.942857142859</v>
      </c>
      <c r="AM88" s="44">
        <f ca="1">IF($AJ88=1,($AI88)*(10*OFFSET(载具产出!$D$45,MATCH(AM$6,$AK$6:$AN$6,0)-1,$AJ88)+OFFSET(载具产出!$D$49,MATCH(AM$6,$AK$6:$AN$6,0)-1,$AJ88)*OFFSET(载具产出!$N$49,MATCH(AM$6,$AK$6:$AN$6,0)-1,0)),OFFSET(载具产出!H$59,$AJ88-1,0)*10+OFFSET(载具产出!L$59,$AJ88-1,0)+($AI88*10-_xlfn.XLOOKUP($AJ88-1,载具产出!$D$59:$D$67,载具产出!$E$59:$E$67))/10*(10*OFFSET(载具产出!$D$45,MATCH(AM$6,$AK$6:$AN$6,0)-1,$AJ88)+OFFSET(载具产出!$D$49,MATCH(AM$6,$AK$6:$AN$6,0)-1,$AJ88)*OFFSET(载具产出!$N$49,MATCH(AM$6,$AK$6:$AN$6,0)-1,0)))</f>
        <v>265.516952380953</v>
      </c>
      <c r="AN88" s="44">
        <f ca="1">IF($AJ88=1,($AI88)*(10*OFFSET(载具产出!$D$45,MATCH(AN$6,$AK$6:$AN$6,0)-1,$AJ88)+OFFSET(载具产出!$D$49,MATCH(AN$6,$AK$6:$AN$6,0)-1,$AJ88)*OFFSET(载具产出!$N$49,MATCH(AN$6,$AK$6:$AN$6,0)-1,0)),OFFSET(载具产出!I$59,$AJ88-1,0)*10+OFFSET(载具产出!M$59,$AJ88-1,0)+($AI88*10-_xlfn.XLOOKUP($AJ88-1,载具产出!$D$59:$D$67,载具产出!$E$59:$E$67))/10*(10*OFFSET(载具产出!$D$45,MATCH(AN$6,$AK$6:$AN$6,0)-1,$AJ88)+OFFSET(载具产出!$D$49,MATCH(AN$6,$AK$6:$AN$6,0)-1,$AJ88)*OFFSET(载具产出!$N$49,MATCH(AN$6,$AK$6:$AN$6,0)-1,0)))</f>
        <v>72.9341904761907</v>
      </c>
      <c r="AO88" s="44">
        <f ca="1" t="shared" si="3"/>
        <v>1945.33342857143</v>
      </c>
      <c r="AP88" s="44">
        <f ca="1" t="shared" si="4"/>
        <v>958.236190476192</v>
      </c>
      <c r="AQ88" s="44">
        <f ca="1" t="shared" si="5"/>
        <v>291.756952380953</v>
      </c>
      <c r="AR88" s="44">
        <f ca="1" t="shared" si="6"/>
        <v>72.9341904761907</v>
      </c>
      <c r="AS88" s="45">
        <f ca="1">IFERROR(MATCH(AO88/载具产出!R$58,载具属性!$G$33:$G$92,1),0)</f>
        <v>22</v>
      </c>
      <c r="AT88" s="45">
        <f ca="1">IFERROR(MATCH(AP88/载具产出!S$58,载具属性!$G$33:$G$92,1),0)</f>
        <v>15</v>
      </c>
      <c r="AU88" s="45">
        <f ca="1">IFERROR(MATCH(AQ88/载具产出!T$58,载具属性!$G$33:$G$92,1),0)</f>
        <v>6</v>
      </c>
      <c r="AV88" s="45">
        <f ca="1">IFERROR(MATCH(AR88/载具产出!U$58,载具属性!$G$33:$G$92,1),0)</f>
        <v>0</v>
      </c>
      <c r="AW88" s="46" t="str">
        <f ca="1" t="shared" si="7"/>
        <v>[{62,362},{63,36705},{2,95100},{6030001,1340},{6030002,1231},{6030003,75}]</v>
      </c>
      <c r="AX88" t="str">
        <f ca="1" t="shared" si="8"/>
        <v>{62,362}</v>
      </c>
      <c r="AY88" t="str">
        <f ca="1" t="shared" si="9"/>
        <v>{63,36705}</v>
      </c>
      <c r="AZ88" t="str">
        <f ca="1" t="shared" si="10"/>
        <v>{2,95100}</v>
      </c>
      <c r="BA88" t="str">
        <f ca="1" t="shared" si="11"/>
        <v>{6030001,1340}</v>
      </c>
      <c r="BB88" t="str">
        <f ca="1" t="shared" si="12"/>
        <v>{6030002,1231}</v>
      </c>
      <c r="BC88" t="str">
        <f ca="1" t="shared" si="13"/>
        <v>{6030003,75}</v>
      </c>
      <c r="BD88" t="str">
        <f ca="1" t="shared" si="14"/>
        <v/>
      </c>
    </row>
    <row r="89" spans="3:56">
      <c r="C89">
        <f ca="1" t="shared" si="1"/>
        <v>107.558139534884</v>
      </c>
      <c r="D89" s="40">
        <v>83</v>
      </c>
      <c r="E89" s="40">
        <v>95</v>
      </c>
      <c r="F89" s="40">
        <v>112</v>
      </c>
      <c r="G89" s="41">
        <v>129</v>
      </c>
      <c r="H89" s="40">
        <f t="shared" si="18"/>
        <v>168</v>
      </c>
      <c r="I89" s="40">
        <v>192</v>
      </c>
      <c r="J89" s="40">
        <f t="shared" si="17"/>
        <v>172</v>
      </c>
      <c r="K89" s="40">
        <f ca="1">SUM(U$36:U89)-SUM(OFFSET(载具产出!H$399,0,0,$R89+1,1))</f>
        <v>369</v>
      </c>
      <c r="L89" s="40">
        <f ca="1">SUM(T$36:T89)-SUM(OFFSET(载具产出!G$399,0,0,$R89+1,1))</f>
        <v>37580</v>
      </c>
      <c r="M89" s="40">
        <f ca="1">SUM(V$36:V89)/2-SUM(OFFSET(载具产出!I$399,0,0,$R89+1,1))</f>
        <v>97900</v>
      </c>
      <c r="N89" s="40">
        <f ca="1">SUM(AA$36:AA89)-SUM(OFFSET(载具产出!J$399,0,0,$R89+1,1))</f>
        <v>1370.6</v>
      </c>
      <c r="O89" s="40">
        <f ca="1">SUM(AB$36:AB89)-SUM(OFFSET(载具产出!K$399,0,0,$R89+1,1))</f>
        <v>1256.88</v>
      </c>
      <c r="P89" s="40">
        <f ca="1">SUM(AC$36:AC89)-SUM(OFFSET(载具产出!L$399,0,0,$R89+1,1))</f>
        <v>77.5200000000001</v>
      </c>
      <c r="Q89" s="40">
        <f ca="1">SUM(AD$36:AD89)-SUM(OFFSET(载具产出!M$399,0,0,$R89+1,1))</f>
        <v>0</v>
      </c>
      <c r="R89" s="40">
        <v>9</v>
      </c>
      <c r="S89" s="40" t="str">
        <f ca="1">OFFSET(载具产出!$D$111,IFERROR(MATCH(OFFSET($D89,0,MATCH($D$5,$E$6:$H$6,0)),载具产出!$E$112:$E$151,1),0),0)</f>
        <v>豪华Ⅳ</v>
      </c>
      <c r="T89" s="40">
        <f ca="1">OFFSET(载具产出!$F$399,IFERROR(MATCH(OFFSET($D89,0,MATCH($D$5,$E$6:$H$6,0)),载具产出!$E$400:$E$439,1),0),MATCH(T$6,载具产出!$G$399:$O$399,0))</f>
        <v>875</v>
      </c>
      <c r="U89" s="40">
        <v>7</v>
      </c>
      <c r="V89" s="40">
        <f ca="1">OFFSET(载具产出!$F$399,IFERROR(MATCH(OFFSET($D89,0,MATCH($D$5,$E$6:$H$6,0)),载具产出!$E$400:$E$439,1),0),MATCH(V$6,载具产出!$G$399:$O$399,0))</f>
        <v>5600</v>
      </c>
      <c r="W89" s="43">
        <f ca="1">_xlfn.XLOOKUP(Z89,载具属性!$E$98:$E$497,载具属性!$G$98:$G$497)+6000+OFFSET(载具属性!L$33,AS89,0)*载具属性!M$30+OFFSET(载具属性!M$33,AT89,0)*载具属性!N$30+OFFSET(载具属性!N$33,AU89,0)*载具属性!O$30+OFFSET(载具属性!O$33,AV89,0)*载具属性!P$30</f>
        <v>13875</v>
      </c>
      <c r="X89" s="43">
        <f ca="1">_xlfn.XLOOKUP(Z89,载具属性!$E$98:$E$497,载具属性!$G$98:$G$497)</f>
        <v>4485</v>
      </c>
      <c r="Y89" s="43">
        <f ca="1">OFFSET(载具属性!L$33,AS89,0)*载具属性!M$30+OFFSET(载具属性!M$33,AT89,0)*载具属性!N$30+OFFSET(载具属性!N$33,AU89,0)*载具属性!O$30+OFFSET(载具属性!O$33,AV89,0)*载具属性!P$30</f>
        <v>3390</v>
      </c>
      <c r="Z89" s="40">
        <f ca="1">MATCH(SUM($T$7:T89),载具属性!$I$98:$I$497,1)</f>
        <v>79</v>
      </c>
      <c r="AA89" s="40">
        <f ca="1">OFFSET(载具产出!$F$399,IFERROR(MATCH(OFFSET($D89,0,MATCH($D$5,$E$6:$H$6,0)),载具产出!$E$112:$E$151,1),0),MATCH(AA$6,载具产出!$G$111:$O$111,0))*2</f>
        <v>30</v>
      </c>
      <c r="AB89" s="40">
        <f ca="1">OFFSET(载具产出!$F$399,IFERROR(MATCH(OFFSET($D89,0,MATCH($D$5,$E$6:$H$6,0)),载具产出!$E$112:$E$151,1),0),MATCH(AB$6,载具产出!$G$111:$O$111,0))*2</f>
        <v>25.6</v>
      </c>
      <c r="AC89" s="40">
        <f ca="1">OFFSET(载具产出!$F$399,IFERROR(MATCH(OFFSET($D89,0,MATCH($D$5,$E$6:$H$6,0)),载具产出!$E$112:$E$151,1),0),MATCH(AC$6,载具产出!$G$111:$O$111,0))*2</f>
        <v>2.4</v>
      </c>
      <c r="AD89" s="40">
        <f ca="1">OFFSET(载具产出!$F$399,IFERROR(MATCH(OFFSET($D89,0,MATCH($D$5,$E$6:$H$6,0)),载具产出!$E$112:$E$151,1),0),MATCH(AD$6,载具产出!$G$111:$O$111,0))*2</f>
        <v>0</v>
      </c>
      <c r="AE89" s="44">
        <f ca="1">SUM(AA$36:AA89)/3</f>
        <v>502.8</v>
      </c>
      <c r="AF89" s="44">
        <f ca="1">SUM(AB$36:AB89)/3</f>
        <v>446.826666666666</v>
      </c>
      <c r="AG89" s="44">
        <f ca="1">SUM(AC$36:AC89)/3</f>
        <v>27.04</v>
      </c>
      <c r="AH89" s="44">
        <f ca="1">SUM(AD$36:AD89)/3</f>
        <v>0</v>
      </c>
      <c r="AI89" s="44">
        <f>_xlfn.XLOOKUP($D$5,载具产出!$D$71:$D$75,载具产出!$E$71:$E$75)*(D89-30+1)</f>
        <v>635.142857142859</v>
      </c>
      <c r="AJ89" s="44">
        <f>IFERROR(MATCH(_xlfn.XLOOKUP($D$5,载具产出!$D$71:$D$75,载具产出!$E$71:$E$75)*(D89-30+1)*10,载具产出!$E$60:$E$67,1),0)+1</f>
        <v>6</v>
      </c>
      <c r="AK89" s="44">
        <f ca="1">IF($AJ89=1,($AI89)*(10*OFFSET(载具产出!$D$45,MATCH(AK$6,$AK$6:$AN$6,0)-1,$AJ89)+OFFSET(载具产出!$D$49,MATCH(AK$6,$AK$6:$AN$6,0)-1,$AJ89)*OFFSET(载具产出!$N$49,MATCH(AK$6,$AK$6:$AN$6,0)-1,0)),OFFSET(载具产出!F$59,$AJ89-1,0)*10+OFFSET(载具产出!J$59,$AJ89-1,0)+($AI89*10-_xlfn.XLOOKUP($AJ89-1,载具产出!$D$59:$D$67,载具产出!$E$59:$E$67))/10*(10*OFFSET(载具产出!$D$45,MATCH(AK$6,$AK$6:$AN$6,0)-1,$AJ89)+OFFSET(载具产出!$D$49,MATCH(AK$6,$AK$6:$AN$6,0)-1,$AJ89)*OFFSET(载具产出!$N$49,MATCH(AK$6,$AK$6:$AN$6,0)-1,0)))</f>
        <v>1478.08028571429</v>
      </c>
      <c r="AL89" s="44">
        <f ca="1">IF($AJ89=1,($AI89)*(10*OFFSET(载具产出!$D$45,MATCH(AL$6,$AK$6:$AN$6,0)-1,$AJ89)+OFFSET(载具产出!$D$49,MATCH(AL$6,$AK$6:$AN$6,0)-1,$AJ89)*OFFSET(载具产出!$N$49,MATCH(AL$6,$AK$6:$AN$6,0)-1,0)),OFFSET(载具产出!G$59,$AJ89-1,0)*10+OFFSET(载具产出!K$59,$AJ89-1,0)+($AI89*10-_xlfn.XLOOKUP($AJ89-1,载具产出!$D$59:$D$67,载具产出!$E$59:$E$67))/10*(10*OFFSET(载具产出!$D$45,MATCH(AL$6,$AK$6:$AN$6,0)-1,$AJ89)+OFFSET(载具产出!$D$49,MATCH(AL$6,$AK$6:$AN$6,0)-1,$AJ89)*OFFSET(载具产出!$N$49,MATCH(AL$6,$AK$6:$AN$6,0)-1,0)))</f>
        <v>530.528571428573</v>
      </c>
      <c r="AM89" s="44">
        <f ca="1">IF($AJ89=1,($AI89)*(10*OFFSET(载具产出!$D$45,MATCH(AM$6,$AK$6:$AN$6,0)-1,$AJ89)+OFFSET(载具产出!$D$49,MATCH(AM$6,$AK$6:$AN$6,0)-1,$AJ89)*OFFSET(载具产出!$N$49,MATCH(AM$6,$AK$6:$AN$6,0)-1,0)),OFFSET(载具产出!H$59,$AJ89-1,0)*10+OFFSET(载具产出!L$59,$AJ89-1,0)+($AI89*10-_xlfn.XLOOKUP($AJ89-1,载具产出!$D$59:$D$67,载具产出!$E$59:$E$67))/10*(10*OFFSET(载具产出!$D$45,MATCH(AM$6,$AK$6:$AN$6,0)-1,$AJ89)+OFFSET(载具产出!$D$49,MATCH(AM$6,$AK$6:$AN$6,0)-1,$AJ89)*OFFSET(载具产出!$N$49,MATCH(AM$6,$AK$6:$AN$6,0)-1,0)))</f>
        <v>271.350857142858</v>
      </c>
      <c r="AN89" s="44">
        <f ca="1">IF($AJ89=1,($AI89)*(10*OFFSET(载具产出!$D$45,MATCH(AN$6,$AK$6:$AN$6,0)-1,$AJ89)+OFFSET(载具产出!$D$49,MATCH(AN$6,$AK$6:$AN$6,0)-1,$AJ89)*OFFSET(载具产出!$N$49,MATCH(AN$6,$AK$6:$AN$6,0)-1,0)),OFFSET(载具产出!I$59,$AJ89-1,0)*10+OFFSET(载具产出!M$59,$AJ89-1,0)+($AI89*10-_xlfn.XLOOKUP($AJ89-1,载具产出!$D$59:$D$67,载具产出!$E$59:$E$67))/10*(10*OFFSET(载具产出!$D$45,MATCH(AN$6,$AK$6:$AN$6,0)-1,$AJ89)+OFFSET(载具产出!$D$49,MATCH(AN$6,$AK$6:$AN$6,0)-1,$AJ89)*OFFSET(载具产出!$N$49,MATCH(AN$6,$AK$6:$AN$6,0)-1,0)))</f>
        <v>74.7925714285717</v>
      </c>
      <c r="AO89" s="44">
        <f ca="1" t="shared" si="3"/>
        <v>1980.88028571429</v>
      </c>
      <c r="AP89" s="44">
        <f ca="1" t="shared" si="4"/>
        <v>977.35523809524</v>
      </c>
      <c r="AQ89" s="44">
        <f ca="1" t="shared" si="5"/>
        <v>298.390857142858</v>
      </c>
      <c r="AR89" s="44">
        <f ca="1" t="shared" si="6"/>
        <v>74.7925714285717</v>
      </c>
      <c r="AS89" s="45">
        <f ca="1">IFERROR(MATCH(AO89/载具产出!R$58,载具属性!$G$33:$G$92,1),0)</f>
        <v>22</v>
      </c>
      <c r="AT89" s="45">
        <f ca="1">IFERROR(MATCH(AP89/载具产出!S$58,载具属性!$G$33:$G$92,1),0)</f>
        <v>15</v>
      </c>
      <c r="AU89" s="45">
        <f ca="1">IFERROR(MATCH(AQ89/载具产出!T$58,载具属性!$G$33:$G$92,1),0)</f>
        <v>6</v>
      </c>
      <c r="AV89" s="45">
        <f ca="1">IFERROR(MATCH(AR89/载具产出!U$58,载具属性!$G$33:$G$92,1),0)</f>
        <v>0</v>
      </c>
      <c r="AW89" s="46" t="str">
        <f ca="1" t="shared" si="7"/>
        <v>[{62,369},{63,37580},{2,97900},{6030001,1370},{6030002,1256},{6030003,77}]</v>
      </c>
      <c r="AX89" t="str">
        <f ca="1" t="shared" si="8"/>
        <v>{62,369}</v>
      </c>
      <c r="AY89" t="str">
        <f ca="1" t="shared" si="9"/>
        <v>{63,37580}</v>
      </c>
      <c r="AZ89" t="str">
        <f ca="1" t="shared" si="10"/>
        <v>{2,97900}</v>
      </c>
      <c r="BA89" t="str">
        <f ca="1" t="shared" si="11"/>
        <v>{6030001,1370}</v>
      </c>
      <c r="BB89" t="str">
        <f ca="1" t="shared" si="12"/>
        <v>{6030002,1256}</v>
      </c>
      <c r="BC89" t="str">
        <f ca="1" t="shared" si="13"/>
        <v>{6030003,77}</v>
      </c>
      <c r="BD89" t="str">
        <f ca="1" t="shared" si="14"/>
        <v/>
      </c>
    </row>
    <row r="90" spans="3:56">
      <c r="C90">
        <f ca="1" t="shared" si="1"/>
        <v>108.615384615385</v>
      </c>
      <c r="D90" s="40">
        <v>84</v>
      </c>
      <c r="E90" s="40">
        <v>95</v>
      </c>
      <c r="F90" s="40">
        <v>113</v>
      </c>
      <c r="G90" s="41">
        <v>130</v>
      </c>
      <c r="H90" s="40">
        <f t="shared" si="18"/>
        <v>169</v>
      </c>
      <c r="I90" s="40">
        <v>192</v>
      </c>
      <c r="J90" s="40">
        <f t="shared" ref="J90:J110" si="19">MIN(INT(H90*(120-(D90-60))/120+(D90-60)/120*I90),I90)</f>
        <v>173</v>
      </c>
      <c r="K90" s="40">
        <f ca="1">SUM(U$36:U90)-SUM(OFFSET(载具产出!H$399,0,0,$R90+1,1))</f>
        <v>376</v>
      </c>
      <c r="L90" s="40">
        <f ca="1">SUM(T$36:T90)-SUM(OFFSET(载具产出!G$399,0,0,$R90+1,1))</f>
        <v>38455</v>
      </c>
      <c r="M90" s="40">
        <f ca="1">SUM(V$36:V90)/2-SUM(OFFSET(载具产出!I$399,0,0,$R90+1,1))</f>
        <v>100700</v>
      </c>
      <c r="N90" s="40">
        <f ca="1">SUM(AA$36:AA90)-SUM(OFFSET(载具产出!J$399,0,0,$R90+1,1))</f>
        <v>1400.6</v>
      </c>
      <c r="O90" s="40">
        <f ca="1">SUM(AB$36:AB90)-SUM(OFFSET(载具产出!K$399,0,0,$R90+1,1))</f>
        <v>1282.48</v>
      </c>
      <c r="P90" s="40">
        <f ca="1">SUM(AC$36:AC90)-SUM(OFFSET(载具产出!L$399,0,0,$R90+1,1))</f>
        <v>79.9200000000001</v>
      </c>
      <c r="Q90" s="40">
        <f ca="1">SUM(AD$36:AD90)-SUM(OFFSET(载具产出!M$399,0,0,$R90+1,1))</f>
        <v>0</v>
      </c>
      <c r="R90" s="40">
        <v>9</v>
      </c>
      <c r="S90" s="40" t="str">
        <f ca="1">OFFSET(载具产出!$D$111,IFERROR(MATCH(OFFSET($D90,0,MATCH($D$5,$E$6:$H$6,0)),载具产出!$E$112:$E$151,1),0),0)</f>
        <v>豪华Ⅳ</v>
      </c>
      <c r="T90" s="40">
        <f ca="1">OFFSET(载具产出!$F$399,IFERROR(MATCH(OFFSET($D90,0,MATCH($D$5,$E$6:$H$6,0)),载具产出!$E$400:$E$439,1),0),MATCH(T$6,载具产出!$G$399:$O$399,0))</f>
        <v>875</v>
      </c>
      <c r="U90" s="40">
        <v>7</v>
      </c>
      <c r="V90" s="40">
        <f ca="1">OFFSET(载具产出!$F$399,IFERROR(MATCH(OFFSET($D90,0,MATCH($D$5,$E$6:$H$6,0)),载具产出!$E$400:$E$439,1),0),MATCH(V$6,载具产出!$G$399:$O$399,0))</f>
        <v>5600</v>
      </c>
      <c r="W90" s="43">
        <f ca="1">_xlfn.XLOOKUP(Z90,载具属性!$E$98:$E$497,载具属性!$G$98:$G$497)+6000+OFFSET(载具属性!L$33,AS90,0)*载具属性!M$30+OFFSET(载具属性!M$33,AT90,0)*载具属性!N$30+OFFSET(载具属性!N$33,AU90,0)*载具属性!O$30+OFFSET(载具属性!O$33,AV90,0)*载具属性!P$30</f>
        <v>14120</v>
      </c>
      <c r="X90" s="43">
        <f ca="1">_xlfn.XLOOKUP(Z90,载具属性!$E$98:$E$497,载具属性!$G$98:$G$497)</f>
        <v>4550</v>
      </c>
      <c r="Y90" s="43">
        <f ca="1">OFFSET(载具属性!L$33,AS90,0)*载具属性!M$30+OFFSET(载具属性!M$33,AT90,0)*载具属性!N$30+OFFSET(载具属性!N$33,AU90,0)*载具属性!O$30+OFFSET(载具属性!O$33,AV90,0)*载具属性!P$30</f>
        <v>3570</v>
      </c>
      <c r="Z90" s="40">
        <f ca="1">MATCH(SUM($T$7:T90),载具属性!$I$98:$I$497,1)</f>
        <v>80</v>
      </c>
      <c r="AA90" s="40">
        <f ca="1">OFFSET(载具产出!$F$399,IFERROR(MATCH(OFFSET($D90,0,MATCH($D$5,$E$6:$H$6,0)),载具产出!$E$112:$E$151,1),0),MATCH(AA$6,载具产出!$G$111:$O$111,0))*2</f>
        <v>30</v>
      </c>
      <c r="AB90" s="40">
        <f ca="1">OFFSET(载具产出!$F$399,IFERROR(MATCH(OFFSET($D90,0,MATCH($D$5,$E$6:$H$6,0)),载具产出!$E$112:$E$151,1),0),MATCH(AB$6,载具产出!$G$111:$O$111,0))*2</f>
        <v>25.6</v>
      </c>
      <c r="AC90" s="40">
        <f ca="1">OFFSET(载具产出!$F$399,IFERROR(MATCH(OFFSET($D90,0,MATCH($D$5,$E$6:$H$6,0)),载具产出!$E$112:$E$151,1),0),MATCH(AC$6,载具产出!$G$111:$O$111,0))*2</f>
        <v>2.4</v>
      </c>
      <c r="AD90" s="40">
        <f ca="1">OFFSET(载具产出!$F$399,IFERROR(MATCH(OFFSET($D90,0,MATCH($D$5,$E$6:$H$6,0)),载具产出!$E$112:$E$151,1),0),MATCH(AD$6,载具产出!$G$111:$O$111,0))*2</f>
        <v>0</v>
      </c>
      <c r="AE90" s="44">
        <f ca="1">SUM(AA$36:AA90)/3</f>
        <v>512.8</v>
      </c>
      <c r="AF90" s="44">
        <f ca="1">SUM(AB$36:AB90)/3</f>
        <v>455.36</v>
      </c>
      <c r="AG90" s="44">
        <f ca="1">SUM(AC$36:AC90)/3</f>
        <v>27.84</v>
      </c>
      <c r="AH90" s="44">
        <f ca="1">SUM(AD$36:AD90)/3</f>
        <v>0</v>
      </c>
      <c r="AI90" s="44">
        <f>_xlfn.XLOOKUP($D$5,载具产出!$D$71:$D$75,载具产出!$E$71:$E$75)*(D90-30+1)</f>
        <v>646.904761904764</v>
      </c>
      <c r="AJ90" s="44">
        <f>IFERROR(MATCH(_xlfn.XLOOKUP($D$5,载具产出!$D$71:$D$75,载具产出!$E$71:$E$75)*(D90-30+1)*10,载具产出!$E$60:$E$67,1),0)+1</f>
        <v>6</v>
      </c>
      <c r="AK90" s="44">
        <f ca="1">IF($AJ90=1,($AI90)*(10*OFFSET(载具产出!$D$45,MATCH(AK$6,$AK$6:$AN$6,0)-1,$AJ90)+OFFSET(载具产出!$D$49,MATCH(AK$6,$AK$6:$AN$6,0)-1,$AJ90)*OFFSET(载具产出!$N$49,MATCH(AK$6,$AK$6:$AN$6,0)-1,0)),OFFSET(载具产出!F$59,$AJ90-1,0)*10+OFFSET(载具产出!J$59,$AJ90-1,0)+($AI90*10-_xlfn.XLOOKUP($AJ90-1,载具产出!$D$59:$D$67,载具产出!$E$59:$E$67))/10*(10*OFFSET(载具产出!$D$45,MATCH(AK$6,$AK$6:$AN$6,0)-1,$AJ90)+OFFSET(载具产出!$D$49,MATCH(AK$6,$AK$6:$AN$6,0)-1,$AJ90)*OFFSET(载具产出!$N$49,MATCH(AK$6,$AK$6:$AN$6,0)-1,0)))</f>
        <v>1503.62714285715</v>
      </c>
      <c r="AL90" s="44">
        <f ca="1">IF($AJ90=1,($AI90)*(10*OFFSET(载具产出!$D$45,MATCH(AL$6,$AK$6:$AN$6,0)-1,$AJ90)+OFFSET(载具产出!$D$49,MATCH(AL$6,$AK$6:$AN$6,0)-1,$AJ90)*OFFSET(载具产出!$N$49,MATCH(AL$6,$AK$6:$AN$6,0)-1,0)),OFFSET(载具产出!G$59,$AJ90-1,0)*10+OFFSET(载具产出!K$59,$AJ90-1,0)+($AI90*10-_xlfn.XLOOKUP($AJ90-1,载具产出!$D$59:$D$67,载具产出!$E$59:$E$67))/10*(10*OFFSET(载具产出!$D$45,MATCH(AL$6,$AK$6:$AN$6,0)-1,$AJ90)+OFFSET(载具产出!$D$49,MATCH(AL$6,$AK$6:$AN$6,0)-1,$AJ90)*OFFSET(载具产出!$N$49,MATCH(AL$6,$AK$6:$AN$6,0)-1,0)))</f>
        <v>541.114285714288</v>
      </c>
      <c r="AM90" s="44">
        <f ca="1">IF($AJ90=1,($AI90)*(10*OFFSET(载具产出!$D$45,MATCH(AM$6,$AK$6:$AN$6,0)-1,$AJ90)+OFFSET(载具产出!$D$49,MATCH(AM$6,$AK$6:$AN$6,0)-1,$AJ90)*OFFSET(载具产出!$N$49,MATCH(AM$6,$AK$6:$AN$6,0)-1,0)),OFFSET(载具产出!H$59,$AJ90-1,0)*10+OFFSET(载具产出!L$59,$AJ90-1,0)+($AI90*10-_xlfn.XLOOKUP($AJ90-1,载具产出!$D$59:$D$67,载具产出!$E$59:$E$67))/10*(10*OFFSET(载具产出!$D$45,MATCH(AM$6,$AK$6:$AN$6,0)-1,$AJ90)+OFFSET(载具产出!$D$49,MATCH(AM$6,$AK$6:$AN$6,0)-1,$AJ90)*OFFSET(载具产出!$N$49,MATCH(AM$6,$AK$6:$AN$6,0)-1,0)))</f>
        <v>277.184761904763</v>
      </c>
      <c r="AN90" s="44">
        <f ca="1">IF($AJ90=1,($AI90)*(10*OFFSET(载具产出!$D$45,MATCH(AN$6,$AK$6:$AN$6,0)-1,$AJ90)+OFFSET(载具产出!$D$49,MATCH(AN$6,$AK$6:$AN$6,0)-1,$AJ90)*OFFSET(载具产出!$N$49,MATCH(AN$6,$AK$6:$AN$6,0)-1,0)),OFFSET(载具产出!I$59,$AJ90-1,0)*10+OFFSET(载具产出!M$59,$AJ90-1,0)+($AI90*10-_xlfn.XLOOKUP($AJ90-1,载具产出!$D$59:$D$67,载具产出!$E$59:$E$67))/10*(10*OFFSET(载具产出!$D$45,MATCH(AN$6,$AK$6:$AN$6,0)-1,$AJ90)+OFFSET(载具产出!$D$49,MATCH(AN$6,$AK$6:$AN$6,0)-1,$AJ90)*OFFSET(载具产出!$N$49,MATCH(AN$6,$AK$6:$AN$6,0)-1,0)))</f>
        <v>76.6509523809527</v>
      </c>
      <c r="AO90" s="44">
        <f ca="1" t="shared" si="3"/>
        <v>2016.42714285715</v>
      </c>
      <c r="AP90" s="44">
        <f ca="1" t="shared" si="4"/>
        <v>996.474285714287</v>
      </c>
      <c r="AQ90" s="44">
        <f ca="1" t="shared" si="5"/>
        <v>305.024761904763</v>
      </c>
      <c r="AR90" s="44">
        <f ca="1" t="shared" si="6"/>
        <v>76.6509523809527</v>
      </c>
      <c r="AS90" s="45">
        <f ca="1">IFERROR(MATCH(AO90/载具产出!R$58,载具属性!$G$33:$G$92,1),0)</f>
        <v>23</v>
      </c>
      <c r="AT90" s="45">
        <f ca="1">IFERROR(MATCH(AP90/载具产出!S$58,载具属性!$G$33:$G$92,1),0)</f>
        <v>15</v>
      </c>
      <c r="AU90" s="45">
        <f ca="1">IFERROR(MATCH(AQ90/载具产出!T$58,载具属性!$G$33:$G$92,1),0)</f>
        <v>7</v>
      </c>
      <c r="AV90" s="45">
        <f ca="1">IFERROR(MATCH(AR90/载具产出!U$58,载具属性!$G$33:$G$92,1),0)</f>
        <v>0</v>
      </c>
      <c r="AW90" s="46" t="str">
        <f ca="1" t="shared" si="7"/>
        <v>[{62,376},{63,38455},{2,100700},{6030001,1400},{6030002,1282},{6030003,79}]</v>
      </c>
      <c r="AX90" t="str">
        <f ca="1" t="shared" si="8"/>
        <v>{62,376}</v>
      </c>
      <c r="AY90" t="str">
        <f ca="1" t="shared" si="9"/>
        <v>{63,38455}</v>
      </c>
      <c r="AZ90" t="str">
        <f ca="1" t="shared" si="10"/>
        <v>{2,100700}</v>
      </c>
      <c r="BA90" t="str">
        <f ca="1" t="shared" si="11"/>
        <v>{6030001,1400}</v>
      </c>
      <c r="BB90" t="str">
        <f ca="1" t="shared" si="12"/>
        <v>{6030002,1282}</v>
      </c>
      <c r="BC90" t="str">
        <f ca="1" t="shared" si="13"/>
        <v>{6030003,79}</v>
      </c>
      <c r="BD90" t="str">
        <f ca="1" t="shared" si="14"/>
        <v/>
      </c>
    </row>
    <row r="91" spans="3:56">
      <c r="C91">
        <f ca="1" t="shared" si="1"/>
        <v>109.153846153846</v>
      </c>
      <c r="D91" s="40">
        <v>85</v>
      </c>
      <c r="E91" s="40">
        <v>96</v>
      </c>
      <c r="F91" s="40">
        <v>113</v>
      </c>
      <c r="G91" s="41">
        <v>130</v>
      </c>
      <c r="H91" s="40">
        <f t="shared" si="18"/>
        <v>170</v>
      </c>
      <c r="I91" s="40">
        <v>195</v>
      </c>
      <c r="J91" s="40">
        <f t="shared" si="19"/>
        <v>175</v>
      </c>
      <c r="K91" s="40">
        <f ca="1">SUM(U$36:U91)-SUM(OFFSET(载具产出!H$399,0,0,$R91+1,1))</f>
        <v>383</v>
      </c>
      <c r="L91" s="40">
        <f ca="1">SUM(T$36:T91)-SUM(OFFSET(载具产出!G$399,0,0,$R91+1,1))</f>
        <v>39330</v>
      </c>
      <c r="M91" s="40">
        <f ca="1">SUM(V$36:V91)/2-SUM(OFFSET(载具产出!I$399,0,0,$R91+1,1))</f>
        <v>103500</v>
      </c>
      <c r="N91" s="40">
        <f ca="1">SUM(AA$36:AA91)-SUM(OFFSET(载具产出!J$399,0,0,$R91+1,1))</f>
        <v>1430.6</v>
      </c>
      <c r="O91" s="40">
        <f ca="1">SUM(AB$36:AB91)-SUM(OFFSET(载具产出!K$399,0,0,$R91+1,1))</f>
        <v>1308.08</v>
      </c>
      <c r="P91" s="40">
        <f ca="1">SUM(AC$36:AC91)-SUM(OFFSET(载具产出!L$399,0,0,$R91+1,1))</f>
        <v>82.3200000000001</v>
      </c>
      <c r="Q91" s="40">
        <f ca="1">SUM(AD$36:AD91)-SUM(OFFSET(载具产出!M$399,0,0,$R91+1,1))</f>
        <v>0</v>
      </c>
      <c r="R91" s="40">
        <v>9</v>
      </c>
      <c r="S91" s="40" t="str">
        <f ca="1">OFFSET(载具产出!$D$111,IFERROR(MATCH(OFFSET($D91,0,MATCH($D$5,$E$6:$H$6,0)),载具产出!$E$112:$E$151,1),0),0)</f>
        <v>豪华Ⅳ</v>
      </c>
      <c r="T91" s="40">
        <f ca="1">OFFSET(载具产出!$F$399,IFERROR(MATCH(OFFSET($D91,0,MATCH($D$5,$E$6:$H$6,0)),载具产出!$E$400:$E$439,1),0),MATCH(T$6,载具产出!$G$399:$O$399,0))</f>
        <v>875</v>
      </c>
      <c r="U91" s="40">
        <v>7</v>
      </c>
      <c r="V91" s="40">
        <f ca="1">OFFSET(载具产出!$F$399,IFERROR(MATCH(OFFSET($D91,0,MATCH($D$5,$E$6:$H$6,0)),载具产出!$E$400:$E$439,1),0),MATCH(V$6,载具产出!$G$399:$O$399,0))</f>
        <v>5600</v>
      </c>
      <c r="W91" s="43">
        <f ca="1">_xlfn.XLOOKUP(Z91,载具属性!$E$98:$E$497,载具属性!$G$98:$G$497)+6000+OFFSET(载具属性!L$33,AS91,0)*载具属性!M$30+OFFSET(载具属性!M$33,AT91,0)*载具属性!N$30+OFFSET(载具属性!N$33,AU91,0)*载具属性!O$30+OFFSET(载具属性!O$33,AV91,0)*载具属性!P$30</f>
        <v>14190</v>
      </c>
      <c r="X91" s="43">
        <f ca="1">_xlfn.XLOOKUP(Z91,载具属性!$E$98:$E$497,载具属性!$G$98:$G$497)</f>
        <v>4620</v>
      </c>
      <c r="Y91" s="43">
        <f ca="1">OFFSET(载具属性!L$33,AS91,0)*载具属性!M$30+OFFSET(载具属性!M$33,AT91,0)*载具属性!N$30+OFFSET(载具属性!N$33,AU91,0)*载具属性!O$30+OFFSET(载具属性!O$33,AV91,0)*载具属性!P$30</f>
        <v>3570</v>
      </c>
      <c r="Z91" s="40">
        <f ca="1">MATCH(SUM($T$7:T91),载具属性!$I$98:$I$497,1)</f>
        <v>81</v>
      </c>
      <c r="AA91" s="40">
        <f ca="1">OFFSET(载具产出!$F$399,IFERROR(MATCH(OFFSET($D91,0,MATCH($D$5,$E$6:$H$6,0)),载具产出!$E$112:$E$151,1),0),MATCH(AA$6,载具产出!$G$111:$O$111,0))*2</f>
        <v>30</v>
      </c>
      <c r="AB91" s="40">
        <f ca="1">OFFSET(载具产出!$F$399,IFERROR(MATCH(OFFSET($D91,0,MATCH($D$5,$E$6:$H$6,0)),载具产出!$E$112:$E$151,1),0),MATCH(AB$6,载具产出!$G$111:$O$111,0))*2</f>
        <v>25.6</v>
      </c>
      <c r="AC91" s="40">
        <f ca="1">OFFSET(载具产出!$F$399,IFERROR(MATCH(OFFSET($D91,0,MATCH($D$5,$E$6:$H$6,0)),载具产出!$E$112:$E$151,1),0),MATCH(AC$6,载具产出!$G$111:$O$111,0))*2</f>
        <v>2.4</v>
      </c>
      <c r="AD91" s="40">
        <f ca="1">OFFSET(载具产出!$F$399,IFERROR(MATCH(OFFSET($D91,0,MATCH($D$5,$E$6:$H$6,0)),载具产出!$E$112:$E$151,1),0),MATCH(AD$6,载具产出!$G$111:$O$111,0))*2</f>
        <v>0</v>
      </c>
      <c r="AE91" s="44">
        <f ca="1">SUM(AA$36:AA91)/3</f>
        <v>522.8</v>
      </c>
      <c r="AF91" s="44">
        <f ca="1">SUM(AB$36:AB91)/3</f>
        <v>463.893333333333</v>
      </c>
      <c r="AG91" s="44">
        <f ca="1">SUM(AC$36:AC91)/3</f>
        <v>28.64</v>
      </c>
      <c r="AH91" s="44">
        <f ca="1">SUM(AD$36:AD91)/3</f>
        <v>0</v>
      </c>
      <c r="AI91" s="44">
        <f>_xlfn.XLOOKUP($D$5,载具产出!$D$71:$D$75,载具产出!$E$71:$E$75)*(D91-30+1)</f>
        <v>658.666666666669</v>
      </c>
      <c r="AJ91" s="44">
        <f>IFERROR(MATCH(_xlfn.XLOOKUP($D$5,载具产出!$D$71:$D$75,载具产出!$E$71:$E$75)*(D91-30+1)*10,载具产出!$E$60:$E$67,1),0)+1</f>
        <v>6</v>
      </c>
      <c r="AK91" s="44">
        <f ca="1">IF($AJ91=1,($AI91)*(10*OFFSET(载具产出!$D$45,MATCH(AK$6,$AK$6:$AN$6,0)-1,$AJ91)+OFFSET(载具产出!$D$49,MATCH(AK$6,$AK$6:$AN$6,0)-1,$AJ91)*OFFSET(载具产出!$N$49,MATCH(AK$6,$AK$6:$AN$6,0)-1,0)),OFFSET(载具产出!F$59,$AJ91-1,0)*10+OFFSET(载具产出!J$59,$AJ91-1,0)+($AI91*10-_xlfn.XLOOKUP($AJ91-1,载具产出!$D$59:$D$67,载具产出!$E$59:$E$67))/10*(10*OFFSET(载具产出!$D$45,MATCH(AK$6,$AK$6:$AN$6,0)-1,$AJ91)+OFFSET(载具产出!$D$49,MATCH(AK$6,$AK$6:$AN$6,0)-1,$AJ91)*OFFSET(载具产出!$N$49,MATCH(AK$6,$AK$6:$AN$6,0)-1,0)))</f>
        <v>1529.174</v>
      </c>
      <c r="AL91" s="44">
        <f ca="1">IF($AJ91=1,($AI91)*(10*OFFSET(载具产出!$D$45,MATCH(AL$6,$AK$6:$AN$6,0)-1,$AJ91)+OFFSET(载具产出!$D$49,MATCH(AL$6,$AK$6:$AN$6,0)-1,$AJ91)*OFFSET(载具产出!$N$49,MATCH(AL$6,$AK$6:$AN$6,0)-1,0)),OFFSET(载具产出!G$59,$AJ91-1,0)*10+OFFSET(载具产出!K$59,$AJ91-1,0)+($AI91*10-_xlfn.XLOOKUP($AJ91-1,载具产出!$D$59:$D$67,载具产出!$E$59:$E$67))/10*(10*OFFSET(载具产出!$D$45,MATCH(AL$6,$AK$6:$AN$6,0)-1,$AJ91)+OFFSET(载具产出!$D$49,MATCH(AL$6,$AK$6:$AN$6,0)-1,$AJ91)*OFFSET(载具产出!$N$49,MATCH(AL$6,$AK$6:$AN$6,0)-1,0)))</f>
        <v>551.700000000002</v>
      </c>
      <c r="AM91" s="44">
        <f ca="1">IF($AJ91=1,($AI91)*(10*OFFSET(载具产出!$D$45,MATCH(AM$6,$AK$6:$AN$6,0)-1,$AJ91)+OFFSET(载具产出!$D$49,MATCH(AM$6,$AK$6:$AN$6,0)-1,$AJ91)*OFFSET(载具产出!$N$49,MATCH(AM$6,$AK$6:$AN$6,0)-1,0)),OFFSET(载具产出!H$59,$AJ91-1,0)*10+OFFSET(载具产出!L$59,$AJ91-1,0)+($AI91*10-_xlfn.XLOOKUP($AJ91-1,载具产出!$D$59:$D$67,载具产出!$E$59:$E$67))/10*(10*OFFSET(载具产出!$D$45,MATCH(AM$6,$AK$6:$AN$6,0)-1,$AJ91)+OFFSET(载具产出!$D$49,MATCH(AM$6,$AK$6:$AN$6,0)-1,$AJ91)*OFFSET(载具产出!$N$49,MATCH(AM$6,$AK$6:$AN$6,0)-1,0)))</f>
        <v>283.018666666668</v>
      </c>
      <c r="AN91" s="44">
        <f ca="1">IF($AJ91=1,($AI91)*(10*OFFSET(载具产出!$D$45,MATCH(AN$6,$AK$6:$AN$6,0)-1,$AJ91)+OFFSET(载具产出!$D$49,MATCH(AN$6,$AK$6:$AN$6,0)-1,$AJ91)*OFFSET(载具产出!$N$49,MATCH(AN$6,$AK$6:$AN$6,0)-1,0)),OFFSET(载具产出!I$59,$AJ91-1,0)*10+OFFSET(载具产出!M$59,$AJ91-1,0)+($AI91*10-_xlfn.XLOOKUP($AJ91-1,载具产出!$D$59:$D$67,载具产出!$E$59:$E$67))/10*(10*OFFSET(载具产出!$D$45,MATCH(AN$6,$AK$6:$AN$6,0)-1,$AJ91)+OFFSET(载具产出!$D$49,MATCH(AN$6,$AK$6:$AN$6,0)-1,$AJ91)*OFFSET(载具产出!$N$49,MATCH(AN$6,$AK$6:$AN$6,0)-1,0)))</f>
        <v>78.5093333333337</v>
      </c>
      <c r="AO91" s="44">
        <f ca="1" t="shared" si="3"/>
        <v>2051.97400000001</v>
      </c>
      <c r="AP91" s="44">
        <f ca="1" t="shared" si="4"/>
        <v>1015.59333333334</v>
      </c>
      <c r="AQ91" s="44">
        <f ca="1" t="shared" si="5"/>
        <v>311.658666666668</v>
      </c>
      <c r="AR91" s="44">
        <f ca="1" t="shared" si="6"/>
        <v>78.5093333333337</v>
      </c>
      <c r="AS91" s="45">
        <f ca="1">IFERROR(MATCH(AO91/载具产出!R$58,载具属性!$G$33:$G$92,1),0)</f>
        <v>23</v>
      </c>
      <c r="AT91" s="45">
        <f ca="1">IFERROR(MATCH(AP91/载具产出!S$58,载具属性!$G$33:$G$92,1),0)</f>
        <v>15</v>
      </c>
      <c r="AU91" s="45">
        <f ca="1">IFERROR(MATCH(AQ91/载具产出!T$58,载具属性!$G$33:$G$92,1),0)</f>
        <v>7</v>
      </c>
      <c r="AV91" s="45">
        <f ca="1">IFERROR(MATCH(AR91/载具产出!U$58,载具属性!$G$33:$G$92,1),0)</f>
        <v>0</v>
      </c>
      <c r="AW91" s="46" t="str">
        <f ca="1" t="shared" si="7"/>
        <v>[{62,383},{63,39330},{2,103500},{6030001,1430},{6030002,1308},{6030003,82}]</v>
      </c>
      <c r="AX91" t="str">
        <f ca="1" t="shared" si="8"/>
        <v>{62,383}</v>
      </c>
      <c r="AY91" t="str">
        <f ca="1" t="shared" si="9"/>
        <v>{63,39330}</v>
      </c>
      <c r="AZ91" t="str">
        <f ca="1" t="shared" si="10"/>
        <v>{2,103500}</v>
      </c>
      <c r="BA91" t="str">
        <f ca="1" t="shared" si="11"/>
        <v>{6030001,1430}</v>
      </c>
      <c r="BB91" t="str">
        <f ca="1" t="shared" si="12"/>
        <v>{6030002,1308}</v>
      </c>
      <c r="BC91" t="str">
        <f ca="1" t="shared" si="13"/>
        <v>{6030003,82}</v>
      </c>
      <c r="BD91" t="str">
        <f ca="1" t="shared" si="14"/>
        <v/>
      </c>
    </row>
    <row r="92" spans="3:56">
      <c r="C92">
        <f ca="1" t="shared" si="1"/>
        <v>109.580152671756</v>
      </c>
      <c r="D92" s="40">
        <v>86</v>
      </c>
      <c r="E92" s="40">
        <v>96</v>
      </c>
      <c r="F92" s="40">
        <v>113</v>
      </c>
      <c r="G92" s="41">
        <v>131</v>
      </c>
      <c r="H92" s="40">
        <f t="shared" si="18"/>
        <v>171</v>
      </c>
      <c r="I92" s="40">
        <v>198</v>
      </c>
      <c r="J92" s="40">
        <f t="shared" si="19"/>
        <v>176</v>
      </c>
      <c r="K92" s="40">
        <f ca="1">SUM(U$36:U92)-SUM(OFFSET(载具产出!H$399,0,0,$R92+1,1))</f>
        <v>390</v>
      </c>
      <c r="L92" s="40">
        <f ca="1">SUM(T$36:T92)-SUM(OFFSET(载具产出!G$399,0,0,$R92+1,1))</f>
        <v>40205</v>
      </c>
      <c r="M92" s="40">
        <f ca="1">SUM(V$36:V92)/2-SUM(OFFSET(载具产出!I$399,0,0,$R92+1,1))</f>
        <v>106300</v>
      </c>
      <c r="N92" s="40">
        <f ca="1">SUM(AA$36:AA92)-SUM(OFFSET(载具产出!J$399,0,0,$R92+1,1))</f>
        <v>1460.6</v>
      </c>
      <c r="O92" s="40">
        <f ca="1">SUM(AB$36:AB92)-SUM(OFFSET(载具产出!K$399,0,0,$R92+1,1))</f>
        <v>1333.68</v>
      </c>
      <c r="P92" s="40">
        <f ca="1">SUM(AC$36:AC92)-SUM(OFFSET(载具产出!L$399,0,0,$R92+1,1))</f>
        <v>84.7200000000001</v>
      </c>
      <c r="Q92" s="40">
        <f ca="1">SUM(AD$36:AD92)-SUM(OFFSET(载具产出!M$399,0,0,$R92+1,1))</f>
        <v>0</v>
      </c>
      <c r="R92" s="40">
        <v>9</v>
      </c>
      <c r="S92" s="40" t="str">
        <f ca="1">OFFSET(载具产出!$D$111,IFERROR(MATCH(OFFSET($D92,0,MATCH($D$5,$E$6:$H$6,0)),载具产出!$E$112:$E$151,1),0),0)</f>
        <v>豪华Ⅳ</v>
      </c>
      <c r="T92" s="40">
        <f ca="1">OFFSET(载具产出!$F$399,IFERROR(MATCH(OFFSET($D92,0,MATCH($D$5,$E$6:$H$6,0)),载具产出!$E$400:$E$439,1),0),MATCH(T$6,载具产出!$G$399:$O$399,0))</f>
        <v>875</v>
      </c>
      <c r="U92" s="40">
        <v>7</v>
      </c>
      <c r="V92" s="40">
        <f ca="1">OFFSET(载具产出!$F$399,IFERROR(MATCH(OFFSET($D92,0,MATCH($D$5,$E$6:$H$6,0)),载具产出!$E$400:$E$439,1),0),MATCH(V$6,载具产出!$G$399:$O$399,0))</f>
        <v>5600</v>
      </c>
      <c r="W92" s="43">
        <f ca="1">_xlfn.XLOOKUP(Z92,载具属性!$E$98:$E$497,载具属性!$G$98:$G$497)+6000+OFFSET(载具属性!L$33,AS92,0)*载具属性!M$30+OFFSET(载具属性!M$33,AT92,0)*载具属性!N$30+OFFSET(载具属性!N$33,AU92,0)*载具属性!O$30+OFFSET(载具属性!O$33,AV92,0)*载具属性!P$30</f>
        <v>14355</v>
      </c>
      <c r="X92" s="43">
        <f ca="1">_xlfn.XLOOKUP(Z92,载具属性!$E$98:$E$497,载具属性!$G$98:$G$497)</f>
        <v>4620</v>
      </c>
      <c r="Y92" s="43">
        <f ca="1">OFFSET(载具属性!L$33,AS92,0)*载具属性!M$30+OFFSET(载具属性!M$33,AT92,0)*载具属性!N$30+OFFSET(载具属性!N$33,AU92,0)*载具属性!O$30+OFFSET(载具属性!O$33,AV92,0)*载具属性!P$30</f>
        <v>3735</v>
      </c>
      <c r="Z92" s="40">
        <f ca="1">MATCH(SUM($T$7:T92),载具属性!$I$98:$I$497,1)</f>
        <v>81</v>
      </c>
      <c r="AA92" s="40">
        <f ca="1">OFFSET(载具产出!$F$399,IFERROR(MATCH(OFFSET($D92,0,MATCH($D$5,$E$6:$H$6,0)),载具产出!$E$112:$E$151,1),0),MATCH(AA$6,载具产出!$G$111:$O$111,0))*2</f>
        <v>30</v>
      </c>
      <c r="AB92" s="40">
        <f ca="1">OFFSET(载具产出!$F$399,IFERROR(MATCH(OFFSET($D92,0,MATCH($D$5,$E$6:$H$6,0)),载具产出!$E$112:$E$151,1),0),MATCH(AB$6,载具产出!$G$111:$O$111,0))*2</f>
        <v>25.6</v>
      </c>
      <c r="AC92" s="40">
        <f ca="1">OFFSET(载具产出!$F$399,IFERROR(MATCH(OFFSET($D92,0,MATCH($D$5,$E$6:$H$6,0)),载具产出!$E$112:$E$151,1),0),MATCH(AC$6,载具产出!$G$111:$O$111,0))*2</f>
        <v>2.4</v>
      </c>
      <c r="AD92" s="40">
        <f ca="1">OFFSET(载具产出!$F$399,IFERROR(MATCH(OFFSET($D92,0,MATCH($D$5,$E$6:$H$6,0)),载具产出!$E$112:$E$151,1),0),MATCH(AD$6,载具产出!$G$111:$O$111,0))*2</f>
        <v>0</v>
      </c>
      <c r="AE92" s="44">
        <f ca="1">SUM(AA$36:AA92)/3</f>
        <v>532.8</v>
      </c>
      <c r="AF92" s="44">
        <f ca="1">SUM(AB$36:AB92)/3</f>
        <v>472.426666666666</v>
      </c>
      <c r="AG92" s="44">
        <f ca="1">SUM(AC$36:AC92)/3</f>
        <v>29.44</v>
      </c>
      <c r="AH92" s="44">
        <f ca="1">SUM(AD$36:AD92)/3</f>
        <v>0</v>
      </c>
      <c r="AI92" s="44">
        <f>_xlfn.XLOOKUP($D$5,载具产出!$D$71:$D$75,载具产出!$E$71:$E$75)*(D92-30+1)</f>
        <v>670.428571428574</v>
      </c>
      <c r="AJ92" s="44">
        <f>IFERROR(MATCH(_xlfn.XLOOKUP($D$5,载具产出!$D$71:$D$75,载具产出!$E$71:$E$75)*(D92-30+1)*10,载具产出!$E$60:$E$67,1),0)+1</f>
        <v>6</v>
      </c>
      <c r="AK92" s="44">
        <f ca="1">IF($AJ92=1,($AI92)*(10*OFFSET(载具产出!$D$45,MATCH(AK$6,$AK$6:$AN$6,0)-1,$AJ92)+OFFSET(载具产出!$D$49,MATCH(AK$6,$AK$6:$AN$6,0)-1,$AJ92)*OFFSET(载具产出!$N$49,MATCH(AK$6,$AK$6:$AN$6,0)-1,0)),OFFSET(载具产出!F$59,$AJ92-1,0)*10+OFFSET(载具产出!J$59,$AJ92-1,0)+($AI92*10-_xlfn.XLOOKUP($AJ92-1,载具产出!$D$59:$D$67,载具产出!$E$59:$E$67))/10*(10*OFFSET(载具产出!$D$45,MATCH(AK$6,$AK$6:$AN$6,0)-1,$AJ92)+OFFSET(载具产出!$D$49,MATCH(AK$6,$AK$6:$AN$6,0)-1,$AJ92)*OFFSET(载具产出!$N$49,MATCH(AK$6,$AK$6:$AN$6,0)-1,0)))</f>
        <v>1554.72085714286</v>
      </c>
      <c r="AL92" s="44">
        <f ca="1">IF($AJ92=1,($AI92)*(10*OFFSET(载具产出!$D$45,MATCH(AL$6,$AK$6:$AN$6,0)-1,$AJ92)+OFFSET(载具产出!$D$49,MATCH(AL$6,$AK$6:$AN$6,0)-1,$AJ92)*OFFSET(载具产出!$N$49,MATCH(AL$6,$AK$6:$AN$6,0)-1,0)),OFFSET(载具产出!G$59,$AJ92-1,0)*10+OFFSET(载具产出!K$59,$AJ92-1,0)+($AI92*10-_xlfn.XLOOKUP($AJ92-1,载具产出!$D$59:$D$67,载具产出!$E$59:$E$67))/10*(10*OFFSET(载具产出!$D$45,MATCH(AL$6,$AK$6:$AN$6,0)-1,$AJ92)+OFFSET(载具产出!$D$49,MATCH(AL$6,$AK$6:$AN$6,0)-1,$AJ92)*OFFSET(载具产出!$N$49,MATCH(AL$6,$AK$6:$AN$6,0)-1,0)))</f>
        <v>562.285714285716</v>
      </c>
      <c r="AM92" s="44">
        <f ca="1">IF($AJ92=1,($AI92)*(10*OFFSET(载具产出!$D$45,MATCH(AM$6,$AK$6:$AN$6,0)-1,$AJ92)+OFFSET(载具产出!$D$49,MATCH(AM$6,$AK$6:$AN$6,0)-1,$AJ92)*OFFSET(载具产出!$N$49,MATCH(AM$6,$AK$6:$AN$6,0)-1,0)),OFFSET(载具产出!H$59,$AJ92-1,0)*10+OFFSET(载具产出!L$59,$AJ92-1,0)+($AI92*10-_xlfn.XLOOKUP($AJ92-1,载具产出!$D$59:$D$67,载具产出!$E$59:$E$67))/10*(10*OFFSET(载具产出!$D$45,MATCH(AM$6,$AK$6:$AN$6,0)-1,$AJ92)+OFFSET(载具产出!$D$49,MATCH(AM$6,$AK$6:$AN$6,0)-1,$AJ92)*OFFSET(载具产出!$N$49,MATCH(AM$6,$AK$6:$AN$6,0)-1,0)))</f>
        <v>288.852571428573</v>
      </c>
      <c r="AN92" s="44">
        <f ca="1">IF($AJ92=1,($AI92)*(10*OFFSET(载具产出!$D$45,MATCH(AN$6,$AK$6:$AN$6,0)-1,$AJ92)+OFFSET(载具产出!$D$49,MATCH(AN$6,$AK$6:$AN$6,0)-1,$AJ92)*OFFSET(载具产出!$N$49,MATCH(AN$6,$AK$6:$AN$6,0)-1,0)),OFFSET(载具产出!I$59,$AJ92-1,0)*10+OFFSET(载具产出!M$59,$AJ92-1,0)+($AI92*10-_xlfn.XLOOKUP($AJ92-1,载具产出!$D$59:$D$67,载具产出!$E$59:$E$67))/10*(10*OFFSET(载具产出!$D$45,MATCH(AN$6,$AK$6:$AN$6,0)-1,$AJ92)+OFFSET(载具产出!$D$49,MATCH(AN$6,$AK$6:$AN$6,0)-1,$AJ92)*OFFSET(载具产出!$N$49,MATCH(AN$6,$AK$6:$AN$6,0)-1,0)))</f>
        <v>80.3677142857147</v>
      </c>
      <c r="AO92" s="44">
        <f ca="1" t="shared" si="3"/>
        <v>2087.52085714286</v>
      </c>
      <c r="AP92" s="44">
        <f ca="1" t="shared" si="4"/>
        <v>1034.71238095238</v>
      </c>
      <c r="AQ92" s="44">
        <f ca="1" t="shared" si="5"/>
        <v>318.292571428573</v>
      </c>
      <c r="AR92" s="44">
        <f ca="1" t="shared" si="6"/>
        <v>80.3677142857147</v>
      </c>
      <c r="AS92" s="45">
        <f ca="1">IFERROR(MATCH(AO92/载具产出!R$58,载具属性!$G$33:$G$92,1),0)</f>
        <v>23</v>
      </c>
      <c r="AT92" s="45">
        <f ca="1">IFERROR(MATCH(AP92/载具产出!S$58,载具属性!$G$33:$G$92,1),0)</f>
        <v>16</v>
      </c>
      <c r="AU92" s="45">
        <f ca="1">IFERROR(MATCH(AQ92/载具产出!T$58,载具属性!$G$33:$G$92,1),0)</f>
        <v>7</v>
      </c>
      <c r="AV92" s="45">
        <f ca="1">IFERROR(MATCH(AR92/载具产出!U$58,载具属性!$G$33:$G$92,1),0)</f>
        <v>1</v>
      </c>
      <c r="AW92" s="46" t="str">
        <f ca="1" t="shared" si="7"/>
        <v>[{62,390},{63,40205},{2,106300},{6030001,1460},{6030002,1333},{6030003,84}]</v>
      </c>
      <c r="AX92" t="str">
        <f ca="1" t="shared" si="8"/>
        <v>{62,390}</v>
      </c>
      <c r="AY92" t="str">
        <f ca="1" t="shared" si="9"/>
        <v>{63,40205}</v>
      </c>
      <c r="AZ92" t="str">
        <f ca="1" t="shared" si="10"/>
        <v>{2,106300}</v>
      </c>
      <c r="BA92" t="str">
        <f ca="1" t="shared" si="11"/>
        <v>{6030001,1460}</v>
      </c>
      <c r="BB92" t="str">
        <f ca="1" t="shared" si="12"/>
        <v>{6030002,1333}</v>
      </c>
      <c r="BC92" t="str">
        <f ca="1" t="shared" si="13"/>
        <v>{6030003,84}</v>
      </c>
      <c r="BD92" t="str">
        <f ca="1" t="shared" si="14"/>
        <v/>
      </c>
    </row>
    <row r="93" spans="3:56">
      <c r="C93">
        <f ca="1" t="shared" si="1"/>
        <v>110.114503816794</v>
      </c>
      <c r="D93" s="40">
        <v>87</v>
      </c>
      <c r="E93" s="40">
        <v>96</v>
      </c>
      <c r="F93" s="40">
        <v>114</v>
      </c>
      <c r="G93" s="41">
        <v>131</v>
      </c>
      <c r="H93" s="40">
        <f t="shared" si="18"/>
        <v>172</v>
      </c>
      <c r="I93" s="40">
        <f>I92+2</f>
        <v>200</v>
      </c>
      <c r="J93" s="40">
        <f t="shared" si="19"/>
        <v>178</v>
      </c>
      <c r="K93" s="40">
        <f ca="1">SUM(U$36:U93)-SUM(OFFSET(载具产出!H$399,0,0,$R93+1,1))</f>
        <v>396</v>
      </c>
      <c r="L93" s="40">
        <f ca="1">SUM(T$36:T93)-SUM(OFFSET(载具产出!G$399,0,0,$R93+1,1))</f>
        <v>40165</v>
      </c>
      <c r="M93" s="40">
        <f ca="1">SUM(V$36:V93)/2-SUM(OFFSET(载具产出!I$399,0,0,$R93+1,1))</f>
        <v>103300</v>
      </c>
      <c r="N93" s="40">
        <f ca="1">SUM(AA$36:AA93)-SUM(OFFSET(载具产出!J$399,0,0,$R93+1,1))</f>
        <v>1481.6</v>
      </c>
      <c r="O93" s="40">
        <f ca="1">SUM(AB$36:AB93)-SUM(OFFSET(载具产出!K$399,0,0,$R93+1,1))</f>
        <v>1344.72</v>
      </c>
      <c r="P93" s="40">
        <f ca="1">SUM(AC$36:AC93)-SUM(OFFSET(载具产出!L$399,0,0,$R93+1,1))</f>
        <v>85.6800000000001</v>
      </c>
      <c r="Q93" s="40">
        <f ca="1">SUM(AD$36:AD93)-SUM(OFFSET(载具产出!M$399,0,0,$R93+1,1))</f>
        <v>0</v>
      </c>
      <c r="R93" s="40">
        <v>10</v>
      </c>
      <c r="S93" s="40" t="str">
        <f ca="1">OFFSET(载具产出!$D$111,IFERROR(MATCH(OFFSET($D93,0,MATCH($D$5,$E$6:$H$6,0)),载具产出!$E$112:$E$151,1),0),0)</f>
        <v>豪华Ⅳ</v>
      </c>
      <c r="T93" s="40">
        <f ca="1">OFFSET(载具产出!$F$399,IFERROR(MATCH(OFFSET($D93,0,MATCH($D$5,$E$6:$H$6,0)),载具产出!$E$400:$E$439,1),0),MATCH(T$6,载具产出!$G$399:$O$399,0))</f>
        <v>875</v>
      </c>
      <c r="U93" s="40">
        <v>7</v>
      </c>
      <c r="V93" s="40">
        <f ca="1">OFFSET(载具产出!$F$399,IFERROR(MATCH(OFFSET($D93,0,MATCH($D$5,$E$6:$H$6,0)),载具产出!$E$400:$E$439,1),0),MATCH(V$6,载具产出!$G$399:$O$399,0))</f>
        <v>5600</v>
      </c>
      <c r="W93" s="43">
        <f ca="1">_xlfn.XLOOKUP(Z93,载具属性!$E$98:$E$497,载具属性!$G$98:$G$497)+6000+OFFSET(载具属性!L$33,AS93,0)*载具属性!M$30+OFFSET(载具属性!M$33,AT93,0)*载具属性!N$30+OFFSET(载具属性!N$33,AU93,0)*载具属性!O$30+OFFSET(载具属性!O$33,AV93,0)*载具属性!P$30</f>
        <v>14425</v>
      </c>
      <c r="X93" s="43">
        <f ca="1">_xlfn.XLOOKUP(Z93,载具属性!$E$98:$E$497,载具属性!$G$98:$G$497)</f>
        <v>4690</v>
      </c>
      <c r="Y93" s="43">
        <f ca="1">OFFSET(载具属性!L$33,AS93,0)*载具属性!M$30+OFFSET(载具属性!M$33,AT93,0)*载具属性!N$30+OFFSET(载具属性!N$33,AU93,0)*载具属性!O$30+OFFSET(载具属性!O$33,AV93,0)*载具属性!P$30</f>
        <v>3735</v>
      </c>
      <c r="Z93" s="40">
        <f ca="1">MATCH(SUM($T$7:T93),载具属性!$I$98:$I$497,1)</f>
        <v>82</v>
      </c>
      <c r="AA93" s="40">
        <f ca="1">OFFSET(载具产出!$F$399,IFERROR(MATCH(OFFSET($D93,0,MATCH($D$5,$E$6:$H$6,0)),载具产出!$E$112:$E$151,1),0),MATCH(AA$6,载具产出!$G$111:$O$111,0))*2</f>
        <v>30</v>
      </c>
      <c r="AB93" s="40">
        <f ca="1">OFFSET(载具产出!$F$399,IFERROR(MATCH(OFFSET($D93,0,MATCH($D$5,$E$6:$H$6,0)),载具产出!$E$112:$E$151,1),0),MATCH(AB$6,载具产出!$G$111:$O$111,0))*2</f>
        <v>25.6</v>
      </c>
      <c r="AC93" s="40">
        <f ca="1">OFFSET(载具产出!$F$399,IFERROR(MATCH(OFFSET($D93,0,MATCH($D$5,$E$6:$H$6,0)),载具产出!$E$112:$E$151,1),0),MATCH(AC$6,载具产出!$G$111:$O$111,0))*2</f>
        <v>2.4</v>
      </c>
      <c r="AD93" s="40">
        <f ca="1">OFFSET(载具产出!$F$399,IFERROR(MATCH(OFFSET($D93,0,MATCH($D$5,$E$6:$H$6,0)),载具产出!$E$112:$E$151,1),0),MATCH(AD$6,载具产出!$G$111:$O$111,0))*2</f>
        <v>0</v>
      </c>
      <c r="AE93" s="44">
        <f ca="1">SUM(AA$36:AA93)/3</f>
        <v>542.8</v>
      </c>
      <c r="AF93" s="44">
        <f ca="1">SUM(AB$36:AB93)/3</f>
        <v>480.96</v>
      </c>
      <c r="AG93" s="44">
        <f ca="1">SUM(AC$36:AC93)/3</f>
        <v>30.24</v>
      </c>
      <c r="AH93" s="44">
        <f ca="1">SUM(AD$36:AD93)/3</f>
        <v>0</v>
      </c>
      <c r="AI93" s="44">
        <f>_xlfn.XLOOKUP($D$5,载具产出!$D$71:$D$75,载具产出!$E$71:$E$75)*(D93-30+1)</f>
        <v>682.190476190478</v>
      </c>
      <c r="AJ93" s="44">
        <f>IFERROR(MATCH(_xlfn.XLOOKUP($D$5,载具产出!$D$71:$D$75,载具产出!$E$71:$E$75)*(D93-30+1)*10,载具产出!$E$60:$E$67,1),0)+1</f>
        <v>6</v>
      </c>
      <c r="AK93" s="44">
        <f ca="1">IF($AJ93=1,($AI93)*(10*OFFSET(载具产出!$D$45,MATCH(AK$6,$AK$6:$AN$6,0)-1,$AJ93)+OFFSET(载具产出!$D$49,MATCH(AK$6,$AK$6:$AN$6,0)-1,$AJ93)*OFFSET(载具产出!$N$49,MATCH(AK$6,$AK$6:$AN$6,0)-1,0)),OFFSET(载具产出!F$59,$AJ93-1,0)*10+OFFSET(载具产出!J$59,$AJ93-1,0)+($AI93*10-_xlfn.XLOOKUP($AJ93-1,载具产出!$D$59:$D$67,载具产出!$E$59:$E$67))/10*(10*OFFSET(载具产出!$D$45,MATCH(AK$6,$AK$6:$AN$6,0)-1,$AJ93)+OFFSET(载具产出!$D$49,MATCH(AK$6,$AK$6:$AN$6,0)-1,$AJ93)*OFFSET(载具产出!$N$49,MATCH(AK$6,$AK$6:$AN$6,0)-1,0)))</f>
        <v>1580.26771428572</v>
      </c>
      <c r="AL93" s="44">
        <f ca="1">IF($AJ93=1,($AI93)*(10*OFFSET(载具产出!$D$45,MATCH(AL$6,$AK$6:$AN$6,0)-1,$AJ93)+OFFSET(载具产出!$D$49,MATCH(AL$6,$AK$6:$AN$6,0)-1,$AJ93)*OFFSET(载具产出!$N$49,MATCH(AL$6,$AK$6:$AN$6,0)-1,0)),OFFSET(载具产出!G$59,$AJ93-1,0)*10+OFFSET(载具产出!K$59,$AJ93-1,0)+($AI93*10-_xlfn.XLOOKUP($AJ93-1,载具产出!$D$59:$D$67,载具产出!$E$59:$E$67))/10*(10*OFFSET(载具产出!$D$45,MATCH(AL$6,$AK$6:$AN$6,0)-1,$AJ93)+OFFSET(载具产出!$D$49,MATCH(AL$6,$AK$6:$AN$6,0)-1,$AJ93)*OFFSET(载具产出!$N$49,MATCH(AL$6,$AK$6:$AN$6,0)-1,0)))</f>
        <v>572.87142857143</v>
      </c>
      <c r="AM93" s="44">
        <f ca="1">IF($AJ93=1,($AI93)*(10*OFFSET(载具产出!$D$45,MATCH(AM$6,$AK$6:$AN$6,0)-1,$AJ93)+OFFSET(载具产出!$D$49,MATCH(AM$6,$AK$6:$AN$6,0)-1,$AJ93)*OFFSET(载具产出!$N$49,MATCH(AM$6,$AK$6:$AN$6,0)-1,0)),OFFSET(载具产出!H$59,$AJ93-1,0)*10+OFFSET(载具产出!L$59,$AJ93-1,0)+($AI93*10-_xlfn.XLOOKUP($AJ93-1,载具产出!$D$59:$D$67,载具产出!$E$59:$E$67))/10*(10*OFFSET(载具产出!$D$45,MATCH(AM$6,$AK$6:$AN$6,0)-1,$AJ93)+OFFSET(载具产出!$D$49,MATCH(AM$6,$AK$6:$AN$6,0)-1,$AJ93)*OFFSET(载具产出!$N$49,MATCH(AM$6,$AK$6:$AN$6,0)-1,0)))</f>
        <v>294.686476190477</v>
      </c>
      <c r="AN93" s="44">
        <f ca="1">IF($AJ93=1,($AI93)*(10*OFFSET(载具产出!$D$45,MATCH(AN$6,$AK$6:$AN$6,0)-1,$AJ93)+OFFSET(载具产出!$D$49,MATCH(AN$6,$AK$6:$AN$6,0)-1,$AJ93)*OFFSET(载具产出!$N$49,MATCH(AN$6,$AK$6:$AN$6,0)-1,0)),OFFSET(载具产出!I$59,$AJ93-1,0)*10+OFFSET(载具产出!M$59,$AJ93-1,0)+($AI93*10-_xlfn.XLOOKUP($AJ93-1,载具产出!$D$59:$D$67,载具产出!$E$59:$E$67))/10*(10*OFFSET(载具产出!$D$45,MATCH(AN$6,$AK$6:$AN$6,0)-1,$AJ93)+OFFSET(载具产出!$D$49,MATCH(AN$6,$AK$6:$AN$6,0)-1,$AJ93)*OFFSET(载具产出!$N$49,MATCH(AN$6,$AK$6:$AN$6,0)-1,0)))</f>
        <v>82.2260952380955</v>
      </c>
      <c r="AO93" s="44">
        <f ca="1" t="shared" si="3"/>
        <v>2123.06771428572</v>
      </c>
      <c r="AP93" s="44">
        <f ca="1" t="shared" si="4"/>
        <v>1053.83142857143</v>
      </c>
      <c r="AQ93" s="44">
        <f ca="1" t="shared" si="5"/>
        <v>324.926476190477</v>
      </c>
      <c r="AR93" s="44">
        <f ca="1" t="shared" si="6"/>
        <v>82.2260952380955</v>
      </c>
      <c r="AS93" s="45">
        <f ca="1">IFERROR(MATCH(AO93/载具产出!R$58,载具属性!$G$33:$G$92,1),0)</f>
        <v>23</v>
      </c>
      <c r="AT93" s="45">
        <f ca="1">IFERROR(MATCH(AP93/载具产出!S$58,载具属性!$G$33:$G$92,1),0)</f>
        <v>16</v>
      </c>
      <c r="AU93" s="45">
        <f ca="1">IFERROR(MATCH(AQ93/载具产出!T$58,载具属性!$G$33:$G$92,1),0)</f>
        <v>7</v>
      </c>
      <c r="AV93" s="45">
        <f ca="1">IFERROR(MATCH(AR93/载具产出!U$58,载具属性!$G$33:$G$92,1),0)</f>
        <v>1</v>
      </c>
      <c r="AW93" s="46" t="str">
        <f ca="1" t="shared" si="7"/>
        <v>[{62,396},{63,40165},{2,103300},{6030001,1481},{6030002,1344},{6030003,85}]</v>
      </c>
      <c r="AX93" t="str">
        <f ca="1" t="shared" si="8"/>
        <v>{62,396}</v>
      </c>
      <c r="AY93" t="str">
        <f ca="1" t="shared" si="9"/>
        <v>{63,40165}</v>
      </c>
      <c r="AZ93" t="str">
        <f ca="1" t="shared" si="10"/>
        <v>{2,103300}</v>
      </c>
      <c r="BA93" t="str">
        <f ca="1" t="shared" si="11"/>
        <v>{6030001,1481}</v>
      </c>
      <c r="BB93" t="str">
        <f ca="1" t="shared" si="12"/>
        <v>{6030002,1344}</v>
      </c>
      <c r="BC93" t="str">
        <f ca="1" t="shared" si="13"/>
        <v>{6030003,85}</v>
      </c>
      <c r="BD93" t="str">
        <f ca="1" t="shared" si="14"/>
        <v/>
      </c>
    </row>
    <row r="94" spans="3:56">
      <c r="C94">
        <f ca="1" t="shared" si="1"/>
        <v>109.810606060606</v>
      </c>
      <c r="D94" s="40">
        <v>88</v>
      </c>
      <c r="E94" s="40">
        <v>97</v>
      </c>
      <c r="F94" s="40">
        <v>114</v>
      </c>
      <c r="G94" s="41">
        <v>132</v>
      </c>
      <c r="H94" s="40">
        <f t="shared" si="18"/>
        <v>173</v>
      </c>
      <c r="I94" s="40">
        <f>I93+2</f>
        <v>202</v>
      </c>
      <c r="J94" s="40">
        <f t="shared" si="19"/>
        <v>179</v>
      </c>
      <c r="K94" s="40">
        <f ca="1">SUM(U$36:U94)-SUM(OFFSET(载具产出!H$399,0,0,$R94+1,1))</f>
        <v>403</v>
      </c>
      <c r="L94" s="40">
        <f ca="1">SUM(T$36:T94)-SUM(OFFSET(载具产出!G$399,0,0,$R94+1,1))</f>
        <v>41040</v>
      </c>
      <c r="M94" s="40">
        <f ca="1">SUM(V$36:V94)/2-SUM(OFFSET(载具产出!I$399,0,0,$R94+1,1))</f>
        <v>106100</v>
      </c>
      <c r="N94" s="40">
        <f ca="1">SUM(AA$36:AA94)-SUM(OFFSET(载具产出!J$399,0,0,$R94+1,1))</f>
        <v>1511.6</v>
      </c>
      <c r="O94" s="40">
        <f ca="1">SUM(AB$36:AB94)-SUM(OFFSET(载具产出!K$399,0,0,$R94+1,1))</f>
        <v>1370.32</v>
      </c>
      <c r="P94" s="40">
        <f ca="1">SUM(AC$36:AC94)-SUM(OFFSET(载具产出!L$399,0,0,$R94+1,1))</f>
        <v>88.0800000000001</v>
      </c>
      <c r="Q94" s="40">
        <f ca="1">SUM(AD$36:AD94)-SUM(OFFSET(载具产出!M$399,0,0,$R94+1,1))</f>
        <v>0</v>
      </c>
      <c r="R94" s="40">
        <v>10</v>
      </c>
      <c r="S94" s="40" t="str">
        <f ca="1">OFFSET(载具产出!$D$111,IFERROR(MATCH(OFFSET($D94,0,MATCH($D$5,$E$6:$H$6,0)),载具产出!$E$112:$E$151,1),0),0)</f>
        <v>豪华Ⅳ</v>
      </c>
      <c r="T94" s="40">
        <f ca="1">OFFSET(载具产出!$F$399,IFERROR(MATCH(OFFSET($D94,0,MATCH($D$5,$E$6:$H$6,0)),载具产出!$E$400:$E$439,1),0),MATCH(T$6,载具产出!$G$399:$O$399,0))</f>
        <v>875</v>
      </c>
      <c r="U94" s="40">
        <v>7</v>
      </c>
      <c r="V94" s="40">
        <f ca="1">OFFSET(载具产出!$F$399,IFERROR(MATCH(OFFSET($D94,0,MATCH($D$5,$E$6:$H$6,0)),载具产出!$E$400:$E$439,1),0),MATCH(V$6,载具产出!$G$399:$O$399,0))</f>
        <v>5600</v>
      </c>
      <c r="W94" s="43">
        <f ca="1">_xlfn.XLOOKUP(Z94,载具属性!$E$98:$E$497,载具属性!$G$98:$G$497)+6000+OFFSET(载具属性!L$33,AS94,0)*载具属性!M$30+OFFSET(载具属性!M$33,AT94,0)*载具属性!N$30+OFFSET(载具属性!N$33,AU94,0)*载具属性!O$30+OFFSET(载具属性!O$33,AV94,0)*载具属性!P$30</f>
        <v>14495</v>
      </c>
      <c r="X94" s="43">
        <f ca="1">_xlfn.XLOOKUP(Z94,载具属性!$E$98:$E$497,载具属性!$G$98:$G$497)</f>
        <v>4760</v>
      </c>
      <c r="Y94" s="43">
        <f ca="1">OFFSET(载具属性!L$33,AS94,0)*载具属性!M$30+OFFSET(载具属性!M$33,AT94,0)*载具属性!N$30+OFFSET(载具属性!N$33,AU94,0)*载具属性!O$30+OFFSET(载具属性!O$33,AV94,0)*载具属性!P$30</f>
        <v>3735</v>
      </c>
      <c r="Z94" s="40">
        <f ca="1">MATCH(SUM($T$7:T94),载具属性!$I$98:$I$497,1)</f>
        <v>83</v>
      </c>
      <c r="AA94" s="40">
        <f ca="1">OFFSET(载具产出!$F$399,IFERROR(MATCH(OFFSET($D94,0,MATCH($D$5,$E$6:$H$6,0)),载具产出!$E$112:$E$151,1),0),MATCH(AA$6,载具产出!$G$111:$O$111,0))*2</f>
        <v>30</v>
      </c>
      <c r="AB94" s="40">
        <f ca="1">OFFSET(载具产出!$F$399,IFERROR(MATCH(OFFSET($D94,0,MATCH($D$5,$E$6:$H$6,0)),载具产出!$E$112:$E$151,1),0),MATCH(AB$6,载具产出!$G$111:$O$111,0))*2</f>
        <v>25.6</v>
      </c>
      <c r="AC94" s="40">
        <f ca="1">OFFSET(载具产出!$F$399,IFERROR(MATCH(OFFSET($D94,0,MATCH($D$5,$E$6:$H$6,0)),载具产出!$E$112:$E$151,1),0),MATCH(AC$6,载具产出!$G$111:$O$111,0))*2</f>
        <v>2.4</v>
      </c>
      <c r="AD94" s="40">
        <f ca="1">OFFSET(载具产出!$F$399,IFERROR(MATCH(OFFSET($D94,0,MATCH($D$5,$E$6:$H$6,0)),载具产出!$E$112:$E$151,1),0),MATCH(AD$6,载具产出!$G$111:$O$111,0))*2</f>
        <v>0</v>
      </c>
      <c r="AE94" s="44">
        <f ca="1">SUM(AA$36:AA94)/3</f>
        <v>552.8</v>
      </c>
      <c r="AF94" s="44">
        <f ca="1">SUM(AB$36:AB94)/3</f>
        <v>489.493333333333</v>
      </c>
      <c r="AG94" s="44">
        <f ca="1">SUM(AC$36:AC94)/3</f>
        <v>31.04</v>
      </c>
      <c r="AH94" s="44">
        <f ca="1">SUM(AD$36:AD94)/3</f>
        <v>0</v>
      </c>
      <c r="AI94" s="44">
        <f>_xlfn.XLOOKUP($D$5,载具产出!$D$71:$D$75,载具产出!$E$71:$E$75)*(D94-30+1)</f>
        <v>693.952380952383</v>
      </c>
      <c r="AJ94" s="44">
        <f>IFERROR(MATCH(_xlfn.XLOOKUP($D$5,载具产出!$D$71:$D$75,载具产出!$E$71:$E$75)*(D94-30+1)*10,载具产出!$E$60:$E$67,1),0)+1</f>
        <v>6</v>
      </c>
      <c r="AK94" s="44">
        <f ca="1">IF($AJ94=1,($AI94)*(10*OFFSET(载具产出!$D$45,MATCH(AK$6,$AK$6:$AN$6,0)-1,$AJ94)+OFFSET(载具产出!$D$49,MATCH(AK$6,$AK$6:$AN$6,0)-1,$AJ94)*OFFSET(载具产出!$N$49,MATCH(AK$6,$AK$6:$AN$6,0)-1,0)),OFFSET(载具产出!F$59,$AJ94-1,0)*10+OFFSET(载具产出!J$59,$AJ94-1,0)+($AI94*10-_xlfn.XLOOKUP($AJ94-1,载具产出!$D$59:$D$67,载具产出!$E$59:$E$67))/10*(10*OFFSET(载具产出!$D$45,MATCH(AK$6,$AK$6:$AN$6,0)-1,$AJ94)+OFFSET(载具产出!$D$49,MATCH(AK$6,$AK$6:$AN$6,0)-1,$AJ94)*OFFSET(载具产出!$N$49,MATCH(AK$6,$AK$6:$AN$6,0)-1,0)))</f>
        <v>1605.81457142858</v>
      </c>
      <c r="AL94" s="44">
        <f ca="1">IF($AJ94=1,($AI94)*(10*OFFSET(载具产出!$D$45,MATCH(AL$6,$AK$6:$AN$6,0)-1,$AJ94)+OFFSET(载具产出!$D$49,MATCH(AL$6,$AK$6:$AN$6,0)-1,$AJ94)*OFFSET(载具产出!$N$49,MATCH(AL$6,$AK$6:$AN$6,0)-1,0)),OFFSET(载具产出!G$59,$AJ94-1,0)*10+OFFSET(载具产出!K$59,$AJ94-1,0)+($AI94*10-_xlfn.XLOOKUP($AJ94-1,载具产出!$D$59:$D$67,载具产出!$E$59:$E$67))/10*(10*OFFSET(载具产出!$D$45,MATCH(AL$6,$AK$6:$AN$6,0)-1,$AJ94)+OFFSET(载具产出!$D$49,MATCH(AL$6,$AK$6:$AN$6,0)-1,$AJ94)*OFFSET(载具产出!$N$49,MATCH(AL$6,$AK$6:$AN$6,0)-1,0)))</f>
        <v>583.457142857145</v>
      </c>
      <c r="AM94" s="44">
        <f ca="1">IF($AJ94=1,($AI94)*(10*OFFSET(载具产出!$D$45,MATCH(AM$6,$AK$6:$AN$6,0)-1,$AJ94)+OFFSET(载具产出!$D$49,MATCH(AM$6,$AK$6:$AN$6,0)-1,$AJ94)*OFFSET(载具产出!$N$49,MATCH(AM$6,$AK$6:$AN$6,0)-1,0)),OFFSET(载具产出!H$59,$AJ94-1,0)*10+OFFSET(载具产出!L$59,$AJ94-1,0)+($AI94*10-_xlfn.XLOOKUP($AJ94-1,载具产出!$D$59:$D$67,载具产出!$E$59:$E$67))/10*(10*OFFSET(载具产出!$D$45,MATCH(AM$6,$AK$6:$AN$6,0)-1,$AJ94)+OFFSET(载具产出!$D$49,MATCH(AM$6,$AK$6:$AN$6,0)-1,$AJ94)*OFFSET(载具产出!$N$49,MATCH(AM$6,$AK$6:$AN$6,0)-1,0)))</f>
        <v>300.520380952382</v>
      </c>
      <c r="AN94" s="44">
        <f ca="1">IF($AJ94=1,($AI94)*(10*OFFSET(载具产出!$D$45,MATCH(AN$6,$AK$6:$AN$6,0)-1,$AJ94)+OFFSET(载具产出!$D$49,MATCH(AN$6,$AK$6:$AN$6,0)-1,$AJ94)*OFFSET(载具产出!$N$49,MATCH(AN$6,$AK$6:$AN$6,0)-1,0)),OFFSET(载具产出!I$59,$AJ94-1,0)*10+OFFSET(载具产出!M$59,$AJ94-1,0)+($AI94*10-_xlfn.XLOOKUP($AJ94-1,载具产出!$D$59:$D$67,载具产出!$E$59:$E$67))/10*(10*OFFSET(载具产出!$D$45,MATCH(AN$6,$AK$6:$AN$6,0)-1,$AJ94)+OFFSET(载具产出!$D$49,MATCH(AN$6,$AK$6:$AN$6,0)-1,$AJ94)*OFFSET(载具产出!$N$49,MATCH(AN$6,$AK$6:$AN$6,0)-1,0)))</f>
        <v>84.0844761904765</v>
      </c>
      <c r="AO94" s="44">
        <f ca="1" t="shared" si="3"/>
        <v>2158.61457142858</v>
      </c>
      <c r="AP94" s="44">
        <f ca="1" t="shared" si="4"/>
        <v>1072.95047619048</v>
      </c>
      <c r="AQ94" s="44">
        <f ca="1" t="shared" si="5"/>
        <v>331.560380952382</v>
      </c>
      <c r="AR94" s="44">
        <f ca="1" t="shared" si="6"/>
        <v>84.0844761904765</v>
      </c>
      <c r="AS94" s="45">
        <f ca="1">IFERROR(MATCH(AO94/载具产出!R$58,载具属性!$G$33:$G$92,1),0)</f>
        <v>23</v>
      </c>
      <c r="AT94" s="45">
        <f ca="1">IFERROR(MATCH(AP94/载具产出!S$58,载具属性!$G$33:$G$92,1),0)</f>
        <v>16</v>
      </c>
      <c r="AU94" s="45">
        <f ca="1">IFERROR(MATCH(AQ94/载具产出!T$58,载具属性!$G$33:$G$92,1),0)</f>
        <v>7</v>
      </c>
      <c r="AV94" s="45">
        <f ca="1">IFERROR(MATCH(AR94/载具产出!U$58,载具属性!$G$33:$G$92,1),0)</f>
        <v>1</v>
      </c>
      <c r="AW94" s="46" t="str">
        <f ca="1" t="shared" si="7"/>
        <v>[{62,403},{63,41040},{2,106100},{6030001,1511},{6030002,1370},{6030003,88}]</v>
      </c>
      <c r="AX94" t="str">
        <f ca="1" t="shared" si="8"/>
        <v>{62,403}</v>
      </c>
      <c r="AY94" t="str">
        <f ca="1" t="shared" si="9"/>
        <v>{63,41040}</v>
      </c>
      <c r="AZ94" t="str">
        <f ca="1" t="shared" si="10"/>
        <v>{2,106100}</v>
      </c>
      <c r="BA94" t="str">
        <f ca="1" t="shared" si="11"/>
        <v>{6030001,1511}</v>
      </c>
      <c r="BB94" t="str">
        <f ca="1" t="shared" si="12"/>
        <v>{6030002,1370}</v>
      </c>
      <c r="BC94" t="str">
        <f ca="1" t="shared" si="13"/>
        <v>{6030003,88}</v>
      </c>
      <c r="BD94" t="str">
        <f ca="1" t="shared" si="14"/>
        <v/>
      </c>
    </row>
    <row r="95" spans="3:56">
      <c r="C95">
        <f ca="1" t="shared" si="1"/>
        <v>110.340909090909</v>
      </c>
      <c r="D95" s="40">
        <v>89</v>
      </c>
      <c r="E95" s="40">
        <v>97</v>
      </c>
      <c r="F95" s="40">
        <v>114</v>
      </c>
      <c r="G95" s="41">
        <v>132</v>
      </c>
      <c r="H95" s="40">
        <f t="shared" si="18"/>
        <v>174</v>
      </c>
      <c r="I95" s="40">
        <f>I94+2</f>
        <v>204</v>
      </c>
      <c r="J95" s="40">
        <f t="shared" si="19"/>
        <v>181</v>
      </c>
      <c r="K95" s="40">
        <f ca="1">SUM(U$36:U95)-SUM(OFFSET(载具产出!H$399,0,0,$R95+1,1))</f>
        <v>410</v>
      </c>
      <c r="L95" s="40">
        <f ca="1">SUM(T$36:T95)-SUM(OFFSET(载具产出!G$399,0,0,$R95+1,1))</f>
        <v>41915</v>
      </c>
      <c r="M95" s="40">
        <f ca="1">SUM(V$36:V95)/2-SUM(OFFSET(载具产出!I$399,0,0,$R95+1,1))</f>
        <v>108900</v>
      </c>
      <c r="N95" s="40">
        <f ca="1">SUM(AA$36:AA95)-SUM(OFFSET(载具产出!J$399,0,0,$R95+1,1))</f>
        <v>1541.6</v>
      </c>
      <c r="O95" s="40">
        <f ca="1">SUM(AB$36:AB95)-SUM(OFFSET(载具产出!K$399,0,0,$R95+1,1))</f>
        <v>1395.92</v>
      </c>
      <c r="P95" s="40">
        <f ca="1">SUM(AC$36:AC95)-SUM(OFFSET(载具产出!L$399,0,0,$R95+1,1))</f>
        <v>90.4800000000001</v>
      </c>
      <c r="Q95" s="40">
        <f ca="1">SUM(AD$36:AD95)-SUM(OFFSET(载具产出!M$399,0,0,$R95+1,1))</f>
        <v>0</v>
      </c>
      <c r="R95" s="40">
        <v>10</v>
      </c>
      <c r="S95" s="40" t="str">
        <f ca="1">OFFSET(载具产出!$D$111,IFERROR(MATCH(OFFSET($D95,0,MATCH($D$5,$E$6:$H$6,0)),载具产出!$E$112:$E$151,1),0),0)</f>
        <v>豪华Ⅳ</v>
      </c>
      <c r="T95" s="40">
        <f ca="1">OFFSET(载具产出!$F$399,IFERROR(MATCH(OFFSET($D95,0,MATCH($D$5,$E$6:$H$6,0)),载具产出!$E$400:$E$439,1),0),MATCH(T$6,载具产出!$G$399:$O$399,0))</f>
        <v>875</v>
      </c>
      <c r="U95" s="40">
        <v>7</v>
      </c>
      <c r="V95" s="40">
        <f ca="1">OFFSET(载具产出!$F$399,IFERROR(MATCH(OFFSET($D95,0,MATCH($D$5,$E$6:$H$6,0)),载具产出!$E$400:$E$439,1),0),MATCH(V$6,载具产出!$G$399:$O$399,0))</f>
        <v>5600</v>
      </c>
      <c r="W95" s="43">
        <f ca="1">_xlfn.XLOOKUP(Z95,载具属性!$E$98:$E$497,载具属性!$G$98:$G$497)+6000+OFFSET(载具属性!L$33,AS95,0)*载具属性!M$30+OFFSET(载具属性!M$33,AT95,0)*载具属性!N$30+OFFSET(载具属性!N$33,AU95,0)*载具属性!O$30+OFFSET(载具属性!O$33,AV95,0)*载具属性!P$30</f>
        <v>14565</v>
      </c>
      <c r="X95" s="43">
        <f ca="1">_xlfn.XLOOKUP(Z95,载具属性!$E$98:$E$497,载具属性!$G$98:$G$497)</f>
        <v>4830</v>
      </c>
      <c r="Y95" s="43">
        <f ca="1">OFFSET(载具属性!L$33,AS95,0)*载具属性!M$30+OFFSET(载具属性!M$33,AT95,0)*载具属性!N$30+OFFSET(载具属性!N$33,AU95,0)*载具属性!O$30+OFFSET(载具属性!O$33,AV95,0)*载具属性!P$30</f>
        <v>3735</v>
      </c>
      <c r="Z95" s="40">
        <f ca="1">MATCH(SUM($T$7:T95),载具属性!$I$98:$I$497,1)</f>
        <v>84</v>
      </c>
      <c r="AA95" s="40">
        <f ca="1">OFFSET(载具产出!$F$399,IFERROR(MATCH(OFFSET($D95,0,MATCH($D$5,$E$6:$H$6,0)),载具产出!$E$112:$E$151,1),0),MATCH(AA$6,载具产出!$G$111:$O$111,0))*2</f>
        <v>30</v>
      </c>
      <c r="AB95" s="40">
        <f ca="1">OFFSET(载具产出!$F$399,IFERROR(MATCH(OFFSET($D95,0,MATCH($D$5,$E$6:$H$6,0)),载具产出!$E$112:$E$151,1),0),MATCH(AB$6,载具产出!$G$111:$O$111,0))*2</f>
        <v>25.6</v>
      </c>
      <c r="AC95" s="40">
        <f ca="1">OFFSET(载具产出!$F$399,IFERROR(MATCH(OFFSET($D95,0,MATCH($D$5,$E$6:$H$6,0)),载具产出!$E$112:$E$151,1),0),MATCH(AC$6,载具产出!$G$111:$O$111,0))*2</f>
        <v>2.4</v>
      </c>
      <c r="AD95" s="40">
        <f ca="1">OFFSET(载具产出!$F$399,IFERROR(MATCH(OFFSET($D95,0,MATCH($D$5,$E$6:$H$6,0)),载具产出!$E$112:$E$151,1),0),MATCH(AD$6,载具产出!$G$111:$O$111,0))*2</f>
        <v>0</v>
      </c>
      <c r="AE95" s="44">
        <f ca="1">SUM(AA$36:AA95)/3</f>
        <v>562.8</v>
      </c>
      <c r="AF95" s="44">
        <f ca="1">SUM(AB$36:AB95)/3</f>
        <v>498.026666666666</v>
      </c>
      <c r="AG95" s="44">
        <f ca="1">SUM(AC$36:AC95)/3</f>
        <v>31.84</v>
      </c>
      <c r="AH95" s="44">
        <f ca="1">SUM(AD$36:AD95)/3</f>
        <v>0</v>
      </c>
      <c r="AI95" s="44">
        <f>_xlfn.XLOOKUP($D$5,载具产出!$D$71:$D$75,载具产出!$E$71:$E$75)*(D95-30+1)</f>
        <v>705.714285714288</v>
      </c>
      <c r="AJ95" s="44">
        <f>IFERROR(MATCH(_xlfn.XLOOKUP($D$5,载具产出!$D$71:$D$75,载具产出!$E$71:$E$75)*(D95-30+1)*10,载具产出!$E$60:$E$67,1),0)+1</f>
        <v>6</v>
      </c>
      <c r="AK95" s="44">
        <f ca="1">IF($AJ95=1,($AI95)*(10*OFFSET(载具产出!$D$45,MATCH(AK$6,$AK$6:$AN$6,0)-1,$AJ95)+OFFSET(载具产出!$D$49,MATCH(AK$6,$AK$6:$AN$6,0)-1,$AJ95)*OFFSET(载具产出!$N$49,MATCH(AK$6,$AK$6:$AN$6,0)-1,0)),OFFSET(载具产出!F$59,$AJ95-1,0)*10+OFFSET(载具产出!J$59,$AJ95-1,0)+($AI95*10-_xlfn.XLOOKUP($AJ95-1,载具产出!$D$59:$D$67,载具产出!$E$59:$E$67))/10*(10*OFFSET(载具产出!$D$45,MATCH(AK$6,$AK$6:$AN$6,0)-1,$AJ95)+OFFSET(载具产出!$D$49,MATCH(AK$6,$AK$6:$AN$6,0)-1,$AJ95)*OFFSET(载具产出!$N$49,MATCH(AK$6,$AK$6:$AN$6,0)-1,0)))</f>
        <v>1631.36142857143</v>
      </c>
      <c r="AL95" s="44">
        <f ca="1">IF($AJ95=1,($AI95)*(10*OFFSET(载具产出!$D$45,MATCH(AL$6,$AK$6:$AN$6,0)-1,$AJ95)+OFFSET(载具产出!$D$49,MATCH(AL$6,$AK$6:$AN$6,0)-1,$AJ95)*OFFSET(载具产出!$N$49,MATCH(AL$6,$AK$6:$AN$6,0)-1,0)),OFFSET(载具产出!G$59,$AJ95-1,0)*10+OFFSET(载具产出!K$59,$AJ95-1,0)+($AI95*10-_xlfn.XLOOKUP($AJ95-1,载具产出!$D$59:$D$67,载具产出!$E$59:$E$67))/10*(10*OFFSET(载具产出!$D$45,MATCH(AL$6,$AK$6:$AN$6,0)-1,$AJ95)+OFFSET(载具产出!$D$49,MATCH(AL$6,$AK$6:$AN$6,0)-1,$AJ95)*OFFSET(载具产出!$N$49,MATCH(AL$6,$AK$6:$AN$6,0)-1,0)))</f>
        <v>594.042857142859</v>
      </c>
      <c r="AM95" s="44">
        <f ca="1">IF($AJ95=1,($AI95)*(10*OFFSET(载具产出!$D$45,MATCH(AM$6,$AK$6:$AN$6,0)-1,$AJ95)+OFFSET(载具产出!$D$49,MATCH(AM$6,$AK$6:$AN$6,0)-1,$AJ95)*OFFSET(载具产出!$N$49,MATCH(AM$6,$AK$6:$AN$6,0)-1,0)),OFFSET(载具产出!H$59,$AJ95-1,0)*10+OFFSET(载具产出!L$59,$AJ95-1,0)+($AI95*10-_xlfn.XLOOKUP($AJ95-1,载具产出!$D$59:$D$67,载具产出!$E$59:$E$67))/10*(10*OFFSET(载具产出!$D$45,MATCH(AM$6,$AK$6:$AN$6,0)-1,$AJ95)+OFFSET(载具产出!$D$49,MATCH(AM$6,$AK$6:$AN$6,0)-1,$AJ95)*OFFSET(载具产出!$N$49,MATCH(AM$6,$AK$6:$AN$6,0)-1,0)))</f>
        <v>306.354285714287</v>
      </c>
      <c r="AN95" s="44">
        <f ca="1">IF($AJ95=1,($AI95)*(10*OFFSET(载具产出!$D$45,MATCH(AN$6,$AK$6:$AN$6,0)-1,$AJ95)+OFFSET(载具产出!$D$49,MATCH(AN$6,$AK$6:$AN$6,0)-1,$AJ95)*OFFSET(载具产出!$N$49,MATCH(AN$6,$AK$6:$AN$6,0)-1,0)),OFFSET(载具产出!I$59,$AJ95-1,0)*10+OFFSET(载具产出!M$59,$AJ95-1,0)+($AI95*10-_xlfn.XLOOKUP($AJ95-1,载具产出!$D$59:$D$67,载具产出!$E$59:$E$67))/10*(10*OFFSET(载具产出!$D$45,MATCH(AN$6,$AK$6:$AN$6,0)-1,$AJ95)+OFFSET(载具产出!$D$49,MATCH(AN$6,$AK$6:$AN$6,0)-1,$AJ95)*OFFSET(载具产出!$N$49,MATCH(AN$6,$AK$6:$AN$6,0)-1,0)))</f>
        <v>85.9428571428575</v>
      </c>
      <c r="AO95" s="44">
        <f ca="1" t="shared" si="3"/>
        <v>2194.16142857143</v>
      </c>
      <c r="AP95" s="44">
        <f ca="1" t="shared" si="4"/>
        <v>1092.06952380953</v>
      </c>
      <c r="AQ95" s="44">
        <f ca="1" t="shared" si="5"/>
        <v>338.194285714287</v>
      </c>
      <c r="AR95" s="44">
        <f ca="1" t="shared" si="6"/>
        <v>85.9428571428575</v>
      </c>
      <c r="AS95" s="45">
        <f ca="1">IFERROR(MATCH(AO95/载具产出!R$58,载具属性!$G$33:$G$92,1),0)</f>
        <v>23</v>
      </c>
      <c r="AT95" s="45">
        <f ca="1">IFERROR(MATCH(AP95/载具产出!S$58,载具属性!$G$33:$G$92,1),0)</f>
        <v>16</v>
      </c>
      <c r="AU95" s="45">
        <f ca="1">IFERROR(MATCH(AQ95/载具产出!T$58,载具属性!$G$33:$G$92,1),0)</f>
        <v>7</v>
      </c>
      <c r="AV95" s="45">
        <f ca="1">IFERROR(MATCH(AR95/载具产出!U$58,载具属性!$G$33:$G$92,1),0)</f>
        <v>1</v>
      </c>
      <c r="AW95" s="46" t="str">
        <f ca="1" t="shared" si="7"/>
        <v>[{62,410},{63,41915},{2,108900},{6030001,1541},{6030002,1395},{6030003,90}]</v>
      </c>
      <c r="AX95" t="str">
        <f ca="1" t="shared" si="8"/>
        <v>{62,410}</v>
      </c>
      <c r="AY95" t="str">
        <f ca="1" t="shared" si="9"/>
        <v>{63,41915}</v>
      </c>
      <c r="AZ95" t="str">
        <f ca="1" t="shared" si="10"/>
        <v>{2,108900}</v>
      </c>
      <c r="BA95" t="str">
        <f ca="1" t="shared" si="11"/>
        <v>{6030001,1541}</v>
      </c>
      <c r="BB95" t="str">
        <f ca="1" t="shared" si="12"/>
        <v>{6030002,1395}</v>
      </c>
      <c r="BC95" t="str">
        <f ca="1" t="shared" si="13"/>
        <v>{6030003,90}</v>
      </c>
      <c r="BD95" t="str">
        <f ca="1" t="shared" si="14"/>
        <v/>
      </c>
    </row>
    <row r="96" spans="3:56">
      <c r="C96">
        <f ca="1" t="shared" si="1"/>
        <v>110.488721804511</v>
      </c>
      <c r="D96" s="40">
        <v>90</v>
      </c>
      <c r="E96" s="40">
        <v>97</v>
      </c>
      <c r="F96" s="40">
        <v>115</v>
      </c>
      <c r="G96" s="41">
        <v>133</v>
      </c>
      <c r="H96" s="40">
        <f t="shared" si="18"/>
        <v>175</v>
      </c>
      <c r="I96" s="40">
        <f>I95+2</f>
        <v>206</v>
      </c>
      <c r="J96" s="40">
        <f t="shared" si="19"/>
        <v>182</v>
      </c>
      <c r="K96" s="40">
        <f ca="1">SUM(U$36:U96)-SUM(OFFSET(载具产出!H$399,0,0,$R96+1,1))</f>
        <v>417</v>
      </c>
      <c r="L96" s="40">
        <f ca="1">SUM(T$36:T96)-SUM(OFFSET(载具产出!G$399,0,0,$R96+1,1))</f>
        <v>42790</v>
      </c>
      <c r="M96" s="40">
        <f ca="1">SUM(V$36:V96)/2-SUM(OFFSET(载具产出!I$399,0,0,$R96+1,1))</f>
        <v>111700</v>
      </c>
      <c r="N96" s="40">
        <f ca="1">SUM(AA$36:AA96)-SUM(OFFSET(载具产出!J$399,0,0,$R96+1,1))</f>
        <v>1571.6</v>
      </c>
      <c r="O96" s="40">
        <f ca="1">SUM(AB$36:AB96)-SUM(OFFSET(载具产出!K$399,0,0,$R96+1,1))</f>
        <v>1421.52</v>
      </c>
      <c r="P96" s="40">
        <f ca="1">SUM(AC$36:AC96)-SUM(OFFSET(载具产出!L$399,0,0,$R96+1,1))</f>
        <v>92.8800000000001</v>
      </c>
      <c r="Q96" s="40">
        <f ca="1">SUM(AD$36:AD96)-SUM(OFFSET(载具产出!M$399,0,0,$R96+1,1))</f>
        <v>0</v>
      </c>
      <c r="R96" s="40">
        <v>10</v>
      </c>
      <c r="S96" s="40" t="str">
        <f ca="1">OFFSET(载具产出!$D$111,IFERROR(MATCH(OFFSET($D96,0,MATCH($D$5,$E$6:$H$6,0)),载具产出!$E$112:$E$151,1),0),0)</f>
        <v>豪华Ⅳ</v>
      </c>
      <c r="T96" s="40">
        <f ca="1">OFFSET(载具产出!$F$399,IFERROR(MATCH(OFFSET($D96,0,MATCH($D$5,$E$6:$H$6,0)),载具产出!$E$400:$E$439,1),0),MATCH(T$6,载具产出!$G$399:$O$399,0))</f>
        <v>875</v>
      </c>
      <c r="U96" s="40">
        <v>7</v>
      </c>
      <c r="V96" s="40">
        <f ca="1">OFFSET(载具产出!$F$399,IFERROR(MATCH(OFFSET($D96,0,MATCH($D$5,$E$6:$H$6,0)),载具产出!$E$400:$E$439,1),0),MATCH(V$6,载具产出!$G$399:$O$399,0))</f>
        <v>5600</v>
      </c>
      <c r="W96" s="43">
        <f ca="1">_xlfn.XLOOKUP(Z96,载具属性!$E$98:$E$497,载具属性!$G$98:$G$497)+6000+OFFSET(载具属性!L$33,AS96,0)*载具属性!M$30+OFFSET(载具属性!M$33,AT96,0)*载具属性!N$30+OFFSET(载具属性!N$33,AU96,0)*载具属性!O$30+OFFSET(载具属性!O$33,AV96,0)*载具属性!P$30</f>
        <v>14695</v>
      </c>
      <c r="X96" s="43">
        <f ca="1">_xlfn.XLOOKUP(Z96,载具属性!$E$98:$E$497,载具属性!$G$98:$G$497)</f>
        <v>4900</v>
      </c>
      <c r="Y96" s="43">
        <f ca="1">OFFSET(载具属性!L$33,AS96,0)*载具属性!M$30+OFFSET(载具属性!M$33,AT96,0)*载具属性!N$30+OFFSET(载具属性!N$33,AU96,0)*载具属性!O$30+OFFSET(载具属性!O$33,AV96,0)*载具属性!P$30</f>
        <v>3795</v>
      </c>
      <c r="Z96" s="40">
        <f ca="1">MATCH(SUM($T$7:T96),载具属性!$I$98:$I$497,1)</f>
        <v>85</v>
      </c>
      <c r="AA96" s="40">
        <f ca="1">OFFSET(载具产出!$F$399,IFERROR(MATCH(OFFSET($D96,0,MATCH($D$5,$E$6:$H$6,0)),载具产出!$E$112:$E$151,1),0),MATCH(AA$6,载具产出!$G$111:$O$111,0))*2</f>
        <v>30</v>
      </c>
      <c r="AB96" s="40">
        <f ca="1">OFFSET(载具产出!$F$399,IFERROR(MATCH(OFFSET($D96,0,MATCH($D$5,$E$6:$H$6,0)),载具产出!$E$112:$E$151,1),0),MATCH(AB$6,载具产出!$G$111:$O$111,0))*2</f>
        <v>25.6</v>
      </c>
      <c r="AC96" s="40">
        <f ca="1">OFFSET(载具产出!$F$399,IFERROR(MATCH(OFFSET($D96,0,MATCH($D$5,$E$6:$H$6,0)),载具产出!$E$112:$E$151,1),0),MATCH(AC$6,载具产出!$G$111:$O$111,0))*2</f>
        <v>2.4</v>
      </c>
      <c r="AD96" s="40">
        <f ca="1">OFFSET(载具产出!$F$399,IFERROR(MATCH(OFFSET($D96,0,MATCH($D$5,$E$6:$H$6,0)),载具产出!$E$112:$E$151,1),0),MATCH(AD$6,载具产出!$G$111:$O$111,0))*2</f>
        <v>0</v>
      </c>
      <c r="AE96" s="44">
        <f ca="1">SUM(AA$36:AA96)/3</f>
        <v>572.8</v>
      </c>
      <c r="AF96" s="44">
        <f ca="1">SUM(AB$36:AB96)/3</f>
        <v>506.559999999999</v>
      </c>
      <c r="AG96" s="44">
        <f ca="1">SUM(AC$36:AC96)/3</f>
        <v>32.64</v>
      </c>
      <c r="AH96" s="44">
        <f ca="1">SUM(AD$36:AD96)/3</f>
        <v>0</v>
      </c>
      <c r="AI96" s="44">
        <f>_xlfn.XLOOKUP($D$5,载具产出!$D$71:$D$75,载具产出!$E$71:$E$75)*(D96-30+1)</f>
        <v>717.476190476193</v>
      </c>
      <c r="AJ96" s="44">
        <f>IFERROR(MATCH(_xlfn.XLOOKUP($D$5,载具产出!$D$71:$D$75,载具产出!$E$71:$E$75)*(D96-30+1)*10,载具产出!$E$60:$E$67,1),0)+1</f>
        <v>6</v>
      </c>
      <c r="AK96" s="44">
        <f ca="1">IF($AJ96=1,($AI96)*(10*OFFSET(载具产出!$D$45,MATCH(AK$6,$AK$6:$AN$6,0)-1,$AJ96)+OFFSET(载具产出!$D$49,MATCH(AK$6,$AK$6:$AN$6,0)-1,$AJ96)*OFFSET(载具产出!$N$49,MATCH(AK$6,$AK$6:$AN$6,0)-1,0)),OFFSET(载具产出!F$59,$AJ96-1,0)*10+OFFSET(载具产出!J$59,$AJ96-1,0)+($AI96*10-_xlfn.XLOOKUP($AJ96-1,载具产出!$D$59:$D$67,载具产出!$E$59:$E$67))/10*(10*OFFSET(载具产出!$D$45,MATCH(AK$6,$AK$6:$AN$6,0)-1,$AJ96)+OFFSET(载具产出!$D$49,MATCH(AK$6,$AK$6:$AN$6,0)-1,$AJ96)*OFFSET(载具产出!$N$49,MATCH(AK$6,$AK$6:$AN$6,0)-1,0)))</f>
        <v>1656.90828571429</v>
      </c>
      <c r="AL96" s="44">
        <f ca="1">IF($AJ96=1,($AI96)*(10*OFFSET(载具产出!$D$45,MATCH(AL$6,$AK$6:$AN$6,0)-1,$AJ96)+OFFSET(载具产出!$D$49,MATCH(AL$6,$AK$6:$AN$6,0)-1,$AJ96)*OFFSET(载具产出!$N$49,MATCH(AL$6,$AK$6:$AN$6,0)-1,0)),OFFSET(载具产出!G$59,$AJ96-1,0)*10+OFFSET(载具产出!K$59,$AJ96-1,0)+($AI96*10-_xlfn.XLOOKUP($AJ96-1,载具产出!$D$59:$D$67,载具产出!$E$59:$E$67))/10*(10*OFFSET(载具产出!$D$45,MATCH(AL$6,$AK$6:$AN$6,0)-1,$AJ96)+OFFSET(载具产出!$D$49,MATCH(AL$6,$AK$6:$AN$6,0)-1,$AJ96)*OFFSET(载具产出!$N$49,MATCH(AL$6,$AK$6:$AN$6,0)-1,0)))</f>
        <v>604.628571428574</v>
      </c>
      <c r="AM96" s="44">
        <f ca="1">IF($AJ96=1,($AI96)*(10*OFFSET(载具产出!$D$45,MATCH(AM$6,$AK$6:$AN$6,0)-1,$AJ96)+OFFSET(载具产出!$D$49,MATCH(AM$6,$AK$6:$AN$6,0)-1,$AJ96)*OFFSET(载具产出!$N$49,MATCH(AM$6,$AK$6:$AN$6,0)-1,0)),OFFSET(载具产出!H$59,$AJ96-1,0)*10+OFFSET(载具产出!L$59,$AJ96-1,0)+($AI96*10-_xlfn.XLOOKUP($AJ96-1,载具产出!$D$59:$D$67,载具产出!$E$59:$E$67))/10*(10*OFFSET(载具产出!$D$45,MATCH(AM$6,$AK$6:$AN$6,0)-1,$AJ96)+OFFSET(载具产出!$D$49,MATCH(AM$6,$AK$6:$AN$6,0)-1,$AJ96)*OFFSET(载具产出!$N$49,MATCH(AM$6,$AK$6:$AN$6,0)-1,0)))</f>
        <v>312.188190476192</v>
      </c>
      <c r="AN96" s="44">
        <f ca="1">IF($AJ96=1,($AI96)*(10*OFFSET(载具产出!$D$45,MATCH(AN$6,$AK$6:$AN$6,0)-1,$AJ96)+OFFSET(载具产出!$D$49,MATCH(AN$6,$AK$6:$AN$6,0)-1,$AJ96)*OFFSET(载具产出!$N$49,MATCH(AN$6,$AK$6:$AN$6,0)-1,0)),OFFSET(载具产出!I$59,$AJ96-1,0)*10+OFFSET(载具产出!M$59,$AJ96-1,0)+($AI96*10-_xlfn.XLOOKUP($AJ96-1,载具产出!$D$59:$D$67,载具产出!$E$59:$E$67))/10*(10*OFFSET(载具产出!$D$45,MATCH(AN$6,$AK$6:$AN$6,0)-1,$AJ96)+OFFSET(载具产出!$D$49,MATCH(AN$6,$AK$6:$AN$6,0)-1,$AJ96)*OFFSET(载具产出!$N$49,MATCH(AN$6,$AK$6:$AN$6,0)-1,0)))</f>
        <v>87.8012380952385</v>
      </c>
      <c r="AO96" s="44">
        <f ca="1" t="shared" si="3"/>
        <v>2229.70828571429</v>
      </c>
      <c r="AP96" s="44">
        <f ca="1" t="shared" si="4"/>
        <v>1111.18857142857</v>
      </c>
      <c r="AQ96" s="44">
        <f ca="1" t="shared" si="5"/>
        <v>344.828190476192</v>
      </c>
      <c r="AR96" s="44">
        <f ca="1" t="shared" si="6"/>
        <v>87.8012380952385</v>
      </c>
      <c r="AS96" s="45">
        <f ca="1">IFERROR(MATCH(AO96/载具产出!R$58,载具属性!$G$33:$G$92,1),0)</f>
        <v>24</v>
      </c>
      <c r="AT96" s="45">
        <f ca="1">IFERROR(MATCH(AP96/载具产出!S$58,载具属性!$G$33:$G$92,1),0)</f>
        <v>16</v>
      </c>
      <c r="AU96" s="45">
        <f ca="1">IFERROR(MATCH(AQ96/载具产出!T$58,载具属性!$G$33:$G$92,1),0)</f>
        <v>7</v>
      </c>
      <c r="AV96" s="45">
        <f ca="1">IFERROR(MATCH(AR96/载具产出!U$58,载具属性!$G$33:$G$92,1),0)</f>
        <v>1</v>
      </c>
      <c r="AW96" s="46" t="str">
        <f ca="1" t="shared" si="7"/>
        <v>[{62,417},{63,42790},{2,111700},{6030001,1571},{6030002,1421},{6030003,92}]</v>
      </c>
      <c r="AX96" t="str">
        <f ca="1" t="shared" si="8"/>
        <v>{62,417}</v>
      </c>
      <c r="AY96" t="str">
        <f ca="1" t="shared" si="9"/>
        <v>{63,42790}</v>
      </c>
      <c r="AZ96" t="str">
        <f ca="1" t="shared" si="10"/>
        <v>{2,111700}</v>
      </c>
      <c r="BA96" t="str">
        <f ca="1" t="shared" si="11"/>
        <v>{6030001,1571}</v>
      </c>
      <c r="BB96" t="str">
        <f ca="1" t="shared" si="12"/>
        <v>{6030002,1421}</v>
      </c>
      <c r="BC96" t="str">
        <f ca="1" t="shared" si="13"/>
        <v>{6030003,92}</v>
      </c>
      <c r="BD96" t="str">
        <f ca="1" t="shared" si="14"/>
        <v/>
      </c>
    </row>
    <row r="97" spans="3:56">
      <c r="C97">
        <f ca="1" t="shared" si="1"/>
        <v>110.488721804511</v>
      </c>
      <c r="D97" s="40">
        <v>91</v>
      </c>
      <c r="E97" s="40">
        <v>98</v>
      </c>
      <c r="F97" s="40">
        <v>115</v>
      </c>
      <c r="G97" s="41">
        <v>133</v>
      </c>
      <c r="H97" s="40">
        <f t="shared" si="18"/>
        <v>176</v>
      </c>
      <c r="I97" s="40">
        <f>I96+2</f>
        <v>208</v>
      </c>
      <c r="J97" s="40">
        <f t="shared" si="19"/>
        <v>184</v>
      </c>
      <c r="K97" s="40">
        <f ca="1">SUM(U$36:U97)-SUM(OFFSET(载具产出!H$399,0,0,$R97+1,1))</f>
        <v>424</v>
      </c>
      <c r="L97" s="40">
        <f ca="1">SUM(T$36:T97)-SUM(OFFSET(载具产出!G$399,0,0,$R97+1,1))</f>
        <v>43665</v>
      </c>
      <c r="M97" s="40">
        <f ca="1">SUM(V$36:V97)/2-SUM(OFFSET(载具产出!I$399,0,0,$R97+1,1))</f>
        <v>114500</v>
      </c>
      <c r="N97" s="40">
        <f ca="1">SUM(AA$36:AA97)-SUM(OFFSET(载具产出!J$399,0,0,$R97+1,1))</f>
        <v>1601.6</v>
      </c>
      <c r="O97" s="40">
        <f ca="1">SUM(AB$36:AB97)-SUM(OFFSET(载具产出!K$399,0,0,$R97+1,1))</f>
        <v>1447.12</v>
      </c>
      <c r="P97" s="40">
        <f ca="1">SUM(AC$36:AC97)-SUM(OFFSET(载具产出!L$399,0,0,$R97+1,1))</f>
        <v>95.2800000000001</v>
      </c>
      <c r="Q97" s="40">
        <f ca="1">SUM(AD$36:AD97)-SUM(OFFSET(载具产出!M$399,0,0,$R97+1,1))</f>
        <v>0</v>
      </c>
      <c r="R97" s="40">
        <v>10</v>
      </c>
      <c r="S97" s="40" t="str">
        <f ca="1">OFFSET(载具产出!$D$111,IFERROR(MATCH(OFFSET($D97,0,MATCH($D$5,$E$6:$H$6,0)),载具产出!$E$112:$E$151,1),0),0)</f>
        <v>豪华Ⅳ</v>
      </c>
      <c r="T97" s="40">
        <f ca="1">OFFSET(载具产出!$F$399,IFERROR(MATCH(OFFSET($D97,0,MATCH($D$5,$E$6:$H$6,0)),载具产出!$E$400:$E$439,1),0),MATCH(T$6,载具产出!$G$399:$O$399,0))</f>
        <v>875</v>
      </c>
      <c r="U97" s="40">
        <v>7</v>
      </c>
      <c r="V97" s="40">
        <f ca="1">OFFSET(载具产出!$F$399,IFERROR(MATCH(OFFSET($D97,0,MATCH($D$5,$E$6:$H$6,0)),载具产出!$E$400:$E$439,1),0),MATCH(V$6,载具产出!$G$399:$O$399,0))</f>
        <v>5600</v>
      </c>
      <c r="W97" s="43">
        <f ca="1">_xlfn.XLOOKUP(Z97,载具属性!$E$98:$E$497,载具属性!$G$98:$G$497)+6000+OFFSET(载具属性!L$33,AS97,0)*载具属性!M$30+OFFSET(载具属性!M$33,AT97,0)*载具属性!N$30+OFFSET(载具属性!N$33,AU97,0)*载具属性!O$30+OFFSET(载具属性!O$33,AV97,0)*载具属性!P$30</f>
        <v>14695</v>
      </c>
      <c r="X97" s="43">
        <f ca="1">_xlfn.XLOOKUP(Z97,载具属性!$E$98:$E$497,载具属性!$G$98:$G$497)</f>
        <v>4900</v>
      </c>
      <c r="Y97" s="43">
        <f ca="1">OFFSET(载具属性!L$33,AS97,0)*载具属性!M$30+OFFSET(载具属性!M$33,AT97,0)*载具属性!N$30+OFFSET(载具属性!N$33,AU97,0)*载具属性!O$30+OFFSET(载具属性!O$33,AV97,0)*载具属性!P$30</f>
        <v>3795</v>
      </c>
      <c r="Z97" s="40">
        <f ca="1">MATCH(SUM($T$7:T97),载具属性!$I$98:$I$497,1)</f>
        <v>85</v>
      </c>
      <c r="AA97" s="40">
        <f ca="1">OFFSET(载具产出!$F$399,IFERROR(MATCH(OFFSET($D97,0,MATCH($D$5,$E$6:$H$6,0)),载具产出!$E$112:$E$151,1),0),MATCH(AA$6,载具产出!$G$111:$O$111,0))*2</f>
        <v>30</v>
      </c>
      <c r="AB97" s="40">
        <f ca="1">OFFSET(载具产出!$F$399,IFERROR(MATCH(OFFSET($D97,0,MATCH($D$5,$E$6:$H$6,0)),载具产出!$E$112:$E$151,1),0),MATCH(AB$6,载具产出!$G$111:$O$111,0))*2</f>
        <v>25.6</v>
      </c>
      <c r="AC97" s="40">
        <f ca="1">OFFSET(载具产出!$F$399,IFERROR(MATCH(OFFSET($D97,0,MATCH($D$5,$E$6:$H$6,0)),载具产出!$E$112:$E$151,1),0),MATCH(AC$6,载具产出!$G$111:$O$111,0))*2</f>
        <v>2.4</v>
      </c>
      <c r="AD97" s="40">
        <f ca="1">OFFSET(载具产出!$F$399,IFERROR(MATCH(OFFSET($D97,0,MATCH($D$5,$E$6:$H$6,0)),载具产出!$E$112:$E$151,1),0),MATCH(AD$6,载具产出!$G$111:$O$111,0))*2</f>
        <v>0</v>
      </c>
      <c r="AE97" s="44">
        <f ca="1">SUM(AA$36:AA97)/3</f>
        <v>582.8</v>
      </c>
      <c r="AF97" s="44">
        <f ca="1">SUM(AB$36:AB97)/3</f>
        <v>515.093333333333</v>
      </c>
      <c r="AG97" s="44">
        <f ca="1">SUM(AC$36:AC97)/3</f>
        <v>33.44</v>
      </c>
      <c r="AH97" s="44">
        <f ca="1">SUM(AD$36:AD97)/3</f>
        <v>0</v>
      </c>
      <c r="AI97" s="44">
        <f>_xlfn.XLOOKUP($D$5,载具产出!$D$71:$D$75,载具产出!$E$71:$E$75)*(D97-30+1)</f>
        <v>729.238095238098</v>
      </c>
      <c r="AJ97" s="44">
        <f>IFERROR(MATCH(_xlfn.XLOOKUP($D$5,载具产出!$D$71:$D$75,载具产出!$E$71:$E$75)*(D97-30+1)*10,载具产出!$E$60:$E$67,1),0)+1</f>
        <v>6</v>
      </c>
      <c r="AK97" s="44">
        <f ca="1">IF($AJ97=1,($AI97)*(10*OFFSET(载具产出!$D$45,MATCH(AK$6,$AK$6:$AN$6,0)-1,$AJ97)+OFFSET(载具产出!$D$49,MATCH(AK$6,$AK$6:$AN$6,0)-1,$AJ97)*OFFSET(载具产出!$N$49,MATCH(AK$6,$AK$6:$AN$6,0)-1,0)),OFFSET(载具产出!F$59,$AJ97-1,0)*10+OFFSET(载具产出!J$59,$AJ97-1,0)+($AI97*10-_xlfn.XLOOKUP($AJ97-1,载具产出!$D$59:$D$67,载具产出!$E$59:$E$67))/10*(10*OFFSET(载具产出!$D$45,MATCH(AK$6,$AK$6:$AN$6,0)-1,$AJ97)+OFFSET(载具产出!$D$49,MATCH(AK$6,$AK$6:$AN$6,0)-1,$AJ97)*OFFSET(载具产出!$N$49,MATCH(AK$6,$AK$6:$AN$6,0)-1,0)))</f>
        <v>1682.45514285715</v>
      </c>
      <c r="AL97" s="44">
        <f ca="1">IF($AJ97=1,($AI97)*(10*OFFSET(载具产出!$D$45,MATCH(AL$6,$AK$6:$AN$6,0)-1,$AJ97)+OFFSET(载具产出!$D$49,MATCH(AL$6,$AK$6:$AN$6,0)-1,$AJ97)*OFFSET(载具产出!$N$49,MATCH(AL$6,$AK$6:$AN$6,0)-1,0)),OFFSET(载具产出!G$59,$AJ97-1,0)*10+OFFSET(载具产出!K$59,$AJ97-1,0)+($AI97*10-_xlfn.XLOOKUP($AJ97-1,载具产出!$D$59:$D$67,载具产出!$E$59:$E$67))/10*(10*OFFSET(载具产出!$D$45,MATCH(AL$6,$AK$6:$AN$6,0)-1,$AJ97)+OFFSET(载具产出!$D$49,MATCH(AL$6,$AK$6:$AN$6,0)-1,$AJ97)*OFFSET(载具产出!$N$49,MATCH(AL$6,$AK$6:$AN$6,0)-1,0)))</f>
        <v>615.214285714288</v>
      </c>
      <c r="AM97" s="44">
        <f ca="1">IF($AJ97=1,($AI97)*(10*OFFSET(载具产出!$D$45,MATCH(AM$6,$AK$6:$AN$6,0)-1,$AJ97)+OFFSET(载具产出!$D$49,MATCH(AM$6,$AK$6:$AN$6,0)-1,$AJ97)*OFFSET(载具产出!$N$49,MATCH(AM$6,$AK$6:$AN$6,0)-1,0)),OFFSET(载具产出!H$59,$AJ97-1,0)*10+OFFSET(载具产出!L$59,$AJ97-1,0)+($AI97*10-_xlfn.XLOOKUP($AJ97-1,载具产出!$D$59:$D$67,载具产出!$E$59:$E$67))/10*(10*OFFSET(载具产出!$D$45,MATCH(AM$6,$AK$6:$AN$6,0)-1,$AJ97)+OFFSET(载具产出!$D$49,MATCH(AM$6,$AK$6:$AN$6,0)-1,$AJ97)*OFFSET(载具产出!$N$49,MATCH(AM$6,$AK$6:$AN$6,0)-1,0)))</f>
        <v>318.022095238097</v>
      </c>
      <c r="AN97" s="44">
        <f ca="1">IF($AJ97=1,($AI97)*(10*OFFSET(载具产出!$D$45,MATCH(AN$6,$AK$6:$AN$6,0)-1,$AJ97)+OFFSET(载具产出!$D$49,MATCH(AN$6,$AK$6:$AN$6,0)-1,$AJ97)*OFFSET(载具产出!$N$49,MATCH(AN$6,$AK$6:$AN$6,0)-1,0)),OFFSET(载具产出!I$59,$AJ97-1,0)*10+OFFSET(载具产出!M$59,$AJ97-1,0)+($AI97*10-_xlfn.XLOOKUP($AJ97-1,载具产出!$D$59:$D$67,载具产出!$E$59:$E$67))/10*(10*OFFSET(载具产出!$D$45,MATCH(AN$6,$AK$6:$AN$6,0)-1,$AJ97)+OFFSET(载具产出!$D$49,MATCH(AN$6,$AK$6:$AN$6,0)-1,$AJ97)*OFFSET(载具产出!$N$49,MATCH(AN$6,$AK$6:$AN$6,0)-1,0)))</f>
        <v>89.6596190476195</v>
      </c>
      <c r="AO97" s="44">
        <f ca="1" t="shared" si="3"/>
        <v>2265.25514285715</v>
      </c>
      <c r="AP97" s="44">
        <f ca="1" t="shared" si="4"/>
        <v>1130.30761904762</v>
      </c>
      <c r="AQ97" s="44">
        <f ca="1" t="shared" si="5"/>
        <v>351.462095238097</v>
      </c>
      <c r="AR97" s="44">
        <f ca="1" t="shared" si="6"/>
        <v>89.6596190476195</v>
      </c>
      <c r="AS97" s="45">
        <f ca="1">IFERROR(MATCH(AO97/载具产出!R$58,载具属性!$G$33:$G$92,1),0)</f>
        <v>24</v>
      </c>
      <c r="AT97" s="45">
        <f ca="1">IFERROR(MATCH(AP97/载具产出!S$58,载具属性!$G$33:$G$92,1),0)</f>
        <v>16</v>
      </c>
      <c r="AU97" s="45">
        <f ca="1">IFERROR(MATCH(AQ97/载具产出!T$58,载具属性!$G$33:$G$92,1),0)</f>
        <v>7</v>
      </c>
      <c r="AV97" s="45">
        <f ca="1">IFERROR(MATCH(AR97/载具产出!U$58,载具属性!$G$33:$G$92,1),0)</f>
        <v>1</v>
      </c>
      <c r="AW97" s="46" t="str">
        <f ca="1" t="shared" si="7"/>
        <v>[{62,424},{63,43665},{2,114500},{6030001,1601},{6030002,1447},{6030003,95}]</v>
      </c>
      <c r="AX97" t="str">
        <f ca="1" t="shared" si="8"/>
        <v>{62,424}</v>
      </c>
      <c r="AY97" t="str">
        <f ca="1" t="shared" si="9"/>
        <v>{63,43665}</v>
      </c>
      <c r="AZ97" t="str">
        <f ca="1" t="shared" si="10"/>
        <v>{2,114500}</v>
      </c>
      <c r="BA97" t="str">
        <f ca="1" t="shared" si="11"/>
        <v>{6030001,1601}</v>
      </c>
      <c r="BB97" t="str">
        <f ca="1" t="shared" si="12"/>
        <v>{6030002,1447}</v>
      </c>
      <c r="BC97" t="str">
        <f ca="1" t="shared" si="13"/>
        <v>{6030003,95}</v>
      </c>
      <c r="BD97" t="str">
        <f ca="1" t="shared" si="14"/>
        <v/>
      </c>
    </row>
    <row r="98" spans="3:56">
      <c r="C98">
        <f ca="1" t="shared" si="1"/>
        <v>110.186567164179</v>
      </c>
      <c r="D98" s="40">
        <v>92</v>
      </c>
      <c r="E98" s="40">
        <v>98</v>
      </c>
      <c r="F98" s="40">
        <v>116</v>
      </c>
      <c r="G98" s="41">
        <v>134</v>
      </c>
      <c r="H98" s="40">
        <f t="shared" si="18"/>
        <v>177</v>
      </c>
      <c r="I98" s="40">
        <f t="shared" ref="I98:I161" si="20">I97+2</f>
        <v>210</v>
      </c>
      <c r="J98" s="40">
        <f t="shared" si="19"/>
        <v>185</v>
      </c>
      <c r="K98" s="40">
        <f ca="1">SUM(U$36:U98)-SUM(OFFSET(载具产出!H$399,0,0,$R98+1,1))</f>
        <v>431</v>
      </c>
      <c r="L98" s="40">
        <f ca="1">SUM(T$36:T98)-SUM(OFFSET(载具产出!G$399,0,0,$R98+1,1))</f>
        <v>44540</v>
      </c>
      <c r="M98" s="40">
        <f ca="1">SUM(V$36:V98)/2-SUM(OFFSET(载具产出!I$399,0,0,$R98+1,1))</f>
        <v>117300</v>
      </c>
      <c r="N98" s="40">
        <f ca="1">SUM(AA$36:AA98)-SUM(OFFSET(载具产出!J$399,0,0,$R98+1,1))</f>
        <v>1631.6</v>
      </c>
      <c r="O98" s="40">
        <f ca="1">SUM(AB$36:AB98)-SUM(OFFSET(载具产出!K$399,0,0,$R98+1,1))</f>
        <v>1472.72</v>
      </c>
      <c r="P98" s="40">
        <f ca="1">SUM(AC$36:AC98)-SUM(OFFSET(载具产出!L$399,0,0,$R98+1,1))</f>
        <v>97.6800000000001</v>
      </c>
      <c r="Q98" s="40">
        <f ca="1">SUM(AD$36:AD98)-SUM(OFFSET(载具产出!M$399,0,0,$R98+1,1))</f>
        <v>0</v>
      </c>
      <c r="R98" s="40">
        <v>10</v>
      </c>
      <c r="S98" s="40" t="str">
        <f ca="1">OFFSET(载具产出!$D$111,IFERROR(MATCH(OFFSET($D98,0,MATCH($D$5,$E$6:$H$6,0)),载具产出!$E$112:$E$151,1),0),0)</f>
        <v>豪华Ⅳ</v>
      </c>
      <c r="T98" s="40">
        <f ca="1">OFFSET(载具产出!$F$399,IFERROR(MATCH(OFFSET($D98,0,MATCH($D$5,$E$6:$H$6,0)),载具产出!$E$400:$E$439,1),0),MATCH(T$6,载具产出!$G$399:$O$399,0))</f>
        <v>875</v>
      </c>
      <c r="U98" s="40">
        <v>7</v>
      </c>
      <c r="V98" s="40">
        <f ca="1">OFFSET(载具产出!$F$399,IFERROR(MATCH(OFFSET($D98,0,MATCH($D$5,$E$6:$H$6,0)),载具产出!$E$400:$E$439,1),0),MATCH(V$6,载具产出!$G$399:$O$399,0))</f>
        <v>5600</v>
      </c>
      <c r="W98" s="43">
        <f ca="1">_xlfn.XLOOKUP(Z98,载具属性!$E$98:$E$497,载具属性!$G$98:$G$497)+6000+OFFSET(载具属性!L$33,AS98,0)*载具属性!M$30+OFFSET(载具属性!M$33,AT98,0)*载具属性!N$30+OFFSET(载具属性!N$33,AU98,0)*载具属性!O$30+OFFSET(载具属性!O$33,AV98,0)*载具属性!P$30</f>
        <v>14765</v>
      </c>
      <c r="X98" s="43">
        <f ca="1">_xlfn.XLOOKUP(Z98,载具属性!$E$98:$E$497,载具属性!$G$98:$G$497)</f>
        <v>4970</v>
      </c>
      <c r="Y98" s="43">
        <f ca="1">OFFSET(载具属性!L$33,AS98,0)*载具属性!M$30+OFFSET(载具属性!M$33,AT98,0)*载具属性!N$30+OFFSET(载具属性!N$33,AU98,0)*载具属性!O$30+OFFSET(载具属性!O$33,AV98,0)*载具属性!P$30</f>
        <v>3795</v>
      </c>
      <c r="Z98" s="40">
        <f ca="1">MATCH(SUM($T$7:T98),载具属性!$I$98:$I$497,1)</f>
        <v>86</v>
      </c>
      <c r="AA98" s="40">
        <f ca="1">OFFSET(载具产出!$F$399,IFERROR(MATCH(OFFSET($D98,0,MATCH($D$5,$E$6:$H$6,0)),载具产出!$E$112:$E$151,1),0),MATCH(AA$6,载具产出!$G$111:$O$111,0))*2</f>
        <v>30</v>
      </c>
      <c r="AB98" s="40">
        <f ca="1">OFFSET(载具产出!$F$399,IFERROR(MATCH(OFFSET($D98,0,MATCH($D$5,$E$6:$H$6,0)),载具产出!$E$112:$E$151,1),0),MATCH(AB$6,载具产出!$G$111:$O$111,0))*2</f>
        <v>25.6</v>
      </c>
      <c r="AC98" s="40">
        <f ca="1">OFFSET(载具产出!$F$399,IFERROR(MATCH(OFFSET($D98,0,MATCH($D$5,$E$6:$H$6,0)),载具产出!$E$112:$E$151,1),0),MATCH(AC$6,载具产出!$G$111:$O$111,0))*2</f>
        <v>2.4</v>
      </c>
      <c r="AD98" s="40">
        <f ca="1">OFFSET(载具产出!$F$399,IFERROR(MATCH(OFFSET($D98,0,MATCH($D$5,$E$6:$H$6,0)),载具产出!$E$112:$E$151,1),0),MATCH(AD$6,载具产出!$G$111:$O$111,0))*2</f>
        <v>0</v>
      </c>
      <c r="AE98" s="44">
        <f ca="1">SUM(AA$36:AA98)/3</f>
        <v>592.8</v>
      </c>
      <c r="AF98" s="44">
        <f ca="1">SUM(AB$36:AB98)/3</f>
        <v>523.626666666666</v>
      </c>
      <c r="AG98" s="44">
        <f ca="1">SUM(AC$36:AC98)/3</f>
        <v>34.24</v>
      </c>
      <c r="AH98" s="44">
        <f ca="1">SUM(AD$36:AD98)/3</f>
        <v>0</v>
      </c>
      <c r="AI98" s="44">
        <f>_xlfn.XLOOKUP($D$5,载具产出!$D$71:$D$75,载具产出!$E$71:$E$75)*(D98-30+1)</f>
        <v>741.000000000002</v>
      </c>
      <c r="AJ98" s="44">
        <f>IFERROR(MATCH(_xlfn.XLOOKUP($D$5,载具产出!$D$71:$D$75,载具产出!$E$71:$E$75)*(D98-30+1)*10,载具产出!$E$60:$E$67,1),0)+1</f>
        <v>6</v>
      </c>
      <c r="AK98" s="44">
        <f ca="1">IF($AJ98=1,($AI98)*(10*OFFSET(载具产出!$D$45,MATCH(AK$6,$AK$6:$AN$6,0)-1,$AJ98)+OFFSET(载具产出!$D$49,MATCH(AK$6,$AK$6:$AN$6,0)-1,$AJ98)*OFFSET(载具产出!$N$49,MATCH(AK$6,$AK$6:$AN$6,0)-1,0)),OFFSET(载具产出!F$59,$AJ98-1,0)*10+OFFSET(载具产出!J$59,$AJ98-1,0)+($AI98*10-_xlfn.XLOOKUP($AJ98-1,载具产出!$D$59:$D$67,载具产出!$E$59:$E$67))/10*(10*OFFSET(载具产出!$D$45,MATCH(AK$6,$AK$6:$AN$6,0)-1,$AJ98)+OFFSET(载具产出!$D$49,MATCH(AK$6,$AK$6:$AN$6,0)-1,$AJ98)*OFFSET(载具产出!$N$49,MATCH(AK$6,$AK$6:$AN$6,0)-1,0)))</f>
        <v>1708.002</v>
      </c>
      <c r="AL98" s="44">
        <f ca="1">IF($AJ98=1,($AI98)*(10*OFFSET(载具产出!$D$45,MATCH(AL$6,$AK$6:$AN$6,0)-1,$AJ98)+OFFSET(载具产出!$D$49,MATCH(AL$6,$AK$6:$AN$6,0)-1,$AJ98)*OFFSET(载具产出!$N$49,MATCH(AL$6,$AK$6:$AN$6,0)-1,0)),OFFSET(载具产出!G$59,$AJ98-1,0)*10+OFFSET(载具产出!K$59,$AJ98-1,0)+($AI98*10-_xlfn.XLOOKUP($AJ98-1,载具产出!$D$59:$D$67,载具产出!$E$59:$E$67))/10*(10*OFFSET(载具产出!$D$45,MATCH(AL$6,$AK$6:$AN$6,0)-1,$AJ98)+OFFSET(载具产出!$D$49,MATCH(AL$6,$AK$6:$AN$6,0)-1,$AJ98)*OFFSET(载具产出!$N$49,MATCH(AL$6,$AK$6:$AN$6,0)-1,0)))</f>
        <v>625.800000000002</v>
      </c>
      <c r="AM98" s="44">
        <f ca="1">IF($AJ98=1,($AI98)*(10*OFFSET(载具产出!$D$45,MATCH(AM$6,$AK$6:$AN$6,0)-1,$AJ98)+OFFSET(载具产出!$D$49,MATCH(AM$6,$AK$6:$AN$6,0)-1,$AJ98)*OFFSET(载具产出!$N$49,MATCH(AM$6,$AK$6:$AN$6,0)-1,0)),OFFSET(载具产出!H$59,$AJ98-1,0)*10+OFFSET(载具产出!L$59,$AJ98-1,0)+($AI98*10-_xlfn.XLOOKUP($AJ98-1,载具产出!$D$59:$D$67,载具产出!$E$59:$E$67))/10*(10*OFFSET(载具产出!$D$45,MATCH(AM$6,$AK$6:$AN$6,0)-1,$AJ98)+OFFSET(载具产出!$D$49,MATCH(AM$6,$AK$6:$AN$6,0)-1,$AJ98)*OFFSET(载具产出!$N$49,MATCH(AM$6,$AK$6:$AN$6,0)-1,0)))</f>
        <v>323.856000000001</v>
      </c>
      <c r="AN98" s="44">
        <f ca="1">IF($AJ98=1,($AI98)*(10*OFFSET(载具产出!$D$45,MATCH(AN$6,$AK$6:$AN$6,0)-1,$AJ98)+OFFSET(载具产出!$D$49,MATCH(AN$6,$AK$6:$AN$6,0)-1,$AJ98)*OFFSET(载具产出!$N$49,MATCH(AN$6,$AK$6:$AN$6,0)-1,0)),OFFSET(载具产出!I$59,$AJ98-1,0)*10+OFFSET(载具产出!M$59,$AJ98-1,0)+($AI98*10-_xlfn.XLOOKUP($AJ98-1,载具产出!$D$59:$D$67,载具产出!$E$59:$E$67))/10*(10*OFFSET(载具产出!$D$45,MATCH(AN$6,$AK$6:$AN$6,0)-1,$AJ98)+OFFSET(载具产出!$D$49,MATCH(AN$6,$AK$6:$AN$6,0)-1,$AJ98)*OFFSET(载具产出!$N$49,MATCH(AN$6,$AK$6:$AN$6,0)-1,0)))</f>
        <v>91.5180000000003</v>
      </c>
      <c r="AO98" s="44">
        <f ca="1" t="shared" si="3"/>
        <v>2300.802</v>
      </c>
      <c r="AP98" s="44">
        <f ca="1" t="shared" si="4"/>
        <v>1149.42666666667</v>
      </c>
      <c r="AQ98" s="44">
        <f ca="1" t="shared" si="5"/>
        <v>358.096000000001</v>
      </c>
      <c r="AR98" s="44">
        <f ca="1" t="shared" si="6"/>
        <v>91.5180000000003</v>
      </c>
      <c r="AS98" s="45">
        <f ca="1">IFERROR(MATCH(AO98/载具产出!R$58,载具属性!$G$33:$G$92,1),0)</f>
        <v>24</v>
      </c>
      <c r="AT98" s="45">
        <f ca="1">IFERROR(MATCH(AP98/载具产出!S$58,载具属性!$G$33:$G$92,1),0)</f>
        <v>16</v>
      </c>
      <c r="AU98" s="45">
        <f ca="1">IFERROR(MATCH(AQ98/载具产出!T$58,载具属性!$G$33:$G$92,1),0)</f>
        <v>7</v>
      </c>
      <c r="AV98" s="45">
        <f ca="1">IFERROR(MATCH(AR98/载具产出!U$58,载具属性!$G$33:$G$92,1),0)</f>
        <v>1</v>
      </c>
      <c r="AW98" s="46" t="str">
        <f ca="1" t="shared" si="7"/>
        <v>[{62,431},{63,44540},{2,117300},{6030001,1631},{6030002,1472},{6030003,97}]</v>
      </c>
      <c r="AX98" t="str">
        <f ca="1" t="shared" si="8"/>
        <v>{62,431}</v>
      </c>
      <c r="AY98" t="str">
        <f ca="1" t="shared" si="9"/>
        <v>{63,44540}</v>
      </c>
      <c r="AZ98" t="str">
        <f ca="1" t="shared" si="10"/>
        <v>{2,117300}</v>
      </c>
      <c r="BA98" t="str">
        <f ca="1" t="shared" si="11"/>
        <v>{6030001,1631}</v>
      </c>
      <c r="BB98" t="str">
        <f ca="1" t="shared" si="12"/>
        <v>{6030002,1472}</v>
      </c>
      <c r="BC98" t="str">
        <f ca="1" t="shared" si="13"/>
        <v>{6030003,97}</v>
      </c>
      <c r="BD98" t="str">
        <f ca="1" t="shared" si="14"/>
        <v/>
      </c>
    </row>
    <row r="99" spans="3:56">
      <c r="C99">
        <f ca="1" t="shared" si="1"/>
        <v>111.60447761194</v>
      </c>
      <c r="D99" s="40">
        <v>93</v>
      </c>
      <c r="E99" s="40">
        <v>98</v>
      </c>
      <c r="F99" s="40">
        <v>116</v>
      </c>
      <c r="G99" s="41">
        <v>134</v>
      </c>
      <c r="H99" s="40">
        <f t="shared" si="18"/>
        <v>178</v>
      </c>
      <c r="I99" s="40">
        <f t="shared" si="20"/>
        <v>212</v>
      </c>
      <c r="J99" s="40">
        <f t="shared" si="19"/>
        <v>187</v>
      </c>
      <c r="K99" s="40">
        <f ca="1">SUM(U$36:U99)-SUM(OFFSET(载具产出!H$399,0,0,$R99+1,1))</f>
        <v>438</v>
      </c>
      <c r="L99" s="40">
        <f ca="1">SUM(T$36:T99)-SUM(OFFSET(载具产出!G$399,0,0,$R99+1,1))</f>
        <v>45415</v>
      </c>
      <c r="M99" s="40">
        <f ca="1">SUM(V$36:V99)/2-SUM(OFFSET(载具产出!I$399,0,0,$R99+1,1))</f>
        <v>120100</v>
      </c>
      <c r="N99" s="40">
        <f ca="1">SUM(AA$36:AA99)-SUM(OFFSET(载具产出!J$399,0,0,$R99+1,1))</f>
        <v>1661.6</v>
      </c>
      <c r="O99" s="40">
        <f ca="1">SUM(AB$36:AB99)-SUM(OFFSET(载具产出!K$399,0,0,$R99+1,1))</f>
        <v>1498.32</v>
      </c>
      <c r="P99" s="40">
        <f ca="1">SUM(AC$36:AC99)-SUM(OFFSET(载具产出!L$399,0,0,$R99+1,1))</f>
        <v>100.08</v>
      </c>
      <c r="Q99" s="40">
        <f ca="1">SUM(AD$36:AD99)-SUM(OFFSET(载具产出!M$399,0,0,$R99+1,1))</f>
        <v>0</v>
      </c>
      <c r="R99" s="40">
        <v>10</v>
      </c>
      <c r="S99" s="40" t="str">
        <f ca="1">OFFSET(载具产出!$D$111,IFERROR(MATCH(OFFSET($D99,0,MATCH($D$5,$E$6:$H$6,0)),载具产出!$E$112:$E$151,1),0),0)</f>
        <v>豪华Ⅳ</v>
      </c>
      <c r="T99" s="40">
        <f ca="1">OFFSET(载具产出!$F$399,IFERROR(MATCH(OFFSET($D99,0,MATCH($D$5,$E$6:$H$6,0)),载具产出!$E$400:$E$439,1),0),MATCH(T$6,载具产出!$G$399:$O$399,0))</f>
        <v>875</v>
      </c>
      <c r="U99" s="40">
        <v>7</v>
      </c>
      <c r="V99" s="40">
        <f ca="1">OFFSET(载具产出!$F$399,IFERROR(MATCH(OFFSET($D99,0,MATCH($D$5,$E$6:$H$6,0)),载具产出!$E$400:$E$439,1),0),MATCH(V$6,载具产出!$G$399:$O$399,0))</f>
        <v>5600</v>
      </c>
      <c r="W99" s="43">
        <f ca="1">_xlfn.XLOOKUP(Z99,载具属性!$E$98:$E$497,载具属性!$G$98:$G$497)+6000+OFFSET(载具属性!L$33,AS99,0)*载具属性!M$30+OFFSET(载具属性!M$33,AT99,0)*载具属性!N$30+OFFSET(载具属性!N$33,AU99,0)*载具属性!O$30+OFFSET(载具属性!O$33,AV99,0)*载具属性!P$30</f>
        <v>14955</v>
      </c>
      <c r="X99" s="43">
        <f ca="1">_xlfn.XLOOKUP(Z99,载具属性!$E$98:$E$497,载具属性!$G$98:$G$497)</f>
        <v>5040</v>
      </c>
      <c r="Y99" s="43">
        <f ca="1">OFFSET(载具属性!L$33,AS99,0)*载具属性!M$30+OFFSET(载具属性!M$33,AT99,0)*载具属性!N$30+OFFSET(载具属性!N$33,AU99,0)*载具属性!O$30+OFFSET(载具属性!O$33,AV99,0)*载具属性!P$30</f>
        <v>3915</v>
      </c>
      <c r="Z99" s="40">
        <f ca="1">MATCH(SUM($T$7:T99),载具属性!$I$98:$I$497,1)</f>
        <v>87</v>
      </c>
      <c r="AA99" s="40">
        <f ca="1">OFFSET(载具产出!$F$399,IFERROR(MATCH(OFFSET($D99,0,MATCH($D$5,$E$6:$H$6,0)),载具产出!$E$112:$E$151,1),0),MATCH(AA$6,载具产出!$G$111:$O$111,0))*2</f>
        <v>30</v>
      </c>
      <c r="AB99" s="40">
        <f ca="1">OFFSET(载具产出!$F$399,IFERROR(MATCH(OFFSET($D99,0,MATCH($D$5,$E$6:$H$6,0)),载具产出!$E$112:$E$151,1),0),MATCH(AB$6,载具产出!$G$111:$O$111,0))*2</f>
        <v>25.6</v>
      </c>
      <c r="AC99" s="40">
        <f ca="1">OFFSET(载具产出!$F$399,IFERROR(MATCH(OFFSET($D99,0,MATCH($D$5,$E$6:$H$6,0)),载具产出!$E$112:$E$151,1),0),MATCH(AC$6,载具产出!$G$111:$O$111,0))*2</f>
        <v>2.4</v>
      </c>
      <c r="AD99" s="40">
        <f ca="1">OFFSET(载具产出!$F$399,IFERROR(MATCH(OFFSET($D99,0,MATCH($D$5,$E$6:$H$6,0)),载具产出!$E$112:$E$151,1),0),MATCH(AD$6,载具产出!$G$111:$O$111,0))*2</f>
        <v>0</v>
      </c>
      <c r="AE99" s="44">
        <f ca="1">SUM(AA$36:AA99)/3</f>
        <v>602.8</v>
      </c>
      <c r="AF99" s="44">
        <f ca="1">SUM(AB$36:AB99)/3</f>
        <v>532.159999999999</v>
      </c>
      <c r="AG99" s="44">
        <f ca="1">SUM(AC$36:AC99)/3</f>
        <v>35.04</v>
      </c>
      <c r="AH99" s="44">
        <f ca="1">SUM(AD$36:AD99)/3</f>
        <v>0</v>
      </c>
      <c r="AI99" s="44">
        <f>_xlfn.XLOOKUP($D$5,载具产出!$D$71:$D$75,载具产出!$E$71:$E$75)*(D99-30+1)</f>
        <v>752.761904761907</v>
      </c>
      <c r="AJ99" s="44">
        <f>IFERROR(MATCH(_xlfn.XLOOKUP($D$5,载具产出!$D$71:$D$75,载具产出!$E$71:$E$75)*(D99-30+1)*10,载具产出!$E$60:$E$67,1),0)+1</f>
        <v>6</v>
      </c>
      <c r="AK99" s="44">
        <f ca="1">IF($AJ99=1,($AI99)*(10*OFFSET(载具产出!$D$45,MATCH(AK$6,$AK$6:$AN$6,0)-1,$AJ99)+OFFSET(载具产出!$D$49,MATCH(AK$6,$AK$6:$AN$6,0)-1,$AJ99)*OFFSET(载具产出!$N$49,MATCH(AK$6,$AK$6:$AN$6,0)-1,0)),OFFSET(载具产出!F$59,$AJ99-1,0)*10+OFFSET(载具产出!J$59,$AJ99-1,0)+($AI99*10-_xlfn.XLOOKUP($AJ99-1,载具产出!$D$59:$D$67,载具产出!$E$59:$E$67))/10*(10*OFFSET(载具产出!$D$45,MATCH(AK$6,$AK$6:$AN$6,0)-1,$AJ99)+OFFSET(载具产出!$D$49,MATCH(AK$6,$AK$6:$AN$6,0)-1,$AJ99)*OFFSET(载具产出!$N$49,MATCH(AK$6,$AK$6:$AN$6,0)-1,0)))</f>
        <v>1733.54885714286</v>
      </c>
      <c r="AL99" s="44">
        <f ca="1">IF($AJ99=1,($AI99)*(10*OFFSET(载具产出!$D$45,MATCH(AL$6,$AK$6:$AN$6,0)-1,$AJ99)+OFFSET(载具产出!$D$49,MATCH(AL$6,$AK$6:$AN$6,0)-1,$AJ99)*OFFSET(载具产出!$N$49,MATCH(AL$6,$AK$6:$AN$6,0)-1,0)),OFFSET(载具产出!G$59,$AJ99-1,0)*10+OFFSET(载具产出!K$59,$AJ99-1,0)+($AI99*10-_xlfn.XLOOKUP($AJ99-1,载具产出!$D$59:$D$67,载具产出!$E$59:$E$67))/10*(10*OFFSET(载具产出!$D$45,MATCH(AL$6,$AK$6:$AN$6,0)-1,$AJ99)+OFFSET(载具产出!$D$49,MATCH(AL$6,$AK$6:$AN$6,0)-1,$AJ99)*OFFSET(载具产出!$N$49,MATCH(AL$6,$AK$6:$AN$6,0)-1,0)))</f>
        <v>636.385714285716</v>
      </c>
      <c r="AM99" s="44">
        <f ca="1">IF($AJ99=1,($AI99)*(10*OFFSET(载具产出!$D$45,MATCH(AM$6,$AK$6:$AN$6,0)-1,$AJ99)+OFFSET(载具产出!$D$49,MATCH(AM$6,$AK$6:$AN$6,0)-1,$AJ99)*OFFSET(载具产出!$N$49,MATCH(AM$6,$AK$6:$AN$6,0)-1,0)),OFFSET(载具产出!H$59,$AJ99-1,0)*10+OFFSET(载具产出!L$59,$AJ99-1,0)+($AI99*10-_xlfn.XLOOKUP($AJ99-1,载具产出!$D$59:$D$67,载具产出!$E$59:$E$67))/10*(10*OFFSET(载具产出!$D$45,MATCH(AM$6,$AK$6:$AN$6,0)-1,$AJ99)+OFFSET(载具产出!$D$49,MATCH(AM$6,$AK$6:$AN$6,0)-1,$AJ99)*OFFSET(载具产出!$N$49,MATCH(AM$6,$AK$6:$AN$6,0)-1,0)))</f>
        <v>329.689904761906</v>
      </c>
      <c r="AN99" s="44">
        <f ca="1">IF($AJ99=1,($AI99)*(10*OFFSET(载具产出!$D$45,MATCH(AN$6,$AK$6:$AN$6,0)-1,$AJ99)+OFFSET(载具产出!$D$49,MATCH(AN$6,$AK$6:$AN$6,0)-1,$AJ99)*OFFSET(载具产出!$N$49,MATCH(AN$6,$AK$6:$AN$6,0)-1,0)),OFFSET(载具产出!I$59,$AJ99-1,0)*10+OFFSET(载具产出!M$59,$AJ99-1,0)+($AI99*10-_xlfn.XLOOKUP($AJ99-1,载具产出!$D$59:$D$67,载具产出!$E$59:$E$67))/10*(10*OFFSET(载具产出!$D$45,MATCH(AN$6,$AK$6:$AN$6,0)-1,$AJ99)+OFFSET(载具产出!$D$49,MATCH(AN$6,$AK$6:$AN$6,0)-1,$AJ99)*OFFSET(载具产出!$N$49,MATCH(AN$6,$AK$6:$AN$6,0)-1,0)))</f>
        <v>93.3763809523813</v>
      </c>
      <c r="AO99" s="44">
        <f ca="1" t="shared" si="3"/>
        <v>2336.34885714286</v>
      </c>
      <c r="AP99" s="44">
        <f ca="1" t="shared" si="4"/>
        <v>1168.54571428572</v>
      </c>
      <c r="AQ99" s="44">
        <f ca="1" t="shared" si="5"/>
        <v>364.729904761906</v>
      </c>
      <c r="AR99" s="44">
        <f ca="1" t="shared" si="6"/>
        <v>93.3763809523813</v>
      </c>
      <c r="AS99" s="45">
        <f ca="1">IFERROR(MATCH(AO99/载具产出!R$58,载具属性!$G$33:$G$92,1),0)</f>
        <v>24</v>
      </c>
      <c r="AT99" s="45">
        <f ca="1">IFERROR(MATCH(AP99/载具产出!S$58,载具属性!$G$33:$G$92,1),0)</f>
        <v>16</v>
      </c>
      <c r="AU99" s="45">
        <f ca="1">IFERROR(MATCH(AQ99/载具产出!T$58,载具属性!$G$33:$G$92,1),0)</f>
        <v>8</v>
      </c>
      <c r="AV99" s="45">
        <f ca="1">IFERROR(MATCH(AR99/载具产出!U$58,载具属性!$G$33:$G$92,1),0)</f>
        <v>1</v>
      </c>
      <c r="AW99" s="46" t="str">
        <f ca="1" t="shared" si="7"/>
        <v>[{62,438},{63,45415},{2,120100},{6030001,1661},{6030002,1498},{6030003,100}]</v>
      </c>
      <c r="AX99" t="str">
        <f ca="1" t="shared" si="8"/>
        <v>{62,438}</v>
      </c>
      <c r="AY99" t="str">
        <f ca="1" t="shared" si="9"/>
        <v>{63,45415}</v>
      </c>
      <c r="AZ99" t="str">
        <f ca="1" t="shared" si="10"/>
        <v>{2,120100}</v>
      </c>
      <c r="BA99" t="str">
        <f ca="1" t="shared" si="11"/>
        <v>{6030001,1661}</v>
      </c>
      <c r="BB99" t="str">
        <f ca="1" t="shared" si="12"/>
        <v>{6030002,1498}</v>
      </c>
      <c r="BC99" t="str">
        <f ca="1" t="shared" si="13"/>
        <v>{6030003,100}</v>
      </c>
      <c r="BD99" t="str">
        <f ca="1" t="shared" si="14"/>
        <v/>
      </c>
    </row>
    <row r="100" spans="3:56">
      <c r="C100">
        <f ca="1" t="shared" si="1"/>
        <v>111.296296296296</v>
      </c>
      <c r="D100" s="40">
        <v>94</v>
      </c>
      <c r="E100" s="40">
        <v>99</v>
      </c>
      <c r="F100" s="40">
        <v>117</v>
      </c>
      <c r="G100" s="41">
        <v>135</v>
      </c>
      <c r="H100" s="40">
        <f t="shared" si="18"/>
        <v>179</v>
      </c>
      <c r="I100" s="40">
        <f t="shared" si="20"/>
        <v>214</v>
      </c>
      <c r="J100" s="40">
        <f t="shared" si="19"/>
        <v>188</v>
      </c>
      <c r="K100" s="40">
        <f ca="1">SUM(U$36:U100)-SUM(OFFSET(载具产出!H$399,0,0,$R100+1,1))</f>
        <v>445</v>
      </c>
      <c r="L100" s="40">
        <f ca="1">SUM(T$36:T100)-SUM(OFFSET(载具产出!G$399,0,0,$R100+1,1))</f>
        <v>46330</v>
      </c>
      <c r="M100" s="40">
        <f ca="1">SUM(V$36:V100)/2-SUM(OFFSET(载具产出!I$399,0,0,$R100+1,1))</f>
        <v>123000</v>
      </c>
      <c r="N100" s="40">
        <f ca="1">SUM(AA$36:AA100)-SUM(OFFSET(载具产出!J$399,0,0,$R100+1,1))</f>
        <v>1679.6</v>
      </c>
      <c r="O100" s="40">
        <f ca="1">SUM(AB$36:AB100)-SUM(OFFSET(载具产出!K$399,0,0,$R100+1,1))</f>
        <v>1527.44</v>
      </c>
      <c r="P100" s="40">
        <f ca="1">SUM(AC$36:AC100)-SUM(OFFSET(载具产出!L$399,0,0,$R100+1,1))</f>
        <v>102.96</v>
      </c>
      <c r="Q100" s="40">
        <f ca="1">SUM(AD$36:AD100)-SUM(OFFSET(载具产出!M$399,0,0,$R100+1,1))</f>
        <v>0</v>
      </c>
      <c r="R100" s="40">
        <v>10</v>
      </c>
      <c r="S100" s="40" t="str">
        <f ca="1">OFFSET(载具产出!$D$111,IFERROR(MATCH(OFFSET($D100,0,MATCH($D$5,$E$6:$H$6,0)),载具产出!$E$112:$E$151,1),0),0)</f>
        <v>豪华Ⅴ</v>
      </c>
      <c r="T100" s="40">
        <f ca="1">OFFSET(载具产出!$F$399,IFERROR(MATCH(OFFSET($D100,0,MATCH($D$5,$E$6:$H$6,0)),载具产出!$E$400:$E$439,1),0),MATCH(T$6,载具产出!$G$399:$O$399,0))</f>
        <v>915</v>
      </c>
      <c r="U100" s="40">
        <v>7</v>
      </c>
      <c r="V100" s="40">
        <f ca="1">OFFSET(载具产出!$F$399,IFERROR(MATCH(OFFSET($D100,0,MATCH($D$5,$E$6:$H$6,0)),载具产出!$E$400:$E$439,1),0),MATCH(V$6,载具产出!$G$399:$O$399,0))</f>
        <v>5800</v>
      </c>
      <c r="W100" s="43">
        <f ca="1">_xlfn.XLOOKUP(Z100,载具属性!$E$98:$E$497,载具属性!$G$98:$G$497)+6000+OFFSET(载具属性!L$33,AS100,0)*载具属性!M$30+OFFSET(载具属性!M$33,AT100,0)*载具属性!N$30+OFFSET(载具属性!N$33,AU100,0)*载具属性!O$30+OFFSET(载具属性!O$33,AV100,0)*载具属性!P$30</f>
        <v>15025</v>
      </c>
      <c r="X100" s="43">
        <f ca="1">_xlfn.XLOOKUP(Z100,载具属性!$E$98:$E$497,载具属性!$G$98:$G$497)</f>
        <v>5110</v>
      </c>
      <c r="Y100" s="43">
        <f ca="1">OFFSET(载具属性!L$33,AS100,0)*载具属性!M$30+OFFSET(载具属性!M$33,AT100,0)*载具属性!N$30+OFFSET(载具属性!N$33,AU100,0)*载具属性!O$30+OFFSET(载具属性!O$33,AV100,0)*载具属性!P$30</f>
        <v>3915</v>
      </c>
      <c r="Z100" s="40">
        <f ca="1">MATCH(SUM($T$7:T100),载具属性!$I$98:$I$497,1)</f>
        <v>88</v>
      </c>
      <c r="AA100" s="40">
        <f ca="1">OFFSET(载具产出!$F$399,IFERROR(MATCH(OFFSET($D100,0,MATCH($D$5,$E$6:$H$6,0)),载具产出!$E$112:$E$151,1),0),MATCH(AA$6,载具产出!$G$111:$O$111,0))*2</f>
        <v>18</v>
      </c>
      <c r="AB100" s="40">
        <f ca="1">OFFSET(载具产出!$F$399,IFERROR(MATCH(OFFSET($D100,0,MATCH($D$5,$E$6:$H$6,0)),载具产出!$E$112:$E$151,1),0),MATCH(AB$6,载具产出!$G$111:$O$111,0))*2</f>
        <v>29.12</v>
      </c>
      <c r="AC100" s="40">
        <f ca="1">OFFSET(载具产出!$F$399,IFERROR(MATCH(OFFSET($D100,0,MATCH($D$5,$E$6:$H$6,0)),载具产出!$E$112:$E$151,1),0),MATCH(AC$6,载具产出!$G$111:$O$111,0))*2</f>
        <v>2.88</v>
      </c>
      <c r="AD100" s="40">
        <f ca="1">OFFSET(载具产出!$F$399,IFERROR(MATCH(OFFSET($D100,0,MATCH($D$5,$E$6:$H$6,0)),载具产出!$E$112:$E$151,1),0),MATCH(AD$6,载具产出!$G$111:$O$111,0))*2</f>
        <v>0</v>
      </c>
      <c r="AE100" s="44">
        <f ca="1">SUM(AA$36:AA100)/3</f>
        <v>608.8</v>
      </c>
      <c r="AF100" s="44">
        <f ca="1">SUM(AB$36:AB100)/3</f>
        <v>541.866666666666</v>
      </c>
      <c r="AG100" s="44">
        <f ca="1">SUM(AC$36:AC100)/3</f>
        <v>36</v>
      </c>
      <c r="AH100" s="44">
        <f ca="1">SUM(AD$36:AD100)/3</f>
        <v>0</v>
      </c>
      <c r="AI100" s="44">
        <f>_xlfn.XLOOKUP($D$5,载具产出!$D$71:$D$75,载具产出!$E$71:$E$75)*(D100-30+1)</f>
        <v>764.523809523812</v>
      </c>
      <c r="AJ100" s="44">
        <f>IFERROR(MATCH(_xlfn.XLOOKUP($D$5,载具产出!$D$71:$D$75,载具产出!$E$71:$E$75)*(D100-30+1)*10,载具产出!$E$60:$E$67,1),0)+1</f>
        <v>6</v>
      </c>
      <c r="AK100" s="44">
        <f ca="1">IF($AJ100=1,($AI100)*(10*OFFSET(载具产出!$D$45,MATCH(AK$6,$AK$6:$AN$6,0)-1,$AJ100)+OFFSET(载具产出!$D$49,MATCH(AK$6,$AK$6:$AN$6,0)-1,$AJ100)*OFFSET(载具产出!$N$49,MATCH(AK$6,$AK$6:$AN$6,0)-1,0)),OFFSET(载具产出!F$59,$AJ100-1,0)*10+OFFSET(载具产出!J$59,$AJ100-1,0)+($AI100*10-_xlfn.XLOOKUP($AJ100-1,载具产出!$D$59:$D$67,载具产出!$E$59:$E$67))/10*(10*OFFSET(载具产出!$D$45,MATCH(AK$6,$AK$6:$AN$6,0)-1,$AJ100)+OFFSET(载具产出!$D$49,MATCH(AK$6,$AK$6:$AN$6,0)-1,$AJ100)*OFFSET(载具产出!$N$49,MATCH(AK$6,$AK$6:$AN$6,0)-1,0)))</f>
        <v>1759.09571428572</v>
      </c>
      <c r="AL100" s="44">
        <f ca="1">IF($AJ100=1,($AI100)*(10*OFFSET(载具产出!$D$45,MATCH(AL$6,$AK$6:$AN$6,0)-1,$AJ100)+OFFSET(载具产出!$D$49,MATCH(AL$6,$AK$6:$AN$6,0)-1,$AJ100)*OFFSET(载具产出!$N$49,MATCH(AL$6,$AK$6:$AN$6,0)-1,0)),OFFSET(载具产出!G$59,$AJ100-1,0)*10+OFFSET(载具产出!K$59,$AJ100-1,0)+($AI100*10-_xlfn.XLOOKUP($AJ100-1,载具产出!$D$59:$D$67,载具产出!$E$59:$E$67))/10*(10*OFFSET(载具产出!$D$45,MATCH(AL$6,$AK$6:$AN$6,0)-1,$AJ100)+OFFSET(载具产出!$D$49,MATCH(AL$6,$AK$6:$AN$6,0)-1,$AJ100)*OFFSET(载具产出!$N$49,MATCH(AL$6,$AK$6:$AN$6,0)-1,0)))</f>
        <v>646.971428571431</v>
      </c>
      <c r="AM100" s="44">
        <f ca="1">IF($AJ100=1,($AI100)*(10*OFFSET(载具产出!$D$45,MATCH(AM$6,$AK$6:$AN$6,0)-1,$AJ100)+OFFSET(载具产出!$D$49,MATCH(AM$6,$AK$6:$AN$6,0)-1,$AJ100)*OFFSET(载具产出!$N$49,MATCH(AM$6,$AK$6:$AN$6,0)-1,0)),OFFSET(载具产出!H$59,$AJ100-1,0)*10+OFFSET(载具产出!L$59,$AJ100-1,0)+($AI100*10-_xlfn.XLOOKUP($AJ100-1,载具产出!$D$59:$D$67,载具产出!$E$59:$E$67))/10*(10*OFFSET(载具产出!$D$45,MATCH(AM$6,$AK$6:$AN$6,0)-1,$AJ100)+OFFSET(载具产出!$D$49,MATCH(AM$6,$AK$6:$AN$6,0)-1,$AJ100)*OFFSET(载具产出!$N$49,MATCH(AM$6,$AK$6:$AN$6,0)-1,0)))</f>
        <v>335.523809523811</v>
      </c>
      <c r="AN100" s="44">
        <f ca="1">IF($AJ100=1,($AI100)*(10*OFFSET(载具产出!$D$45,MATCH(AN$6,$AK$6:$AN$6,0)-1,$AJ100)+OFFSET(载具产出!$D$49,MATCH(AN$6,$AK$6:$AN$6,0)-1,$AJ100)*OFFSET(载具产出!$N$49,MATCH(AN$6,$AK$6:$AN$6,0)-1,0)),OFFSET(载具产出!I$59,$AJ100-1,0)*10+OFFSET(载具产出!M$59,$AJ100-1,0)+($AI100*10-_xlfn.XLOOKUP($AJ100-1,载具产出!$D$59:$D$67,载具产出!$E$59:$E$67))/10*(10*OFFSET(载具产出!$D$45,MATCH(AN$6,$AK$6:$AN$6,0)-1,$AJ100)+OFFSET(载具产出!$D$49,MATCH(AN$6,$AK$6:$AN$6,0)-1,$AJ100)*OFFSET(载具产出!$N$49,MATCH(AN$6,$AK$6:$AN$6,0)-1,0)))</f>
        <v>95.2347619047623</v>
      </c>
      <c r="AO100" s="44">
        <f ca="1" t="shared" si="3"/>
        <v>2367.89571428572</v>
      </c>
      <c r="AP100" s="44">
        <f ca="1" t="shared" si="4"/>
        <v>1188.8380952381</v>
      </c>
      <c r="AQ100" s="44">
        <f ca="1" t="shared" si="5"/>
        <v>371.523809523811</v>
      </c>
      <c r="AR100" s="44">
        <f ca="1" t="shared" si="6"/>
        <v>95.2347619047623</v>
      </c>
      <c r="AS100" s="45">
        <f ca="1">IFERROR(MATCH(AO100/载具产出!R$58,载具属性!$G$33:$G$92,1),0)</f>
        <v>24</v>
      </c>
      <c r="AT100" s="45">
        <f ca="1">IFERROR(MATCH(AP100/载具产出!S$58,载具属性!$G$33:$G$92,1),0)</f>
        <v>16</v>
      </c>
      <c r="AU100" s="45">
        <f ca="1">IFERROR(MATCH(AQ100/载具产出!T$58,载具属性!$G$33:$G$92,1),0)</f>
        <v>8</v>
      </c>
      <c r="AV100" s="45">
        <f ca="1">IFERROR(MATCH(AR100/载具产出!U$58,载具属性!$G$33:$G$92,1),0)</f>
        <v>1</v>
      </c>
      <c r="AW100" s="46" t="str">
        <f ca="1" t="shared" si="7"/>
        <v>[{62,445},{63,46330},{2,123000},{6030001,1679},{6030002,1527},{6030003,102}]</v>
      </c>
      <c r="AX100" t="str">
        <f ca="1" t="shared" si="8"/>
        <v>{62,445}</v>
      </c>
      <c r="AY100" t="str">
        <f ca="1" t="shared" si="9"/>
        <v>{63,46330}</v>
      </c>
      <c r="AZ100" t="str">
        <f ca="1" t="shared" si="10"/>
        <v>{2,123000}</v>
      </c>
      <c r="BA100" t="str">
        <f ca="1" t="shared" si="11"/>
        <v>{6030001,1679}</v>
      </c>
      <c r="BB100" t="str">
        <f ca="1" t="shared" si="12"/>
        <v>{6030002,1527}</v>
      </c>
      <c r="BC100" t="str">
        <f ca="1" t="shared" si="13"/>
        <v>{6030003,102}</v>
      </c>
      <c r="BD100" t="str">
        <f ca="1" t="shared" si="14"/>
        <v/>
      </c>
    </row>
    <row r="101" spans="3:56">
      <c r="C101">
        <f ca="1" t="shared" ref="C101:C164" si="21">W101/G101</f>
        <v>111.296296296296</v>
      </c>
      <c r="D101" s="40">
        <v>95</v>
      </c>
      <c r="E101" s="40">
        <v>99</v>
      </c>
      <c r="F101" s="40">
        <v>117</v>
      </c>
      <c r="G101" s="41">
        <v>135</v>
      </c>
      <c r="H101" s="40">
        <f t="shared" si="18"/>
        <v>180</v>
      </c>
      <c r="I101" s="40">
        <f t="shared" si="20"/>
        <v>216</v>
      </c>
      <c r="J101" s="40">
        <f t="shared" si="19"/>
        <v>190</v>
      </c>
      <c r="K101" s="40">
        <f ca="1">SUM(U$36:U101)-SUM(OFFSET(载具产出!H$399,0,0,$R101+1,1))</f>
        <v>452</v>
      </c>
      <c r="L101" s="40">
        <f ca="1">SUM(T$36:T101)-SUM(OFFSET(载具产出!G$399,0,0,$R101+1,1))</f>
        <v>47245</v>
      </c>
      <c r="M101" s="40">
        <f ca="1">SUM(V$36:V101)/2-SUM(OFFSET(载具产出!I$399,0,0,$R101+1,1))</f>
        <v>125900</v>
      </c>
      <c r="N101" s="40">
        <f ca="1">SUM(AA$36:AA101)-SUM(OFFSET(载具产出!J$399,0,0,$R101+1,1))</f>
        <v>1697.6</v>
      </c>
      <c r="O101" s="40">
        <f ca="1">SUM(AB$36:AB101)-SUM(OFFSET(载具产出!K$399,0,0,$R101+1,1))</f>
        <v>1556.56</v>
      </c>
      <c r="P101" s="40">
        <f ca="1">SUM(AC$36:AC101)-SUM(OFFSET(载具产出!L$399,0,0,$R101+1,1))</f>
        <v>105.84</v>
      </c>
      <c r="Q101" s="40">
        <f ca="1">SUM(AD$36:AD101)-SUM(OFFSET(载具产出!M$399,0,0,$R101+1,1))</f>
        <v>0</v>
      </c>
      <c r="R101" s="40">
        <v>10</v>
      </c>
      <c r="S101" s="40" t="str">
        <f ca="1">OFFSET(载具产出!$D$111,IFERROR(MATCH(OFFSET($D101,0,MATCH($D$5,$E$6:$H$6,0)),载具产出!$E$112:$E$151,1),0),0)</f>
        <v>豪华Ⅴ</v>
      </c>
      <c r="T101" s="40">
        <f ca="1">OFFSET(载具产出!$F$399,IFERROR(MATCH(OFFSET($D101,0,MATCH($D$5,$E$6:$H$6,0)),载具产出!$E$400:$E$439,1),0),MATCH(T$6,载具产出!$G$399:$O$399,0))</f>
        <v>915</v>
      </c>
      <c r="U101" s="40">
        <v>7</v>
      </c>
      <c r="V101" s="40">
        <f ca="1">OFFSET(载具产出!$F$399,IFERROR(MATCH(OFFSET($D101,0,MATCH($D$5,$E$6:$H$6,0)),载具产出!$E$400:$E$439,1),0),MATCH(V$6,载具产出!$G$399:$O$399,0))</f>
        <v>5800</v>
      </c>
      <c r="W101" s="43">
        <f ca="1">_xlfn.XLOOKUP(Z101,载具属性!$E$98:$E$497,载具属性!$G$98:$G$497)+6000+OFFSET(载具属性!L$33,AS101,0)*载具属性!M$30+OFFSET(载具属性!M$33,AT101,0)*载具属性!N$30+OFFSET(载具属性!N$33,AU101,0)*载具属性!O$30+OFFSET(载具属性!O$33,AV101,0)*载具属性!P$30</f>
        <v>15025</v>
      </c>
      <c r="X101" s="43">
        <f ca="1">_xlfn.XLOOKUP(Z101,载具属性!$E$98:$E$497,载具属性!$G$98:$G$497)</f>
        <v>5110</v>
      </c>
      <c r="Y101" s="43">
        <f ca="1">OFFSET(载具属性!L$33,AS101,0)*载具属性!M$30+OFFSET(载具属性!M$33,AT101,0)*载具属性!N$30+OFFSET(载具属性!N$33,AU101,0)*载具属性!O$30+OFFSET(载具属性!O$33,AV101,0)*载具属性!P$30</f>
        <v>3915</v>
      </c>
      <c r="Z101" s="40">
        <f ca="1">MATCH(SUM($T$7:T101),载具属性!$I$98:$I$497,1)</f>
        <v>88</v>
      </c>
      <c r="AA101" s="40">
        <f ca="1">OFFSET(载具产出!$F$399,IFERROR(MATCH(OFFSET($D101,0,MATCH($D$5,$E$6:$H$6,0)),载具产出!$E$112:$E$151,1),0),MATCH(AA$6,载具产出!$G$111:$O$111,0))*2</f>
        <v>18</v>
      </c>
      <c r="AB101" s="40">
        <f ca="1">OFFSET(载具产出!$F$399,IFERROR(MATCH(OFFSET($D101,0,MATCH($D$5,$E$6:$H$6,0)),载具产出!$E$112:$E$151,1),0),MATCH(AB$6,载具产出!$G$111:$O$111,0))*2</f>
        <v>29.12</v>
      </c>
      <c r="AC101" s="40">
        <f ca="1">OFFSET(载具产出!$F$399,IFERROR(MATCH(OFFSET($D101,0,MATCH($D$5,$E$6:$H$6,0)),载具产出!$E$112:$E$151,1),0),MATCH(AC$6,载具产出!$G$111:$O$111,0))*2</f>
        <v>2.88</v>
      </c>
      <c r="AD101" s="40">
        <f ca="1">OFFSET(载具产出!$F$399,IFERROR(MATCH(OFFSET($D101,0,MATCH($D$5,$E$6:$H$6,0)),载具产出!$E$112:$E$151,1),0),MATCH(AD$6,载具产出!$G$111:$O$111,0))*2</f>
        <v>0</v>
      </c>
      <c r="AE101" s="44">
        <f ca="1">SUM(AA$36:AA101)/3</f>
        <v>614.8</v>
      </c>
      <c r="AF101" s="44">
        <f ca="1">SUM(AB$36:AB101)/3</f>
        <v>551.573333333333</v>
      </c>
      <c r="AG101" s="44">
        <f ca="1">SUM(AC$36:AC101)/3</f>
        <v>36.96</v>
      </c>
      <c r="AH101" s="44">
        <f ca="1">SUM(AD$36:AD101)/3</f>
        <v>0</v>
      </c>
      <c r="AI101" s="44">
        <f>_xlfn.XLOOKUP($D$5,载具产出!$D$71:$D$75,载具产出!$E$71:$E$75)*(D101-30+1)</f>
        <v>776.285714285717</v>
      </c>
      <c r="AJ101" s="44">
        <f>IFERROR(MATCH(_xlfn.XLOOKUP($D$5,载具产出!$D$71:$D$75,载具产出!$E$71:$E$75)*(D101-30+1)*10,载具产出!$E$60:$E$67,1),0)+1</f>
        <v>6</v>
      </c>
      <c r="AK101" s="44">
        <f ca="1">IF($AJ101=1,($AI101)*(10*OFFSET(载具产出!$D$45,MATCH(AK$6,$AK$6:$AN$6,0)-1,$AJ101)+OFFSET(载具产出!$D$49,MATCH(AK$6,$AK$6:$AN$6,0)-1,$AJ101)*OFFSET(载具产出!$N$49,MATCH(AK$6,$AK$6:$AN$6,0)-1,0)),OFFSET(载具产出!F$59,$AJ101-1,0)*10+OFFSET(载具产出!J$59,$AJ101-1,0)+($AI101*10-_xlfn.XLOOKUP($AJ101-1,载具产出!$D$59:$D$67,载具产出!$E$59:$E$67))/10*(10*OFFSET(载具产出!$D$45,MATCH(AK$6,$AK$6:$AN$6,0)-1,$AJ101)+OFFSET(载具产出!$D$49,MATCH(AK$6,$AK$6:$AN$6,0)-1,$AJ101)*OFFSET(载具产出!$N$49,MATCH(AK$6,$AK$6:$AN$6,0)-1,0)))</f>
        <v>1784.64257142858</v>
      </c>
      <c r="AL101" s="44">
        <f ca="1">IF($AJ101=1,($AI101)*(10*OFFSET(载具产出!$D$45,MATCH(AL$6,$AK$6:$AN$6,0)-1,$AJ101)+OFFSET(载具产出!$D$49,MATCH(AL$6,$AK$6:$AN$6,0)-1,$AJ101)*OFFSET(载具产出!$N$49,MATCH(AL$6,$AK$6:$AN$6,0)-1,0)),OFFSET(载具产出!G$59,$AJ101-1,0)*10+OFFSET(载具产出!K$59,$AJ101-1,0)+($AI101*10-_xlfn.XLOOKUP($AJ101-1,载具产出!$D$59:$D$67,载具产出!$E$59:$E$67))/10*(10*OFFSET(载具产出!$D$45,MATCH(AL$6,$AK$6:$AN$6,0)-1,$AJ101)+OFFSET(载具产出!$D$49,MATCH(AL$6,$AK$6:$AN$6,0)-1,$AJ101)*OFFSET(载具产出!$N$49,MATCH(AL$6,$AK$6:$AN$6,0)-1,0)))</f>
        <v>657.557142857145</v>
      </c>
      <c r="AM101" s="44">
        <f ca="1">IF($AJ101=1,($AI101)*(10*OFFSET(载具产出!$D$45,MATCH(AM$6,$AK$6:$AN$6,0)-1,$AJ101)+OFFSET(载具产出!$D$49,MATCH(AM$6,$AK$6:$AN$6,0)-1,$AJ101)*OFFSET(载具产出!$N$49,MATCH(AM$6,$AK$6:$AN$6,0)-1,0)),OFFSET(载具产出!H$59,$AJ101-1,0)*10+OFFSET(载具产出!L$59,$AJ101-1,0)+($AI101*10-_xlfn.XLOOKUP($AJ101-1,载具产出!$D$59:$D$67,载具产出!$E$59:$E$67))/10*(10*OFFSET(载具产出!$D$45,MATCH(AM$6,$AK$6:$AN$6,0)-1,$AJ101)+OFFSET(载具产出!$D$49,MATCH(AM$6,$AK$6:$AN$6,0)-1,$AJ101)*OFFSET(载具产出!$N$49,MATCH(AM$6,$AK$6:$AN$6,0)-1,0)))</f>
        <v>341.357714285716</v>
      </c>
      <c r="AN101" s="44">
        <f ca="1">IF($AJ101=1,($AI101)*(10*OFFSET(载具产出!$D$45,MATCH(AN$6,$AK$6:$AN$6,0)-1,$AJ101)+OFFSET(载具产出!$D$49,MATCH(AN$6,$AK$6:$AN$6,0)-1,$AJ101)*OFFSET(载具产出!$N$49,MATCH(AN$6,$AK$6:$AN$6,0)-1,0)),OFFSET(载具产出!I$59,$AJ101-1,0)*10+OFFSET(载具产出!M$59,$AJ101-1,0)+($AI101*10-_xlfn.XLOOKUP($AJ101-1,载具产出!$D$59:$D$67,载具产出!$E$59:$E$67))/10*(10*OFFSET(载具产出!$D$45,MATCH(AN$6,$AK$6:$AN$6,0)-1,$AJ101)+OFFSET(载具产出!$D$49,MATCH(AN$6,$AK$6:$AN$6,0)-1,$AJ101)*OFFSET(载具产出!$N$49,MATCH(AN$6,$AK$6:$AN$6,0)-1,0)))</f>
        <v>97.0931428571433</v>
      </c>
      <c r="AO101" s="44">
        <f ca="1" t="shared" ref="AO101:AO164" si="22">AE101+AK101</f>
        <v>2399.44257142858</v>
      </c>
      <c r="AP101" s="44">
        <f ca="1" t="shared" ref="AP101:AP164" si="23">AF101+AL101</f>
        <v>1209.13047619048</v>
      </c>
      <c r="AQ101" s="44">
        <f ca="1" t="shared" ref="AQ101:AQ164" si="24">AG101+AM101</f>
        <v>378.317714285716</v>
      </c>
      <c r="AR101" s="44">
        <f ca="1" t="shared" ref="AR101:AR164" si="25">AH101+AN101</f>
        <v>97.0931428571433</v>
      </c>
      <c r="AS101" s="45">
        <f ca="1">IFERROR(MATCH(AO101/载具产出!R$58,载具属性!$G$33:$G$92,1),0)</f>
        <v>24</v>
      </c>
      <c r="AT101" s="45">
        <f ca="1">IFERROR(MATCH(AP101/载具产出!S$58,载具属性!$G$33:$G$92,1),0)</f>
        <v>16</v>
      </c>
      <c r="AU101" s="45">
        <f ca="1">IFERROR(MATCH(AQ101/载具产出!T$58,载具属性!$G$33:$G$92,1),0)</f>
        <v>8</v>
      </c>
      <c r="AV101" s="45">
        <f ca="1">IFERROR(MATCH(AR101/载具产出!U$58,载具属性!$G$33:$G$92,1),0)</f>
        <v>1</v>
      </c>
      <c r="AW101" s="46" t="str">
        <f ca="1" t="shared" ref="AW101:AW164" si="26">"["&amp;_xlfn.TEXTJOIN(",",1,AX101:BD101)&amp;"]"</f>
        <v>[{62,452},{63,47245},{2,125900},{6030001,1697},{6030002,1556},{6030003,105}]</v>
      </c>
      <c r="AX101" t="str">
        <f ca="1" t="shared" ref="AX101:AX164" si="27">IF(INT(K101)&lt;=0,"","{"&amp;K$5&amp;","&amp;INT(K101)&amp;"}")</f>
        <v>{62,452}</v>
      </c>
      <c r="AY101" t="str">
        <f ca="1" t="shared" ref="AY101:AY164" si="28">IF(INT(L101)&lt;=0,"","{"&amp;L$5&amp;","&amp;INT(L101)&amp;"}")</f>
        <v>{63,47245}</v>
      </c>
      <c r="AZ101" t="str">
        <f ca="1" t="shared" ref="AZ101:AZ164" si="29">IF(INT(M101)&lt;=0,"","{"&amp;M$5&amp;","&amp;INT(M101)&amp;"}")</f>
        <v>{2,125900}</v>
      </c>
      <c r="BA101" t="str">
        <f ca="1" t="shared" ref="BA101:BA164" si="30">IF(INT(N101)&lt;=0,"","{"&amp;N$5&amp;","&amp;INT(N101)&amp;"}")</f>
        <v>{6030001,1697}</v>
      </c>
      <c r="BB101" t="str">
        <f ca="1" t="shared" ref="BB101:BB164" si="31">IF(INT(O101)&lt;=0,"","{"&amp;O$5&amp;","&amp;INT(O101)&amp;"}")</f>
        <v>{6030002,1556}</v>
      </c>
      <c r="BC101" t="str">
        <f ca="1" t="shared" ref="BC101:BC164" si="32">IF(INT(P101)&lt;=0,"","{"&amp;P$5&amp;","&amp;INT(P101)&amp;"}")</f>
        <v>{6030003,105}</v>
      </c>
      <c r="BD101" t="str">
        <f ca="1" t="shared" ref="BD101:BD164" si="33">IF(INT(Q101)&lt;=0,"","{"&amp;Q$5&amp;","&amp;INT(Q101)&amp;"}")</f>
        <v/>
      </c>
    </row>
    <row r="102" spans="3:56">
      <c r="C102">
        <f ca="1" t="shared" si="21"/>
        <v>112.095588235294</v>
      </c>
      <c r="D102" s="40">
        <v>96</v>
      </c>
      <c r="E102" s="40">
        <v>99</v>
      </c>
      <c r="F102" s="40">
        <v>118</v>
      </c>
      <c r="G102" s="41">
        <v>136</v>
      </c>
      <c r="H102" s="40">
        <f t="shared" si="18"/>
        <v>181</v>
      </c>
      <c r="I102" s="40">
        <f t="shared" si="20"/>
        <v>218</v>
      </c>
      <c r="J102" s="40">
        <f t="shared" si="19"/>
        <v>192</v>
      </c>
      <c r="K102" s="40">
        <f ca="1">SUM(U$36:U102)-SUM(OFFSET(载具产出!H$399,0,0,$R102+1,1))</f>
        <v>459</v>
      </c>
      <c r="L102" s="40">
        <f ca="1">SUM(T$36:T102)-SUM(OFFSET(载具产出!G$399,0,0,$R102+1,1))</f>
        <v>48160</v>
      </c>
      <c r="M102" s="40">
        <f ca="1">SUM(V$36:V102)/2-SUM(OFFSET(载具产出!I$399,0,0,$R102+1,1))</f>
        <v>128800</v>
      </c>
      <c r="N102" s="40">
        <f ca="1">SUM(AA$36:AA102)-SUM(OFFSET(载具产出!J$399,0,0,$R102+1,1))</f>
        <v>1715.6</v>
      </c>
      <c r="O102" s="40">
        <f ca="1">SUM(AB$36:AB102)-SUM(OFFSET(载具产出!K$399,0,0,$R102+1,1))</f>
        <v>1585.68</v>
      </c>
      <c r="P102" s="40">
        <f ca="1">SUM(AC$36:AC102)-SUM(OFFSET(载具产出!L$399,0,0,$R102+1,1))</f>
        <v>108.72</v>
      </c>
      <c r="Q102" s="40">
        <f ca="1">SUM(AD$36:AD102)-SUM(OFFSET(载具产出!M$399,0,0,$R102+1,1))</f>
        <v>0</v>
      </c>
      <c r="R102" s="40">
        <v>10</v>
      </c>
      <c r="S102" s="40" t="str">
        <f ca="1">OFFSET(载具产出!$D$111,IFERROR(MATCH(OFFSET($D102,0,MATCH($D$5,$E$6:$H$6,0)),载具产出!$E$112:$E$151,1),0),0)</f>
        <v>豪华Ⅴ</v>
      </c>
      <c r="T102" s="40">
        <f ca="1">OFFSET(载具产出!$F$399,IFERROR(MATCH(OFFSET($D102,0,MATCH($D$5,$E$6:$H$6,0)),载具产出!$E$400:$E$439,1),0),MATCH(T$6,载具产出!$G$399:$O$399,0))</f>
        <v>915</v>
      </c>
      <c r="U102" s="40">
        <v>7</v>
      </c>
      <c r="V102" s="40">
        <f ca="1">OFFSET(载具产出!$F$399,IFERROR(MATCH(OFFSET($D102,0,MATCH($D$5,$E$6:$H$6,0)),载具产出!$E$400:$E$439,1),0),MATCH(V$6,载具产出!$G$399:$O$399,0))</f>
        <v>5800</v>
      </c>
      <c r="W102" s="43">
        <f ca="1">_xlfn.XLOOKUP(Z102,载具属性!$E$98:$E$497,载具属性!$G$98:$G$497)+6000+OFFSET(载具属性!L$33,AS102,0)*载具属性!M$30+OFFSET(载具属性!M$33,AT102,0)*载具属性!N$30+OFFSET(载具属性!N$33,AU102,0)*载具属性!O$30+OFFSET(载具属性!O$33,AV102,0)*载具属性!P$30</f>
        <v>15245</v>
      </c>
      <c r="X102" s="43">
        <f ca="1">_xlfn.XLOOKUP(Z102,载具属性!$E$98:$E$497,载具属性!$G$98:$G$497)</f>
        <v>5180</v>
      </c>
      <c r="Y102" s="43">
        <f ca="1">OFFSET(载具属性!L$33,AS102,0)*载具属性!M$30+OFFSET(载具属性!M$33,AT102,0)*载具属性!N$30+OFFSET(载具属性!N$33,AU102,0)*载具属性!O$30+OFFSET(载具属性!O$33,AV102,0)*载具属性!P$30</f>
        <v>4065</v>
      </c>
      <c r="Z102" s="40">
        <f ca="1">MATCH(SUM($T$7:T102),载具属性!$I$98:$I$497,1)</f>
        <v>89</v>
      </c>
      <c r="AA102" s="40">
        <f ca="1">OFFSET(载具产出!$F$399,IFERROR(MATCH(OFFSET($D102,0,MATCH($D$5,$E$6:$H$6,0)),载具产出!$E$112:$E$151,1),0),MATCH(AA$6,载具产出!$G$111:$O$111,0))*2</f>
        <v>18</v>
      </c>
      <c r="AB102" s="40">
        <f ca="1">OFFSET(载具产出!$F$399,IFERROR(MATCH(OFFSET($D102,0,MATCH($D$5,$E$6:$H$6,0)),载具产出!$E$112:$E$151,1),0),MATCH(AB$6,载具产出!$G$111:$O$111,0))*2</f>
        <v>29.12</v>
      </c>
      <c r="AC102" s="40">
        <f ca="1">OFFSET(载具产出!$F$399,IFERROR(MATCH(OFFSET($D102,0,MATCH($D$5,$E$6:$H$6,0)),载具产出!$E$112:$E$151,1),0),MATCH(AC$6,载具产出!$G$111:$O$111,0))*2</f>
        <v>2.88</v>
      </c>
      <c r="AD102" s="40">
        <f ca="1">OFFSET(载具产出!$F$399,IFERROR(MATCH(OFFSET($D102,0,MATCH($D$5,$E$6:$H$6,0)),载具产出!$E$112:$E$151,1),0),MATCH(AD$6,载具产出!$G$111:$O$111,0))*2</f>
        <v>0</v>
      </c>
      <c r="AE102" s="44">
        <f ca="1">SUM(AA$36:AA102)/3</f>
        <v>620.8</v>
      </c>
      <c r="AF102" s="44">
        <f ca="1">SUM(AB$36:AB102)/3</f>
        <v>561.279999999999</v>
      </c>
      <c r="AG102" s="44">
        <f ca="1">SUM(AC$36:AC102)/3</f>
        <v>37.92</v>
      </c>
      <c r="AH102" s="44">
        <f ca="1">SUM(AD$36:AD102)/3</f>
        <v>0</v>
      </c>
      <c r="AI102" s="44">
        <f>_xlfn.XLOOKUP($D$5,载具产出!$D$71:$D$75,载具产出!$E$71:$E$75)*(D102-30+1)</f>
        <v>788.047619047622</v>
      </c>
      <c r="AJ102" s="44">
        <f>IFERROR(MATCH(_xlfn.XLOOKUP($D$5,载具产出!$D$71:$D$75,载具产出!$E$71:$E$75)*(D102-30+1)*10,载具产出!$E$60:$E$67,1),0)+1</f>
        <v>6</v>
      </c>
      <c r="AK102" s="44">
        <f ca="1">IF($AJ102=1,($AI102)*(10*OFFSET(载具产出!$D$45,MATCH(AK$6,$AK$6:$AN$6,0)-1,$AJ102)+OFFSET(载具产出!$D$49,MATCH(AK$6,$AK$6:$AN$6,0)-1,$AJ102)*OFFSET(载具产出!$N$49,MATCH(AK$6,$AK$6:$AN$6,0)-1,0)),OFFSET(载具产出!F$59,$AJ102-1,0)*10+OFFSET(载具产出!J$59,$AJ102-1,0)+($AI102*10-_xlfn.XLOOKUP($AJ102-1,载具产出!$D$59:$D$67,载具产出!$E$59:$E$67))/10*(10*OFFSET(载具产出!$D$45,MATCH(AK$6,$AK$6:$AN$6,0)-1,$AJ102)+OFFSET(载具产出!$D$49,MATCH(AK$6,$AK$6:$AN$6,0)-1,$AJ102)*OFFSET(载具产出!$N$49,MATCH(AK$6,$AK$6:$AN$6,0)-1,0)))</f>
        <v>1810.18942857143</v>
      </c>
      <c r="AL102" s="44">
        <f ca="1">IF($AJ102=1,($AI102)*(10*OFFSET(载具产出!$D$45,MATCH(AL$6,$AK$6:$AN$6,0)-1,$AJ102)+OFFSET(载具产出!$D$49,MATCH(AL$6,$AK$6:$AN$6,0)-1,$AJ102)*OFFSET(载具产出!$N$49,MATCH(AL$6,$AK$6:$AN$6,0)-1,0)),OFFSET(载具产出!G$59,$AJ102-1,0)*10+OFFSET(载具产出!K$59,$AJ102-1,0)+($AI102*10-_xlfn.XLOOKUP($AJ102-1,载具产出!$D$59:$D$67,载具产出!$E$59:$E$67))/10*(10*OFFSET(载具产出!$D$45,MATCH(AL$6,$AK$6:$AN$6,0)-1,$AJ102)+OFFSET(载具产出!$D$49,MATCH(AL$6,$AK$6:$AN$6,0)-1,$AJ102)*OFFSET(载具产出!$N$49,MATCH(AL$6,$AK$6:$AN$6,0)-1,0)))</f>
        <v>668.14285714286</v>
      </c>
      <c r="AM102" s="44">
        <f ca="1">IF($AJ102=1,($AI102)*(10*OFFSET(载具产出!$D$45,MATCH(AM$6,$AK$6:$AN$6,0)-1,$AJ102)+OFFSET(载具产出!$D$49,MATCH(AM$6,$AK$6:$AN$6,0)-1,$AJ102)*OFFSET(载具产出!$N$49,MATCH(AM$6,$AK$6:$AN$6,0)-1,0)),OFFSET(载具产出!H$59,$AJ102-1,0)*10+OFFSET(载具产出!L$59,$AJ102-1,0)+($AI102*10-_xlfn.XLOOKUP($AJ102-1,载具产出!$D$59:$D$67,载具产出!$E$59:$E$67))/10*(10*OFFSET(载具产出!$D$45,MATCH(AM$6,$AK$6:$AN$6,0)-1,$AJ102)+OFFSET(载具产出!$D$49,MATCH(AM$6,$AK$6:$AN$6,0)-1,$AJ102)*OFFSET(载具产出!$N$49,MATCH(AM$6,$AK$6:$AN$6,0)-1,0)))</f>
        <v>347.191619047621</v>
      </c>
      <c r="AN102" s="44">
        <f ca="1">IF($AJ102=1,($AI102)*(10*OFFSET(载具产出!$D$45,MATCH(AN$6,$AK$6:$AN$6,0)-1,$AJ102)+OFFSET(载具产出!$D$49,MATCH(AN$6,$AK$6:$AN$6,0)-1,$AJ102)*OFFSET(载具产出!$N$49,MATCH(AN$6,$AK$6:$AN$6,0)-1,0)),OFFSET(载具产出!I$59,$AJ102-1,0)*10+OFFSET(载具产出!M$59,$AJ102-1,0)+($AI102*10-_xlfn.XLOOKUP($AJ102-1,载具产出!$D$59:$D$67,载具产出!$E$59:$E$67))/10*(10*OFFSET(载具产出!$D$45,MATCH(AN$6,$AK$6:$AN$6,0)-1,$AJ102)+OFFSET(载具产出!$D$49,MATCH(AN$6,$AK$6:$AN$6,0)-1,$AJ102)*OFFSET(载具产出!$N$49,MATCH(AN$6,$AK$6:$AN$6,0)-1,0)))</f>
        <v>98.9515238095243</v>
      </c>
      <c r="AO102" s="44">
        <f ca="1" t="shared" si="22"/>
        <v>2430.98942857143</v>
      </c>
      <c r="AP102" s="44">
        <f ca="1" t="shared" si="23"/>
        <v>1229.42285714286</v>
      </c>
      <c r="AQ102" s="44">
        <f ca="1" t="shared" si="24"/>
        <v>385.111619047621</v>
      </c>
      <c r="AR102" s="44">
        <f ca="1" t="shared" si="25"/>
        <v>98.9515238095243</v>
      </c>
      <c r="AS102" s="45">
        <f ca="1">IFERROR(MATCH(AO102/载具产出!R$58,载具属性!$G$33:$G$92,1),0)</f>
        <v>25</v>
      </c>
      <c r="AT102" s="45">
        <f ca="1">IFERROR(MATCH(AP102/载具产出!S$58,载具属性!$G$33:$G$92,1),0)</f>
        <v>17</v>
      </c>
      <c r="AU102" s="45">
        <f ca="1">IFERROR(MATCH(AQ102/载具产出!T$58,载具属性!$G$33:$G$92,1),0)</f>
        <v>8</v>
      </c>
      <c r="AV102" s="45">
        <f ca="1">IFERROR(MATCH(AR102/载具产出!U$58,载具属性!$G$33:$G$92,1),0)</f>
        <v>1</v>
      </c>
      <c r="AW102" s="46" t="str">
        <f ca="1" t="shared" si="26"/>
        <v>[{62,459},{63,48160},{2,128800},{6030001,1715},{6030002,1585},{6030003,108}]</v>
      </c>
      <c r="AX102" t="str">
        <f ca="1" t="shared" si="27"/>
        <v>{62,459}</v>
      </c>
      <c r="AY102" t="str">
        <f ca="1" t="shared" si="28"/>
        <v>{63,48160}</v>
      </c>
      <c r="AZ102" t="str">
        <f ca="1" t="shared" si="29"/>
        <v>{2,128800}</v>
      </c>
      <c r="BA102" t="str">
        <f ca="1" t="shared" si="30"/>
        <v>{6030001,1715}</v>
      </c>
      <c r="BB102" t="str">
        <f ca="1" t="shared" si="31"/>
        <v>{6030002,1585}</v>
      </c>
      <c r="BC102" t="str">
        <f ca="1" t="shared" si="32"/>
        <v>{6030003,108}</v>
      </c>
      <c r="BD102" t="str">
        <f ca="1" t="shared" si="33"/>
        <v/>
      </c>
    </row>
    <row r="103" spans="3:56">
      <c r="C103">
        <f ca="1" t="shared" si="21"/>
        <v>112.610294117647</v>
      </c>
      <c r="D103" s="40">
        <v>97</v>
      </c>
      <c r="E103" s="40">
        <v>100</v>
      </c>
      <c r="F103" s="40">
        <v>118</v>
      </c>
      <c r="G103" s="41">
        <v>136</v>
      </c>
      <c r="H103" s="40">
        <f t="shared" si="18"/>
        <v>182</v>
      </c>
      <c r="I103" s="40">
        <f t="shared" si="20"/>
        <v>220</v>
      </c>
      <c r="J103" s="40">
        <f t="shared" si="19"/>
        <v>193</v>
      </c>
      <c r="K103" s="40">
        <f ca="1">SUM(U$36:U103)-SUM(OFFSET(载具产出!H$399,0,0,$R103+1,1))</f>
        <v>465</v>
      </c>
      <c r="L103" s="40">
        <f ca="1">SUM(T$36:T103)-SUM(OFFSET(载具产出!G$399,0,0,$R103+1,1))</f>
        <v>48135</v>
      </c>
      <c r="M103" s="40">
        <f ca="1">SUM(V$36:V103)/2-SUM(OFFSET(载具产出!I$399,0,0,$R103+1,1))</f>
        <v>125700</v>
      </c>
      <c r="N103" s="40">
        <f ca="1">SUM(AA$36:AA103)-SUM(OFFSET(载具产出!J$399,0,0,$R103+1,1))</f>
        <v>1724.6</v>
      </c>
      <c r="O103" s="40">
        <f ca="1">SUM(AB$36:AB103)-SUM(OFFSET(载具产出!K$399,0,0,$R103+1,1))</f>
        <v>1603.48</v>
      </c>
      <c r="P103" s="40">
        <f ca="1">SUM(AC$36:AC103)-SUM(OFFSET(载具产出!L$399,0,0,$R103+1,1))</f>
        <v>109.92</v>
      </c>
      <c r="Q103" s="40">
        <f ca="1">SUM(AD$36:AD103)-SUM(OFFSET(载具产出!M$399,0,0,$R103+1,1))</f>
        <v>0</v>
      </c>
      <c r="R103" s="40">
        <v>11</v>
      </c>
      <c r="S103" s="40" t="str">
        <f ca="1">OFFSET(载具产出!$D$111,IFERROR(MATCH(OFFSET($D103,0,MATCH($D$5,$E$6:$H$6,0)),载具产出!$E$112:$E$151,1),0),0)</f>
        <v>豪华Ⅴ</v>
      </c>
      <c r="T103" s="40">
        <f ca="1">OFFSET(载具产出!$F$399,IFERROR(MATCH(OFFSET($D103,0,MATCH($D$5,$E$6:$H$6,0)),载具产出!$E$400:$E$439,1),0),MATCH(T$6,载具产出!$G$399:$O$399,0))</f>
        <v>915</v>
      </c>
      <c r="U103" s="40">
        <v>7</v>
      </c>
      <c r="V103" s="40">
        <f ca="1">OFFSET(载具产出!$F$399,IFERROR(MATCH(OFFSET($D103,0,MATCH($D$5,$E$6:$H$6,0)),载具产出!$E$400:$E$439,1),0),MATCH(V$6,载具产出!$G$399:$O$399,0))</f>
        <v>5800</v>
      </c>
      <c r="W103" s="43">
        <f ca="1">_xlfn.XLOOKUP(Z103,载具属性!$E$98:$E$497,载具属性!$G$98:$G$497)+6000+OFFSET(载具属性!L$33,AS103,0)*载具属性!M$30+OFFSET(载具属性!M$33,AT103,0)*载具属性!N$30+OFFSET(载具属性!N$33,AU103,0)*载具属性!O$30+OFFSET(载具属性!O$33,AV103,0)*载具属性!P$30</f>
        <v>15315</v>
      </c>
      <c r="X103" s="43">
        <f ca="1">_xlfn.XLOOKUP(Z103,载具属性!$E$98:$E$497,载具属性!$G$98:$G$497)</f>
        <v>5250</v>
      </c>
      <c r="Y103" s="43">
        <f ca="1">OFFSET(载具属性!L$33,AS103,0)*载具属性!M$30+OFFSET(载具属性!M$33,AT103,0)*载具属性!N$30+OFFSET(载具属性!N$33,AU103,0)*载具属性!O$30+OFFSET(载具属性!O$33,AV103,0)*载具属性!P$30</f>
        <v>4065</v>
      </c>
      <c r="Z103" s="40">
        <f ca="1">MATCH(SUM($T$7:T103),载具属性!$I$98:$I$497,1)</f>
        <v>90</v>
      </c>
      <c r="AA103" s="40">
        <f ca="1">OFFSET(载具产出!$F$399,IFERROR(MATCH(OFFSET($D103,0,MATCH($D$5,$E$6:$H$6,0)),载具产出!$E$112:$E$151,1),0),MATCH(AA$6,载具产出!$G$111:$O$111,0))*2</f>
        <v>18</v>
      </c>
      <c r="AB103" s="40">
        <f ca="1">OFFSET(载具产出!$F$399,IFERROR(MATCH(OFFSET($D103,0,MATCH($D$5,$E$6:$H$6,0)),载具产出!$E$112:$E$151,1),0),MATCH(AB$6,载具产出!$G$111:$O$111,0))*2</f>
        <v>29.12</v>
      </c>
      <c r="AC103" s="40">
        <f ca="1">OFFSET(载具产出!$F$399,IFERROR(MATCH(OFFSET($D103,0,MATCH($D$5,$E$6:$H$6,0)),载具产出!$E$112:$E$151,1),0),MATCH(AC$6,载具产出!$G$111:$O$111,0))*2</f>
        <v>2.88</v>
      </c>
      <c r="AD103" s="40">
        <f ca="1">OFFSET(载具产出!$F$399,IFERROR(MATCH(OFFSET($D103,0,MATCH($D$5,$E$6:$H$6,0)),载具产出!$E$112:$E$151,1),0),MATCH(AD$6,载具产出!$G$111:$O$111,0))*2</f>
        <v>0</v>
      </c>
      <c r="AE103" s="44">
        <f ca="1">SUM(AA$36:AA103)/3</f>
        <v>626.8</v>
      </c>
      <c r="AF103" s="44">
        <f ca="1">SUM(AB$36:AB103)/3</f>
        <v>570.986666666666</v>
      </c>
      <c r="AG103" s="44">
        <f ca="1">SUM(AC$36:AC103)/3</f>
        <v>38.88</v>
      </c>
      <c r="AH103" s="44">
        <f ca="1">SUM(AD$36:AD103)/3</f>
        <v>0</v>
      </c>
      <c r="AI103" s="44">
        <f>_xlfn.XLOOKUP($D$5,载具产出!$D$71:$D$75,载具产出!$E$71:$E$75)*(D103-30+1)</f>
        <v>799.809523809526</v>
      </c>
      <c r="AJ103" s="44">
        <f>IFERROR(MATCH(_xlfn.XLOOKUP($D$5,载具产出!$D$71:$D$75,载具产出!$E$71:$E$75)*(D103-30+1)*10,载具产出!$E$60:$E$67,1),0)+1</f>
        <v>6</v>
      </c>
      <c r="AK103" s="44">
        <f ca="1">IF($AJ103=1,($AI103)*(10*OFFSET(载具产出!$D$45,MATCH(AK$6,$AK$6:$AN$6,0)-1,$AJ103)+OFFSET(载具产出!$D$49,MATCH(AK$6,$AK$6:$AN$6,0)-1,$AJ103)*OFFSET(载具产出!$N$49,MATCH(AK$6,$AK$6:$AN$6,0)-1,0)),OFFSET(载具产出!F$59,$AJ103-1,0)*10+OFFSET(载具产出!J$59,$AJ103-1,0)+($AI103*10-_xlfn.XLOOKUP($AJ103-1,载具产出!$D$59:$D$67,载具产出!$E$59:$E$67))/10*(10*OFFSET(载具产出!$D$45,MATCH(AK$6,$AK$6:$AN$6,0)-1,$AJ103)+OFFSET(载具产出!$D$49,MATCH(AK$6,$AK$6:$AN$6,0)-1,$AJ103)*OFFSET(载具产出!$N$49,MATCH(AK$6,$AK$6:$AN$6,0)-1,0)))</f>
        <v>1835.73628571429</v>
      </c>
      <c r="AL103" s="44">
        <f ca="1">IF($AJ103=1,($AI103)*(10*OFFSET(载具产出!$D$45,MATCH(AL$6,$AK$6:$AN$6,0)-1,$AJ103)+OFFSET(载具产出!$D$49,MATCH(AL$6,$AK$6:$AN$6,0)-1,$AJ103)*OFFSET(载具产出!$N$49,MATCH(AL$6,$AK$6:$AN$6,0)-1,0)),OFFSET(载具产出!G$59,$AJ103-1,0)*10+OFFSET(载具产出!K$59,$AJ103-1,0)+($AI103*10-_xlfn.XLOOKUP($AJ103-1,载具产出!$D$59:$D$67,载具产出!$E$59:$E$67))/10*(10*OFFSET(载具产出!$D$45,MATCH(AL$6,$AK$6:$AN$6,0)-1,$AJ103)+OFFSET(载具产出!$D$49,MATCH(AL$6,$AK$6:$AN$6,0)-1,$AJ103)*OFFSET(载具产出!$N$49,MATCH(AL$6,$AK$6:$AN$6,0)-1,0)))</f>
        <v>678.728571428573</v>
      </c>
      <c r="AM103" s="44">
        <f ca="1">IF($AJ103=1,($AI103)*(10*OFFSET(载具产出!$D$45,MATCH(AM$6,$AK$6:$AN$6,0)-1,$AJ103)+OFFSET(载具产出!$D$49,MATCH(AM$6,$AK$6:$AN$6,0)-1,$AJ103)*OFFSET(载具产出!$N$49,MATCH(AM$6,$AK$6:$AN$6,0)-1,0)),OFFSET(载具产出!H$59,$AJ103-1,0)*10+OFFSET(载具产出!L$59,$AJ103-1,0)+($AI103*10-_xlfn.XLOOKUP($AJ103-1,载具产出!$D$59:$D$67,载具产出!$E$59:$E$67))/10*(10*OFFSET(载具产出!$D$45,MATCH(AM$6,$AK$6:$AN$6,0)-1,$AJ103)+OFFSET(载具产出!$D$49,MATCH(AM$6,$AK$6:$AN$6,0)-1,$AJ103)*OFFSET(载具产出!$N$49,MATCH(AM$6,$AK$6:$AN$6,0)-1,0)))</f>
        <v>353.025523809525</v>
      </c>
      <c r="AN103" s="44">
        <f ca="1">IF($AJ103=1,($AI103)*(10*OFFSET(载具产出!$D$45,MATCH(AN$6,$AK$6:$AN$6,0)-1,$AJ103)+OFFSET(载具产出!$D$49,MATCH(AN$6,$AK$6:$AN$6,0)-1,$AJ103)*OFFSET(载具产出!$N$49,MATCH(AN$6,$AK$6:$AN$6,0)-1,0)),OFFSET(载具产出!I$59,$AJ103-1,0)*10+OFFSET(载具产出!M$59,$AJ103-1,0)+($AI103*10-_xlfn.XLOOKUP($AJ103-1,载具产出!$D$59:$D$67,载具产出!$E$59:$E$67))/10*(10*OFFSET(载具产出!$D$45,MATCH(AN$6,$AK$6:$AN$6,0)-1,$AJ103)+OFFSET(载具产出!$D$49,MATCH(AN$6,$AK$6:$AN$6,0)-1,$AJ103)*OFFSET(载具产出!$N$49,MATCH(AN$6,$AK$6:$AN$6,0)-1,0)))</f>
        <v>100.809904761905</v>
      </c>
      <c r="AO103" s="44">
        <f ca="1" t="shared" si="22"/>
        <v>2462.53628571429</v>
      </c>
      <c r="AP103" s="44">
        <f ca="1" t="shared" si="23"/>
        <v>1249.71523809524</v>
      </c>
      <c r="AQ103" s="44">
        <f ca="1" t="shared" si="24"/>
        <v>391.905523809525</v>
      </c>
      <c r="AR103" s="44">
        <f ca="1" t="shared" si="25"/>
        <v>100.809904761905</v>
      </c>
      <c r="AS103" s="45">
        <f ca="1">IFERROR(MATCH(AO103/载具产出!R$58,载具属性!$G$33:$G$92,1),0)</f>
        <v>25</v>
      </c>
      <c r="AT103" s="45">
        <f ca="1">IFERROR(MATCH(AP103/载具产出!S$58,载具属性!$G$33:$G$92,1),0)</f>
        <v>17</v>
      </c>
      <c r="AU103" s="45">
        <f ca="1">IFERROR(MATCH(AQ103/载具产出!T$58,载具属性!$G$33:$G$92,1),0)</f>
        <v>8</v>
      </c>
      <c r="AV103" s="45">
        <f ca="1">IFERROR(MATCH(AR103/载具产出!U$58,载具属性!$G$33:$G$92,1),0)</f>
        <v>1</v>
      </c>
      <c r="AW103" s="46" t="str">
        <f ca="1" t="shared" si="26"/>
        <v>[{62,465},{63,48135},{2,125700},{6030001,1724},{6030002,1603},{6030003,109}]</v>
      </c>
      <c r="AX103" t="str">
        <f ca="1" t="shared" si="27"/>
        <v>{62,465}</v>
      </c>
      <c r="AY103" t="str">
        <f ca="1" t="shared" si="28"/>
        <v>{63,48135}</v>
      </c>
      <c r="AZ103" t="str">
        <f ca="1" t="shared" si="29"/>
        <v>{2,125700}</v>
      </c>
      <c r="BA103" t="str">
        <f ca="1" t="shared" si="30"/>
        <v>{6030001,1724}</v>
      </c>
      <c r="BB103" t="str">
        <f ca="1" t="shared" si="31"/>
        <v>{6030002,1603}</v>
      </c>
      <c r="BC103" t="str">
        <f ca="1" t="shared" si="32"/>
        <v>{6030003,109}</v>
      </c>
      <c r="BD103" t="str">
        <f ca="1" t="shared" si="33"/>
        <v/>
      </c>
    </row>
    <row r="104" spans="3:56">
      <c r="C104">
        <f ca="1" t="shared" si="21"/>
        <v>112.299270072993</v>
      </c>
      <c r="D104" s="40">
        <v>98</v>
      </c>
      <c r="E104" s="40">
        <v>100</v>
      </c>
      <c r="F104" s="40">
        <v>118</v>
      </c>
      <c r="G104" s="41">
        <v>137</v>
      </c>
      <c r="H104" s="40">
        <f t="shared" si="18"/>
        <v>183</v>
      </c>
      <c r="I104" s="40">
        <f t="shared" si="20"/>
        <v>222</v>
      </c>
      <c r="J104" s="40">
        <f t="shared" si="19"/>
        <v>195</v>
      </c>
      <c r="K104" s="40">
        <f ca="1">SUM(U$36:U104)-SUM(OFFSET(载具产出!H$399,0,0,$R104+1,1))</f>
        <v>472</v>
      </c>
      <c r="L104" s="40">
        <f ca="1">SUM(T$36:T104)-SUM(OFFSET(载具产出!G$399,0,0,$R104+1,1))</f>
        <v>49050</v>
      </c>
      <c r="M104" s="40">
        <f ca="1">SUM(V$36:V104)/2-SUM(OFFSET(载具产出!I$399,0,0,$R104+1,1))</f>
        <v>128600</v>
      </c>
      <c r="N104" s="40">
        <f ca="1">SUM(AA$36:AA104)-SUM(OFFSET(载具产出!J$399,0,0,$R104+1,1))</f>
        <v>1742.6</v>
      </c>
      <c r="O104" s="40">
        <f ca="1">SUM(AB$36:AB104)-SUM(OFFSET(载具产出!K$399,0,0,$R104+1,1))</f>
        <v>1632.6</v>
      </c>
      <c r="P104" s="40">
        <f ca="1">SUM(AC$36:AC104)-SUM(OFFSET(载具产出!L$399,0,0,$R104+1,1))</f>
        <v>112.8</v>
      </c>
      <c r="Q104" s="40">
        <f ca="1">SUM(AD$36:AD104)-SUM(OFFSET(载具产出!M$399,0,0,$R104+1,1))</f>
        <v>0</v>
      </c>
      <c r="R104" s="40">
        <v>11</v>
      </c>
      <c r="S104" s="40" t="str">
        <f ca="1">OFFSET(载具产出!$D$111,IFERROR(MATCH(OFFSET($D104,0,MATCH($D$5,$E$6:$H$6,0)),载具产出!$E$112:$E$151,1),0),0)</f>
        <v>豪华Ⅴ</v>
      </c>
      <c r="T104" s="40">
        <f ca="1">OFFSET(载具产出!$F$399,IFERROR(MATCH(OFFSET($D104,0,MATCH($D$5,$E$6:$H$6,0)),载具产出!$E$400:$E$439,1),0),MATCH(T$6,载具产出!$G$399:$O$399,0))</f>
        <v>915</v>
      </c>
      <c r="U104" s="40">
        <v>7</v>
      </c>
      <c r="V104" s="40">
        <f ca="1">OFFSET(载具产出!$F$399,IFERROR(MATCH(OFFSET($D104,0,MATCH($D$5,$E$6:$H$6,0)),载具产出!$E$400:$E$439,1),0),MATCH(V$6,载具产出!$G$399:$O$399,0))</f>
        <v>5800</v>
      </c>
      <c r="W104" s="43">
        <f ca="1">_xlfn.XLOOKUP(Z104,载具属性!$E$98:$E$497,载具属性!$G$98:$G$497)+6000+OFFSET(载具属性!L$33,AS104,0)*载具属性!M$30+OFFSET(载具属性!M$33,AT104,0)*载具属性!N$30+OFFSET(载具属性!N$33,AU104,0)*载具属性!O$30+OFFSET(载具属性!O$33,AV104,0)*载具属性!P$30</f>
        <v>15385</v>
      </c>
      <c r="X104" s="43">
        <f ca="1">_xlfn.XLOOKUP(Z104,载具属性!$E$98:$E$497,载具属性!$G$98:$G$497)</f>
        <v>5320</v>
      </c>
      <c r="Y104" s="43">
        <f ca="1">OFFSET(载具属性!L$33,AS104,0)*载具属性!M$30+OFFSET(载具属性!M$33,AT104,0)*载具属性!N$30+OFFSET(载具属性!N$33,AU104,0)*载具属性!O$30+OFFSET(载具属性!O$33,AV104,0)*载具属性!P$30</f>
        <v>4065</v>
      </c>
      <c r="Z104" s="40">
        <f ca="1">MATCH(SUM($T$7:T104),载具属性!$I$98:$I$497,1)</f>
        <v>91</v>
      </c>
      <c r="AA104" s="40">
        <f ca="1">OFFSET(载具产出!$F$399,IFERROR(MATCH(OFFSET($D104,0,MATCH($D$5,$E$6:$H$6,0)),载具产出!$E$112:$E$151,1),0),MATCH(AA$6,载具产出!$G$111:$O$111,0))*2</f>
        <v>18</v>
      </c>
      <c r="AB104" s="40">
        <f ca="1">OFFSET(载具产出!$F$399,IFERROR(MATCH(OFFSET($D104,0,MATCH($D$5,$E$6:$H$6,0)),载具产出!$E$112:$E$151,1),0),MATCH(AB$6,载具产出!$G$111:$O$111,0))*2</f>
        <v>29.12</v>
      </c>
      <c r="AC104" s="40">
        <f ca="1">OFFSET(载具产出!$F$399,IFERROR(MATCH(OFFSET($D104,0,MATCH($D$5,$E$6:$H$6,0)),载具产出!$E$112:$E$151,1),0),MATCH(AC$6,载具产出!$G$111:$O$111,0))*2</f>
        <v>2.88</v>
      </c>
      <c r="AD104" s="40">
        <f ca="1">OFFSET(载具产出!$F$399,IFERROR(MATCH(OFFSET($D104,0,MATCH($D$5,$E$6:$H$6,0)),载具产出!$E$112:$E$151,1),0),MATCH(AD$6,载具产出!$G$111:$O$111,0))*2</f>
        <v>0</v>
      </c>
      <c r="AE104" s="44">
        <f ca="1">SUM(AA$36:AA104)/3</f>
        <v>632.8</v>
      </c>
      <c r="AF104" s="44">
        <f ca="1">SUM(AB$36:AB104)/3</f>
        <v>580.693333333333</v>
      </c>
      <c r="AG104" s="44">
        <f ca="1">SUM(AC$36:AC104)/3</f>
        <v>39.84</v>
      </c>
      <c r="AH104" s="44">
        <f ca="1">SUM(AD$36:AD104)/3</f>
        <v>0</v>
      </c>
      <c r="AI104" s="44">
        <f>_xlfn.XLOOKUP($D$5,载具产出!$D$71:$D$75,载具产出!$E$71:$E$75)*(D104-30+1)</f>
        <v>811.571428571431</v>
      </c>
      <c r="AJ104" s="44">
        <f>IFERROR(MATCH(_xlfn.XLOOKUP($D$5,载具产出!$D$71:$D$75,载具产出!$E$71:$E$75)*(D104-30+1)*10,载具产出!$E$60:$E$67,1),0)+1</f>
        <v>6</v>
      </c>
      <c r="AK104" s="44">
        <f ca="1">IF($AJ104=1,($AI104)*(10*OFFSET(载具产出!$D$45,MATCH(AK$6,$AK$6:$AN$6,0)-1,$AJ104)+OFFSET(载具产出!$D$49,MATCH(AK$6,$AK$6:$AN$6,0)-1,$AJ104)*OFFSET(载具产出!$N$49,MATCH(AK$6,$AK$6:$AN$6,0)-1,0)),OFFSET(载具产出!F$59,$AJ104-1,0)*10+OFFSET(载具产出!J$59,$AJ104-1,0)+($AI104*10-_xlfn.XLOOKUP($AJ104-1,载具产出!$D$59:$D$67,载具产出!$E$59:$E$67))/10*(10*OFFSET(载具产出!$D$45,MATCH(AK$6,$AK$6:$AN$6,0)-1,$AJ104)+OFFSET(载具产出!$D$49,MATCH(AK$6,$AK$6:$AN$6,0)-1,$AJ104)*OFFSET(载具产出!$N$49,MATCH(AK$6,$AK$6:$AN$6,0)-1,0)))</f>
        <v>1861.28314285715</v>
      </c>
      <c r="AL104" s="44">
        <f ca="1">IF($AJ104=1,($AI104)*(10*OFFSET(载具产出!$D$45,MATCH(AL$6,$AK$6:$AN$6,0)-1,$AJ104)+OFFSET(载具产出!$D$49,MATCH(AL$6,$AK$6:$AN$6,0)-1,$AJ104)*OFFSET(载具产出!$N$49,MATCH(AL$6,$AK$6:$AN$6,0)-1,0)),OFFSET(载具产出!G$59,$AJ104-1,0)*10+OFFSET(载具产出!K$59,$AJ104-1,0)+($AI104*10-_xlfn.XLOOKUP($AJ104-1,载具产出!$D$59:$D$67,载具产出!$E$59:$E$67))/10*(10*OFFSET(载具产出!$D$45,MATCH(AL$6,$AK$6:$AN$6,0)-1,$AJ104)+OFFSET(载具产出!$D$49,MATCH(AL$6,$AK$6:$AN$6,0)-1,$AJ104)*OFFSET(载具产出!$N$49,MATCH(AL$6,$AK$6:$AN$6,0)-1,0)))</f>
        <v>689.314285714288</v>
      </c>
      <c r="AM104" s="44">
        <f ca="1">IF($AJ104=1,($AI104)*(10*OFFSET(载具产出!$D$45,MATCH(AM$6,$AK$6:$AN$6,0)-1,$AJ104)+OFFSET(载具产出!$D$49,MATCH(AM$6,$AK$6:$AN$6,0)-1,$AJ104)*OFFSET(载具产出!$N$49,MATCH(AM$6,$AK$6:$AN$6,0)-1,0)),OFFSET(载具产出!H$59,$AJ104-1,0)*10+OFFSET(载具产出!L$59,$AJ104-1,0)+($AI104*10-_xlfn.XLOOKUP($AJ104-1,载具产出!$D$59:$D$67,载具产出!$E$59:$E$67))/10*(10*OFFSET(载具产出!$D$45,MATCH(AM$6,$AK$6:$AN$6,0)-1,$AJ104)+OFFSET(载具产出!$D$49,MATCH(AM$6,$AK$6:$AN$6,0)-1,$AJ104)*OFFSET(载具产出!$N$49,MATCH(AM$6,$AK$6:$AN$6,0)-1,0)))</f>
        <v>358.85942857143</v>
      </c>
      <c r="AN104" s="44">
        <f ca="1">IF($AJ104=1,($AI104)*(10*OFFSET(载具产出!$D$45,MATCH(AN$6,$AK$6:$AN$6,0)-1,$AJ104)+OFFSET(载具产出!$D$49,MATCH(AN$6,$AK$6:$AN$6,0)-1,$AJ104)*OFFSET(载具产出!$N$49,MATCH(AN$6,$AK$6:$AN$6,0)-1,0)),OFFSET(载具产出!I$59,$AJ104-1,0)*10+OFFSET(载具产出!M$59,$AJ104-1,0)+($AI104*10-_xlfn.XLOOKUP($AJ104-1,载具产出!$D$59:$D$67,载具产出!$E$59:$E$67))/10*(10*OFFSET(载具产出!$D$45,MATCH(AN$6,$AK$6:$AN$6,0)-1,$AJ104)+OFFSET(载具产出!$D$49,MATCH(AN$6,$AK$6:$AN$6,0)-1,$AJ104)*OFFSET(载具产出!$N$49,MATCH(AN$6,$AK$6:$AN$6,0)-1,0)))</f>
        <v>102.668285714286</v>
      </c>
      <c r="AO104" s="44">
        <f ca="1" t="shared" si="22"/>
        <v>2494.08314285715</v>
      </c>
      <c r="AP104" s="44">
        <f ca="1" t="shared" si="23"/>
        <v>1270.00761904762</v>
      </c>
      <c r="AQ104" s="44">
        <f ca="1" t="shared" si="24"/>
        <v>398.69942857143</v>
      </c>
      <c r="AR104" s="44">
        <f ca="1" t="shared" si="25"/>
        <v>102.668285714286</v>
      </c>
      <c r="AS104" s="45">
        <f ca="1">IFERROR(MATCH(AO104/载具产出!R$58,载具属性!$G$33:$G$92,1),0)</f>
        <v>25</v>
      </c>
      <c r="AT104" s="45">
        <f ca="1">IFERROR(MATCH(AP104/载具产出!S$58,载具属性!$G$33:$G$92,1),0)</f>
        <v>17</v>
      </c>
      <c r="AU104" s="45">
        <f ca="1">IFERROR(MATCH(AQ104/载具产出!T$58,载具属性!$G$33:$G$92,1),0)</f>
        <v>8</v>
      </c>
      <c r="AV104" s="45">
        <f ca="1">IFERROR(MATCH(AR104/载具产出!U$58,载具属性!$G$33:$G$92,1),0)</f>
        <v>1</v>
      </c>
      <c r="AW104" s="46" t="str">
        <f ca="1" t="shared" si="26"/>
        <v>[{62,472},{63,49050},{2,128600},{6030001,1742},{6030002,1632},{6030003,112}]</v>
      </c>
      <c r="AX104" t="str">
        <f ca="1" t="shared" si="27"/>
        <v>{62,472}</v>
      </c>
      <c r="AY104" t="str">
        <f ca="1" t="shared" si="28"/>
        <v>{63,49050}</v>
      </c>
      <c r="AZ104" t="str">
        <f ca="1" t="shared" si="29"/>
        <v>{2,128600}</v>
      </c>
      <c r="BA104" t="str">
        <f ca="1" t="shared" si="30"/>
        <v>{6030001,1742}</v>
      </c>
      <c r="BB104" t="str">
        <f ca="1" t="shared" si="31"/>
        <v>{6030002,1632}</v>
      </c>
      <c r="BC104" t="str">
        <f ca="1" t="shared" si="32"/>
        <v>{6030003,112}</v>
      </c>
      <c r="BD104" t="str">
        <f ca="1" t="shared" si="33"/>
        <v/>
      </c>
    </row>
    <row r="105" spans="3:56">
      <c r="C105">
        <f ca="1" t="shared" si="21"/>
        <v>112.810218978102</v>
      </c>
      <c r="D105" s="40">
        <v>99</v>
      </c>
      <c r="E105" s="40">
        <v>100</v>
      </c>
      <c r="F105" s="40">
        <v>119</v>
      </c>
      <c r="G105" s="41">
        <v>137</v>
      </c>
      <c r="H105" s="40">
        <f t="shared" si="18"/>
        <v>184</v>
      </c>
      <c r="I105" s="40">
        <f t="shared" si="20"/>
        <v>224</v>
      </c>
      <c r="J105" s="40">
        <f t="shared" si="19"/>
        <v>197</v>
      </c>
      <c r="K105" s="40">
        <f ca="1">SUM(U$36:U105)-SUM(OFFSET(载具产出!H$399,0,0,$R105+1,1))</f>
        <v>479</v>
      </c>
      <c r="L105" s="40">
        <f ca="1">SUM(T$36:T105)-SUM(OFFSET(载具产出!G$399,0,0,$R105+1,1))</f>
        <v>49965</v>
      </c>
      <c r="M105" s="40">
        <f ca="1">SUM(V$36:V105)/2-SUM(OFFSET(载具产出!I$399,0,0,$R105+1,1))</f>
        <v>131500</v>
      </c>
      <c r="N105" s="40">
        <f ca="1">SUM(AA$36:AA105)-SUM(OFFSET(载具产出!J$399,0,0,$R105+1,1))</f>
        <v>1760.6</v>
      </c>
      <c r="O105" s="40">
        <f ca="1">SUM(AB$36:AB105)-SUM(OFFSET(载具产出!K$399,0,0,$R105+1,1))</f>
        <v>1661.72</v>
      </c>
      <c r="P105" s="40">
        <f ca="1">SUM(AC$36:AC105)-SUM(OFFSET(载具产出!L$399,0,0,$R105+1,1))</f>
        <v>115.68</v>
      </c>
      <c r="Q105" s="40">
        <f ca="1">SUM(AD$36:AD105)-SUM(OFFSET(载具产出!M$399,0,0,$R105+1,1))</f>
        <v>0</v>
      </c>
      <c r="R105" s="40">
        <v>11</v>
      </c>
      <c r="S105" s="40" t="str">
        <f ca="1">OFFSET(载具产出!$D$111,IFERROR(MATCH(OFFSET($D105,0,MATCH($D$5,$E$6:$H$6,0)),载具产出!$E$112:$E$151,1),0),0)</f>
        <v>豪华Ⅴ</v>
      </c>
      <c r="T105" s="40">
        <f ca="1">OFFSET(载具产出!$F$399,IFERROR(MATCH(OFFSET($D105,0,MATCH($D$5,$E$6:$H$6,0)),载具产出!$E$400:$E$439,1),0),MATCH(T$6,载具产出!$G$399:$O$399,0))</f>
        <v>915</v>
      </c>
      <c r="U105" s="40">
        <v>7</v>
      </c>
      <c r="V105" s="40">
        <f ca="1">OFFSET(载具产出!$F$399,IFERROR(MATCH(OFFSET($D105,0,MATCH($D$5,$E$6:$H$6,0)),载具产出!$E$400:$E$439,1),0),MATCH(V$6,载具产出!$G$399:$O$399,0))</f>
        <v>5800</v>
      </c>
      <c r="W105" s="43">
        <f ca="1">_xlfn.XLOOKUP(Z105,载具属性!$E$98:$E$497,载具属性!$G$98:$G$497)+6000+OFFSET(载具属性!L$33,AS105,0)*载具属性!M$30+OFFSET(载具属性!M$33,AT105,0)*载具属性!N$30+OFFSET(载具属性!N$33,AU105,0)*载具属性!O$30+OFFSET(载具属性!O$33,AV105,0)*载具属性!P$30</f>
        <v>15455</v>
      </c>
      <c r="X105" s="43">
        <f ca="1">_xlfn.XLOOKUP(Z105,载具属性!$E$98:$E$497,载具属性!$G$98:$G$497)</f>
        <v>5390</v>
      </c>
      <c r="Y105" s="43">
        <f ca="1">OFFSET(载具属性!L$33,AS105,0)*载具属性!M$30+OFFSET(载具属性!M$33,AT105,0)*载具属性!N$30+OFFSET(载具属性!N$33,AU105,0)*载具属性!O$30+OFFSET(载具属性!O$33,AV105,0)*载具属性!P$30</f>
        <v>4065</v>
      </c>
      <c r="Z105" s="40">
        <f ca="1">MATCH(SUM($T$7:T105),载具属性!$I$98:$I$497,1)</f>
        <v>92</v>
      </c>
      <c r="AA105" s="40">
        <f ca="1">OFFSET(载具产出!$F$399,IFERROR(MATCH(OFFSET($D105,0,MATCH($D$5,$E$6:$H$6,0)),载具产出!$E$112:$E$151,1),0),MATCH(AA$6,载具产出!$G$111:$O$111,0))*2</f>
        <v>18</v>
      </c>
      <c r="AB105" s="40">
        <f ca="1">OFFSET(载具产出!$F$399,IFERROR(MATCH(OFFSET($D105,0,MATCH($D$5,$E$6:$H$6,0)),载具产出!$E$112:$E$151,1),0),MATCH(AB$6,载具产出!$G$111:$O$111,0))*2</f>
        <v>29.12</v>
      </c>
      <c r="AC105" s="40">
        <f ca="1">OFFSET(载具产出!$F$399,IFERROR(MATCH(OFFSET($D105,0,MATCH($D$5,$E$6:$H$6,0)),载具产出!$E$112:$E$151,1),0),MATCH(AC$6,载具产出!$G$111:$O$111,0))*2</f>
        <v>2.88</v>
      </c>
      <c r="AD105" s="40">
        <f ca="1">OFFSET(载具产出!$F$399,IFERROR(MATCH(OFFSET($D105,0,MATCH($D$5,$E$6:$H$6,0)),载具产出!$E$112:$E$151,1),0),MATCH(AD$6,载具产出!$G$111:$O$111,0))*2</f>
        <v>0</v>
      </c>
      <c r="AE105" s="44">
        <f ca="1">SUM(AA$36:AA105)/3</f>
        <v>638.8</v>
      </c>
      <c r="AF105" s="44">
        <f ca="1">SUM(AB$36:AB105)/3</f>
        <v>590.399999999999</v>
      </c>
      <c r="AG105" s="44">
        <f ca="1">SUM(AC$36:AC105)/3</f>
        <v>40.8</v>
      </c>
      <c r="AH105" s="44">
        <f ca="1">SUM(AD$36:AD105)/3</f>
        <v>0</v>
      </c>
      <c r="AI105" s="44">
        <f>_xlfn.XLOOKUP($D$5,载具产出!$D$71:$D$75,载具产出!$E$71:$E$75)*(D105-30+1)</f>
        <v>823.333333333336</v>
      </c>
      <c r="AJ105" s="44">
        <f>IFERROR(MATCH(_xlfn.XLOOKUP($D$5,载具产出!$D$71:$D$75,载具产出!$E$71:$E$75)*(D105-30+1)*10,载具产出!$E$60:$E$67,1),0)+1</f>
        <v>6</v>
      </c>
      <c r="AK105" s="44">
        <f ca="1">IF($AJ105=1,($AI105)*(10*OFFSET(载具产出!$D$45,MATCH(AK$6,$AK$6:$AN$6,0)-1,$AJ105)+OFFSET(载具产出!$D$49,MATCH(AK$6,$AK$6:$AN$6,0)-1,$AJ105)*OFFSET(载具产出!$N$49,MATCH(AK$6,$AK$6:$AN$6,0)-1,0)),OFFSET(载具产出!F$59,$AJ105-1,0)*10+OFFSET(载具产出!J$59,$AJ105-1,0)+($AI105*10-_xlfn.XLOOKUP($AJ105-1,载具产出!$D$59:$D$67,载具产出!$E$59:$E$67))/10*(10*OFFSET(载具产出!$D$45,MATCH(AK$6,$AK$6:$AN$6,0)-1,$AJ105)+OFFSET(载具产出!$D$49,MATCH(AK$6,$AK$6:$AN$6,0)-1,$AJ105)*OFFSET(载具产出!$N$49,MATCH(AK$6,$AK$6:$AN$6,0)-1,0)))</f>
        <v>1886.83000000001</v>
      </c>
      <c r="AL105" s="44">
        <f ca="1">IF($AJ105=1,($AI105)*(10*OFFSET(载具产出!$D$45,MATCH(AL$6,$AK$6:$AN$6,0)-1,$AJ105)+OFFSET(载具产出!$D$49,MATCH(AL$6,$AK$6:$AN$6,0)-1,$AJ105)*OFFSET(载具产出!$N$49,MATCH(AL$6,$AK$6:$AN$6,0)-1,0)),OFFSET(载具产出!G$59,$AJ105-1,0)*10+OFFSET(载具产出!K$59,$AJ105-1,0)+($AI105*10-_xlfn.XLOOKUP($AJ105-1,载具产出!$D$59:$D$67,载具产出!$E$59:$E$67))/10*(10*OFFSET(载具产出!$D$45,MATCH(AL$6,$AK$6:$AN$6,0)-1,$AJ105)+OFFSET(载具产出!$D$49,MATCH(AL$6,$AK$6:$AN$6,0)-1,$AJ105)*OFFSET(载具产出!$N$49,MATCH(AL$6,$AK$6:$AN$6,0)-1,0)))</f>
        <v>699.900000000002</v>
      </c>
      <c r="AM105" s="44">
        <f ca="1">IF($AJ105=1,($AI105)*(10*OFFSET(载具产出!$D$45,MATCH(AM$6,$AK$6:$AN$6,0)-1,$AJ105)+OFFSET(载具产出!$D$49,MATCH(AM$6,$AK$6:$AN$6,0)-1,$AJ105)*OFFSET(载具产出!$N$49,MATCH(AM$6,$AK$6:$AN$6,0)-1,0)),OFFSET(载具产出!H$59,$AJ105-1,0)*10+OFFSET(载具产出!L$59,$AJ105-1,0)+($AI105*10-_xlfn.XLOOKUP($AJ105-1,载具产出!$D$59:$D$67,载具产出!$E$59:$E$67))/10*(10*OFFSET(载具产出!$D$45,MATCH(AM$6,$AK$6:$AN$6,0)-1,$AJ105)+OFFSET(载具产出!$D$49,MATCH(AM$6,$AK$6:$AN$6,0)-1,$AJ105)*OFFSET(载具产出!$N$49,MATCH(AM$6,$AK$6:$AN$6,0)-1,0)))</f>
        <v>364.693333333335</v>
      </c>
      <c r="AN105" s="44">
        <f ca="1">IF($AJ105=1,($AI105)*(10*OFFSET(载具产出!$D$45,MATCH(AN$6,$AK$6:$AN$6,0)-1,$AJ105)+OFFSET(载具产出!$D$49,MATCH(AN$6,$AK$6:$AN$6,0)-1,$AJ105)*OFFSET(载具产出!$N$49,MATCH(AN$6,$AK$6:$AN$6,0)-1,0)),OFFSET(载具产出!I$59,$AJ105-1,0)*10+OFFSET(载具产出!M$59,$AJ105-1,0)+($AI105*10-_xlfn.XLOOKUP($AJ105-1,载具产出!$D$59:$D$67,载具产出!$E$59:$E$67))/10*(10*OFFSET(载具产出!$D$45,MATCH(AN$6,$AK$6:$AN$6,0)-1,$AJ105)+OFFSET(载具产出!$D$49,MATCH(AN$6,$AK$6:$AN$6,0)-1,$AJ105)*OFFSET(载具产出!$N$49,MATCH(AN$6,$AK$6:$AN$6,0)-1,0)))</f>
        <v>104.526666666667</v>
      </c>
      <c r="AO105" s="44">
        <f ca="1" t="shared" si="22"/>
        <v>2525.63000000001</v>
      </c>
      <c r="AP105" s="44">
        <f ca="1" t="shared" si="23"/>
        <v>1290.3</v>
      </c>
      <c r="AQ105" s="44">
        <f ca="1" t="shared" si="24"/>
        <v>405.493333333335</v>
      </c>
      <c r="AR105" s="44">
        <f ca="1" t="shared" si="25"/>
        <v>104.526666666667</v>
      </c>
      <c r="AS105" s="45">
        <f ca="1">IFERROR(MATCH(AO105/载具产出!R$58,载具属性!$G$33:$G$92,1),0)</f>
        <v>25</v>
      </c>
      <c r="AT105" s="45">
        <f ca="1">IFERROR(MATCH(AP105/载具产出!S$58,载具属性!$G$33:$G$92,1),0)</f>
        <v>17</v>
      </c>
      <c r="AU105" s="45">
        <f ca="1">IFERROR(MATCH(AQ105/载具产出!T$58,载具属性!$G$33:$G$92,1),0)</f>
        <v>8</v>
      </c>
      <c r="AV105" s="45">
        <f ca="1">IFERROR(MATCH(AR105/载具产出!U$58,载具属性!$G$33:$G$92,1),0)</f>
        <v>1</v>
      </c>
      <c r="AW105" s="46" t="str">
        <f ca="1" t="shared" si="26"/>
        <v>[{62,479},{63,49965},{2,131500},{6030001,1760},{6030002,1661},{6030003,115}]</v>
      </c>
      <c r="AX105" t="str">
        <f ca="1" t="shared" si="27"/>
        <v>{62,479}</v>
      </c>
      <c r="AY105" t="str">
        <f ca="1" t="shared" si="28"/>
        <v>{63,49965}</v>
      </c>
      <c r="AZ105" t="str">
        <f ca="1" t="shared" si="29"/>
        <v>{2,131500}</v>
      </c>
      <c r="BA105" t="str">
        <f ca="1" t="shared" si="30"/>
        <v>{6030001,1760}</v>
      </c>
      <c r="BB105" t="str">
        <f ca="1" t="shared" si="31"/>
        <v>{6030002,1661}</v>
      </c>
      <c r="BC105" t="str">
        <f ca="1" t="shared" si="32"/>
        <v>{6030003,115}</v>
      </c>
      <c r="BD105" t="str">
        <f ca="1" t="shared" si="33"/>
        <v/>
      </c>
    </row>
    <row r="106" spans="3:56">
      <c r="C106">
        <f ca="1" t="shared" si="21"/>
        <v>111.992753623188</v>
      </c>
      <c r="D106" s="40">
        <v>100</v>
      </c>
      <c r="E106" s="40">
        <v>101</v>
      </c>
      <c r="F106" s="40">
        <v>119</v>
      </c>
      <c r="G106" s="41">
        <v>138</v>
      </c>
      <c r="H106" s="40">
        <f t="shared" si="18"/>
        <v>185</v>
      </c>
      <c r="I106" s="40">
        <f t="shared" si="20"/>
        <v>226</v>
      </c>
      <c r="J106" s="40">
        <f t="shared" si="19"/>
        <v>198</v>
      </c>
      <c r="K106" s="40">
        <f ca="1">SUM(U$36:U106)-SUM(OFFSET(载具产出!H$399,0,0,$R106+1,1))</f>
        <v>486</v>
      </c>
      <c r="L106" s="40">
        <f ca="1">SUM(T$36:T106)-SUM(OFFSET(载具产出!G$399,0,0,$R106+1,1))</f>
        <v>50880</v>
      </c>
      <c r="M106" s="40">
        <f ca="1">SUM(V$36:V106)/2-SUM(OFFSET(载具产出!I$399,0,0,$R106+1,1))</f>
        <v>134400</v>
      </c>
      <c r="N106" s="40">
        <f ca="1">SUM(AA$36:AA106)-SUM(OFFSET(载具产出!J$399,0,0,$R106+1,1))</f>
        <v>1778.6</v>
      </c>
      <c r="O106" s="40">
        <f ca="1">SUM(AB$36:AB106)-SUM(OFFSET(载具产出!K$399,0,0,$R106+1,1))</f>
        <v>1690.84</v>
      </c>
      <c r="P106" s="40">
        <f ca="1">SUM(AC$36:AC106)-SUM(OFFSET(载具产出!L$399,0,0,$R106+1,1))</f>
        <v>118.56</v>
      </c>
      <c r="Q106" s="40">
        <f ca="1">SUM(AD$36:AD106)-SUM(OFFSET(载具产出!M$399,0,0,$R106+1,1))</f>
        <v>0</v>
      </c>
      <c r="R106" s="40">
        <v>11</v>
      </c>
      <c r="S106" s="40" t="str">
        <f ca="1">OFFSET(载具产出!$D$111,IFERROR(MATCH(OFFSET($D106,0,MATCH($D$5,$E$6:$H$6,0)),载具产出!$E$112:$E$151,1),0),0)</f>
        <v>豪华Ⅴ</v>
      </c>
      <c r="T106" s="40">
        <f ca="1">OFFSET(载具产出!$F$399,IFERROR(MATCH(OFFSET($D106,0,MATCH($D$5,$E$6:$H$6,0)),载具产出!$E$400:$E$439,1),0),MATCH(T$6,载具产出!$G$399:$O$399,0))</f>
        <v>915</v>
      </c>
      <c r="U106" s="40">
        <v>7</v>
      </c>
      <c r="V106" s="40">
        <f ca="1">OFFSET(载具产出!$F$399,IFERROR(MATCH(OFFSET($D106,0,MATCH($D$5,$E$6:$H$6,0)),载具产出!$E$400:$E$439,1),0),MATCH(V$6,载具产出!$G$399:$O$399,0))</f>
        <v>5800</v>
      </c>
      <c r="W106" s="43">
        <f ca="1">_xlfn.XLOOKUP(Z106,载具属性!$E$98:$E$497,载具属性!$G$98:$G$497)+6000+OFFSET(载具属性!L$33,AS106,0)*载具属性!M$30+OFFSET(载具属性!M$33,AT106,0)*载具属性!N$30+OFFSET(载具属性!N$33,AU106,0)*载具属性!O$30+OFFSET(载具属性!O$33,AV106,0)*载具属性!P$30</f>
        <v>15455</v>
      </c>
      <c r="X106" s="43">
        <f ca="1">_xlfn.XLOOKUP(Z106,载具属性!$E$98:$E$497,载具属性!$G$98:$G$497)</f>
        <v>5390</v>
      </c>
      <c r="Y106" s="43">
        <f ca="1">OFFSET(载具属性!L$33,AS106,0)*载具属性!M$30+OFFSET(载具属性!M$33,AT106,0)*载具属性!N$30+OFFSET(载具属性!N$33,AU106,0)*载具属性!O$30+OFFSET(载具属性!O$33,AV106,0)*载具属性!P$30</f>
        <v>4065</v>
      </c>
      <c r="Z106" s="40">
        <f ca="1">MATCH(SUM($T$7:T106),载具属性!$I$98:$I$497,1)</f>
        <v>92</v>
      </c>
      <c r="AA106" s="40">
        <f ca="1">OFFSET(载具产出!$F$399,IFERROR(MATCH(OFFSET($D106,0,MATCH($D$5,$E$6:$H$6,0)),载具产出!$E$112:$E$151,1),0),MATCH(AA$6,载具产出!$G$111:$O$111,0))*2</f>
        <v>18</v>
      </c>
      <c r="AB106" s="40">
        <f ca="1">OFFSET(载具产出!$F$399,IFERROR(MATCH(OFFSET($D106,0,MATCH($D$5,$E$6:$H$6,0)),载具产出!$E$112:$E$151,1),0),MATCH(AB$6,载具产出!$G$111:$O$111,0))*2</f>
        <v>29.12</v>
      </c>
      <c r="AC106" s="40">
        <f ca="1">OFFSET(载具产出!$F$399,IFERROR(MATCH(OFFSET($D106,0,MATCH($D$5,$E$6:$H$6,0)),载具产出!$E$112:$E$151,1),0),MATCH(AC$6,载具产出!$G$111:$O$111,0))*2</f>
        <v>2.88</v>
      </c>
      <c r="AD106" s="40">
        <f ca="1">OFFSET(载具产出!$F$399,IFERROR(MATCH(OFFSET($D106,0,MATCH($D$5,$E$6:$H$6,0)),载具产出!$E$112:$E$151,1),0),MATCH(AD$6,载具产出!$G$111:$O$111,0))*2</f>
        <v>0</v>
      </c>
      <c r="AE106" s="44">
        <f ca="1">SUM(AA$36:AA106)/3</f>
        <v>644.8</v>
      </c>
      <c r="AF106" s="44">
        <f ca="1">SUM(AB$36:AB106)/3</f>
        <v>600.106666666666</v>
      </c>
      <c r="AG106" s="44">
        <f ca="1">SUM(AC$36:AC106)/3</f>
        <v>41.76</v>
      </c>
      <c r="AH106" s="44">
        <f ca="1">SUM(AD$36:AD106)/3</f>
        <v>0</v>
      </c>
      <c r="AI106" s="44">
        <f>_xlfn.XLOOKUP($D$5,载具产出!$D$71:$D$75,载具产出!$E$71:$E$75)*(D106-30+1)</f>
        <v>835.095238095241</v>
      </c>
      <c r="AJ106" s="44">
        <f>IFERROR(MATCH(_xlfn.XLOOKUP($D$5,载具产出!$D$71:$D$75,载具产出!$E$71:$E$75)*(D106-30+1)*10,载具产出!$E$60:$E$67,1),0)+1</f>
        <v>6</v>
      </c>
      <c r="AK106" s="44">
        <f ca="1">IF($AJ106=1,($AI106)*(10*OFFSET(载具产出!$D$45,MATCH(AK$6,$AK$6:$AN$6,0)-1,$AJ106)+OFFSET(载具产出!$D$49,MATCH(AK$6,$AK$6:$AN$6,0)-1,$AJ106)*OFFSET(载具产出!$N$49,MATCH(AK$6,$AK$6:$AN$6,0)-1,0)),OFFSET(载具产出!F$59,$AJ106-1,0)*10+OFFSET(载具产出!J$59,$AJ106-1,0)+($AI106*10-_xlfn.XLOOKUP($AJ106-1,载具产出!$D$59:$D$67,载具产出!$E$59:$E$67))/10*(10*OFFSET(载具产出!$D$45,MATCH(AK$6,$AK$6:$AN$6,0)-1,$AJ106)+OFFSET(载具产出!$D$49,MATCH(AK$6,$AK$6:$AN$6,0)-1,$AJ106)*OFFSET(载具产出!$N$49,MATCH(AK$6,$AK$6:$AN$6,0)-1,0)))</f>
        <v>1912.37685714286</v>
      </c>
      <c r="AL106" s="44">
        <f ca="1">IF($AJ106=1,($AI106)*(10*OFFSET(载具产出!$D$45,MATCH(AL$6,$AK$6:$AN$6,0)-1,$AJ106)+OFFSET(载具产出!$D$49,MATCH(AL$6,$AK$6:$AN$6,0)-1,$AJ106)*OFFSET(载具产出!$N$49,MATCH(AL$6,$AK$6:$AN$6,0)-1,0)),OFFSET(载具产出!G$59,$AJ106-1,0)*10+OFFSET(载具产出!K$59,$AJ106-1,0)+($AI106*10-_xlfn.XLOOKUP($AJ106-1,载具产出!$D$59:$D$67,载具产出!$E$59:$E$67))/10*(10*OFFSET(载具产出!$D$45,MATCH(AL$6,$AK$6:$AN$6,0)-1,$AJ106)+OFFSET(载具产出!$D$49,MATCH(AL$6,$AK$6:$AN$6,0)-1,$AJ106)*OFFSET(载具产出!$N$49,MATCH(AL$6,$AK$6:$AN$6,0)-1,0)))</f>
        <v>710.485714285717</v>
      </c>
      <c r="AM106" s="44">
        <f ca="1">IF($AJ106=1,($AI106)*(10*OFFSET(载具产出!$D$45,MATCH(AM$6,$AK$6:$AN$6,0)-1,$AJ106)+OFFSET(载具产出!$D$49,MATCH(AM$6,$AK$6:$AN$6,0)-1,$AJ106)*OFFSET(载具产出!$N$49,MATCH(AM$6,$AK$6:$AN$6,0)-1,0)),OFFSET(载具产出!H$59,$AJ106-1,0)*10+OFFSET(载具产出!L$59,$AJ106-1,0)+($AI106*10-_xlfn.XLOOKUP($AJ106-1,载具产出!$D$59:$D$67,载具产出!$E$59:$E$67))/10*(10*OFFSET(载具产出!$D$45,MATCH(AM$6,$AK$6:$AN$6,0)-1,$AJ106)+OFFSET(载具产出!$D$49,MATCH(AM$6,$AK$6:$AN$6,0)-1,$AJ106)*OFFSET(载具产出!$N$49,MATCH(AM$6,$AK$6:$AN$6,0)-1,0)))</f>
        <v>370.52723809524</v>
      </c>
      <c r="AN106" s="44">
        <f ca="1">IF($AJ106=1,($AI106)*(10*OFFSET(载具产出!$D$45,MATCH(AN$6,$AK$6:$AN$6,0)-1,$AJ106)+OFFSET(载具产出!$D$49,MATCH(AN$6,$AK$6:$AN$6,0)-1,$AJ106)*OFFSET(载具产出!$N$49,MATCH(AN$6,$AK$6:$AN$6,0)-1,0)),OFFSET(载具产出!I$59,$AJ106-1,0)*10+OFFSET(载具产出!M$59,$AJ106-1,0)+($AI106*10-_xlfn.XLOOKUP($AJ106-1,载具产出!$D$59:$D$67,载具产出!$E$59:$E$67))/10*(10*OFFSET(载具产出!$D$45,MATCH(AN$6,$AK$6:$AN$6,0)-1,$AJ106)+OFFSET(载具产出!$D$49,MATCH(AN$6,$AK$6:$AN$6,0)-1,$AJ106)*OFFSET(载具产出!$N$49,MATCH(AN$6,$AK$6:$AN$6,0)-1,0)))</f>
        <v>106.385047619048</v>
      </c>
      <c r="AO106" s="44">
        <f ca="1" t="shared" si="22"/>
        <v>2557.17685714286</v>
      </c>
      <c r="AP106" s="44">
        <f ca="1" t="shared" si="23"/>
        <v>1310.59238095238</v>
      </c>
      <c r="AQ106" s="44">
        <f ca="1" t="shared" si="24"/>
        <v>412.28723809524</v>
      </c>
      <c r="AR106" s="44">
        <f ca="1" t="shared" si="25"/>
        <v>106.385047619048</v>
      </c>
      <c r="AS106" s="45">
        <f ca="1">IFERROR(MATCH(AO106/载具产出!R$58,载具属性!$G$33:$G$92,1),0)</f>
        <v>25</v>
      </c>
      <c r="AT106" s="45">
        <f ca="1">IFERROR(MATCH(AP106/载具产出!S$58,载具属性!$G$33:$G$92,1),0)</f>
        <v>17</v>
      </c>
      <c r="AU106" s="45">
        <f ca="1">IFERROR(MATCH(AQ106/载具产出!T$58,载具属性!$G$33:$G$92,1),0)</f>
        <v>8</v>
      </c>
      <c r="AV106" s="45">
        <f ca="1">IFERROR(MATCH(AR106/载具产出!U$58,载具属性!$G$33:$G$92,1),0)</f>
        <v>1</v>
      </c>
      <c r="AW106" s="46" t="str">
        <f ca="1" t="shared" si="26"/>
        <v>[{62,486},{63,50880},{2,134400},{6030001,1778},{6030002,1690},{6030003,118}]</v>
      </c>
      <c r="AX106" t="str">
        <f ca="1" t="shared" si="27"/>
        <v>{62,486}</v>
      </c>
      <c r="AY106" t="str">
        <f ca="1" t="shared" si="28"/>
        <v>{63,50880}</v>
      </c>
      <c r="AZ106" t="str">
        <f ca="1" t="shared" si="29"/>
        <v>{2,134400}</v>
      </c>
      <c r="BA106" t="str">
        <f ca="1" t="shared" si="30"/>
        <v>{6030001,1778}</v>
      </c>
      <c r="BB106" t="str">
        <f ca="1" t="shared" si="31"/>
        <v>{6030002,1690}</v>
      </c>
      <c r="BC106" t="str">
        <f ca="1" t="shared" si="32"/>
        <v>{6030003,118}</v>
      </c>
      <c r="BD106" t="str">
        <f ca="1" t="shared" si="33"/>
        <v/>
      </c>
    </row>
    <row r="107" spans="3:56">
      <c r="C107">
        <f ca="1" t="shared" si="21"/>
        <v>112.5</v>
      </c>
      <c r="D107" s="40">
        <v>101</v>
      </c>
      <c r="E107" s="40">
        <v>101</v>
      </c>
      <c r="F107" s="40">
        <v>119</v>
      </c>
      <c r="G107" s="41">
        <v>138</v>
      </c>
      <c r="H107" s="40">
        <f t="shared" si="18"/>
        <v>186</v>
      </c>
      <c r="I107" s="40">
        <f t="shared" si="20"/>
        <v>228</v>
      </c>
      <c r="J107" s="40">
        <f t="shared" si="19"/>
        <v>200</v>
      </c>
      <c r="K107" s="40">
        <f ca="1">SUM(U$36:U107)-SUM(OFFSET(载具产出!H$399,0,0,$R107+1,1))</f>
        <v>493</v>
      </c>
      <c r="L107" s="40">
        <f ca="1">SUM(T$36:T107)-SUM(OFFSET(载具产出!G$399,0,0,$R107+1,1))</f>
        <v>51795</v>
      </c>
      <c r="M107" s="40">
        <f ca="1">SUM(V$36:V107)/2-SUM(OFFSET(载具产出!I$399,0,0,$R107+1,1))</f>
        <v>137300</v>
      </c>
      <c r="N107" s="40">
        <f ca="1">SUM(AA$36:AA107)-SUM(OFFSET(载具产出!J$399,0,0,$R107+1,1))</f>
        <v>1796.6</v>
      </c>
      <c r="O107" s="40">
        <f ca="1">SUM(AB$36:AB107)-SUM(OFFSET(载具产出!K$399,0,0,$R107+1,1))</f>
        <v>1719.96</v>
      </c>
      <c r="P107" s="40">
        <f ca="1">SUM(AC$36:AC107)-SUM(OFFSET(载具产出!L$399,0,0,$R107+1,1))</f>
        <v>121.44</v>
      </c>
      <c r="Q107" s="40">
        <f ca="1">SUM(AD$36:AD107)-SUM(OFFSET(载具产出!M$399,0,0,$R107+1,1))</f>
        <v>0</v>
      </c>
      <c r="R107" s="40">
        <v>11</v>
      </c>
      <c r="S107" s="40" t="str">
        <f ca="1">OFFSET(载具产出!$D$111,IFERROR(MATCH(OFFSET($D107,0,MATCH($D$5,$E$6:$H$6,0)),载具产出!$E$112:$E$151,1),0),0)</f>
        <v>豪华Ⅴ</v>
      </c>
      <c r="T107" s="40">
        <f ca="1">OFFSET(载具产出!$F$399,IFERROR(MATCH(OFFSET($D107,0,MATCH($D$5,$E$6:$H$6,0)),载具产出!$E$400:$E$439,1),0),MATCH(T$6,载具产出!$G$399:$O$399,0))</f>
        <v>915</v>
      </c>
      <c r="U107" s="40">
        <v>7</v>
      </c>
      <c r="V107" s="40">
        <f ca="1">OFFSET(载具产出!$F$399,IFERROR(MATCH(OFFSET($D107,0,MATCH($D$5,$E$6:$H$6,0)),载具产出!$E$400:$E$439,1),0),MATCH(V$6,载具产出!$G$399:$O$399,0))</f>
        <v>5800</v>
      </c>
      <c r="W107" s="43">
        <f ca="1">_xlfn.XLOOKUP(Z107,载具属性!$E$98:$E$497,载具属性!$G$98:$G$497)+6000+OFFSET(载具属性!L$33,AS107,0)*载具属性!M$30+OFFSET(载具属性!M$33,AT107,0)*载具属性!N$30+OFFSET(载具属性!N$33,AU107,0)*载具属性!O$30+OFFSET(载具属性!O$33,AV107,0)*载具属性!P$30</f>
        <v>15525</v>
      </c>
      <c r="X107" s="43">
        <f ca="1">_xlfn.XLOOKUP(Z107,载具属性!$E$98:$E$497,载具属性!$G$98:$G$497)</f>
        <v>5460</v>
      </c>
      <c r="Y107" s="43">
        <f ca="1">OFFSET(载具属性!L$33,AS107,0)*载具属性!M$30+OFFSET(载具属性!M$33,AT107,0)*载具属性!N$30+OFFSET(载具属性!N$33,AU107,0)*载具属性!O$30+OFFSET(载具属性!O$33,AV107,0)*载具属性!P$30</f>
        <v>4065</v>
      </c>
      <c r="Z107" s="40">
        <f ca="1">MATCH(SUM($T$7:T107),载具属性!$I$98:$I$497,1)</f>
        <v>93</v>
      </c>
      <c r="AA107" s="40">
        <f ca="1">OFFSET(载具产出!$F$399,IFERROR(MATCH(OFFSET($D107,0,MATCH($D$5,$E$6:$H$6,0)),载具产出!$E$112:$E$151,1),0),MATCH(AA$6,载具产出!$G$111:$O$111,0))*2</f>
        <v>18</v>
      </c>
      <c r="AB107" s="40">
        <f ca="1">OFFSET(载具产出!$F$399,IFERROR(MATCH(OFFSET($D107,0,MATCH($D$5,$E$6:$H$6,0)),载具产出!$E$112:$E$151,1),0),MATCH(AB$6,载具产出!$G$111:$O$111,0))*2</f>
        <v>29.12</v>
      </c>
      <c r="AC107" s="40">
        <f ca="1">OFFSET(载具产出!$F$399,IFERROR(MATCH(OFFSET($D107,0,MATCH($D$5,$E$6:$H$6,0)),载具产出!$E$112:$E$151,1),0),MATCH(AC$6,载具产出!$G$111:$O$111,0))*2</f>
        <v>2.88</v>
      </c>
      <c r="AD107" s="40">
        <f ca="1">OFFSET(载具产出!$F$399,IFERROR(MATCH(OFFSET($D107,0,MATCH($D$5,$E$6:$H$6,0)),载具产出!$E$112:$E$151,1),0),MATCH(AD$6,载具产出!$G$111:$O$111,0))*2</f>
        <v>0</v>
      </c>
      <c r="AE107" s="44">
        <f ca="1">SUM(AA$36:AA107)/3</f>
        <v>650.8</v>
      </c>
      <c r="AF107" s="44">
        <f ca="1">SUM(AB$36:AB107)/3</f>
        <v>609.813333333332</v>
      </c>
      <c r="AG107" s="44">
        <f ca="1">SUM(AC$36:AC107)/3</f>
        <v>42.72</v>
      </c>
      <c r="AH107" s="44">
        <f ca="1">SUM(AD$36:AD107)/3</f>
        <v>0</v>
      </c>
      <c r="AI107" s="44">
        <f>_xlfn.XLOOKUP($D$5,载具产出!$D$71:$D$75,载具产出!$E$71:$E$75)*(D107-30+1)</f>
        <v>846.857142857146</v>
      </c>
      <c r="AJ107" s="44">
        <f>IFERROR(MATCH(_xlfn.XLOOKUP($D$5,载具产出!$D$71:$D$75,载具产出!$E$71:$E$75)*(D107-30+1)*10,载具产出!$E$60:$E$67,1),0)+1</f>
        <v>6</v>
      </c>
      <c r="AK107" s="44">
        <f ca="1">IF($AJ107=1,($AI107)*(10*OFFSET(载具产出!$D$45,MATCH(AK$6,$AK$6:$AN$6,0)-1,$AJ107)+OFFSET(载具产出!$D$49,MATCH(AK$6,$AK$6:$AN$6,0)-1,$AJ107)*OFFSET(载具产出!$N$49,MATCH(AK$6,$AK$6:$AN$6,0)-1,0)),OFFSET(载具产出!F$59,$AJ107-1,0)*10+OFFSET(载具产出!J$59,$AJ107-1,0)+($AI107*10-_xlfn.XLOOKUP($AJ107-1,载具产出!$D$59:$D$67,载具产出!$E$59:$E$67))/10*(10*OFFSET(载具产出!$D$45,MATCH(AK$6,$AK$6:$AN$6,0)-1,$AJ107)+OFFSET(载具产出!$D$49,MATCH(AK$6,$AK$6:$AN$6,0)-1,$AJ107)*OFFSET(载具产出!$N$49,MATCH(AK$6,$AK$6:$AN$6,0)-1,0)))</f>
        <v>1937.92371428572</v>
      </c>
      <c r="AL107" s="44">
        <f ca="1">IF($AJ107=1,($AI107)*(10*OFFSET(载具产出!$D$45,MATCH(AL$6,$AK$6:$AN$6,0)-1,$AJ107)+OFFSET(载具产出!$D$49,MATCH(AL$6,$AK$6:$AN$6,0)-1,$AJ107)*OFFSET(载具产出!$N$49,MATCH(AL$6,$AK$6:$AN$6,0)-1,0)),OFFSET(载具产出!G$59,$AJ107-1,0)*10+OFFSET(载具产出!K$59,$AJ107-1,0)+($AI107*10-_xlfn.XLOOKUP($AJ107-1,载具产出!$D$59:$D$67,载具产出!$E$59:$E$67))/10*(10*OFFSET(载具产出!$D$45,MATCH(AL$6,$AK$6:$AN$6,0)-1,$AJ107)+OFFSET(载具产出!$D$49,MATCH(AL$6,$AK$6:$AN$6,0)-1,$AJ107)*OFFSET(载具产出!$N$49,MATCH(AL$6,$AK$6:$AN$6,0)-1,0)))</f>
        <v>721.071428571431</v>
      </c>
      <c r="AM107" s="44">
        <f ca="1">IF($AJ107=1,($AI107)*(10*OFFSET(载具产出!$D$45,MATCH(AM$6,$AK$6:$AN$6,0)-1,$AJ107)+OFFSET(载具产出!$D$49,MATCH(AM$6,$AK$6:$AN$6,0)-1,$AJ107)*OFFSET(载具产出!$N$49,MATCH(AM$6,$AK$6:$AN$6,0)-1,0)),OFFSET(载具产出!H$59,$AJ107-1,0)*10+OFFSET(载具产出!L$59,$AJ107-1,0)+($AI107*10-_xlfn.XLOOKUP($AJ107-1,载具产出!$D$59:$D$67,载具产出!$E$59:$E$67))/10*(10*OFFSET(载具产出!$D$45,MATCH(AM$6,$AK$6:$AN$6,0)-1,$AJ107)+OFFSET(载具产出!$D$49,MATCH(AM$6,$AK$6:$AN$6,0)-1,$AJ107)*OFFSET(载具产出!$N$49,MATCH(AM$6,$AK$6:$AN$6,0)-1,0)))</f>
        <v>376.361142857144</v>
      </c>
      <c r="AN107" s="44">
        <f ca="1">IF($AJ107=1,($AI107)*(10*OFFSET(载具产出!$D$45,MATCH(AN$6,$AK$6:$AN$6,0)-1,$AJ107)+OFFSET(载具产出!$D$49,MATCH(AN$6,$AK$6:$AN$6,0)-1,$AJ107)*OFFSET(载具产出!$N$49,MATCH(AN$6,$AK$6:$AN$6,0)-1,0)),OFFSET(载具产出!I$59,$AJ107-1,0)*10+OFFSET(载具产出!M$59,$AJ107-1,0)+($AI107*10-_xlfn.XLOOKUP($AJ107-1,载具产出!$D$59:$D$67,载具产出!$E$59:$E$67))/10*(10*OFFSET(载具产出!$D$45,MATCH(AN$6,$AK$6:$AN$6,0)-1,$AJ107)+OFFSET(载具产出!$D$49,MATCH(AN$6,$AK$6:$AN$6,0)-1,$AJ107)*OFFSET(载具产出!$N$49,MATCH(AN$6,$AK$6:$AN$6,0)-1,0)))</f>
        <v>108.243428571429</v>
      </c>
      <c r="AO107" s="44">
        <f ca="1" t="shared" si="22"/>
        <v>2588.72371428572</v>
      </c>
      <c r="AP107" s="44">
        <f ca="1" t="shared" si="23"/>
        <v>1330.88476190476</v>
      </c>
      <c r="AQ107" s="44">
        <f ca="1" t="shared" si="24"/>
        <v>419.081142857144</v>
      </c>
      <c r="AR107" s="44">
        <f ca="1" t="shared" si="25"/>
        <v>108.243428571429</v>
      </c>
      <c r="AS107" s="45">
        <f ca="1">IFERROR(MATCH(AO107/载具产出!R$58,载具属性!$G$33:$G$92,1),0)</f>
        <v>25</v>
      </c>
      <c r="AT107" s="45">
        <f ca="1">IFERROR(MATCH(AP107/载具产出!S$58,载具属性!$G$33:$G$92,1),0)</f>
        <v>17</v>
      </c>
      <c r="AU107" s="45">
        <f ca="1">IFERROR(MATCH(AQ107/载具产出!T$58,载具属性!$G$33:$G$92,1),0)</f>
        <v>8</v>
      </c>
      <c r="AV107" s="45">
        <f ca="1">IFERROR(MATCH(AR107/载具产出!U$58,载具属性!$G$33:$G$92,1),0)</f>
        <v>1</v>
      </c>
      <c r="AW107" s="46" t="str">
        <f ca="1" t="shared" si="26"/>
        <v>[{62,493},{63,51795},{2,137300},{6030001,1796},{6030002,1719},{6030003,121}]</v>
      </c>
      <c r="AX107" t="str">
        <f ca="1" t="shared" si="27"/>
        <v>{62,493}</v>
      </c>
      <c r="AY107" t="str">
        <f ca="1" t="shared" si="28"/>
        <v>{63,51795}</v>
      </c>
      <c r="AZ107" t="str">
        <f ca="1" t="shared" si="29"/>
        <v>{2,137300}</v>
      </c>
      <c r="BA107" t="str">
        <f ca="1" t="shared" si="30"/>
        <v>{6030001,1796}</v>
      </c>
      <c r="BB107" t="str">
        <f ca="1" t="shared" si="31"/>
        <v>{6030002,1719}</v>
      </c>
      <c r="BC107" t="str">
        <f ca="1" t="shared" si="32"/>
        <v>{6030003,121}</v>
      </c>
      <c r="BD107" t="str">
        <f ca="1" t="shared" si="33"/>
        <v/>
      </c>
    </row>
    <row r="108" spans="3:56">
      <c r="C108">
        <f ca="1" t="shared" si="21"/>
        <v>113.057553956835</v>
      </c>
      <c r="D108" s="40">
        <v>102</v>
      </c>
      <c r="E108" s="40">
        <v>101</v>
      </c>
      <c r="F108" s="40">
        <v>120</v>
      </c>
      <c r="G108" s="41">
        <v>139</v>
      </c>
      <c r="H108" s="40">
        <f t="shared" si="18"/>
        <v>187</v>
      </c>
      <c r="I108" s="40">
        <f t="shared" si="20"/>
        <v>230</v>
      </c>
      <c r="J108" s="40">
        <f t="shared" si="19"/>
        <v>202</v>
      </c>
      <c r="K108" s="40">
        <f ca="1">SUM(U$36:U108)-SUM(OFFSET(载具产出!H$399,0,0,$R108+1,1))</f>
        <v>500</v>
      </c>
      <c r="L108" s="40">
        <f ca="1">SUM(T$36:T108)-SUM(OFFSET(载具产出!G$399,0,0,$R108+1,1))</f>
        <v>52710</v>
      </c>
      <c r="M108" s="40">
        <f ca="1">SUM(V$36:V108)/2-SUM(OFFSET(载具产出!I$399,0,0,$R108+1,1))</f>
        <v>140200</v>
      </c>
      <c r="N108" s="40">
        <f ca="1">SUM(AA$36:AA108)-SUM(OFFSET(载具产出!J$399,0,0,$R108+1,1))</f>
        <v>1814.6</v>
      </c>
      <c r="O108" s="40">
        <f ca="1">SUM(AB$36:AB108)-SUM(OFFSET(载具产出!K$399,0,0,$R108+1,1))</f>
        <v>1749.08</v>
      </c>
      <c r="P108" s="40">
        <f ca="1">SUM(AC$36:AC108)-SUM(OFFSET(载具产出!L$399,0,0,$R108+1,1))</f>
        <v>124.32</v>
      </c>
      <c r="Q108" s="40">
        <f ca="1">SUM(AD$36:AD108)-SUM(OFFSET(载具产出!M$399,0,0,$R108+1,1))</f>
        <v>0</v>
      </c>
      <c r="R108" s="40">
        <v>11</v>
      </c>
      <c r="S108" s="40" t="str">
        <f ca="1">OFFSET(载具产出!$D$111,IFERROR(MATCH(OFFSET($D108,0,MATCH($D$5,$E$6:$H$6,0)),载具产出!$E$112:$E$151,1),0),0)</f>
        <v>豪华Ⅴ</v>
      </c>
      <c r="T108" s="40">
        <f ca="1">OFFSET(载具产出!$F$399,IFERROR(MATCH(OFFSET($D108,0,MATCH($D$5,$E$6:$H$6,0)),载具产出!$E$400:$E$439,1),0),MATCH(T$6,载具产出!$G$399:$O$399,0))</f>
        <v>915</v>
      </c>
      <c r="U108" s="40">
        <v>7</v>
      </c>
      <c r="V108" s="40">
        <f ca="1">OFFSET(载具产出!$F$399,IFERROR(MATCH(OFFSET($D108,0,MATCH($D$5,$E$6:$H$6,0)),载具产出!$E$400:$E$439,1),0),MATCH(V$6,载具产出!$G$399:$O$399,0))</f>
        <v>5800</v>
      </c>
      <c r="W108" s="43">
        <f ca="1">_xlfn.XLOOKUP(Z108,载具属性!$E$98:$E$497,载具属性!$G$98:$G$497)+6000+OFFSET(载具属性!L$33,AS108,0)*载具属性!M$30+OFFSET(载具属性!M$33,AT108,0)*载具属性!N$30+OFFSET(载具属性!N$33,AU108,0)*载具属性!O$30+OFFSET(载具属性!O$33,AV108,0)*载具属性!P$30</f>
        <v>15715</v>
      </c>
      <c r="X108" s="43">
        <f ca="1">_xlfn.XLOOKUP(Z108,载具属性!$E$98:$E$497,载具属性!$G$98:$G$497)</f>
        <v>5530</v>
      </c>
      <c r="Y108" s="43">
        <f ca="1">OFFSET(载具属性!L$33,AS108,0)*载具属性!M$30+OFFSET(载具属性!M$33,AT108,0)*载具属性!N$30+OFFSET(载具属性!N$33,AU108,0)*载具属性!O$30+OFFSET(载具属性!O$33,AV108,0)*载具属性!P$30</f>
        <v>4185</v>
      </c>
      <c r="Z108" s="40">
        <f ca="1">MATCH(SUM($T$7:T108),载具属性!$I$98:$I$497,1)</f>
        <v>94</v>
      </c>
      <c r="AA108" s="40">
        <f ca="1">OFFSET(载具产出!$F$399,IFERROR(MATCH(OFFSET($D108,0,MATCH($D$5,$E$6:$H$6,0)),载具产出!$E$112:$E$151,1),0),MATCH(AA$6,载具产出!$G$111:$O$111,0))*2</f>
        <v>18</v>
      </c>
      <c r="AB108" s="40">
        <f ca="1">OFFSET(载具产出!$F$399,IFERROR(MATCH(OFFSET($D108,0,MATCH($D$5,$E$6:$H$6,0)),载具产出!$E$112:$E$151,1),0),MATCH(AB$6,载具产出!$G$111:$O$111,0))*2</f>
        <v>29.12</v>
      </c>
      <c r="AC108" s="40">
        <f ca="1">OFFSET(载具产出!$F$399,IFERROR(MATCH(OFFSET($D108,0,MATCH($D$5,$E$6:$H$6,0)),载具产出!$E$112:$E$151,1),0),MATCH(AC$6,载具产出!$G$111:$O$111,0))*2</f>
        <v>2.88</v>
      </c>
      <c r="AD108" s="40">
        <f ca="1">OFFSET(载具产出!$F$399,IFERROR(MATCH(OFFSET($D108,0,MATCH($D$5,$E$6:$H$6,0)),载具产出!$E$112:$E$151,1),0),MATCH(AD$6,载具产出!$G$111:$O$111,0))*2</f>
        <v>0</v>
      </c>
      <c r="AE108" s="44">
        <f ca="1">SUM(AA$36:AA108)/3</f>
        <v>656.8</v>
      </c>
      <c r="AF108" s="44">
        <f ca="1">SUM(AB$36:AB108)/3</f>
        <v>619.519999999999</v>
      </c>
      <c r="AG108" s="44">
        <f ca="1">SUM(AC$36:AC108)/3</f>
        <v>43.68</v>
      </c>
      <c r="AH108" s="44">
        <f ca="1">SUM(AD$36:AD108)/3</f>
        <v>0</v>
      </c>
      <c r="AI108" s="44">
        <f>_xlfn.XLOOKUP($D$5,载具产出!$D$71:$D$75,载具产出!$E$71:$E$75)*(D108-30+1)</f>
        <v>858.61904761905</v>
      </c>
      <c r="AJ108" s="44">
        <f>IFERROR(MATCH(_xlfn.XLOOKUP($D$5,载具产出!$D$71:$D$75,载具产出!$E$71:$E$75)*(D108-30+1)*10,载具产出!$E$60:$E$67,1),0)+1</f>
        <v>6</v>
      </c>
      <c r="AK108" s="44">
        <f ca="1">IF($AJ108=1,($AI108)*(10*OFFSET(载具产出!$D$45,MATCH(AK$6,$AK$6:$AN$6,0)-1,$AJ108)+OFFSET(载具产出!$D$49,MATCH(AK$6,$AK$6:$AN$6,0)-1,$AJ108)*OFFSET(载具产出!$N$49,MATCH(AK$6,$AK$6:$AN$6,0)-1,0)),OFFSET(载具产出!F$59,$AJ108-1,0)*10+OFFSET(载具产出!J$59,$AJ108-1,0)+($AI108*10-_xlfn.XLOOKUP($AJ108-1,载具产出!$D$59:$D$67,载具产出!$E$59:$E$67))/10*(10*OFFSET(载具产出!$D$45,MATCH(AK$6,$AK$6:$AN$6,0)-1,$AJ108)+OFFSET(载具产出!$D$49,MATCH(AK$6,$AK$6:$AN$6,0)-1,$AJ108)*OFFSET(载具产出!$N$49,MATCH(AK$6,$AK$6:$AN$6,0)-1,0)))</f>
        <v>1963.47057142858</v>
      </c>
      <c r="AL108" s="44">
        <f ca="1">IF($AJ108=1,($AI108)*(10*OFFSET(载具产出!$D$45,MATCH(AL$6,$AK$6:$AN$6,0)-1,$AJ108)+OFFSET(载具产出!$D$49,MATCH(AL$6,$AK$6:$AN$6,0)-1,$AJ108)*OFFSET(载具产出!$N$49,MATCH(AL$6,$AK$6:$AN$6,0)-1,0)),OFFSET(载具产出!G$59,$AJ108-1,0)*10+OFFSET(载具产出!K$59,$AJ108-1,0)+($AI108*10-_xlfn.XLOOKUP($AJ108-1,载具产出!$D$59:$D$67,载具产出!$E$59:$E$67))/10*(10*OFFSET(载具产出!$D$45,MATCH(AL$6,$AK$6:$AN$6,0)-1,$AJ108)+OFFSET(载具产出!$D$49,MATCH(AL$6,$AK$6:$AN$6,0)-1,$AJ108)*OFFSET(载具产出!$N$49,MATCH(AL$6,$AK$6:$AN$6,0)-1,0)))</f>
        <v>731.657142857145</v>
      </c>
      <c r="AM108" s="44">
        <f ca="1">IF($AJ108=1,($AI108)*(10*OFFSET(载具产出!$D$45,MATCH(AM$6,$AK$6:$AN$6,0)-1,$AJ108)+OFFSET(载具产出!$D$49,MATCH(AM$6,$AK$6:$AN$6,0)-1,$AJ108)*OFFSET(载具产出!$N$49,MATCH(AM$6,$AK$6:$AN$6,0)-1,0)),OFFSET(载具产出!H$59,$AJ108-1,0)*10+OFFSET(载具产出!L$59,$AJ108-1,0)+($AI108*10-_xlfn.XLOOKUP($AJ108-1,载具产出!$D$59:$D$67,载具产出!$E$59:$E$67))/10*(10*OFFSET(载具产出!$D$45,MATCH(AM$6,$AK$6:$AN$6,0)-1,$AJ108)+OFFSET(载具产出!$D$49,MATCH(AM$6,$AK$6:$AN$6,0)-1,$AJ108)*OFFSET(载具产出!$N$49,MATCH(AM$6,$AK$6:$AN$6,0)-1,0)))</f>
        <v>382.195047619049</v>
      </c>
      <c r="AN108" s="44">
        <f ca="1">IF($AJ108=1,($AI108)*(10*OFFSET(载具产出!$D$45,MATCH(AN$6,$AK$6:$AN$6,0)-1,$AJ108)+OFFSET(载具产出!$D$49,MATCH(AN$6,$AK$6:$AN$6,0)-1,$AJ108)*OFFSET(载具产出!$N$49,MATCH(AN$6,$AK$6:$AN$6,0)-1,0)),OFFSET(载具产出!I$59,$AJ108-1,0)*10+OFFSET(载具产出!M$59,$AJ108-1,0)+($AI108*10-_xlfn.XLOOKUP($AJ108-1,载具产出!$D$59:$D$67,载具产出!$E$59:$E$67))/10*(10*OFFSET(载具产出!$D$45,MATCH(AN$6,$AK$6:$AN$6,0)-1,$AJ108)+OFFSET(载具产出!$D$49,MATCH(AN$6,$AK$6:$AN$6,0)-1,$AJ108)*OFFSET(载具产出!$N$49,MATCH(AN$6,$AK$6:$AN$6,0)-1,0)))</f>
        <v>110.10180952381</v>
      </c>
      <c r="AO108" s="44">
        <f ca="1" t="shared" si="22"/>
        <v>2620.27057142858</v>
      </c>
      <c r="AP108" s="44">
        <f ca="1" t="shared" si="23"/>
        <v>1351.17714285714</v>
      </c>
      <c r="AQ108" s="44">
        <f ca="1" t="shared" si="24"/>
        <v>425.875047619049</v>
      </c>
      <c r="AR108" s="44">
        <f ca="1" t="shared" si="25"/>
        <v>110.10180952381</v>
      </c>
      <c r="AS108" s="45">
        <f ca="1">IFERROR(MATCH(AO108/载具产出!R$58,载具属性!$G$33:$G$92,1),0)</f>
        <v>25</v>
      </c>
      <c r="AT108" s="45">
        <f ca="1">IFERROR(MATCH(AP108/载具产出!S$58,载具属性!$G$33:$G$92,1),0)</f>
        <v>17</v>
      </c>
      <c r="AU108" s="45">
        <f ca="1">IFERROR(MATCH(AQ108/载具产出!T$58,载具属性!$G$33:$G$92,1),0)</f>
        <v>9</v>
      </c>
      <c r="AV108" s="45">
        <f ca="1">IFERROR(MATCH(AR108/载具产出!U$58,载具属性!$G$33:$G$92,1),0)</f>
        <v>1</v>
      </c>
      <c r="AW108" s="46" t="str">
        <f ca="1" t="shared" si="26"/>
        <v>[{62,500},{63,52710},{2,140200},{6030001,1814},{6030002,1749},{6030003,124}]</v>
      </c>
      <c r="AX108" t="str">
        <f ca="1" t="shared" si="27"/>
        <v>{62,500}</v>
      </c>
      <c r="AY108" t="str">
        <f ca="1" t="shared" si="28"/>
        <v>{63,52710}</v>
      </c>
      <c r="AZ108" t="str">
        <f ca="1" t="shared" si="29"/>
        <v>{2,140200}</v>
      </c>
      <c r="BA108" t="str">
        <f ca="1" t="shared" si="30"/>
        <v>{6030001,1814}</v>
      </c>
      <c r="BB108" t="str">
        <f ca="1" t="shared" si="31"/>
        <v>{6030002,1749}</v>
      </c>
      <c r="BC108" t="str">
        <f ca="1" t="shared" si="32"/>
        <v>{6030003,124}</v>
      </c>
      <c r="BD108" t="str">
        <f ca="1" t="shared" si="33"/>
        <v/>
      </c>
    </row>
    <row r="109" spans="3:56">
      <c r="C109">
        <f ca="1" t="shared" si="21"/>
        <v>113.057553956835</v>
      </c>
      <c r="D109" s="40">
        <v>103</v>
      </c>
      <c r="E109" s="40">
        <v>102</v>
      </c>
      <c r="F109" s="40">
        <v>120</v>
      </c>
      <c r="G109" s="41">
        <v>139</v>
      </c>
      <c r="H109" s="40">
        <f t="shared" si="18"/>
        <v>188</v>
      </c>
      <c r="I109" s="40">
        <f t="shared" si="20"/>
        <v>232</v>
      </c>
      <c r="J109" s="40">
        <f t="shared" si="19"/>
        <v>203</v>
      </c>
      <c r="K109" s="40">
        <f ca="1">SUM(U$36:U109)-SUM(OFFSET(载具产出!H$399,0,0,$R109+1,1))</f>
        <v>507</v>
      </c>
      <c r="L109" s="40">
        <f ca="1">SUM(T$36:T109)-SUM(OFFSET(载具产出!G$399,0,0,$R109+1,1))</f>
        <v>53625</v>
      </c>
      <c r="M109" s="40">
        <f ca="1">SUM(V$36:V109)/2-SUM(OFFSET(载具产出!I$399,0,0,$R109+1,1))</f>
        <v>143100</v>
      </c>
      <c r="N109" s="40">
        <f ca="1">SUM(AA$36:AA109)-SUM(OFFSET(载具产出!J$399,0,0,$R109+1,1))</f>
        <v>1832.6</v>
      </c>
      <c r="O109" s="40">
        <f ca="1">SUM(AB$36:AB109)-SUM(OFFSET(载具产出!K$399,0,0,$R109+1,1))</f>
        <v>1778.2</v>
      </c>
      <c r="P109" s="40">
        <f ca="1">SUM(AC$36:AC109)-SUM(OFFSET(载具产出!L$399,0,0,$R109+1,1))</f>
        <v>127.2</v>
      </c>
      <c r="Q109" s="40">
        <f ca="1">SUM(AD$36:AD109)-SUM(OFFSET(载具产出!M$399,0,0,$R109+1,1))</f>
        <v>0</v>
      </c>
      <c r="R109" s="40">
        <v>11</v>
      </c>
      <c r="S109" s="40" t="str">
        <f ca="1">OFFSET(载具产出!$D$111,IFERROR(MATCH(OFFSET($D109,0,MATCH($D$5,$E$6:$H$6,0)),载具产出!$E$112:$E$151,1),0),0)</f>
        <v>豪华Ⅴ</v>
      </c>
      <c r="T109" s="40">
        <f ca="1">OFFSET(载具产出!$F$399,IFERROR(MATCH(OFFSET($D109,0,MATCH($D$5,$E$6:$H$6,0)),载具产出!$E$400:$E$439,1),0),MATCH(T$6,载具产出!$G$399:$O$399,0))</f>
        <v>915</v>
      </c>
      <c r="U109" s="40">
        <v>7</v>
      </c>
      <c r="V109" s="40">
        <f ca="1">OFFSET(载具产出!$F$399,IFERROR(MATCH(OFFSET($D109,0,MATCH($D$5,$E$6:$H$6,0)),载具产出!$E$400:$E$439,1),0),MATCH(V$6,载具产出!$G$399:$O$399,0))</f>
        <v>5800</v>
      </c>
      <c r="W109" s="43">
        <f ca="1">_xlfn.XLOOKUP(Z109,载具属性!$E$98:$E$497,载具属性!$G$98:$G$497)+6000+OFFSET(载具属性!L$33,AS109,0)*载具属性!M$30+OFFSET(载具属性!M$33,AT109,0)*载具属性!N$30+OFFSET(载具属性!N$33,AU109,0)*载具属性!O$30+OFFSET(载具属性!O$33,AV109,0)*载具属性!P$30</f>
        <v>15715</v>
      </c>
      <c r="X109" s="43">
        <f ca="1">_xlfn.XLOOKUP(Z109,载具属性!$E$98:$E$497,载具属性!$G$98:$G$497)</f>
        <v>5530</v>
      </c>
      <c r="Y109" s="43">
        <f ca="1">OFFSET(载具属性!L$33,AS109,0)*载具属性!M$30+OFFSET(载具属性!M$33,AT109,0)*载具属性!N$30+OFFSET(载具属性!N$33,AU109,0)*载具属性!O$30+OFFSET(载具属性!O$33,AV109,0)*载具属性!P$30</f>
        <v>4185</v>
      </c>
      <c r="Z109" s="40">
        <f ca="1">MATCH(SUM($T$7:T109),载具属性!$I$98:$I$497,1)</f>
        <v>94</v>
      </c>
      <c r="AA109" s="40">
        <f ca="1">OFFSET(载具产出!$F$399,IFERROR(MATCH(OFFSET($D109,0,MATCH($D$5,$E$6:$H$6,0)),载具产出!$E$112:$E$151,1),0),MATCH(AA$6,载具产出!$G$111:$O$111,0))*2</f>
        <v>18</v>
      </c>
      <c r="AB109" s="40">
        <f ca="1">OFFSET(载具产出!$F$399,IFERROR(MATCH(OFFSET($D109,0,MATCH($D$5,$E$6:$H$6,0)),载具产出!$E$112:$E$151,1),0),MATCH(AB$6,载具产出!$G$111:$O$111,0))*2</f>
        <v>29.12</v>
      </c>
      <c r="AC109" s="40">
        <f ca="1">OFFSET(载具产出!$F$399,IFERROR(MATCH(OFFSET($D109,0,MATCH($D$5,$E$6:$H$6,0)),载具产出!$E$112:$E$151,1),0),MATCH(AC$6,载具产出!$G$111:$O$111,0))*2</f>
        <v>2.88</v>
      </c>
      <c r="AD109" s="40">
        <f ca="1">OFFSET(载具产出!$F$399,IFERROR(MATCH(OFFSET($D109,0,MATCH($D$5,$E$6:$H$6,0)),载具产出!$E$112:$E$151,1),0),MATCH(AD$6,载具产出!$G$111:$O$111,0))*2</f>
        <v>0</v>
      </c>
      <c r="AE109" s="44">
        <f ca="1">SUM(AA$36:AA109)/3</f>
        <v>662.8</v>
      </c>
      <c r="AF109" s="44">
        <f ca="1">SUM(AB$36:AB109)/3</f>
        <v>629.226666666666</v>
      </c>
      <c r="AG109" s="44">
        <f ca="1">SUM(AC$36:AC109)/3</f>
        <v>44.64</v>
      </c>
      <c r="AH109" s="44">
        <f ca="1">SUM(AD$36:AD109)/3</f>
        <v>0</v>
      </c>
      <c r="AI109" s="44">
        <f>_xlfn.XLOOKUP($D$5,载具产出!$D$71:$D$75,载具产出!$E$71:$E$75)*(D109-30+1)</f>
        <v>870.380952380955</v>
      </c>
      <c r="AJ109" s="44">
        <f>IFERROR(MATCH(_xlfn.XLOOKUP($D$5,载具产出!$D$71:$D$75,载具产出!$E$71:$E$75)*(D109-30+1)*10,载具产出!$E$60:$E$67,1),0)+1</f>
        <v>6</v>
      </c>
      <c r="AK109" s="44">
        <f ca="1">IF($AJ109=1,($AI109)*(10*OFFSET(载具产出!$D$45,MATCH(AK$6,$AK$6:$AN$6,0)-1,$AJ109)+OFFSET(载具产出!$D$49,MATCH(AK$6,$AK$6:$AN$6,0)-1,$AJ109)*OFFSET(载具产出!$N$49,MATCH(AK$6,$AK$6:$AN$6,0)-1,0)),OFFSET(载具产出!F$59,$AJ109-1,0)*10+OFFSET(载具产出!J$59,$AJ109-1,0)+($AI109*10-_xlfn.XLOOKUP($AJ109-1,载具产出!$D$59:$D$67,载具产出!$E$59:$E$67))/10*(10*OFFSET(载具产出!$D$45,MATCH(AK$6,$AK$6:$AN$6,0)-1,$AJ109)+OFFSET(载具产出!$D$49,MATCH(AK$6,$AK$6:$AN$6,0)-1,$AJ109)*OFFSET(载具产出!$N$49,MATCH(AK$6,$AK$6:$AN$6,0)-1,0)))</f>
        <v>1989.01742857143</v>
      </c>
      <c r="AL109" s="44">
        <f ca="1">IF($AJ109=1,($AI109)*(10*OFFSET(载具产出!$D$45,MATCH(AL$6,$AK$6:$AN$6,0)-1,$AJ109)+OFFSET(载具产出!$D$49,MATCH(AL$6,$AK$6:$AN$6,0)-1,$AJ109)*OFFSET(载具产出!$N$49,MATCH(AL$6,$AK$6:$AN$6,0)-1,0)),OFFSET(载具产出!G$59,$AJ109-1,0)*10+OFFSET(载具产出!K$59,$AJ109-1,0)+($AI109*10-_xlfn.XLOOKUP($AJ109-1,载具产出!$D$59:$D$67,载具产出!$E$59:$E$67))/10*(10*OFFSET(载具产出!$D$45,MATCH(AL$6,$AK$6:$AN$6,0)-1,$AJ109)+OFFSET(载具产出!$D$49,MATCH(AL$6,$AK$6:$AN$6,0)-1,$AJ109)*OFFSET(载具产出!$N$49,MATCH(AL$6,$AK$6:$AN$6,0)-1,0)))</f>
        <v>742.24285714286</v>
      </c>
      <c r="AM109" s="44">
        <f ca="1">IF($AJ109=1,($AI109)*(10*OFFSET(载具产出!$D$45,MATCH(AM$6,$AK$6:$AN$6,0)-1,$AJ109)+OFFSET(载具产出!$D$49,MATCH(AM$6,$AK$6:$AN$6,0)-1,$AJ109)*OFFSET(载具产出!$N$49,MATCH(AM$6,$AK$6:$AN$6,0)-1,0)),OFFSET(载具产出!H$59,$AJ109-1,0)*10+OFFSET(载具产出!L$59,$AJ109-1,0)+($AI109*10-_xlfn.XLOOKUP($AJ109-1,载具产出!$D$59:$D$67,载具产出!$E$59:$E$67))/10*(10*OFFSET(载具产出!$D$45,MATCH(AM$6,$AK$6:$AN$6,0)-1,$AJ109)+OFFSET(载具产出!$D$49,MATCH(AM$6,$AK$6:$AN$6,0)-1,$AJ109)*OFFSET(载具产出!$N$49,MATCH(AM$6,$AK$6:$AN$6,0)-1,0)))</f>
        <v>388.028952380954</v>
      </c>
      <c r="AN109" s="44">
        <f ca="1">IF($AJ109=1,($AI109)*(10*OFFSET(载具产出!$D$45,MATCH(AN$6,$AK$6:$AN$6,0)-1,$AJ109)+OFFSET(载具产出!$D$49,MATCH(AN$6,$AK$6:$AN$6,0)-1,$AJ109)*OFFSET(载具产出!$N$49,MATCH(AN$6,$AK$6:$AN$6,0)-1,0)),OFFSET(载具产出!I$59,$AJ109-1,0)*10+OFFSET(载具产出!M$59,$AJ109-1,0)+($AI109*10-_xlfn.XLOOKUP($AJ109-1,载具产出!$D$59:$D$67,载具产出!$E$59:$E$67))/10*(10*OFFSET(载具产出!$D$45,MATCH(AN$6,$AK$6:$AN$6,0)-1,$AJ109)+OFFSET(载具产出!$D$49,MATCH(AN$6,$AK$6:$AN$6,0)-1,$AJ109)*OFFSET(载具产出!$N$49,MATCH(AN$6,$AK$6:$AN$6,0)-1,0)))</f>
        <v>111.960190476191</v>
      </c>
      <c r="AO109" s="44">
        <f ca="1" t="shared" si="22"/>
        <v>2651.81742857143</v>
      </c>
      <c r="AP109" s="44">
        <f ca="1" t="shared" si="23"/>
        <v>1371.46952380953</v>
      </c>
      <c r="AQ109" s="44">
        <f ca="1" t="shared" si="24"/>
        <v>432.668952380954</v>
      </c>
      <c r="AR109" s="44">
        <f ca="1" t="shared" si="25"/>
        <v>111.960190476191</v>
      </c>
      <c r="AS109" s="45">
        <f ca="1">IFERROR(MATCH(AO109/载具产出!R$58,载具属性!$G$33:$G$92,1),0)</f>
        <v>25</v>
      </c>
      <c r="AT109" s="45">
        <f ca="1">IFERROR(MATCH(AP109/载具产出!S$58,载具属性!$G$33:$G$92,1),0)</f>
        <v>17</v>
      </c>
      <c r="AU109" s="45">
        <f ca="1">IFERROR(MATCH(AQ109/载具产出!T$58,载具属性!$G$33:$G$92,1),0)</f>
        <v>9</v>
      </c>
      <c r="AV109" s="45">
        <f ca="1">IFERROR(MATCH(AR109/载具产出!U$58,载具属性!$G$33:$G$92,1),0)</f>
        <v>1</v>
      </c>
      <c r="AW109" s="46" t="str">
        <f ca="1" t="shared" si="26"/>
        <v>[{62,507},{63,53625},{2,143100},{6030001,1832},{6030002,1778},{6030003,127}]</v>
      </c>
      <c r="AX109" t="str">
        <f ca="1" t="shared" si="27"/>
        <v>{62,507}</v>
      </c>
      <c r="AY109" t="str">
        <f ca="1" t="shared" si="28"/>
        <v>{63,53625}</v>
      </c>
      <c r="AZ109" t="str">
        <f ca="1" t="shared" si="29"/>
        <v>{2,143100}</v>
      </c>
      <c r="BA109" t="str">
        <f ca="1" t="shared" si="30"/>
        <v>{6030001,1832}</v>
      </c>
      <c r="BB109" t="str">
        <f ca="1" t="shared" si="31"/>
        <v>{6030002,1778}</v>
      </c>
      <c r="BC109" t="str">
        <f ca="1" t="shared" si="32"/>
        <v>{6030003,127}</v>
      </c>
      <c r="BD109" t="str">
        <f ca="1" t="shared" si="33"/>
        <v/>
      </c>
    </row>
    <row r="110" spans="3:56">
      <c r="C110">
        <f ca="1" t="shared" si="21"/>
        <v>112.75</v>
      </c>
      <c r="D110" s="40">
        <v>104</v>
      </c>
      <c r="E110" s="40">
        <v>102</v>
      </c>
      <c r="F110" s="40">
        <v>121</v>
      </c>
      <c r="G110" s="41">
        <v>140</v>
      </c>
      <c r="H110" s="40">
        <f t="shared" si="18"/>
        <v>189</v>
      </c>
      <c r="I110" s="40">
        <f t="shared" si="20"/>
        <v>234</v>
      </c>
      <c r="J110" s="40">
        <f t="shared" si="19"/>
        <v>205</v>
      </c>
      <c r="K110" s="40">
        <f ca="1">SUM(U$36:U110)-SUM(OFFSET(载具产出!H$399,0,0,$R110+1,1))</f>
        <v>514</v>
      </c>
      <c r="L110" s="40">
        <f ca="1">SUM(T$36:T110)-SUM(OFFSET(载具产出!G$399,0,0,$R110+1,1))</f>
        <v>54540</v>
      </c>
      <c r="M110" s="40">
        <f ca="1">SUM(V$36:V110)/2-SUM(OFFSET(载具产出!I$399,0,0,$R110+1,1))</f>
        <v>146000</v>
      </c>
      <c r="N110" s="40">
        <f ca="1">SUM(AA$36:AA110)-SUM(OFFSET(载具产出!J$399,0,0,$R110+1,1))</f>
        <v>1850.6</v>
      </c>
      <c r="O110" s="40">
        <f ca="1">SUM(AB$36:AB110)-SUM(OFFSET(载具产出!K$399,0,0,$R110+1,1))</f>
        <v>1807.32</v>
      </c>
      <c r="P110" s="40">
        <f ca="1">SUM(AC$36:AC110)-SUM(OFFSET(载具产出!L$399,0,0,$R110+1,1))</f>
        <v>130.08</v>
      </c>
      <c r="Q110" s="40">
        <f ca="1">SUM(AD$36:AD110)-SUM(OFFSET(载具产出!M$399,0,0,$R110+1,1))</f>
        <v>0</v>
      </c>
      <c r="R110" s="40">
        <v>11</v>
      </c>
      <c r="S110" s="40" t="str">
        <f ca="1">OFFSET(载具产出!$D$111,IFERROR(MATCH(OFFSET($D110,0,MATCH($D$5,$E$6:$H$6,0)),载具产出!$E$112:$E$151,1),0),0)</f>
        <v>豪华Ⅴ</v>
      </c>
      <c r="T110" s="40">
        <f ca="1">OFFSET(载具产出!$F$399,IFERROR(MATCH(OFFSET($D110,0,MATCH($D$5,$E$6:$H$6,0)),载具产出!$E$400:$E$439,1),0),MATCH(T$6,载具产出!$G$399:$O$399,0))</f>
        <v>915</v>
      </c>
      <c r="U110" s="40">
        <v>7</v>
      </c>
      <c r="V110" s="40">
        <f ca="1">OFFSET(载具产出!$F$399,IFERROR(MATCH(OFFSET($D110,0,MATCH($D$5,$E$6:$H$6,0)),载具产出!$E$400:$E$439,1),0),MATCH(V$6,载具产出!$G$399:$O$399,0))</f>
        <v>5800</v>
      </c>
      <c r="W110" s="43">
        <f ca="1">_xlfn.XLOOKUP(Z110,载具属性!$E$98:$E$497,载具属性!$G$98:$G$497)+6000+OFFSET(载具属性!L$33,AS110,0)*载具属性!M$30+OFFSET(载具属性!M$33,AT110,0)*载具属性!N$30+OFFSET(载具属性!N$33,AU110,0)*载具属性!O$30+OFFSET(载具属性!O$33,AV110,0)*载具属性!P$30</f>
        <v>15785</v>
      </c>
      <c r="X110" s="43">
        <f ca="1">_xlfn.XLOOKUP(Z110,载具属性!$E$98:$E$497,载具属性!$G$98:$G$497)</f>
        <v>5600</v>
      </c>
      <c r="Y110" s="43">
        <f ca="1">OFFSET(载具属性!L$33,AS110,0)*载具属性!M$30+OFFSET(载具属性!M$33,AT110,0)*载具属性!N$30+OFFSET(载具属性!N$33,AU110,0)*载具属性!O$30+OFFSET(载具属性!O$33,AV110,0)*载具属性!P$30</f>
        <v>4185</v>
      </c>
      <c r="Z110" s="40">
        <f ca="1">MATCH(SUM($T$7:T110),载具属性!$I$98:$I$497,1)</f>
        <v>95</v>
      </c>
      <c r="AA110" s="40">
        <f ca="1">OFFSET(载具产出!$F$399,IFERROR(MATCH(OFFSET($D110,0,MATCH($D$5,$E$6:$H$6,0)),载具产出!$E$112:$E$151,1),0),MATCH(AA$6,载具产出!$G$111:$O$111,0))*2</f>
        <v>18</v>
      </c>
      <c r="AB110" s="40">
        <f ca="1">OFFSET(载具产出!$F$399,IFERROR(MATCH(OFFSET($D110,0,MATCH($D$5,$E$6:$H$6,0)),载具产出!$E$112:$E$151,1),0),MATCH(AB$6,载具产出!$G$111:$O$111,0))*2</f>
        <v>29.12</v>
      </c>
      <c r="AC110" s="40">
        <f ca="1">OFFSET(载具产出!$F$399,IFERROR(MATCH(OFFSET($D110,0,MATCH($D$5,$E$6:$H$6,0)),载具产出!$E$112:$E$151,1),0),MATCH(AC$6,载具产出!$G$111:$O$111,0))*2</f>
        <v>2.88</v>
      </c>
      <c r="AD110" s="40">
        <f ca="1">OFFSET(载具产出!$F$399,IFERROR(MATCH(OFFSET($D110,0,MATCH($D$5,$E$6:$H$6,0)),载具产出!$E$112:$E$151,1),0),MATCH(AD$6,载具产出!$G$111:$O$111,0))*2</f>
        <v>0</v>
      </c>
      <c r="AE110" s="44">
        <f ca="1">SUM(AA$36:AA110)/3</f>
        <v>668.8</v>
      </c>
      <c r="AF110" s="44">
        <f ca="1">SUM(AB$36:AB110)/3</f>
        <v>638.933333333332</v>
      </c>
      <c r="AG110" s="44">
        <f ca="1">SUM(AC$36:AC110)/3</f>
        <v>45.6</v>
      </c>
      <c r="AH110" s="44">
        <f ca="1">SUM(AD$36:AD110)/3</f>
        <v>0</v>
      </c>
      <c r="AI110" s="44">
        <f>_xlfn.XLOOKUP($D$5,载具产出!$D$71:$D$75,载具产出!$E$71:$E$75)*(D110-30+1)</f>
        <v>882.14285714286</v>
      </c>
      <c r="AJ110" s="44">
        <f>IFERROR(MATCH(_xlfn.XLOOKUP($D$5,载具产出!$D$71:$D$75,载具产出!$E$71:$E$75)*(D110-30+1)*10,载具产出!$E$60:$E$67,1),0)+1</f>
        <v>6</v>
      </c>
      <c r="AK110" s="44">
        <f ca="1">IF($AJ110=1,($AI110)*(10*OFFSET(载具产出!$D$45,MATCH(AK$6,$AK$6:$AN$6,0)-1,$AJ110)+OFFSET(载具产出!$D$49,MATCH(AK$6,$AK$6:$AN$6,0)-1,$AJ110)*OFFSET(载具产出!$N$49,MATCH(AK$6,$AK$6:$AN$6,0)-1,0)),OFFSET(载具产出!F$59,$AJ110-1,0)*10+OFFSET(载具产出!J$59,$AJ110-1,0)+($AI110*10-_xlfn.XLOOKUP($AJ110-1,载具产出!$D$59:$D$67,载具产出!$E$59:$E$67))/10*(10*OFFSET(载具产出!$D$45,MATCH(AK$6,$AK$6:$AN$6,0)-1,$AJ110)+OFFSET(载具产出!$D$49,MATCH(AK$6,$AK$6:$AN$6,0)-1,$AJ110)*OFFSET(载具产出!$N$49,MATCH(AK$6,$AK$6:$AN$6,0)-1,0)))</f>
        <v>2014.56428571429</v>
      </c>
      <c r="AL110" s="44">
        <f ca="1">IF($AJ110=1,($AI110)*(10*OFFSET(载具产出!$D$45,MATCH(AL$6,$AK$6:$AN$6,0)-1,$AJ110)+OFFSET(载具产出!$D$49,MATCH(AL$6,$AK$6:$AN$6,0)-1,$AJ110)*OFFSET(载具产出!$N$49,MATCH(AL$6,$AK$6:$AN$6,0)-1,0)),OFFSET(载具产出!G$59,$AJ110-1,0)*10+OFFSET(载具产出!K$59,$AJ110-1,0)+($AI110*10-_xlfn.XLOOKUP($AJ110-1,载具产出!$D$59:$D$67,载具产出!$E$59:$E$67))/10*(10*OFFSET(载具产出!$D$45,MATCH(AL$6,$AK$6:$AN$6,0)-1,$AJ110)+OFFSET(载具产出!$D$49,MATCH(AL$6,$AK$6:$AN$6,0)-1,$AJ110)*OFFSET(载具产出!$N$49,MATCH(AL$6,$AK$6:$AN$6,0)-1,0)))</f>
        <v>752.828571428574</v>
      </c>
      <c r="AM110" s="44">
        <f ca="1">IF($AJ110=1,($AI110)*(10*OFFSET(载具产出!$D$45,MATCH(AM$6,$AK$6:$AN$6,0)-1,$AJ110)+OFFSET(载具产出!$D$49,MATCH(AM$6,$AK$6:$AN$6,0)-1,$AJ110)*OFFSET(载具产出!$N$49,MATCH(AM$6,$AK$6:$AN$6,0)-1,0)),OFFSET(载具产出!H$59,$AJ110-1,0)*10+OFFSET(载具产出!L$59,$AJ110-1,0)+($AI110*10-_xlfn.XLOOKUP($AJ110-1,载具产出!$D$59:$D$67,载具产出!$E$59:$E$67))/10*(10*OFFSET(载具产出!$D$45,MATCH(AM$6,$AK$6:$AN$6,0)-1,$AJ110)+OFFSET(载具产出!$D$49,MATCH(AM$6,$AK$6:$AN$6,0)-1,$AJ110)*OFFSET(载具产出!$N$49,MATCH(AM$6,$AK$6:$AN$6,0)-1,0)))</f>
        <v>393.862857142859</v>
      </c>
      <c r="AN110" s="44">
        <f ca="1">IF($AJ110=1,($AI110)*(10*OFFSET(载具产出!$D$45,MATCH(AN$6,$AK$6:$AN$6,0)-1,$AJ110)+OFFSET(载具产出!$D$49,MATCH(AN$6,$AK$6:$AN$6,0)-1,$AJ110)*OFFSET(载具产出!$N$49,MATCH(AN$6,$AK$6:$AN$6,0)-1,0)),OFFSET(载具产出!I$59,$AJ110-1,0)*10+OFFSET(载具产出!M$59,$AJ110-1,0)+($AI110*10-_xlfn.XLOOKUP($AJ110-1,载具产出!$D$59:$D$67,载具产出!$E$59:$E$67))/10*(10*OFFSET(载具产出!$D$45,MATCH(AN$6,$AK$6:$AN$6,0)-1,$AJ110)+OFFSET(载具产出!$D$49,MATCH(AN$6,$AK$6:$AN$6,0)-1,$AJ110)*OFFSET(载具产出!$N$49,MATCH(AN$6,$AK$6:$AN$6,0)-1,0)))</f>
        <v>113.818571428572</v>
      </c>
      <c r="AO110" s="44">
        <f ca="1" t="shared" si="22"/>
        <v>2683.36428571429</v>
      </c>
      <c r="AP110" s="44">
        <f ca="1" t="shared" si="23"/>
        <v>1391.76190476191</v>
      </c>
      <c r="AQ110" s="44">
        <f ca="1" t="shared" si="24"/>
        <v>439.462857142859</v>
      </c>
      <c r="AR110" s="44">
        <f ca="1" t="shared" si="25"/>
        <v>113.818571428572</v>
      </c>
      <c r="AS110" s="45">
        <f ca="1">IFERROR(MATCH(AO110/载具产出!R$58,载具属性!$G$33:$G$92,1),0)</f>
        <v>25</v>
      </c>
      <c r="AT110" s="45">
        <f ca="1">IFERROR(MATCH(AP110/载具产出!S$58,载具属性!$G$33:$G$92,1),0)</f>
        <v>17</v>
      </c>
      <c r="AU110" s="45">
        <f ca="1">IFERROR(MATCH(AQ110/载具产出!T$58,载具属性!$G$33:$G$92,1),0)</f>
        <v>9</v>
      </c>
      <c r="AV110" s="45">
        <f ca="1">IFERROR(MATCH(AR110/载具产出!U$58,载具属性!$G$33:$G$92,1),0)</f>
        <v>1</v>
      </c>
      <c r="AW110" s="46" t="str">
        <f ca="1" t="shared" si="26"/>
        <v>[{62,514},{63,54540},{2,146000},{6030001,1850},{6030002,1807},{6030003,130}]</v>
      </c>
      <c r="AX110" t="str">
        <f ca="1" t="shared" si="27"/>
        <v>{62,514}</v>
      </c>
      <c r="AY110" t="str">
        <f ca="1" t="shared" si="28"/>
        <v>{63,54540}</v>
      </c>
      <c r="AZ110" t="str">
        <f ca="1" t="shared" si="29"/>
        <v>{2,146000}</v>
      </c>
      <c r="BA110" t="str">
        <f ca="1" t="shared" si="30"/>
        <v>{6030001,1850}</v>
      </c>
      <c r="BB110" t="str">
        <f ca="1" t="shared" si="31"/>
        <v>{6030002,1807}</v>
      </c>
      <c r="BC110" t="str">
        <f ca="1" t="shared" si="32"/>
        <v>{6030003,130}</v>
      </c>
      <c r="BD110" t="str">
        <f ca="1" t="shared" si="33"/>
        <v/>
      </c>
    </row>
    <row r="111" ht="15" customHeight="1" spans="3:56">
      <c r="C111">
        <f ca="1" t="shared" si="21"/>
        <v>113.678571428571</v>
      </c>
      <c r="D111" s="40">
        <v>105</v>
      </c>
      <c r="E111" s="40">
        <v>102</v>
      </c>
      <c r="F111" s="40">
        <v>121</v>
      </c>
      <c r="G111" s="41">
        <v>140</v>
      </c>
      <c r="H111" s="40">
        <f t="shared" si="18"/>
        <v>190</v>
      </c>
      <c r="I111" s="40">
        <f t="shared" si="20"/>
        <v>236</v>
      </c>
      <c r="J111" s="40">
        <f t="shared" ref="J111:J135" si="34">MIN(INT(H111*(120-(D111-60))/120+(D111-60)/120*I111),I111)</f>
        <v>207</v>
      </c>
      <c r="K111" s="40">
        <f ca="1">SUM(U$36:U111)-SUM(OFFSET(载具产出!H$399,0,0,$R111+1,1))</f>
        <v>521</v>
      </c>
      <c r="L111" s="40">
        <f ca="1">SUM(T$36:T111)-SUM(OFFSET(载具产出!G$399,0,0,$R111+1,1))</f>
        <v>55455</v>
      </c>
      <c r="M111" s="40">
        <f ca="1">SUM(V$36:V111)/2-SUM(OFFSET(载具产出!I$399,0,0,$R111+1,1))</f>
        <v>148900</v>
      </c>
      <c r="N111" s="40">
        <f ca="1">SUM(AA$36:AA111)-SUM(OFFSET(载具产出!J$399,0,0,$R111+1,1))</f>
        <v>1868.6</v>
      </c>
      <c r="O111" s="40">
        <f ca="1">SUM(AB$36:AB111)-SUM(OFFSET(载具产出!K$399,0,0,$R111+1,1))</f>
        <v>1836.44</v>
      </c>
      <c r="P111" s="40">
        <f ca="1">SUM(AC$36:AC111)-SUM(OFFSET(载具产出!L$399,0,0,$R111+1,1))</f>
        <v>132.96</v>
      </c>
      <c r="Q111" s="40">
        <f ca="1">SUM(AD$36:AD111)-SUM(OFFSET(载具产出!M$399,0,0,$R111+1,1))</f>
        <v>0</v>
      </c>
      <c r="R111" s="40">
        <v>11</v>
      </c>
      <c r="S111" s="40" t="str">
        <f ca="1">OFFSET(载具产出!$D$111,IFERROR(MATCH(OFFSET($D111,0,MATCH($D$5,$E$6:$H$6,0)),载具产出!$E$112:$E$151,1),0),0)</f>
        <v>豪华Ⅴ</v>
      </c>
      <c r="T111" s="40">
        <f ca="1">OFFSET(载具产出!$F$399,IFERROR(MATCH(OFFSET($D111,0,MATCH($D$5,$E$6:$H$6,0)),载具产出!$E$400:$E$439,1),0),MATCH(T$6,载具产出!$G$399:$O$399,0))</f>
        <v>915</v>
      </c>
      <c r="U111" s="40">
        <v>7</v>
      </c>
      <c r="V111" s="40">
        <f ca="1">OFFSET(载具产出!$F$399,IFERROR(MATCH(OFFSET($D111,0,MATCH($D$5,$E$6:$H$6,0)),载具产出!$E$400:$E$439,1),0),MATCH(V$6,载具产出!$G$399:$O$399,0))</f>
        <v>5800</v>
      </c>
      <c r="W111" s="43">
        <f ca="1">_xlfn.XLOOKUP(Z111,载具属性!$E$98:$E$497,载具属性!$G$98:$G$497)+6000+OFFSET(载具属性!L$33,AS111,0)*载具属性!M$30+OFFSET(载具属性!M$33,AT111,0)*载具属性!N$30+OFFSET(载具属性!N$33,AU111,0)*载具属性!O$30+OFFSET(载具属性!O$33,AV111,0)*载具属性!P$30</f>
        <v>15915</v>
      </c>
      <c r="X111" s="43">
        <f ca="1">_xlfn.XLOOKUP(Z111,载具属性!$E$98:$E$497,载具属性!$G$98:$G$497)</f>
        <v>5670</v>
      </c>
      <c r="Y111" s="43">
        <f ca="1">OFFSET(载具属性!L$33,AS111,0)*载具属性!M$30+OFFSET(载具属性!M$33,AT111,0)*载具属性!N$30+OFFSET(载具属性!N$33,AU111,0)*载具属性!O$30+OFFSET(载具属性!O$33,AV111,0)*载具属性!P$30</f>
        <v>4245</v>
      </c>
      <c r="Z111" s="40">
        <f ca="1">MATCH(SUM($T$7:T111),载具属性!$I$98:$I$497,1)</f>
        <v>96</v>
      </c>
      <c r="AA111" s="40">
        <f ca="1">OFFSET(载具产出!$F$399,IFERROR(MATCH(OFFSET($D111,0,MATCH($D$5,$E$6:$H$6,0)),载具产出!$E$112:$E$151,1),0),MATCH(AA$6,载具产出!$G$111:$O$111,0))*2</f>
        <v>18</v>
      </c>
      <c r="AB111" s="40">
        <f ca="1">OFFSET(载具产出!$F$399,IFERROR(MATCH(OFFSET($D111,0,MATCH($D$5,$E$6:$H$6,0)),载具产出!$E$112:$E$151,1),0),MATCH(AB$6,载具产出!$G$111:$O$111,0))*2</f>
        <v>29.12</v>
      </c>
      <c r="AC111" s="40">
        <f ca="1">OFFSET(载具产出!$F$399,IFERROR(MATCH(OFFSET($D111,0,MATCH($D$5,$E$6:$H$6,0)),载具产出!$E$112:$E$151,1),0),MATCH(AC$6,载具产出!$G$111:$O$111,0))*2</f>
        <v>2.88</v>
      </c>
      <c r="AD111" s="40">
        <f ca="1">OFFSET(载具产出!$F$399,IFERROR(MATCH(OFFSET($D111,0,MATCH($D$5,$E$6:$H$6,0)),载具产出!$E$112:$E$151,1),0),MATCH(AD$6,载具产出!$G$111:$O$111,0))*2</f>
        <v>0</v>
      </c>
      <c r="AE111" s="44">
        <f ca="1">SUM(AA$36:AA111)/3</f>
        <v>674.8</v>
      </c>
      <c r="AF111" s="44">
        <f ca="1">SUM(AB$36:AB111)/3</f>
        <v>648.639999999999</v>
      </c>
      <c r="AG111" s="44">
        <f ca="1">SUM(AC$36:AC111)/3</f>
        <v>46.56</v>
      </c>
      <c r="AH111" s="44">
        <f ca="1">SUM(AD$36:AD111)/3</f>
        <v>0</v>
      </c>
      <c r="AI111" s="44">
        <f>_xlfn.XLOOKUP($D$5,载具产出!$D$71:$D$75,载具产出!$E$71:$E$75)*(D111-30+1)</f>
        <v>893.904761904765</v>
      </c>
      <c r="AJ111" s="44">
        <f>IFERROR(MATCH(_xlfn.XLOOKUP($D$5,载具产出!$D$71:$D$75,载具产出!$E$71:$E$75)*(D111-30+1)*10,载具产出!$E$60:$E$67,1),0)+1</f>
        <v>6</v>
      </c>
      <c r="AK111" s="44">
        <f ca="1">IF($AJ111=1,($AI111)*(10*OFFSET(载具产出!$D$45,MATCH(AK$6,$AK$6:$AN$6,0)-1,$AJ111)+OFFSET(载具产出!$D$49,MATCH(AK$6,$AK$6:$AN$6,0)-1,$AJ111)*OFFSET(载具产出!$N$49,MATCH(AK$6,$AK$6:$AN$6,0)-1,0)),OFFSET(载具产出!F$59,$AJ111-1,0)*10+OFFSET(载具产出!J$59,$AJ111-1,0)+($AI111*10-_xlfn.XLOOKUP($AJ111-1,载具产出!$D$59:$D$67,载具产出!$E$59:$E$67))/10*(10*OFFSET(载具产出!$D$45,MATCH(AK$6,$AK$6:$AN$6,0)-1,$AJ111)+OFFSET(载具产出!$D$49,MATCH(AK$6,$AK$6:$AN$6,0)-1,$AJ111)*OFFSET(载具产出!$N$49,MATCH(AK$6,$AK$6:$AN$6,0)-1,0)))</f>
        <v>2040.11114285715</v>
      </c>
      <c r="AL111" s="44">
        <f ca="1">IF($AJ111=1,($AI111)*(10*OFFSET(载具产出!$D$45,MATCH(AL$6,$AK$6:$AN$6,0)-1,$AJ111)+OFFSET(载具产出!$D$49,MATCH(AL$6,$AK$6:$AN$6,0)-1,$AJ111)*OFFSET(载具产出!$N$49,MATCH(AL$6,$AK$6:$AN$6,0)-1,0)),OFFSET(载具产出!G$59,$AJ111-1,0)*10+OFFSET(载具产出!K$59,$AJ111-1,0)+($AI111*10-_xlfn.XLOOKUP($AJ111-1,载具产出!$D$59:$D$67,载具产出!$E$59:$E$67))/10*(10*OFFSET(载具产出!$D$45,MATCH(AL$6,$AK$6:$AN$6,0)-1,$AJ111)+OFFSET(载具产出!$D$49,MATCH(AL$6,$AK$6:$AN$6,0)-1,$AJ111)*OFFSET(载具产出!$N$49,MATCH(AL$6,$AK$6:$AN$6,0)-1,0)))</f>
        <v>763.414285714288</v>
      </c>
      <c r="AM111" s="44">
        <f ca="1">IF($AJ111=1,($AI111)*(10*OFFSET(载具产出!$D$45,MATCH(AM$6,$AK$6:$AN$6,0)-1,$AJ111)+OFFSET(载具产出!$D$49,MATCH(AM$6,$AK$6:$AN$6,0)-1,$AJ111)*OFFSET(载具产出!$N$49,MATCH(AM$6,$AK$6:$AN$6,0)-1,0)),OFFSET(载具产出!H$59,$AJ111-1,0)*10+OFFSET(载具产出!L$59,$AJ111-1,0)+($AI111*10-_xlfn.XLOOKUP($AJ111-1,载具产出!$D$59:$D$67,载具产出!$E$59:$E$67))/10*(10*OFFSET(载具产出!$D$45,MATCH(AM$6,$AK$6:$AN$6,0)-1,$AJ111)+OFFSET(载具产出!$D$49,MATCH(AM$6,$AK$6:$AN$6,0)-1,$AJ111)*OFFSET(载具产出!$N$49,MATCH(AM$6,$AK$6:$AN$6,0)-1,0)))</f>
        <v>399.696761904763</v>
      </c>
      <c r="AN111" s="44">
        <f ca="1">IF($AJ111=1,($AI111)*(10*OFFSET(载具产出!$D$45,MATCH(AN$6,$AK$6:$AN$6,0)-1,$AJ111)+OFFSET(载具产出!$D$49,MATCH(AN$6,$AK$6:$AN$6,0)-1,$AJ111)*OFFSET(载具产出!$N$49,MATCH(AN$6,$AK$6:$AN$6,0)-1,0)),OFFSET(载具产出!I$59,$AJ111-1,0)*10+OFFSET(载具产出!M$59,$AJ111-1,0)+($AI111*10-_xlfn.XLOOKUP($AJ111-1,载具产出!$D$59:$D$67,载具产出!$E$59:$E$67))/10*(10*OFFSET(载具产出!$D$45,MATCH(AN$6,$AK$6:$AN$6,0)-1,$AJ111)+OFFSET(载具产出!$D$49,MATCH(AN$6,$AK$6:$AN$6,0)-1,$AJ111)*OFFSET(载具产出!$N$49,MATCH(AN$6,$AK$6:$AN$6,0)-1,0)))</f>
        <v>115.676952380953</v>
      </c>
      <c r="AO111" s="44">
        <f ca="1" t="shared" si="22"/>
        <v>2714.91114285715</v>
      </c>
      <c r="AP111" s="44">
        <f ca="1" t="shared" si="23"/>
        <v>1412.05428571429</v>
      </c>
      <c r="AQ111" s="44">
        <f ca="1" t="shared" si="24"/>
        <v>446.256761904763</v>
      </c>
      <c r="AR111" s="44">
        <f ca="1" t="shared" si="25"/>
        <v>115.676952380953</v>
      </c>
      <c r="AS111" s="45">
        <f ca="1">IFERROR(MATCH(AO111/载具产出!R$58,载具属性!$G$33:$G$92,1),0)</f>
        <v>26</v>
      </c>
      <c r="AT111" s="45">
        <f ca="1">IFERROR(MATCH(AP111/载具产出!S$58,载具属性!$G$33:$G$92,1),0)</f>
        <v>17</v>
      </c>
      <c r="AU111" s="45">
        <f ca="1">IFERROR(MATCH(AQ111/载具产出!T$58,载具属性!$G$33:$G$92,1),0)</f>
        <v>9</v>
      </c>
      <c r="AV111" s="45">
        <f ca="1">IFERROR(MATCH(AR111/载具产出!U$58,载具属性!$G$33:$G$92,1),0)</f>
        <v>1</v>
      </c>
      <c r="AW111" s="46" t="str">
        <f ca="1" t="shared" si="26"/>
        <v>[{62,521},{63,55455},{2,148900},{6030001,1868},{6030002,1836},{6030003,132}]</v>
      </c>
      <c r="AX111" t="str">
        <f ca="1" t="shared" si="27"/>
        <v>{62,521}</v>
      </c>
      <c r="AY111" t="str">
        <f ca="1" t="shared" si="28"/>
        <v>{63,55455}</v>
      </c>
      <c r="AZ111" t="str">
        <f ca="1" t="shared" si="29"/>
        <v>{2,148900}</v>
      </c>
      <c r="BA111" t="str">
        <f ca="1" t="shared" si="30"/>
        <v>{6030001,1868}</v>
      </c>
      <c r="BB111" t="str">
        <f ca="1" t="shared" si="31"/>
        <v>{6030002,1836}</v>
      </c>
      <c r="BC111" t="str">
        <f ca="1" t="shared" si="32"/>
        <v>{6030003,132}</v>
      </c>
      <c r="BD111" t="str">
        <f ca="1" t="shared" si="33"/>
        <v/>
      </c>
    </row>
    <row r="112" spans="3:56">
      <c r="C112">
        <f ca="1" t="shared" si="21"/>
        <v>114.007092198582</v>
      </c>
      <c r="D112" s="40">
        <v>106</v>
      </c>
      <c r="E112" s="40">
        <v>103</v>
      </c>
      <c r="F112" s="40">
        <v>122</v>
      </c>
      <c r="G112" s="41">
        <v>141</v>
      </c>
      <c r="H112" s="40">
        <f t="shared" si="18"/>
        <v>191</v>
      </c>
      <c r="I112" s="40">
        <f t="shared" si="20"/>
        <v>238</v>
      </c>
      <c r="J112" s="40">
        <f t="shared" si="34"/>
        <v>209</v>
      </c>
      <c r="K112" s="40">
        <f ca="1">SUM(U$36:U112)-SUM(OFFSET(载具产出!H$399,0,0,$R112+1,1))</f>
        <v>528</v>
      </c>
      <c r="L112" s="40">
        <f ca="1">SUM(T$36:T112)-SUM(OFFSET(载具产出!G$399,0,0,$R112+1,1))</f>
        <v>56370</v>
      </c>
      <c r="M112" s="40">
        <f ca="1">SUM(V$36:V112)/2-SUM(OFFSET(载具产出!I$399,0,0,$R112+1,1))</f>
        <v>151800</v>
      </c>
      <c r="N112" s="40">
        <f ca="1">SUM(AA$36:AA112)-SUM(OFFSET(载具产出!J$399,0,0,$R112+1,1))</f>
        <v>1886.6</v>
      </c>
      <c r="O112" s="40">
        <f ca="1">SUM(AB$36:AB112)-SUM(OFFSET(载具产出!K$399,0,0,$R112+1,1))</f>
        <v>1865.56</v>
      </c>
      <c r="P112" s="40">
        <f ca="1">SUM(AC$36:AC112)-SUM(OFFSET(载具产出!L$399,0,0,$R112+1,1))</f>
        <v>135.84</v>
      </c>
      <c r="Q112" s="40">
        <f ca="1">SUM(AD$36:AD112)-SUM(OFFSET(载具产出!M$399,0,0,$R112+1,1))</f>
        <v>0</v>
      </c>
      <c r="R112" s="40">
        <v>11</v>
      </c>
      <c r="S112" s="40" t="str">
        <f ca="1">OFFSET(载具产出!$D$111,IFERROR(MATCH(OFFSET($D112,0,MATCH($D$5,$E$6:$H$6,0)),载具产出!$E$112:$E$151,1),0),0)</f>
        <v>豪华Ⅴ</v>
      </c>
      <c r="T112" s="40">
        <f ca="1">OFFSET(载具产出!$F$399,IFERROR(MATCH(OFFSET($D112,0,MATCH($D$5,$E$6:$H$6,0)),载具产出!$E$400:$E$439,1),0),MATCH(T$6,载具产出!$G$399:$O$399,0))</f>
        <v>915</v>
      </c>
      <c r="U112" s="40">
        <v>7</v>
      </c>
      <c r="V112" s="40">
        <f ca="1">OFFSET(载具产出!$F$399,IFERROR(MATCH(OFFSET($D112,0,MATCH($D$5,$E$6:$H$6,0)),载具产出!$E$400:$E$439,1),0),MATCH(V$6,载具产出!$G$399:$O$399,0))</f>
        <v>5800</v>
      </c>
      <c r="W112" s="43">
        <f ca="1">_xlfn.XLOOKUP(Z112,载具属性!$E$98:$E$497,载具属性!$G$98:$G$497)+6000+OFFSET(载具属性!L$33,AS112,0)*载具属性!M$30+OFFSET(载具属性!M$33,AT112,0)*载具属性!N$30+OFFSET(载具属性!N$33,AU112,0)*载具属性!O$30+OFFSET(载具属性!O$33,AV112,0)*载具属性!P$30</f>
        <v>16075</v>
      </c>
      <c r="X112" s="43">
        <f ca="1">_xlfn.XLOOKUP(Z112,载具属性!$E$98:$E$497,载具属性!$G$98:$G$497)</f>
        <v>5740</v>
      </c>
      <c r="Y112" s="43">
        <f ca="1">OFFSET(载具属性!L$33,AS112,0)*载具属性!M$30+OFFSET(载具属性!M$33,AT112,0)*载具属性!N$30+OFFSET(载具属性!N$33,AU112,0)*载具属性!O$30+OFFSET(载具属性!O$33,AV112,0)*载具属性!P$30</f>
        <v>4335</v>
      </c>
      <c r="Z112" s="40">
        <f ca="1">MATCH(SUM($T$7:T112),载具属性!$I$98:$I$497,1)</f>
        <v>97</v>
      </c>
      <c r="AA112" s="40">
        <f ca="1">OFFSET(载具产出!$F$399,IFERROR(MATCH(OFFSET($D112,0,MATCH($D$5,$E$6:$H$6,0)),载具产出!$E$112:$E$151,1),0),MATCH(AA$6,载具产出!$G$111:$O$111,0))*2</f>
        <v>18</v>
      </c>
      <c r="AB112" s="40">
        <f ca="1">OFFSET(载具产出!$F$399,IFERROR(MATCH(OFFSET($D112,0,MATCH($D$5,$E$6:$H$6,0)),载具产出!$E$112:$E$151,1),0),MATCH(AB$6,载具产出!$G$111:$O$111,0))*2</f>
        <v>29.12</v>
      </c>
      <c r="AC112" s="40">
        <f ca="1">OFFSET(载具产出!$F$399,IFERROR(MATCH(OFFSET($D112,0,MATCH($D$5,$E$6:$H$6,0)),载具产出!$E$112:$E$151,1),0),MATCH(AC$6,载具产出!$G$111:$O$111,0))*2</f>
        <v>2.88</v>
      </c>
      <c r="AD112" s="40">
        <f ca="1">OFFSET(载具产出!$F$399,IFERROR(MATCH(OFFSET($D112,0,MATCH($D$5,$E$6:$H$6,0)),载具产出!$E$112:$E$151,1),0),MATCH(AD$6,载具产出!$G$111:$O$111,0))*2</f>
        <v>0</v>
      </c>
      <c r="AE112" s="44">
        <f ca="1">SUM(AA$36:AA112)/3</f>
        <v>680.8</v>
      </c>
      <c r="AF112" s="44">
        <f ca="1">SUM(AB$36:AB112)/3</f>
        <v>658.346666666666</v>
      </c>
      <c r="AG112" s="44">
        <f ca="1">SUM(AC$36:AC112)/3</f>
        <v>47.52</v>
      </c>
      <c r="AH112" s="44">
        <f ca="1">SUM(AD$36:AD112)/3</f>
        <v>0</v>
      </c>
      <c r="AI112" s="44">
        <f>_xlfn.XLOOKUP($D$5,载具产出!$D$71:$D$75,载具产出!$E$71:$E$75)*(D112-30+1)</f>
        <v>905.66666666667</v>
      </c>
      <c r="AJ112" s="44">
        <f>IFERROR(MATCH(_xlfn.XLOOKUP($D$5,载具产出!$D$71:$D$75,载具产出!$E$71:$E$75)*(D112-30+1)*10,载具产出!$E$60:$E$67,1),0)+1</f>
        <v>6</v>
      </c>
      <c r="AK112" s="44">
        <f ca="1">IF($AJ112=1,($AI112)*(10*OFFSET(载具产出!$D$45,MATCH(AK$6,$AK$6:$AN$6,0)-1,$AJ112)+OFFSET(载具产出!$D$49,MATCH(AK$6,$AK$6:$AN$6,0)-1,$AJ112)*OFFSET(载具产出!$N$49,MATCH(AK$6,$AK$6:$AN$6,0)-1,0)),OFFSET(载具产出!F$59,$AJ112-1,0)*10+OFFSET(载具产出!J$59,$AJ112-1,0)+($AI112*10-_xlfn.XLOOKUP($AJ112-1,载具产出!$D$59:$D$67,载具产出!$E$59:$E$67))/10*(10*OFFSET(载具产出!$D$45,MATCH(AK$6,$AK$6:$AN$6,0)-1,$AJ112)+OFFSET(载具产出!$D$49,MATCH(AK$6,$AK$6:$AN$6,0)-1,$AJ112)*OFFSET(载具产出!$N$49,MATCH(AK$6,$AK$6:$AN$6,0)-1,0)))</f>
        <v>2065.65800000001</v>
      </c>
      <c r="AL112" s="44">
        <f ca="1">IF($AJ112=1,($AI112)*(10*OFFSET(载具产出!$D$45,MATCH(AL$6,$AK$6:$AN$6,0)-1,$AJ112)+OFFSET(载具产出!$D$49,MATCH(AL$6,$AK$6:$AN$6,0)-1,$AJ112)*OFFSET(载具产出!$N$49,MATCH(AL$6,$AK$6:$AN$6,0)-1,0)),OFFSET(载具产出!G$59,$AJ112-1,0)*10+OFFSET(载具产出!K$59,$AJ112-1,0)+($AI112*10-_xlfn.XLOOKUP($AJ112-1,载具产出!$D$59:$D$67,载具产出!$E$59:$E$67))/10*(10*OFFSET(载具产出!$D$45,MATCH(AL$6,$AK$6:$AN$6,0)-1,$AJ112)+OFFSET(载具产出!$D$49,MATCH(AL$6,$AK$6:$AN$6,0)-1,$AJ112)*OFFSET(载具产出!$N$49,MATCH(AL$6,$AK$6:$AN$6,0)-1,0)))</f>
        <v>774.000000000003</v>
      </c>
      <c r="AM112" s="44">
        <f ca="1">IF($AJ112=1,($AI112)*(10*OFFSET(载具产出!$D$45,MATCH(AM$6,$AK$6:$AN$6,0)-1,$AJ112)+OFFSET(载具产出!$D$49,MATCH(AM$6,$AK$6:$AN$6,0)-1,$AJ112)*OFFSET(载具产出!$N$49,MATCH(AM$6,$AK$6:$AN$6,0)-1,0)),OFFSET(载具产出!H$59,$AJ112-1,0)*10+OFFSET(载具产出!L$59,$AJ112-1,0)+($AI112*10-_xlfn.XLOOKUP($AJ112-1,载具产出!$D$59:$D$67,载具产出!$E$59:$E$67))/10*(10*OFFSET(载具产出!$D$45,MATCH(AM$6,$AK$6:$AN$6,0)-1,$AJ112)+OFFSET(载具产出!$D$49,MATCH(AM$6,$AK$6:$AN$6,0)-1,$AJ112)*OFFSET(载具产出!$N$49,MATCH(AM$6,$AK$6:$AN$6,0)-1,0)))</f>
        <v>405.530666666668</v>
      </c>
      <c r="AN112" s="44">
        <f ca="1">IF($AJ112=1,($AI112)*(10*OFFSET(载具产出!$D$45,MATCH(AN$6,$AK$6:$AN$6,0)-1,$AJ112)+OFFSET(载具产出!$D$49,MATCH(AN$6,$AK$6:$AN$6,0)-1,$AJ112)*OFFSET(载具产出!$N$49,MATCH(AN$6,$AK$6:$AN$6,0)-1,0)),OFFSET(载具产出!I$59,$AJ112-1,0)*10+OFFSET(载具产出!M$59,$AJ112-1,0)+($AI112*10-_xlfn.XLOOKUP($AJ112-1,载具产出!$D$59:$D$67,载具产出!$E$59:$E$67))/10*(10*OFFSET(载具产出!$D$45,MATCH(AN$6,$AK$6:$AN$6,0)-1,$AJ112)+OFFSET(载具产出!$D$49,MATCH(AN$6,$AK$6:$AN$6,0)-1,$AJ112)*OFFSET(载具产出!$N$49,MATCH(AN$6,$AK$6:$AN$6,0)-1,0)))</f>
        <v>117.535333333334</v>
      </c>
      <c r="AO112" s="44">
        <f ca="1" t="shared" si="22"/>
        <v>2746.45800000001</v>
      </c>
      <c r="AP112" s="44">
        <f ca="1" t="shared" si="23"/>
        <v>1432.34666666667</v>
      </c>
      <c r="AQ112" s="44">
        <f ca="1" t="shared" si="24"/>
        <v>453.050666666668</v>
      </c>
      <c r="AR112" s="44">
        <f ca="1" t="shared" si="25"/>
        <v>117.535333333334</v>
      </c>
      <c r="AS112" s="45">
        <f ca="1">IFERROR(MATCH(AO112/载具产出!R$58,载具属性!$G$33:$G$92,1),0)</f>
        <v>26</v>
      </c>
      <c r="AT112" s="45">
        <f ca="1">IFERROR(MATCH(AP112/载具产出!S$58,载具属性!$G$33:$G$92,1),0)</f>
        <v>18</v>
      </c>
      <c r="AU112" s="45">
        <f ca="1">IFERROR(MATCH(AQ112/载具产出!T$58,载具属性!$G$33:$G$92,1),0)</f>
        <v>9</v>
      </c>
      <c r="AV112" s="45">
        <f ca="1">IFERROR(MATCH(AR112/载具产出!U$58,载具属性!$G$33:$G$92,1),0)</f>
        <v>1</v>
      </c>
      <c r="AW112" s="46" t="str">
        <f ca="1" t="shared" si="26"/>
        <v>[{62,528},{63,56370},{2,151800},{6030001,1886},{6030002,1865},{6030003,135}]</v>
      </c>
      <c r="AX112" t="str">
        <f ca="1" t="shared" si="27"/>
        <v>{62,528}</v>
      </c>
      <c r="AY112" t="str">
        <f ca="1" t="shared" si="28"/>
        <v>{63,56370}</v>
      </c>
      <c r="AZ112" t="str">
        <f ca="1" t="shared" si="29"/>
        <v>{2,151800}</v>
      </c>
      <c r="BA112" t="str">
        <f ca="1" t="shared" si="30"/>
        <v>{6030001,1886}</v>
      </c>
      <c r="BB112" t="str">
        <f ca="1" t="shared" si="31"/>
        <v>{6030002,1865}</v>
      </c>
      <c r="BC112" t="str">
        <f ca="1" t="shared" si="32"/>
        <v>{6030003,135}</v>
      </c>
      <c r="BD112" t="str">
        <f ca="1" t="shared" si="33"/>
        <v/>
      </c>
    </row>
    <row r="113" spans="3:56">
      <c r="C113">
        <f ca="1" t="shared" si="21"/>
        <v>114.007092198582</v>
      </c>
      <c r="D113" s="40">
        <v>107</v>
      </c>
      <c r="E113" s="40">
        <v>103</v>
      </c>
      <c r="F113" s="40">
        <v>122</v>
      </c>
      <c r="G113" s="41">
        <v>141</v>
      </c>
      <c r="H113" s="40">
        <f t="shared" si="18"/>
        <v>192</v>
      </c>
      <c r="I113" s="40">
        <f t="shared" si="20"/>
        <v>240</v>
      </c>
      <c r="J113" s="40">
        <f t="shared" si="34"/>
        <v>210</v>
      </c>
      <c r="K113" s="40">
        <f ca="1">SUM(U$36:U113)-SUM(OFFSET(载具产出!H$399,0,0,$R113+1,1))</f>
        <v>534</v>
      </c>
      <c r="L113" s="40">
        <f ca="1">SUM(T$36:T113)-SUM(OFFSET(载具产出!G$399,0,0,$R113+1,1))</f>
        <v>56305</v>
      </c>
      <c r="M113" s="40">
        <f ca="1">SUM(V$36:V113)/2-SUM(OFFSET(载具产出!I$399,0,0,$R113+1,1))</f>
        <v>148500</v>
      </c>
      <c r="N113" s="40">
        <f ca="1">SUM(AA$36:AA113)-SUM(OFFSET(载具产出!J$399,0,0,$R113+1,1))</f>
        <v>1895.6</v>
      </c>
      <c r="O113" s="40">
        <f ca="1">SUM(AB$36:AB113)-SUM(OFFSET(载具产出!K$399,0,0,$R113+1,1))</f>
        <v>1884.6</v>
      </c>
      <c r="P113" s="40">
        <f ca="1">SUM(AC$36:AC113)-SUM(OFFSET(载具产出!L$399,0,0,$R113+1,1))</f>
        <v>134.8</v>
      </c>
      <c r="Q113" s="40">
        <f ca="1">SUM(AD$36:AD113)-SUM(OFFSET(载具产出!M$399,0,0,$R113+1,1))</f>
        <v>0</v>
      </c>
      <c r="R113" s="40">
        <v>12</v>
      </c>
      <c r="S113" s="40" t="str">
        <f ca="1">OFFSET(载具产出!$D$111,IFERROR(MATCH(OFFSET($D113,0,MATCH($D$5,$E$6:$H$6,0)),载具产出!$E$112:$E$151,1),0),0)</f>
        <v>豪华Ⅴ</v>
      </c>
      <c r="T113" s="40">
        <f ca="1">OFFSET(载具产出!$F$399,IFERROR(MATCH(OFFSET($D113,0,MATCH($D$5,$E$6:$H$6,0)),载具产出!$E$400:$E$439,1),0),MATCH(T$6,载具产出!$G$399:$O$399,0))</f>
        <v>915</v>
      </c>
      <c r="U113" s="40">
        <v>7</v>
      </c>
      <c r="V113" s="40">
        <f ca="1">OFFSET(载具产出!$F$399,IFERROR(MATCH(OFFSET($D113,0,MATCH($D$5,$E$6:$H$6,0)),载具产出!$E$400:$E$439,1),0),MATCH(V$6,载具产出!$G$399:$O$399,0))</f>
        <v>5800</v>
      </c>
      <c r="W113" s="43">
        <f ca="1">_xlfn.XLOOKUP(Z113,载具属性!$E$98:$E$497,载具属性!$G$98:$G$497)+6000+OFFSET(载具属性!L$33,AS113,0)*载具属性!M$30+OFFSET(载具属性!M$33,AT113,0)*载具属性!N$30+OFFSET(载具属性!N$33,AU113,0)*载具属性!O$30+OFFSET(载具属性!O$33,AV113,0)*载具属性!P$30</f>
        <v>16075</v>
      </c>
      <c r="X113" s="43">
        <f ca="1">_xlfn.XLOOKUP(Z113,载具属性!$E$98:$E$497,载具属性!$G$98:$G$497)</f>
        <v>5740</v>
      </c>
      <c r="Y113" s="43">
        <f ca="1">OFFSET(载具属性!L$33,AS113,0)*载具属性!M$30+OFFSET(载具属性!M$33,AT113,0)*载具属性!N$30+OFFSET(载具属性!N$33,AU113,0)*载具属性!O$30+OFFSET(载具属性!O$33,AV113,0)*载具属性!P$30</f>
        <v>4335</v>
      </c>
      <c r="Z113" s="40">
        <f ca="1">MATCH(SUM($T$7:T113),载具属性!$I$98:$I$497,1)</f>
        <v>97</v>
      </c>
      <c r="AA113" s="40">
        <f ca="1">OFFSET(载具产出!$F$399,IFERROR(MATCH(OFFSET($D113,0,MATCH($D$5,$E$6:$H$6,0)),载具产出!$E$112:$E$151,1),0),MATCH(AA$6,载具产出!$G$111:$O$111,0))*2</f>
        <v>18</v>
      </c>
      <c r="AB113" s="40">
        <f ca="1">OFFSET(载具产出!$F$399,IFERROR(MATCH(OFFSET($D113,0,MATCH($D$5,$E$6:$H$6,0)),载具产出!$E$112:$E$151,1),0),MATCH(AB$6,载具产出!$G$111:$O$111,0))*2</f>
        <v>29.12</v>
      </c>
      <c r="AC113" s="40">
        <f ca="1">OFFSET(载具产出!$F$399,IFERROR(MATCH(OFFSET($D113,0,MATCH($D$5,$E$6:$H$6,0)),载具产出!$E$112:$E$151,1),0),MATCH(AC$6,载具产出!$G$111:$O$111,0))*2</f>
        <v>2.88</v>
      </c>
      <c r="AD113" s="40">
        <f ca="1">OFFSET(载具产出!$F$399,IFERROR(MATCH(OFFSET($D113,0,MATCH($D$5,$E$6:$H$6,0)),载具产出!$E$112:$E$151,1),0),MATCH(AD$6,载具产出!$G$111:$O$111,0))*2</f>
        <v>0</v>
      </c>
      <c r="AE113" s="44">
        <f ca="1">SUM(AA$36:AA113)/3</f>
        <v>686.8</v>
      </c>
      <c r="AF113" s="44">
        <f ca="1">SUM(AB$36:AB113)/3</f>
        <v>668.053333333332</v>
      </c>
      <c r="AG113" s="44">
        <f ca="1">SUM(AC$36:AC113)/3</f>
        <v>48.48</v>
      </c>
      <c r="AH113" s="44">
        <f ca="1">SUM(AD$36:AD113)/3</f>
        <v>0</v>
      </c>
      <c r="AI113" s="44">
        <f>_xlfn.XLOOKUP($D$5,载具产出!$D$71:$D$75,载具产出!$E$71:$E$75)*(D113-30+1)</f>
        <v>917.428571428574</v>
      </c>
      <c r="AJ113" s="44">
        <f>IFERROR(MATCH(_xlfn.XLOOKUP($D$5,载具产出!$D$71:$D$75,载具产出!$E$71:$E$75)*(D113-30+1)*10,载具产出!$E$60:$E$67,1),0)+1</f>
        <v>6</v>
      </c>
      <c r="AK113" s="44">
        <f ca="1">IF($AJ113=1,($AI113)*(10*OFFSET(载具产出!$D$45,MATCH(AK$6,$AK$6:$AN$6,0)-1,$AJ113)+OFFSET(载具产出!$D$49,MATCH(AK$6,$AK$6:$AN$6,0)-1,$AJ113)*OFFSET(载具产出!$N$49,MATCH(AK$6,$AK$6:$AN$6,0)-1,0)),OFFSET(载具产出!F$59,$AJ113-1,0)*10+OFFSET(载具产出!J$59,$AJ113-1,0)+($AI113*10-_xlfn.XLOOKUP($AJ113-1,载具产出!$D$59:$D$67,载具产出!$E$59:$E$67))/10*(10*OFFSET(载具产出!$D$45,MATCH(AK$6,$AK$6:$AN$6,0)-1,$AJ113)+OFFSET(载具产出!$D$49,MATCH(AK$6,$AK$6:$AN$6,0)-1,$AJ113)*OFFSET(载具产出!$N$49,MATCH(AK$6,$AK$6:$AN$6,0)-1,0)))</f>
        <v>2091.20485714286</v>
      </c>
      <c r="AL113" s="44">
        <f ca="1">IF($AJ113=1,($AI113)*(10*OFFSET(载具产出!$D$45,MATCH(AL$6,$AK$6:$AN$6,0)-1,$AJ113)+OFFSET(载具产出!$D$49,MATCH(AL$6,$AK$6:$AN$6,0)-1,$AJ113)*OFFSET(载具产出!$N$49,MATCH(AL$6,$AK$6:$AN$6,0)-1,0)),OFFSET(载具产出!G$59,$AJ113-1,0)*10+OFFSET(载具产出!K$59,$AJ113-1,0)+($AI113*10-_xlfn.XLOOKUP($AJ113-1,载具产出!$D$59:$D$67,载具产出!$E$59:$E$67))/10*(10*OFFSET(载具产出!$D$45,MATCH(AL$6,$AK$6:$AN$6,0)-1,$AJ113)+OFFSET(载具产出!$D$49,MATCH(AL$6,$AK$6:$AN$6,0)-1,$AJ113)*OFFSET(载具产出!$N$49,MATCH(AL$6,$AK$6:$AN$6,0)-1,0)))</f>
        <v>784.585714285717</v>
      </c>
      <c r="AM113" s="44">
        <f ca="1">IF($AJ113=1,($AI113)*(10*OFFSET(载具产出!$D$45,MATCH(AM$6,$AK$6:$AN$6,0)-1,$AJ113)+OFFSET(载具产出!$D$49,MATCH(AM$6,$AK$6:$AN$6,0)-1,$AJ113)*OFFSET(载具产出!$N$49,MATCH(AM$6,$AK$6:$AN$6,0)-1,0)),OFFSET(载具产出!H$59,$AJ113-1,0)*10+OFFSET(载具产出!L$59,$AJ113-1,0)+($AI113*10-_xlfn.XLOOKUP($AJ113-1,载具产出!$D$59:$D$67,载具产出!$E$59:$E$67))/10*(10*OFFSET(载具产出!$D$45,MATCH(AM$6,$AK$6:$AN$6,0)-1,$AJ113)+OFFSET(载具产出!$D$49,MATCH(AM$6,$AK$6:$AN$6,0)-1,$AJ113)*OFFSET(载具产出!$N$49,MATCH(AM$6,$AK$6:$AN$6,0)-1,0)))</f>
        <v>411.364571428573</v>
      </c>
      <c r="AN113" s="44">
        <f ca="1">IF($AJ113=1,($AI113)*(10*OFFSET(载具产出!$D$45,MATCH(AN$6,$AK$6:$AN$6,0)-1,$AJ113)+OFFSET(载具产出!$D$49,MATCH(AN$6,$AK$6:$AN$6,0)-1,$AJ113)*OFFSET(载具产出!$N$49,MATCH(AN$6,$AK$6:$AN$6,0)-1,0)),OFFSET(载具产出!I$59,$AJ113-1,0)*10+OFFSET(载具产出!M$59,$AJ113-1,0)+($AI113*10-_xlfn.XLOOKUP($AJ113-1,载具产出!$D$59:$D$67,载具产出!$E$59:$E$67))/10*(10*OFFSET(载具产出!$D$45,MATCH(AN$6,$AK$6:$AN$6,0)-1,$AJ113)+OFFSET(载具产出!$D$49,MATCH(AN$6,$AK$6:$AN$6,0)-1,$AJ113)*OFFSET(载具产出!$N$49,MATCH(AN$6,$AK$6:$AN$6,0)-1,0)))</f>
        <v>119.393714285715</v>
      </c>
      <c r="AO113" s="44">
        <f ca="1" t="shared" si="22"/>
        <v>2778.00485714286</v>
      </c>
      <c r="AP113" s="44">
        <f ca="1" t="shared" si="23"/>
        <v>1452.63904761905</v>
      </c>
      <c r="AQ113" s="44">
        <f ca="1" t="shared" si="24"/>
        <v>459.844571428573</v>
      </c>
      <c r="AR113" s="44">
        <f ca="1" t="shared" si="25"/>
        <v>119.393714285715</v>
      </c>
      <c r="AS113" s="45">
        <f ca="1">IFERROR(MATCH(AO113/载具产出!R$58,载具属性!$G$33:$G$92,1),0)</f>
        <v>26</v>
      </c>
      <c r="AT113" s="45">
        <f ca="1">IFERROR(MATCH(AP113/载具产出!S$58,载具属性!$G$33:$G$92,1),0)</f>
        <v>18</v>
      </c>
      <c r="AU113" s="45">
        <f ca="1">IFERROR(MATCH(AQ113/载具产出!T$58,载具属性!$G$33:$G$92,1),0)</f>
        <v>9</v>
      </c>
      <c r="AV113" s="45">
        <f ca="1">IFERROR(MATCH(AR113/载具产出!U$58,载具属性!$G$33:$G$92,1),0)</f>
        <v>1</v>
      </c>
      <c r="AW113" s="46" t="str">
        <f ca="1" t="shared" si="26"/>
        <v>[{62,534},{63,56305},{2,148500},{6030001,1895},{6030002,1884},{6030003,134}]</v>
      </c>
      <c r="AX113" t="str">
        <f ca="1" t="shared" si="27"/>
        <v>{62,534}</v>
      </c>
      <c r="AY113" t="str">
        <f ca="1" t="shared" si="28"/>
        <v>{63,56305}</v>
      </c>
      <c r="AZ113" t="str">
        <f ca="1" t="shared" si="29"/>
        <v>{2,148500}</v>
      </c>
      <c r="BA113" t="str">
        <f ca="1" t="shared" si="30"/>
        <v>{6030001,1895}</v>
      </c>
      <c r="BB113" t="str">
        <f ca="1" t="shared" si="31"/>
        <v>{6030002,1884}</v>
      </c>
      <c r="BC113" t="str">
        <f ca="1" t="shared" si="32"/>
        <v>{6030003,134}</v>
      </c>
      <c r="BD113" t="str">
        <f ca="1" t="shared" si="33"/>
        <v/>
      </c>
    </row>
    <row r="114" spans="3:56">
      <c r="C114">
        <f ca="1" t="shared" si="21"/>
        <v>114.225352112676</v>
      </c>
      <c r="D114" s="40">
        <v>108</v>
      </c>
      <c r="E114" s="40">
        <v>103</v>
      </c>
      <c r="F114" s="40">
        <v>123</v>
      </c>
      <c r="G114" s="41">
        <v>142</v>
      </c>
      <c r="H114" s="40">
        <f t="shared" si="18"/>
        <v>193</v>
      </c>
      <c r="I114" s="40">
        <f t="shared" si="20"/>
        <v>242</v>
      </c>
      <c r="J114" s="40">
        <f t="shared" si="34"/>
        <v>212</v>
      </c>
      <c r="K114" s="40">
        <f ca="1">SUM(U$36:U114)-SUM(OFFSET(载具产出!H$399,0,0,$R114+1,1))</f>
        <v>541</v>
      </c>
      <c r="L114" s="40">
        <f ca="1">SUM(T$36:T114)-SUM(OFFSET(载具产出!G$399,0,0,$R114+1,1))</f>
        <v>57220</v>
      </c>
      <c r="M114" s="40">
        <f ca="1">SUM(V$36:V114)/2-SUM(OFFSET(载具产出!I$399,0,0,$R114+1,1))</f>
        <v>151400</v>
      </c>
      <c r="N114" s="40">
        <f ca="1">SUM(AA$36:AA114)-SUM(OFFSET(载具产出!J$399,0,0,$R114+1,1))</f>
        <v>1913.6</v>
      </c>
      <c r="O114" s="40">
        <f ca="1">SUM(AB$36:AB114)-SUM(OFFSET(载具产出!K$399,0,0,$R114+1,1))</f>
        <v>1913.72</v>
      </c>
      <c r="P114" s="40">
        <f ca="1">SUM(AC$36:AC114)-SUM(OFFSET(载具产出!L$399,0,0,$R114+1,1))</f>
        <v>137.68</v>
      </c>
      <c r="Q114" s="40">
        <f ca="1">SUM(AD$36:AD114)-SUM(OFFSET(载具产出!M$399,0,0,$R114+1,1))</f>
        <v>0</v>
      </c>
      <c r="R114" s="40">
        <v>12</v>
      </c>
      <c r="S114" s="40" t="str">
        <f ca="1">OFFSET(载具产出!$D$111,IFERROR(MATCH(OFFSET($D114,0,MATCH($D$5,$E$6:$H$6,0)),载具产出!$E$112:$E$151,1),0),0)</f>
        <v>豪华Ⅴ</v>
      </c>
      <c r="T114" s="40">
        <f ca="1">OFFSET(载具产出!$F$399,IFERROR(MATCH(OFFSET($D114,0,MATCH($D$5,$E$6:$H$6,0)),载具产出!$E$400:$E$439,1),0),MATCH(T$6,载具产出!$G$399:$O$399,0))</f>
        <v>915</v>
      </c>
      <c r="U114" s="40">
        <v>7</v>
      </c>
      <c r="V114" s="40">
        <f ca="1">OFFSET(载具产出!$F$399,IFERROR(MATCH(OFFSET($D114,0,MATCH($D$5,$E$6:$H$6,0)),载具产出!$E$400:$E$439,1),0),MATCH(V$6,载具产出!$G$399:$O$399,0))</f>
        <v>5800</v>
      </c>
      <c r="W114" s="43">
        <f ca="1">_xlfn.XLOOKUP(Z114,载具属性!$E$98:$E$497,载具属性!$G$98:$G$497)+6000+OFFSET(载具属性!L$33,AS114,0)*载具属性!M$30+OFFSET(载具属性!M$33,AT114,0)*载具属性!N$30+OFFSET(载具属性!N$33,AU114,0)*载具属性!O$30+OFFSET(载具属性!O$33,AV114,0)*载具属性!P$30</f>
        <v>16220</v>
      </c>
      <c r="X114" s="43">
        <f ca="1">_xlfn.XLOOKUP(Z114,载具属性!$E$98:$E$497,载具属性!$G$98:$G$497)</f>
        <v>5810</v>
      </c>
      <c r="Y114" s="43">
        <f ca="1">OFFSET(载具属性!L$33,AS114,0)*载具属性!M$30+OFFSET(载具属性!M$33,AT114,0)*载具属性!N$30+OFFSET(载具属性!N$33,AU114,0)*载具属性!O$30+OFFSET(载具属性!O$33,AV114,0)*载具属性!P$30</f>
        <v>4410</v>
      </c>
      <c r="Z114" s="40">
        <f ca="1">MATCH(SUM($T$7:T114),载具属性!$I$98:$I$497,1)</f>
        <v>98</v>
      </c>
      <c r="AA114" s="40">
        <f ca="1">OFFSET(载具产出!$F$399,IFERROR(MATCH(OFFSET($D114,0,MATCH($D$5,$E$6:$H$6,0)),载具产出!$E$112:$E$151,1),0),MATCH(AA$6,载具产出!$G$111:$O$111,0))*2</f>
        <v>18</v>
      </c>
      <c r="AB114" s="40">
        <f ca="1">OFFSET(载具产出!$F$399,IFERROR(MATCH(OFFSET($D114,0,MATCH($D$5,$E$6:$H$6,0)),载具产出!$E$112:$E$151,1),0),MATCH(AB$6,载具产出!$G$111:$O$111,0))*2</f>
        <v>29.12</v>
      </c>
      <c r="AC114" s="40">
        <f ca="1">OFFSET(载具产出!$F$399,IFERROR(MATCH(OFFSET($D114,0,MATCH($D$5,$E$6:$H$6,0)),载具产出!$E$112:$E$151,1),0),MATCH(AC$6,载具产出!$G$111:$O$111,0))*2</f>
        <v>2.88</v>
      </c>
      <c r="AD114" s="40">
        <f ca="1">OFFSET(载具产出!$F$399,IFERROR(MATCH(OFFSET($D114,0,MATCH($D$5,$E$6:$H$6,0)),载具产出!$E$112:$E$151,1),0),MATCH(AD$6,载具产出!$G$111:$O$111,0))*2</f>
        <v>0</v>
      </c>
      <c r="AE114" s="44">
        <f ca="1">SUM(AA$36:AA114)/3</f>
        <v>692.8</v>
      </c>
      <c r="AF114" s="44">
        <f ca="1">SUM(AB$36:AB114)/3</f>
        <v>677.759999999999</v>
      </c>
      <c r="AG114" s="44">
        <f ca="1">SUM(AC$36:AC114)/3</f>
        <v>49.44</v>
      </c>
      <c r="AH114" s="44">
        <f ca="1">SUM(AD$36:AD114)/3</f>
        <v>0</v>
      </c>
      <c r="AI114" s="44">
        <f>_xlfn.XLOOKUP($D$5,载具产出!$D$71:$D$75,载具产出!$E$71:$E$75)*(D114-30+1)</f>
        <v>929.190476190479</v>
      </c>
      <c r="AJ114" s="44">
        <f>IFERROR(MATCH(_xlfn.XLOOKUP($D$5,载具产出!$D$71:$D$75,载具产出!$E$71:$E$75)*(D114-30+1)*10,载具产出!$E$60:$E$67,1),0)+1</f>
        <v>6</v>
      </c>
      <c r="AK114" s="44">
        <f ca="1">IF($AJ114=1,($AI114)*(10*OFFSET(载具产出!$D$45,MATCH(AK$6,$AK$6:$AN$6,0)-1,$AJ114)+OFFSET(载具产出!$D$49,MATCH(AK$6,$AK$6:$AN$6,0)-1,$AJ114)*OFFSET(载具产出!$N$49,MATCH(AK$6,$AK$6:$AN$6,0)-1,0)),OFFSET(载具产出!F$59,$AJ114-1,0)*10+OFFSET(载具产出!J$59,$AJ114-1,0)+($AI114*10-_xlfn.XLOOKUP($AJ114-1,载具产出!$D$59:$D$67,载具产出!$E$59:$E$67))/10*(10*OFFSET(载具产出!$D$45,MATCH(AK$6,$AK$6:$AN$6,0)-1,$AJ114)+OFFSET(载具产出!$D$49,MATCH(AK$6,$AK$6:$AN$6,0)-1,$AJ114)*OFFSET(载具产出!$N$49,MATCH(AK$6,$AK$6:$AN$6,0)-1,0)))</f>
        <v>2116.75171428572</v>
      </c>
      <c r="AL114" s="44">
        <f ca="1">IF($AJ114=1,($AI114)*(10*OFFSET(载具产出!$D$45,MATCH(AL$6,$AK$6:$AN$6,0)-1,$AJ114)+OFFSET(载具产出!$D$49,MATCH(AL$6,$AK$6:$AN$6,0)-1,$AJ114)*OFFSET(载具产出!$N$49,MATCH(AL$6,$AK$6:$AN$6,0)-1,0)),OFFSET(载具产出!G$59,$AJ114-1,0)*10+OFFSET(载具产出!K$59,$AJ114-1,0)+($AI114*10-_xlfn.XLOOKUP($AJ114-1,载具产出!$D$59:$D$67,载具产出!$E$59:$E$67))/10*(10*OFFSET(载具产出!$D$45,MATCH(AL$6,$AK$6:$AN$6,0)-1,$AJ114)+OFFSET(载具产出!$D$49,MATCH(AL$6,$AK$6:$AN$6,0)-1,$AJ114)*OFFSET(载具产出!$N$49,MATCH(AL$6,$AK$6:$AN$6,0)-1,0)))</f>
        <v>795.171428571431</v>
      </c>
      <c r="AM114" s="44">
        <f ca="1">IF($AJ114=1,($AI114)*(10*OFFSET(载具产出!$D$45,MATCH(AM$6,$AK$6:$AN$6,0)-1,$AJ114)+OFFSET(载具产出!$D$49,MATCH(AM$6,$AK$6:$AN$6,0)-1,$AJ114)*OFFSET(载具产出!$N$49,MATCH(AM$6,$AK$6:$AN$6,0)-1,0)),OFFSET(载具产出!H$59,$AJ114-1,0)*10+OFFSET(载具产出!L$59,$AJ114-1,0)+($AI114*10-_xlfn.XLOOKUP($AJ114-1,载具产出!$D$59:$D$67,载具产出!$E$59:$E$67))/10*(10*OFFSET(载具产出!$D$45,MATCH(AM$6,$AK$6:$AN$6,0)-1,$AJ114)+OFFSET(载具产出!$D$49,MATCH(AM$6,$AK$6:$AN$6,0)-1,$AJ114)*OFFSET(载具产出!$N$49,MATCH(AM$6,$AK$6:$AN$6,0)-1,0)))</f>
        <v>417.198476190478</v>
      </c>
      <c r="AN114" s="44">
        <f ca="1">IF($AJ114=1,($AI114)*(10*OFFSET(载具产出!$D$45,MATCH(AN$6,$AK$6:$AN$6,0)-1,$AJ114)+OFFSET(载具产出!$D$49,MATCH(AN$6,$AK$6:$AN$6,0)-1,$AJ114)*OFFSET(载具产出!$N$49,MATCH(AN$6,$AK$6:$AN$6,0)-1,0)),OFFSET(载具产出!I$59,$AJ114-1,0)*10+OFFSET(载具产出!M$59,$AJ114-1,0)+($AI114*10-_xlfn.XLOOKUP($AJ114-1,载具产出!$D$59:$D$67,载具产出!$E$59:$E$67))/10*(10*OFFSET(载具产出!$D$45,MATCH(AN$6,$AK$6:$AN$6,0)-1,$AJ114)+OFFSET(载具产出!$D$49,MATCH(AN$6,$AK$6:$AN$6,0)-1,$AJ114)*OFFSET(载具产出!$N$49,MATCH(AN$6,$AK$6:$AN$6,0)-1,0)))</f>
        <v>121.252095238096</v>
      </c>
      <c r="AO114" s="44">
        <f ca="1" t="shared" si="22"/>
        <v>2809.55171428572</v>
      </c>
      <c r="AP114" s="44">
        <f ca="1" t="shared" si="23"/>
        <v>1472.93142857143</v>
      </c>
      <c r="AQ114" s="44">
        <f ca="1" t="shared" si="24"/>
        <v>466.638476190478</v>
      </c>
      <c r="AR114" s="44">
        <f ca="1" t="shared" si="25"/>
        <v>121.252095238096</v>
      </c>
      <c r="AS114" s="45">
        <f ca="1">IFERROR(MATCH(AO114/载具产出!R$58,载具属性!$G$33:$G$92,1),0)</f>
        <v>26</v>
      </c>
      <c r="AT114" s="45">
        <f ca="1">IFERROR(MATCH(AP114/载具产出!S$58,载具属性!$G$33:$G$92,1),0)</f>
        <v>18</v>
      </c>
      <c r="AU114" s="45">
        <f ca="1">IFERROR(MATCH(AQ114/载具产出!T$58,载具属性!$G$33:$G$92,1),0)</f>
        <v>9</v>
      </c>
      <c r="AV114" s="45">
        <f ca="1">IFERROR(MATCH(AR114/载具产出!U$58,载具属性!$G$33:$G$92,1),0)</f>
        <v>2</v>
      </c>
      <c r="AW114" s="46" t="str">
        <f ca="1" t="shared" si="26"/>
        <v>[{62,541},{63,57220},{2,151400},{6030001,1913},{6030002,1913},{6030003,137}]</v>
      </c>
      <c r="AX114" t="str">
        <f ca="1" t="shared" si="27"/>
        <v>{62,541}</v>
      </c>
      <c r="AY114" t="str">
        <f ca="1" t="shared" si="28"/>
        <v>{63,57220}</v>
      </c>
      <c r="AZ114" t="str">
        <f ca="1" t="shared" si="29"/>
        <v>{2,151400}</v>
      </c>
      <c r="BA114" t="str">
        <f ca="1" t="shared" si="30"/>
        <v>{6030001,1913}</v>
      </c>
      <c r="BB114" t="str">
        <f ca="1" t="shared" si="31"/>
        <v>{6030002,1913}</v>
      </c>
      <c r="BC114" t="str">
        <f ca="1" t="shared" si="32"/>
        <v>{6030003,137}</v>
      </c>
      <c r="BD114" t="str">
        <f ca="1" t="shared" si="33"/>
        <v/>
      </c>
    </row>
    <row r="115" spans="3:56">
      <c r="C115">
        <f ca="1" t="shared" si="21"/>
        <v>114.718309859155</v>
      </c>
      <c r="D115" s="40">
        <v>109</v>
      </c>
      <c r="E115" s="40">
        <v>104</v>
      </c>
      <c r="F115" s="40">
        <v>123</v>
      </c>
      <c r="G115" s="41">
        <v>142</v>
      </c>
      <c r="H115" s="40">
        <f t="shared" si="18"/>
        <v>194</v>
      </c>
      <c r="I115" s="40">
        <f t="shared" si="20"/>
        <v>244</v>
      </c>
      <c r="J115" s="40">
        <f t="shared" si="34"/>
        <v>214</v>
      </c>
      <c r="K115" s="40">
        <f ca="1">SUM(U$36:U115)-SUM(OFFSET(载具产出!H$399,0,0,$R115+1,1))</f>
        <v>548</v>
      </c>
      <c r="L115" s="40">
        <f ca="1">SUM(T$36:T115)-SUM(OFFSET(载具产出!G$399,0,0,$R115+1,1))</f>
        <v>58135</v>
      </c>
      <c r="M115" s="40">
        <f ca="1">SUM(V$36:V115)/2-SUM(OFFSET(载具产出!I$399,0,0,$R115+1,1))</f>
        <v>154300</v>
      </c>
      <c r="N115" s="40">
        <f ca="1">SUM(AA$36:AA115)-SUM(OFFSET(载具产出!J$399,0,0,$R115+1,1))</f>
        <v>1931.6</v>
      </c>
      <c r="O115" s="40">
        <f ca="1">SUM(AB$36:AB115)-SUM(OFFSET(载具产出!K$399,0,0,$R115+1,1))</f>
        <v>1942.84</v>
      </c>
      <c r="P115" s="40">
        <f ca="1">SUM(AC$36:AC115)-SUM(OFFSET(载具产出!L$399,0,0,$R115+1,1))</f>
        <v>140.56</v>
      </c>
      <c r="Q115" s="40">
        <f ca="1">SUM(AD$36:AD115)-SUM(OFFSET(载具产出!M$399,0,0,$R115+1,1))</f>
        <v>0</v>
      </c>
      <c r="R115" s="40">
        <v>12</v>
      </c>
      <c r="S115" s="40" t="str">
        <f ca="1">OFFSET(载具产出!$D$111,IFERROR(MATCH(OFFSET($D115,0,MATCH($D$5,$E$6:$H$6,0)),载具产出!$E$112:$E$151,1),0),0)</f>
        <v>豪华Ⅴ</v>
      </c>
      <c r="T115" s="40">
        <f ca="1">OFFSET(载具产出!$F$399,IFERROR(MATCH(OFFSET($D115,0,MATCH($D$5,$E$6:$H$6,0)),载具产出!$E$400:$E$439,1),0),MATCH(T$6,载具产出!$G$399:$O$399,0))</f>
        <v>915</v>
      </c>
      <c r="U115" s="40">
        <v>7</v>
      </c>
      <c r="V115" s="40">
        <f ca="1">OFFSET(载具产出!$F$399,IFERROR(MATCH(OFFSET($D115,0,MATCH($D$5,$E$6:$H$6,0)),载具产出!$E$400:$E$439,1),0),MATCH(V$6,载具产出!$G$399:$O$399,0))</f>
        <v>5800</v>
      </c>
      <c r="W115" s="43">
        <f ca="1">_xlfn.XLOOKUP(Z115,载具属性!$E$98:$E$497,载具属性!$G$98:$G$497)+6000+OFFSET(载具属性!L$33,AS115,0)*载具属性!M$30+OFFSET(载具属性!M$33,AT115,0)*载具属性!N$30+OFFSET(载具属性!N$33,AU115,0)*载具属性!O$30+OFFSET(载具属性!O$33,AV115,0)*载具属性!P$30</f>
        <v>16290</v>
      </c>
      <c r="X115" s="43">
        <f ca="1">_xlfn.XLOOKUP(Z115,载具属性!$E$98:$E$497,载具属性!$G$98:$G$497)</f>
        <v>5880</v>
      </c>
      <c r="Y115" s="43">
        <f ca="1">OFFSET(载具属性!L$33,AS115,0)*载具属性!M$30+OFFSET(载具属性!M$33,AT115,0)*载具属性!N$30+OFFSET(载具属性!N$33,AU115,0)*载具属性!O$30+OFFSET(载具属性!O$33,AV115,0)*载具属性!P$30</f>
        <v>4410</v>
      </c>
      <c r="Z115" s="40">
        <f ca="1">MATCH(SUM($T$7:T115),载具属性!$I$98:$I$497,1)</f>
        <v>99</v>
      </c>
      <c r="AA115" s="40">
        <f ca="1">OFFSET(载具产出!$F$399,IFERROR(MATCH(OFFSET($D115,0,MATCH($D$5,$E$6:$H$6,0)),载具产出!$E$112:$E$151,1),0),MATCH(AA$6,载具产出!$G$111:$O$111,0))*2</f>
        <v>18</v>
      </c>
      <c r="AB115" s="40">
        <f ca="1">OFFSET(载具产出!$F$399,IFERROR(MATCH(OFFSET($D115,0,MATCH($D$5,$E$6:$H$6,0)),载具产出!$E$112:$E$151,1),0),MATCH(AB$6,载具产出!$G$111:$O$111,0))*2</f>
        <v>29.12</v>
      </c>
      <c r="AC115" s="40">
        <f ca="1">OFFSET(载具产出!$F$399,IFERROR(MATCH(OFFSET($D115,0,MATCH($D$5,$E$6:$H$6,0)),载具产出!$E$112:$E$151,1),0),MATCH(AC$6,载具产出!$G$111:$O$111,0))*2</f>
        <v>2.88</v>
      </c>
      <c r="AD115" s="40">
        <f ca="1">OFFSET(载具产出!$F$399,IFERROR(MATCH(OFFSET($D115,0,MATCH($D$5,$E$6:$H$6,0)),载具产出!$E$112:$E$151,1),0),MATCH(AD$6,载具产出!$G$111:$O$111,0))*2</f>
        <v>0</v>
      </c>
      <c r="AE115" s="44">
        <f ca="1">SUM(AA$36:AA115)/3</f>
        <v>698.8</v>
      </c>
      <c r="AF115" s="44">
        <f ca="1">SUM(AB$36:AB115)/3</f>
        <v>687.466666666665</v>
      </c>
      <c r="AG115" s="44">
        <f ca="1">SUM(AC$36:AC115)/3</f>
        <v>50.4</v>
      </c>
      <c r="AH115" s="44">
        <f ca="1">SUM(AD$36:AD115)/3</f>
        <v>0</v>
      </c>
      <c r="AI115" s="44">
        <f>_xlfn.XLOOKUP($D$5,载具产出!$D$71:$D$75,载具产出!$E$71:$E$75)*(D115-30+1)</f>
        <v>940.952380952384</v>
      </c>
      <c r="AJ115" s="44">
        <f>IFERROR(MATCH(_xlfn.XLOOKUP($D$5,载具产出!$D$71:$D$75,载具产出!$E$71:$E$75)*(D115-30+1)*10,载具产出!$E$60:$E$67,1),0)+1</f>
        <v>6</v>
      </c>
      <c r="AK115" s="44">
        <f ca="1">IF($AJ115=1,($AI115)*(10*OFFSET(载具产出!$D$45,MATCH(AK$6,$AK$6:$AN$6,0)-1,$AJ115)+OFFSET(载具产出!$D$49,MATCH(AK$6,$AK$6:$AN$6,0)-1,$AJ115)*OFFSET(载具产出!$N$49,MATCH(AK$6,$AK$6:$AN$6,0)-1,0)),OFFSET(载具产出!F$59,$AJ115-1,0)*10+OFFSET(载具产出!J$59,$AJ115-1,0)+($AI115*10-_xlfn.XLOOKUP($AJ115-1,载具产出!$D$59:$D$67,载具产出!$E$59:$E$67))/10*(10*OFFSET(载具产出!$D$45,MATCH(AK$6,$AK$6:$AN$6,0)-1,$AJ115)+OFFSET(载具产出!$D$49,MATCH(AK$6,$AK$6:$AN$6,0)-1,$AJ115)*OFFSET(载具产出!$N$49,MATCH(AK$6,$AK$6:$AN$6,0)-1,0)))</f>
        <v>2142.29857142858</v>
      </c>
      <c r="AL115" s="44">
        <f ca="1">IF($AJ115=1,($AI115)*(10*OFFSET(载具产出!$D$45,MATCH(AL$6,$AK$6:$AN$6,0)-1,$AJ115)+OFFSET(载具产出!$D$49,MATCH(AL$6,$AK$6:$AN$6,0)-1,$AJ115)*OFFSET(载具产出!$N$49,MATCH(AL$6,$AK$6:$AN$6,0)-1,0)),OFFSET(载具产出!G$59,$AJ115-1,0)*10+OFFSET(载具产出!K$59,$AJ115-1,0)+($AI115*10-_xlfn.XLOOKUP($AJ115-1,载具产出!$D$59:$D$67,载具产出!$E$59:$E$67))/10*(10*OFFSET(载具产出!$D$45,MATCH(AL$6,$AK$6:$AN$6,0)-1,$AJ115)+OFFSET(载具产出!$D$49,MATCH(AL$6,$AK$6:$AN$6,0)-1,$AJ115)*OFFSET(载具产出!$N$49,MATCH(AL$6,$AK$6:$AN$6,0)-1,0)))</f>
        <v>805.757142857146</v>
      </c>
      <c r="AM115" s="44">
        <f ca="1">IF($AJ115=1,($AI115)*(10*OFFSET(载具产出!$D$45,MATCH(AM$6,$AK$6:$AN$6,0)-1,$AJ115)+OFFSET(载具产出!$D$49,MATCH(AM$6,$AK$6:$AN$6,0)-1,$AJ115)*OFFSET(载具产出!$N$49,MATCH(AM$6,$AK$6:$AN$6,0)-1,0)),OFFSET(载具产出!H$59,$AJ115-1,0)*10+OFFSET(载具产出!L$59,$AJ115-1,0)+($AI115*10-_xlfn.XLOOKUP($AJ115-1,载具产出!$D$59:$D$67,载具产出!$E$59:$E$67))/10*(10*OFFSET(载具产出!$D$45,MATCH(AM$6,$AK$6:$AN$6,0)-1,$AJ115)+OFFSET(载具产出!$D$49,MATCH(AM$6,$AK$6:$AN$6,0)-1,$AJ115)*OFFSET(载具产出!$N$49,MATCH(AM$6,$AK$6:$AN$6,0)-1,0)))</f>
        <v>423.032380952382</v>
      </c>
      <c r="AN115" s="44">
        <f ca="1">IF($AJ115=1,($AI115)*(10*OFFSET(载具产出!$D$45,MATCH(AN$6,$AK$6:$AN$6,0)-1,$AJ115)+OFFSET(载具产出!$D$49,MATCH(AN$6,$AK$6:$AN$6,0)-1,$AJ115)*OFFSET(载具产出!$N$49,MATCH(AN$6,$AK$6:$AN$6,0)-1,0)),OFFSET(载具产出!I$59,$AJ115-1,0)*10+OFFSET(载具产出!M$59,$AJ115-1,0)+($AI115*10-_xlfn.XLOOKUP($AJ115-1,载具产出!$D$59:$D$67,载具产出!$E$59:$E$67))/10*(10*OFFSET(载具产出!$D$45,MATCH(AN$6,$AK$6:$AN$6,0)-1,$AJ115)+OFFSET(载具产出!$D$49,MATCH(AN$6,$AK$6:$AN$6,0)-1,$AJ115)*OFFSET(载具产出!$N$49,MATCH(AN$6,$AK$6:$AN$6,0)-1,0)))</f>
        <v>123.110476190477</v>
      </c>
      <c r="AO115" s="44">
        <f ca="1" t="shared" si="22"/>
        <v>2841.09857142858</v>
      </c>
      <c r="AP115" s="44">
        <f ca="1" t="shared" si="23"/>
        <v>1493.22380952381</v>
      </c>
      <c r="AQ115" s="44">
        <f ca="1" t="shared" si="24"/>
        <v>473.432380952383</v>
      </c>
      <c r="AR115" s="44">
        <f ca="1" t="shared" si="25"/>
        <v>123.110476190477</v>
      </c>
      <c r="AS115" s="45">
        <f ca="1">IFERROR(MATCH(AO115/载具产出!R$58,载具属性!$G$33:$G$92,1),0)</f>
        <v>26</v>
      </c>
      <c r="AT115" s="45">
        <f ca="1">IFERROR(MATCH(AP115/载具产出!S$58,载具属性!$G$33:$G$92,1),0)</f>
        <v>18</v>
      </c>
      <c r="AU115" s="45">
        <f ca="1">IFERROR(MATCH(AQ115/载具产出!T$58,载具属性!$G$33:$G$92,1),0)</f>
        <v>9</v>
      </c>
      <c r="AV115" s="45">
        <f ca="1">IFERROR(MATCH(AR115/载具产出!U$58,载具属性!$G$33:$G$92,1),0)</f>
        <v>2</v>
      </c>
      <c r="AW115" s="46" t="str">
        <f ca="1" t="shared" si="26"/>
        <v>[{62,548},{63,58135},{2,154300},{6030001,1931},{6030002,1942},{6030003,140}]</v>
      </c>
      <c r="AX115" t="str">
        <f ca="1" t="shared" si="27"/>
        <v>{62,548}</v>
      </c>
      <c r="AY115" t="str">
        <f ca="1" t="shared" si="28"/>
        <v>{63,58135}</v>
      </c>
      <c r="AZ115" t="str">
        <f ca="1" t="shared" si="29"/>
        <v>{2,154300}</v>
      </c>
      <c r="BA115" t="str">
        <f ca="1" t="shared" si="30"/>
        <v>{6030001,1931}</v>
      </c>
      <c r="BB115" t="str">
        <f ca="1" t="shared" si="31"/>
        <v>{6030002,1942}</v>
      </c>
      <c r="BC115" t="str">
        <f ca="1" t="shared" si="32"/>
        <v>{6030003,140}</v>
      </c>
      <c r="BD115" t="str">
        <f ca="1" t="shared" si="33"/>
        <v/>
      </c>
    </row>
    <row r="116" spans="3:56">
      <c r="C116">
        <f ca="1" t="shared" si="21"/>
        <v>114.755244755245</v>
      </c>
      <c r="D116" s="40">
        <v>110</v>
      </c>
      <c r="E116" s="40">
        <v>104</v>
      </c>
      <c r="F116" s="40">
        <v>123</v>
      </c>
      <c r="G116" s="41">
        <v>143</v>
      </c>
      <c r="H116" s="40">
        <f t="shared" si="18"/>
        <v>195</v>
      </c>
      <c r="I116" s="40">
        <f t="shared" si="20"/>
        <v>246</v>
      </c>
      <c r="J116" s="40">
        <f t="shared" si="34"/>
        <v>216</v>
      </c>
      <c r="K116" s="40">
        <f ca="1">SUM(U$36:U116)-SUM(OFFSET(载具产出!H$399,0,0,$R116+1,1))</f>
        <v>555</v>
      </c>
      <c r="L116" s="40">
        <f ca="1">SUM(T$36:T116)-SUM(OFFSET(载具产出!G$399,0,0,$R116+1,1))</f>
        <v>59050</v>
      </c>
      <c r="M116" s="40">
        <f ca="1">SUM(V$36:V116)/2-SUM(OFFSET(载具产出!I$399,0,0,$R116+1,1))</f>
        <v>157200</v>
      </c>
      <c r="N116" s="40">
        <f ca="1">SUM(AA$36:AA116)-SUM(OFFSET(载具产出!J$399,0,0,$R116+1,1))</f>
        <v>1949.6</v>
      </c>
      <c r="O116" s="40">
        <f ca="1">SUM(AB$36:AB116)-SUM(OFFSET(载具产出!K$399,0,0,$R116+1,1))</f>
        <v>1971.96</v>
      </c>
      <c r="P116" s="40">
        <f ca="1">SUM(AC$36:AC116)-SUM(OFFSET(载具产出!L$399,0,0,$R116+1,1))</f>
        <v>143.44</v>
      </c>
      <c r="Q116" s="40">
        <f ca="1">SUM(AD$36:AD116)-SUM(OFFSET(载具产出!M$399,0,0,$R116+1,1))</f>
        <v>0</v>
      </c>
      <c r="R116" s="40">
        <v>12</v>
      </c>
      <c r="S116" s="40" t="str">
        <f ca="1">OFFSET(载具产出!$D$111,IFERROR(MATCH(OFFSET($D116,0,MATCH($D$5,$E$6:$H$6,0)),载具产出!$E$112:$E$151,1),0),0)</f>
        <v>豪华Ⅴ</v>
      </c>
      <c r="T116" s="40">
        <f ca="1">OFFSET(载具产出!$F$399,IFERROR(MATCH(OFFSET($D116,0,MATCH($D$5,$E$6:$H$6,0)),载具产出!$E$400:$E$439,1),0),MATCH(T$6,载具产出!$G$399:$O$399,0))</f>
        <v>915</v>
      </c>
      <c r="U116" s="40">
        <v>7</v>
      </c>
      <c r="V116" s="40">
        <f ca="1">OFFSET(载具产出!$F$399,IFERROR(MATCH(OFFSET($D116,0,MATCH($D$5,$E$6:$H$6,0)),载具产出!$E$400:$E$439,1),0),MATCH(V$6,载具产出!$G$399:$O$399,0))</f>
        <v>5800</v>
      </c>
      <c r="W116" s="43">
        <f ca="1">_xlfn.XLOOKUP(Z116,载具属性!$E$98:$E$497,载具属性!$G$98:$G$497)+6000+OFFSET(载具属性!L$33,AS116,0)*载具属性!M$30+OFFSET(载具属性!M$33,AT116,0)*载具属性!N$30+OFFSET(载具属性!N$33,AU116,0)*载具属性!O$30+OFFSET(载具属性!O$33,AV116,0)*载具属性!P$30</f>
        <v>16410</v>
      </c>
      <c r="X116" s="43">
        <f ca="1">_xlfn.XLOOKUP(Z116,载具属性!$E$98:$E$497,载具属性!$G$98:$G$497)</f>
        <v>5880</v>
      </c>
      <c r="Y116" s="43">
        <f ca="1">OFFSET(载具属性!L$33,AS116,0)*载具属性!M$30+OFFSET(载具属性!M$33,AT116,0)*载具属性!N$30+OFFSET(载具属性!N$33,AU116,0)*载具属性!O$30+OFFSET(载具属性!O$33,AV116,0)*载具属性!P$30</f>
        <v>4530</v>
      </c>
      <c r="Z116" s="40">
        <f ca="1">MATCH(SUM($T$7:T116),载具属性!$I$98:$I$497,1)</f>
        <v>99</v>
      </c>
      <c r="AA116" s="40">
        <f ca="1">OFFSET(载具产出!$F$399,IFERROR(MATCH(OFFSET($D116,0,MATCH($D$5,$E$6:$H$6,0)),载具产出!$E$112:$E$151,1),0),MATCH(AA$6,载具产出!$G$111:$O$111,0))*2</f>
        <v>18</v>
      </c>
      <c r="AB116" s="40">
        <f ca="1">OFFSET(载具产出!$F$399,IFERROR(MATCH(OFFSET($D116,0,MATCH($D$5,$E$6:$H$6,0)),载具产出!$E$112:$E$151,1),0),MATCH(AB$6,载具产出!$G$111:$O$111,0))*2</f>
        <v>29.12</v>
      </c>
      <c r="AC116" s="40">
        <f ca="1">OFFSET(载具产出!$F$399,IFERROR(MATCH(OFFSET($D116,0,MATCH($D$5,$E$6:$H$6,0)),载具产出!$E$112:$E$151,1),0),MATCH(AC$6,载具产出!$G$111:$O$111,0))*2</f>
        <v>2.88</v>
      </c>
      <c r="AD116" s="40">
        <f ca="1">OFFSET(载具产出!$F$399,IFERROR(MATCH(OFFSET($D116,0,MATCH($D$5,$E$6:$H$6,0)),载具产出!$E$112:$E$151,1),0),MATCH(AD$6,载具产出!$G$111:$O$111,0))*2</f>
        <v>0</v>
      </c>
      <c r="AE116" s="44">
        <f ca="1">SUM(AA$36:AA116)/3</f>
        <v>704.8</v>
      </c>
      <c r="AF116" s="44">
        <f ca="1">SUM(AB$36:AB116)/3</f>
        <v>697.173333333332</v>
      </c>
      <c r="AG116" s="44">
        <f ca="1">SUM(AC$36:AC116)/3</f>
        <v>51.36</v>
      </c>
      <c r="AH116" s="44">
        <f ca="1">SUM(AD$36:AD116)/3</f>
        <v>0</v>
      </c>
      <c r="AI116" s="44">
        <f>_xlfn.XLOOKUP($D$5,载具产出!$D$71:$D$75,载具产出!$E$71:$E$75)*(D116-30+1)</f>
        <v>952.714285714289</v>
      </c>
      <c r="AJ116" s="44">
        <f>IFERROR(MATCH(_xlfn.XLOOKUP($D$5,载具产出!$D$71:$D$75,载具产出!$E$71:$E$75)*(D116-30+1)*10,载具产出!$E$60:$E$67,1),0)+1</f>
        <v>6</v>
      </c>
      <c r="AK116" s="44">
        <f ca="1">IF($AJ116=1,($AI116)*(10*OFFSET(载具产出!$D$45,MATCH(AK$6,$AK$6:$AN$6,0)-1,$AJ116)+OFFSET(载具产出!$D$49,MATCH(AK$6,$AK$6:$AN$6,0)-1,$AJ116)*OFFSET(载具产出!$N$49,MATCH(AK$6,$AK$6:$AN$6,0)-1,0)),OFFSET(载具产出!F$59,$AJ116-1,0)*10+OFFSET(载具产出!J$59,$AJ116-1,0)+($AI116*10-_xlfn.XLOOKUP($AJ116-1,载具产出!$D$59:$D$67,载具产出!$E$59:$E$67))/10*(10*OFFSET(载具产出!$D$45,MATCH(AK$6,$AK$6:$AN$6,0)-1,$AJ116)+OFFSET(载具产出!$D$49,MATCH(AK$6,$AK$6:$AN$6,0)-1,$AJ116)*OFFSET(载具产出!$N$49,MATCH(AK$6,$AK$6:$AN$6,0)-1,0)))</f>
        <v>2167.84542857144</v>
      </c>
      <c r="AL116" s="44">
        <f ca="1">IF($AJ116=1,($AI116)*(10*OFFSET(载具产出!$D$45,MATCH(AL$6,$AK$6:$AN$6,0)-1,$AJ116)+OFFSET(载具产出!$D$49,MATCH(AL$6,$AK$6:$AN$6,0)-1,$AJ116)*OFFSET(载具产出!$N$49,MATCH(AL$6,$AK$6:$AN$6,0)-1,0)),OFFSET(载具产出!G$59,$AJ116-1,0)*10+OFFSET(载具产出!K$59,$AJ116-1,0)+($AI116*10-_xlfn.XLOOKUP($AJ116-1,载具产出!$D$59:$D$67,载具产出!$E$59:$E$67))/10*(10*OFFSET(载具产出!$D$45,MATCH(AL$6,$AK$6:$AN$6,0)-1,$AJ116)+OFFSET(载具产出!$D$49,MATCH(AL$6,$AK$6:$AN$6,0)-1,$AJ116)*OFFSET(载具产出!$N$49,MATCH(AL$6,$AK$6:$AN$6,0)-1,0)))</f>
        <v>816.34285714286</v>
      </c>
      <c r="AM116" s="44">
        <f ca="1">IF($AJ116=1,($AI116)*(10*OFFSET(载具产出!$D$45,MATCH(AM$6,$AK$6:$AN$6,0)-1,$AJ116)+OFFSET(载具产出!$D$49,MATCH(AM$6,$AK$6:$AN$6,0)-1,$AJ116)*OFFSET(载具产出!$N$49,MATCH(AM$6,$AK$6:$AN$6,0)-1,0)),OFFSET(载具产出!H$59,$AJ116-1,0)*10+OFFSET(载具产出!L$59,$AJ116-1,0)+($AI116*10-_xlfn.XLOOKUP($AJ116-1,载具产出!$D$59:$D$67,载具产出!$E$59:$E$67))/10*(10*OFFSET(载具产出!$D$45,MATCH(AM$6,$AK$6:$AN$6,0)-1,$AJ116)+OFFSET(载具产出!$D$49,MATCH(AM$6,$AK$6:$AN$6,0)-1,$AJ116)*OFFSET(载具产出!$N$49,MATCH(AM$6,$AK$6:$AN$6,0)-1,0)))</f>
        <v>428.866285714287</v>
      </c>
      <c r="AN116" s="44">
        <f ca="1">IF($AJ116=1,($AI116)*(10*OFFSET(载具产出!$D$45,MATCH(AN$6,$AK$6:$AN$6,0)-1,$AJ116)+OFFSET(载具产出!$D$49,MATCH(AN$6,$AK$6:$AN$6,0)-1,$AJ116)*OFFSET(载具产出!$N$49,MATCH(AN$6,$AK$6:$AN$6,0)-1,0)),OFFSET(载具产出!I$59,$AJ116-1,0)*10+OFFSET(载具产出!M$59,$AJ116-1,0)+($AI116*10-_xlfn.XLOOKUP($AJ116-1,载具产出!$D$59:$D$67,载具产出!$E$59:$E$67))/10*(10*OFFSET(载具产出!$D$45,MATCH(AN$6,$AK$6:$AN$6,0)-1,$AJ116)+OFFSET(载具产出!$D$49,MATCH(AN$6,$AK$6:$AN$6,0)-1,$AJ116)*OFFSET(载具产出!$N$49,MATCH(AN$6,$AK$6:$AN$6,0)-1,0)))</f>
        <v>124.968857142858</v>
      </c>
      <c r="AO116" s="44">
        <f ca="1" t="shared" si="22"/>
        <v>2872.64542857144</v>
      </c>
      <c r="AP116" s="44">
        <f ca="1" t="shared" si="23"/>
        <v>1513.51619047619</v>
      </c>
      <c r="AQ116" s="44">
        <f ca="1" t="shared" si="24"/>
        <v>480.226285714287</v>
      </c>
      <c r="AR116" s="44">
        <f ca="1" t="shared" si="25"/>
        <v>124.968857142858</v>
      </c>
      <c r="AS116" s="45">
        <f ca="1">IFERROR(MATCH(AO116/载具产出!R$58,载具属性!$G$33:$G$92,1),0)</f>
        <v>26</v>
      </c>
      <c r="AT116" s="45">
        <f ca="1">IFERROR(MATCH(AP116/载具产出!S$58,载具属性!$G$33:$G$92,1),0)</f>
        <v>18</v>
      </c>
      <c r="AU116" s="45">
        <f ca="1">IFERROR(MATCH(AQ116/载具产出!T$58,载具属性!$G$33:$G$92,1),0)</f>
        <v>10</v>
      </c>
      <c r="AV116" s="45">
        <f ca="1">IFERROR(MATCH(AR116/载具产出!U$58,载具属性!$G$33:$G$92,1),0)</f>
        <v>2</v>
      </c>
      <c r="AW116" s="46" t="str">
        <f ca="1" t="shared" si="26"/>
        <v>[{62,555},{63,59050},{2,157200},{6030001,1949},{6030002,1971},{6030003,143}]</v>
      </c>
      <c r="AX116" t="str">
        <f ca="1" t="shared" si="27"/>
        <v>{62,555}</v>
      </c>
      <c r="AY116" t="str">
        <f ca="1" t="shared" si="28"/>
        <v>{63,59050}</v>
      </c>
      <c r="AZ116" t="str">
        <f ca="1" t="shared" si="29"/>
        <v>{2,157200}</v>
      </c>
      <c r="BA116" t="str">
        <f ca="1" t="shared" si="30"/>
        <v>{6030001,1949}</v>
      </c>
      <c r="BB116" t="str">
        <f ca="1" t="shared" si="31"/>
        <v>{6030002,1971}</v>
      </c>
      <c r="BC116" t="str">
        <f ca="1" t="shared" si="32"/>
        <v>{6030003,143}</v>
      </c>
      <c r="BD116" t="str">
        <f ca="1" t="shared" si="33"/>
        <v/>
      </c>
    </row>
    <row r="117" spans="3:56">
      <c r="C117">
        <f ca="1" t="shared" si="21"/>
        <v>115.244755244755</v>
      </c>
      <c r="D117" s="40">
        <v>111</v>
      </c>
      <c r="E117" s="40">
        <v>104</v>
      </c>
      <c r="F117" s="40">
        <v>124</v>
      </c>
      <c r="G117" s="41">
        <v>143</v>
      </c>
      <c r="H117" s="40">
        <f t="shared" si="18"/>
        <v>196</v>
      </c>
      <c r="I117" s="40">
        <f t="shared" si="20"/>
        <v>248</v>
      </c>
      <c r="J117" s="40">
        <f t="shared" si="34"/>
        <v>218</v>
      </c>
      <c r="K117" s="40">
        <f ca="1">SUM(U$36:U117)-SUM(OFFSET(载具产出!H$399,0,0,$R117+1,1))</f>
        <v>562</v>
      </c>
      <c r="L117" s="40">
        <f ca="1">SUM(T$36:T117)-SUM(OFFSET(载具产出!G$399,0,0,$R117+1,1))</f>
        <v>59965</v>
      </c>
      <c r="M117" s="40">
        <f ca="1">SUM(V$36:V117)/2-SUM(OFFSET(载具产出!I$399,0,0,$R117+1,1))</f>
        <v>160100</v>
      </c>
      <c r="N117" s="40">
        <f ca="1">SUM(AA$36:AA117)-SUM(OFFSET(载具产出!J$399,0,0,$R117+1,1))</f>
        <v>1967.6</v>
      </c>
      <c r="O117" s="40">
        <f ca="1">SUM(AB$36:AB117)-SUM(OFFSET(载具产出!K$399,0,0,$R117+1,1))</f>
        <v>2001.08</v>
      </c>
      <c r="P117" s="40">
        <f ca="1">SUM(AC$36:AC117)-SUM(OFFSET(载具产出!L$399,0,0,$R117+1,1))</f>
        <v>146.32</v>
      </c>
      <c r="Q117" s="40">
        <f ca="1">SUM(AD$36:AD117)-SUM(OFFSET(载具产出!M$399,0,0,$R117+1,1))</f>
        <v>0</v>
      </c>
      <c r="R117" s="40">
        <v>12</v>
      </c>
      <c r="S117" s="40" t="str">
        <f ca="1">OFFSET(载具产出!$D$111,IFERROR(MATCH(OFFSET($D117,0,MATCH($D$5,$E$6:$H$6,0)),载具产出!$E$112:$E$151,1),0),0)</f>
        <v>豪华Ⅴ</v>
      </c>
      <c r="T117" s="40">
        <f ca="1">OFFSET(载具产出!$F$399,IFERROR(MATCH(OFFSET($D117,0,MATCH($D$5,$E$6:$H$6,0)),载具产出!$E$400:$E$439,1),0),MATCH(T$6,载具产出!$G$399:$O$399,0))</f>
        <v>915</v>
      </c>
      <c r="U117" s="40">
        <v>7</v>
      </c>
      <c r="V117" s="40">
        <f ca="1">OFFSET(载具产出!$F$399,IFERROR(MATCH(OFFSET($D117,0,MATCH($D$5,$E$6:$H$6,0)),载具产出!$E$400:$E$439,1),0),MATCH(V$6,载具产出!$G$399:$O$399,0))</f>
        <v>5800</v>
      </c>
      <c r="W117" s="43">
        <f ca="1">_xlfn.XLOOKUP(Z117,载具属性!$E$98:$E$497,载具属性!$G$98:$G$497)+6000+OFFSET(载具属性!L$33,AS117,0)*载具属性!M$30+OFFSET(载具属性!M$33,AT117,0)*载具属性!N$30+OFFSET(载具属性!N$33,AU117,0)*载具属性!O$30+OFFSET(载具属性!O$33,AV117,0)*载具属性!P$30</f>
        <v>16480</v>
      </c>
      <c r="X117" s="43">
        <f ca="1">_xlfn.XLOOKUP(Z117,载具属性!$E$98:$E$497,载具属性!$G$98:$G$497)</f>
        <v>5950</v>
      </c>
      <c r="Y117" s="43">
        <f ca="1">OFFSET(载具属性!L$33,AS117,0)*载具属性!M$30+OFFSET(载具属性!M$33,AT117,0)*载具属性!N$30+OFFSET(载具属性!N$33,AU117,0)*载具属性!O$30+OFFSET(载具属性!O$33,AV117,0)*载具属性!P$30</f>
        <v>4530</v>
      </c>
      <c r="Z117" s="40">
        <f ca="1">MATCH(SUM($T$7:T117),载具属性!$I$98:$I$497,1)</f>
        <v>100</v>
      </c>
      <c r="AA117" s="40">
        <f ca="1">OFFSET(载具产出!$F$399,IFERROR(MATCH(OFFSET($D117,0,MATCH($D$5,$E$6:$H$6,0)),载具产出!$E$112:$E$151,1),0),MATCH(AA$6,载具产出!$G$111:$O$111,0))*2</f>
        <v>18</v>
      </c>
      <c r="AB117" s="40">
        <f ca="1">OFFSET(载具产出!$F$399,IFERROR(MATCH(OFFSET($D117,0,MATCH($D$5,$E$6:$H$6,0)),载具产出!$E$112:$E$151,1),0),MATCH(AB$6,载具产出!$G$111:$O$111,0))*2</f>
        <v>29.12</v>
      </c>
      <c r="AC117" s="40">
        <f ca="1">OFFSET(载具产出!$F$399,IFERROR(MATCH(OFFSET($D117,0,MATCH($D$5,$E$6:$H$6,0)),载具产出!$E$112:$E$151,1),0),MATCH(AC$6,载具产出!$G$111:$O$111,0))*2</f>
        <v>2.88</v>
      </c>
      <c r="AD117" s="40">
        <f ca="1">OFFSET(载具产出!$F$399,IFERROR(MATCH(OFFSET($D117,0,MATCH($D$5,$E$6:$H$6,0)),载具产出!$E$112:$E$151,1),0),MATCH(AD$6,载具产出!$G$111:$O$111,0))*2</f>
        <v>0</v>
      </c>
      <c r="AE117" s="44">
        <f ca="1">SUM(AA$36:AA117)/3</f>
        <v>710.8</v>
      </c>
      <c r="AF117" s="44">
        <f ca="1">SUM(AB$36:AB117)/3</f>
        <v>706.879999999999</v>
      </c>
      <c r="AG117" s="44">
        <f ca="1">SUM(AC$36:AC117)/3</f>
        <v>52.32</v>
      </c>
      <c r="AH117" s="44">
        <f ca="1">SUM(AD$36:AD117)/3</f>
        <v>0</v>
      </c>
      <c r="AI117" s="44">
        <f>_xlfn.XLOOKUP($D$5,载具产出!$D$71:$D$75,载具产出!$E$71:$E$75)*(D117-30+1)</f>
        <v>964.476190476194</v>
      </c>
      <c r="AJ117" s="44">
        <f>IFERROR(MATCH(_xlfn.XLOOKUP($D$5,载具产出!$D$71:$D$75,载具产出!$E$71:$E$75)*(D117-30+1)*10,载具产出!$E$60:$E$67,1),0)+1</f>
        <v>6</v>
      </c>
      <c r="AK117" s="44">
        <f ca="1">IF($AJ117=1,($AI117)*(10*OFFSET(载具产出!$D$45,MATCH(AK$6,$AK$6:$AN$6,0)-1,$AJ117)+OFFSET(载具产出!$D$49,MATCH(AK$6,$AK$6:$AN$6,0)-1,$AJ117)*OFFSET(载具产出!$N$49,MATCH(AK$6,$AK$6:$AN$6,0)-1,0)),OFFSET(载具产出!F$59,$AJ117-1,0)*10+OFFSET(载具产出!J$59,$AJ117-1,0)+($AI117*10-_xlfn.XLOOKUP($AJ117-1,载具产出!$D$59:$D$67,载具产出!$E$59:$E$67))/10*(10*OFFSET(载具产出!$D$45,MATCH(AK$6,$AK$6:$AN$6,0)-1,$AJ117)+OFFSET(载具产出!$D$49,MATCH(AK$6,$AK$6:$AN$6,0)-1,$AJ117)*OFFSET(载具产出!$N$49,MATCH(AK$6,$AK$6:$AN$6,0)-1,0)))</f>
        <v>2193.39228571429</v>
      </c>
      <c r="AL117" s="44">
        <f ca="1">IF($AJ117=1,($AI117)*(10*OFFSET(载具产出!$D$45,MATCH(AL$6,$AK$6:$AN$6,0)-1,$AJ117)+OFFSET(载具产出!$D$49,MATCH(AL$6,$AK$6:$AN$6,0)-1,$AJ117)*OFFSET(载具产出!$N$49,MATCH(AL$6,$AK$6:$AN$6,0)-1,0)),OFFSET(载具产出!G$59,$AJ117-1,0)*10+OFFSET(载具产出!K$59,$AJ117-1,0)+($AI117*10-_xlfn.XLOOKUP($AJ117-1,载具产出!$D$59:$D$67,载具产出!$E$59:$E$67))/10*(10*OFFSET(载具产出!$D$45,MATCH(AL$6,$AK$6:$AN$6,0)-1,$AJ117)+OFFSET(载具产出!$D$49,MATCH(AL$6,$AK$6:$AN$6,0)-1,$AJ117)*OFFSET(载具产出!$N$49,MATCH(AL$6,$AK$6:$AN$6,0)-1,0)))</f>
        <v>826.928571428575</v>
      </c>
      <c r="AM117" s="44">
        <f ca="1">IF($AJ117=1,($AI117)*(10*OFFSET(载具产出!$D$45,MATCH(AM$6,$AK$6:$AN$6,0)-1,$AJ117)+OFFSET(载具产出!$D$49,MATCH(AM$6,$AK$6:$AN$6,0)-1,$AJ117)*OFFSET(载具产出!$N$49,MATCH(AM$6,$AK$6:$AN$6,0)-1,0)),OFFSET(载具产出!H$59,$AJ117-1,0)*10+OFFSET(载具产出!L$59,$AJ117-1,0)+($AI117*10-_xlfn.XLOOKUP($AJ117-1,载具产出!$D$59:$D$67,载具产出!$E$59:$E$67))/10*(10*OFFSET(载具产出!$D$45,MATCH(AM$6,$AK$6:$AN$6,0)-1,$AJ117)+OFFSET(载具产出!$D$49,MATCH(AM$6,$AK$6:$AN$6,0)-1,$AJ117)*OFFSET(载具产出!$N$49,MATCH(AM$6,$AK$6:$AN$6,0)-1,0)))</f>
        <v>434.700190476192</v>
      </c>
      <c r="AN117" s="44">
        <f ca="1">IF($AJ117=1,($AI117)*(10*OFFSET(载具产出!$D$45,MATCH(AN$6,$AK$6:$AN$6,0)-1,$AJ117)+OFFSET(载具产出!$D$49,MATCH(AN$6,$AK$6:$AN$6,0)-1,$AJ117)*OFFSET(载具产出!$N$49,MATCH(AN$6,$AK$6:$AN$6,0)-1,0)),OFFSET(载具产出!I$59,$AJ117-1,0)*10+OFFSET(载具产出!M$59,$AJ117-1,0)+($AI117*10-_xlfn.XLOOKUP($AJ117-1,载具产出!$D$59:$D$67,载具产出!$E$59:$E$67))/10*(10*OFFSET(载具产出!$D$45,MATCH(AN$6,$AK$6:$AN$6,0)-1,$AJ117)+OFFSET(载具产出!$D$49,MATCH(AN$6,$AK$6:$AN$6,0)-1,$AJ117)*OFFSET(载具产出!$N$49,MATCH(AN$6,$AK$6:$AN$6,0)-1,0)))</f>
        <v>126.827238095239</v>
      </c>
      <c r="AO117" s="44">
        <f ca="1" t="shared" si="22"/>
        <v>2904.19228571429</v>
      </c>
      <c r="AP117" s="44">
        <f ca="1" t="shared" si="23"/>
        <v>1533.80857142857</v>
      </c>
      <c r="AQ117" s="44">
        <f ca="1" t="shared" si="24"/>
        <v>487.020190476192</v>
      </c>
      <c r="AR117" s="44">
        <f ca="1" t="shared" si="25"/>
        <v>126.827238095239</v>
      </c>
      <c r="AS117" s="45">
        <f ca="1">IFERROR(MATCH(AO117/载具产出!R$58,载具属性!$G$33:$G$92,1),0)</f>
        <v>26</v>
      </c>
      <c r="AT117" s="45">
        <f ca="1">IFERROR(MATCH(AP117/载具产出!S$58,载具属性!$G$33:$G$92,1),0)</f>
        <v>18</v>
      </c>
      <c r="AU117" s="45">
        <f ca="1">IFERROR(MATCH(AQ117/载具产出!T$58,载具属性!$G$33:$G$92,1),0)</f>
        <v>10</v>
      </c>
      <c r="AV117" s="45">
        <f ca="1">IFERROR(MATCH(AR117/载具产出!U$58,载具属性!$G$33:$G$92,1),0)</f>
        <v>2</v>
      </c>
      <c r="AW117" s="46" t="str">
        <f ca="1" t="shared" si="26"/>
        <v>[{62,562},{63,59965},{2,160100},{6030001,1967},{6030002,2001},{6030003,146}]</v>
      </c>
      <c r="AX117" t="str">
        <f ca="1" t="shared" si="27"/>
        <v>{62,562}</v>
      </c>
      <c r="AY117" t="str">
        <f ca="1" t="shared" si="28"/>
        <v>{63,59965}</v>
      </c>
      <c r="AZ117" t="str">
        <f ca="1" t="shared" si="29"/>
        <v>{2,160100}</v>
      </c>
      <c r="BA117" t="str">
        <f ca="1" t="shared" si="30"/>
        <v>{6030001,1967}</v>
      </c>
      <c r="BB117" t="str">
        <f ca="1" t="shared" si="31"/>
        <v>{6030002,2001}</v>
      </c>
      <c r="BC117" t="str">
        <f ca="1" t="shared" si="32"/>
        <v>{6030003,146}</v>
      </c>
      <c r="BD117" t="str">
        <f ca="1" t="shared" si="33"/>
        <v/>
      </c>
    </row>
    <row r="118" spans="3:56">
      <c r="C118">
        <f ca="1" t="shared" si="21"/>
        <v>114.965277777778</v>
      </c>
      <c r="D118" s="40">
        <v>112</v>
      </c>
      <c r="E118" s="40">
        <v>105</v>
      </c>
      <c r="F118" s="40">
        <v>124</v>
      </c>
      <c r="G118" s="41">
        <v>144</v>
      </c>
      <c r="H118" s="40">
        <f t="shared" si="18"/>
        <v>197</v>
      </c>
      <c r="I118" s="40">
        <f t="shared" si="20"/>
        <v>250</v>
      </c>
      <c r="J118" s="40">
        <f t="shared" si="34"/>
        <v>219</v>
      </c>
      <c r="K118" s="40">
        <f ca="1">SUM(U$36:U118)-SUM(OFFSET(载具产出!H$399,0,0,$R118+1,1))</f>
        <v>569</v>
      </c>
      <c r="L118" s="40">
        <f ca="1">SUM(T$36:T118)-SUM(OFFSET(载具产出!G$399,0,0,$R118+1,1))</f>
        <v>60880</v>
      </c>
      <c r="M118" s="40">
        <f ca="1">SUM(V$36:V118)/2-SUM(OFFSET(载具产出!I$399,0,0,$R118+1,1))</f>
        <v>163000</v>
      </c>
      <c r="N118" s="40">
        <f ca="1">SUM(AA$36:AA118)-SUM(OFFSET(载具产出!J$399,0,0,$R118+1,1))</f>
        <v>1985.6</v>
      </c>
      <c r="O118" s="40">
        <f ca="1">SUM(AB$36:AB118)-SUM(OFFSET(载具产出!K$399,0,0,$R118+1,1))</f>
        <v>2030.2</v>
      </c>
      <c r="P118" s="40">
        <f ca="1">SUM(AC$36:AC118)-SUM(OFFSET(载具产出!L$399,0,0,$R118+1,1))</f>
        <v>149.2</v>
      </c>
      <c r="Q118" s="40">
        <f ca="1">SUM(AD$36:AD118)-SUM(OFFSET(载具产出!M$399,0,0,$R118+1,1))</f>
        <v>0</v>
      </c>
      <c r="R118" s="40">
        <v>12</v>
      </c>
      <c r="S118" s="40" t="str">
        <f ca="1">OFFSET(载具产出!$D$111,IFERROR(MATCH(OFFSET($D118,0,MATCH($D$5,$E$6:$H$6,0)),载具产出!$E$112:$E$151,1),0),0)</f>
        <v>豪华Ⅴ</v>
      </c>
      <c r="T118" s="40">
        <f ca="1">OFFSET(载具产出!$F$399,IFERROR(MATCH(OFFSET($D118,0,MATCH($D$5,$E$6:$H$6,0)),载具产出!$E$400:$E$439,1),0),MATCH(T$6,载具产出!$G$399:$O$399,0))</f>
        <v>915</v>
      </c>
      <c r="U118" s="40">
        <v>7</v>
      </c>
      <c r="V118" s="40">
        <f ca="1">OFFSET(载具产出!$F$399,IFERROR(MATCH(OFFSET($D118,0,MATCH($D$5,$E$6:$H$6,0)),载具产出!$E$400:$E$439,1),0),MATCH(V$6,载具产出!$G$399:$O$399,0))</f>
        <v>5800</v>
      </c>
      <c r="W118" s="43">
        <f ca="1">_xlfn.XLOOKUP(Z118,载具属性!$E$98:$E$497,载具属性!$G$98:$G$497)+6000+OFFSET(载具属性!L$33,AS118,0)*载具属性!M$30+OFFSET(载具属性!M$33,AT118,0)*载具属性!N$30+OFFSET(载具属性!N$33,AU118,0)*载具属性!O$30+OFFSET(载具属性!O$33,AV118,0)*载具属性!P$30</f>
        <v>16555</v>
      </c>
      <c r="X118" s="43">
        <f ca="1">_xlfn.XLOOKUP(Z118,载具属性!$E$98:$E$497,载具属性!$G$98:$G$497)</f>
        <v>6025</v>
      </c>
      <c r="Y118" s="43">
        <f ca="1">OFFSET(载具属性!L$33,AS118,0)*载具属性!M$30+OFFSET(载具属性!M$33,AT118,0)*载具属性!N$30+OFFSET(载具属性!N$33,AU118,0)*载具属性!O$30+OFFSET(载具属性!O$33,AV118,0)*载具属性!P$30</f>
        <v>4530</v>
      </c>
      <c r="Z118" s="40">
        <f ca="1">MATCH(SUM($T$7:T118),载具属性!$I$98:$I$497,1)</f>
        <v>101</v>
      </c>
      <c r="AA118" s="40">
        <f ca="1">OFFSET(载具产出!$F$399,IFERROR(MATCH(OFFSET($D118,0,MATCH($D$5,$E$6:$H$6,0)),载具产出!$E$112:$E$151,1),0),MATCH(AA$6,载具产出!$G$111:$O$111,0))*2</f>
        <v>18</v>
      </c>
      <c r="AB118" s="40">
        <f ca="1">OFFSET(载具产出!$F$399,IFERROR(MATCH(OFFSET($D118,0,MATCH($D$5,$E$6:$H$6,0)),载具产出!$E$112:$E$151,1),0),MATCH(AB$6,载具产出!$G$111:$O$111,0))*2</f>
        <v>29.12</v>
      </c>
      <c r="AC118" s="40">
        <f ca="1">OFFSET(载具产出!$F$399,IFERROR(MATCH(OFFSET($D118,0,MATCH($D$5,$E$6:$H$6,0)),载具产出!$E$112:$E$151,1),0),MATCH(AC$6,载具产出!$G$111:$O$111,0))*2</f>
        <v>2.88</v>
      </c>
      <c r="AD118" s="40">
        <f ca="1">OFFSET(载具产出!$F$399,IFERROR(MATCH(OFFSET($D118,0,MATCH($D$5,$E$6:$H$6,0)),载具产出!$E$112:$E$151,1),0),MATCH(AD$6,载具产出!$G$111:$O$111,0))*2</f>
        <v>0</v>
      </c>
      <c r="AE118" s="44">
        <f ca="1">SUM(AA$36:AA118)/3</f>
        <v>716.8</v>
      </c>
      <c r="AF118" s="44">
        <f ca="1">SUM(AB$36:AB118)/3</f>
        <v>716.586666666665</v>
      </c>
      <c r="AG118" s="44">
        <f ca="1">SUM(AC$36:AC118)/3</f>
        <v>53.28</v>
      </c>
      <c r="AH118" s="44">
        <f ca="1">SUM(AD$36:AD118)/3</f>
        <v>0</v>
      </c>
      <c r="AI118" s="44">
        <f>_xlfn.XLOOKUP($D$5,载具产出!$D$71:$D$75,载具产出!$E$71:$E$75)*(D118-30+1)</f>
        <v>976.238095238098</v>
      </c>
      <c r="AJ118" s="44">
        <f>IFERROR(MATCH(_xlfn.XLOOKUP($D$5,载具产出!$D$71:$D$75,载具产出!$E$71:$E$75)*(D118-30+1)*10,载具产出!$E$60:$E$67,1),0)+1</f>
        <v>6</v>
      </c>
      <c r="AK118" s="44">
        <f ca="1">IF($AJ118=1,($AI118)*(10*OFFSET(载具产出!$D$45,MATCH(AK$6,$AK$6:$AN$6,0)-1,$AJ118)+OFFSET(载具产出!$D$49,MATCH(AK$6,$AK$6:$AN$6,0)-1,$AJ118)*OFFSET(载具产出!$N$49,MATCH(AK$6,$AK$6:$AN$6,0)-1,0)),OFFSET(载具产出!F$59,$AJ118-1,0)*10+OFFSET(载具产出!J$59,$AJ118-1,0)+($AI118*10-_xlfn.XLOOKUP($AJ118-1,载具产出!$D$59:$D$67,载具产出!$E$59:$E$67))/10*(10*OFFSET(载具产出!$D$45,MATCH(AK$6,$AK$6:$AN$6,0)-1,$AJ118)+OFFSET(载具产出!$D$49,MATCH(AK$6,$AK$6:$AN$6,0)-1,$AJ118)*OFFSET(载具产出!$N$49,MATCH(AK$6,$AK$6:$AN$6,0)-1,0)))</f>
        <v>2218.93914285715</v>
      </c>
      <c r="AL118" s="44">
        <f ca="1">IF($AJ118=1,($AI118)*(10*OFFSET(载具产出!$D$45,MATCH(AL$6,$AK$6:$AN$6,0)-1,$AJ118)+OFFSET(载具产出!$D$49,MATCH(AL$6,$AK$6:$AN$6,0)-1,$AJ118)*OFFSET(载具产出!$N$49,MATCH(AL$6,$AK$6:$AN$6,0)-1,0)),OFFSET(载具产出!G$59,$AJ118-1,0)*10+OFFSET(载具产出!K$59,$AJ118-1,0)+($AI118*10-_xlfn.XLOOKUP($AJ118-1,载具产出!$D$59:$D$67,载具产出!$E$59:$E$67))/10*(10*OFFSET(载具产出!$D$45,MATCH(AL$6,$AK$6:$AN$6,0)-1,$AJ118)+OFFSET(载具产出!$D$49,MATCH(AL$6,$AK$6:$AN$6,0)-1,$AJ118)*OFFSET(载具产出!$N$49,MATCH(AL$6,$AK$6:$AN$6,0)-1,0)))</f>
        <v>837.514285714288</v>
      </c>
      <c r="AM118" s="44">
        <f ca="1">IF($AJ118=1,($AI118)*(10*OFFSET(载具产出!$D$45,MATCH(AM$6,$AK$6:$AN$6,0)-1,$AJ118)+OFFSET(载具产出!$D$49,MATCH(AM$6,$AK$6:$AN$6,0)-1,$AJ118)*OFFSET(载具产出!$N$49,MATCH(AM$6,$AK$6:$AN$6,0)-1,0)),OFFSET(载具产出!H$59,$AJ118-1,0)*10+OFFSET(载具产出!L$59,$AJ118-1,0)+($AI118*10-_xlfn.XLOOKUP($AJ118-1,载具产出!$D$59:$D$67,载具产出!$E$59:$E$67))/10*(10*OFFSET(载具产出!$D$45,MATCH(AM$6,$AK$6:$AN$6,0)-1,$AJ118)+OFFSET(载具产出!$D$49,MATCH(AM$6,$AK$6:$AN$6,0)-1,$AJ118)*OFFSET(载具产出!$N$49,MATCH(AM$6,$AK$6:$AN$6,0)-1,0)))</f>
        <v>440.534095238097</v>
      </c>
      <c r="AN118" s="44">
        <f ca="1">IF($AJ118=1,($AI118)*(10*OFFSET(载具产出!$D$45,MATCH(AN$6,$AK$6:$AN$6,0)-1,$AJ118)+OFFSET(载具产出!$D$49,MATCH(AN$6,$AK$6:$AN$6,0)-1,$AJ118)*OFFSET(载具产出!$N$49,MATCH(AN$6,$AK$6:$AN$6,0)-1,0)),OFFSET(载具产出!I$59,$AJ118-1,0)*10+OFFSET(载具产出!M$59,$AJ118-1,0)+($AI118*10-_xlfn.XLOOKUP($AJ118-1,载具产出!$D$59:$D$67,载具产出!$E$59:$E$67))/10*(10*OFFSET(载具产出!$D$45,MATCH(AN$6,$AK$6:$AN$6,0)-1,$AJ118)+OFFSET(载具产出!$D$49,MATCH(AN$6,$AK$6:$AN$6,0)-1,$AJ118)*OFFSET(载具产出!$N$49,MATCH(AN$6,$AK$6:$AN$6,0)-1,0)))</f>
        <v>128.685619047619</v>
      </c>
      <c r="AO118" s="44">
        <f ca="1" t="shared" si="22"/>
        <v>2935.73914285715</v>
      </c>
      <c r="AP118" s="44">
        <f ca="1" t="shared" si="23"/>
        <v>1554.10095238095</v>
      </c>
      <c r="AQ118" s="44">
        <f ca="1" t="shared" si="24"/>
        <v>493.814095238097</v>
      </c>
      <c r="AR118" s="44">
        <f ca="1" t="shared" si="25"/>
        <v>128.685619047619</v>
      </c>
      <c r="AS118" s="45">
        <f ca="1">IFERROR(MATCH(AO118/载具产出!R$58,载具属性!$G$33:$G$92,1),0)</f>
        <v>26</v>
      </c>
      <c r="AT118" s="45">
        <f ca="1">IFERROR(MATCH(AP118/载具产出!S$58,载具属性!$G$33:$G$92,1),0)</f>
        <v>18</v>
      </c>
      <c r="AU118" s="45">
        <f ca="1">IFERROR(MATCH(AQ118/载具产出!T$58,载具属性!$G$33:$G$92,1),0)</f>
        <v>10</v>
      </c>
      <c r="AV118" s="45">
        <f ca="1">IFERROR(MATCH(AR118/载具产出!U$58,载具属性!$G$33:$G$92,1),0)</f>
        <v>2</v>
      </c>
      <c r="AW118" s="46" t="str">
        <f ca="1" t="shared" si="26"/>
        <v>[{62,569},{63,60880},{2,163000},{6030001,1985},{6030002,2030},{6030003,149}]</v>
      </c>
      <c r="AX118" t="str">
        <f ca="1" t="shared" si="27"/>
        <v>{62,569}</v>
      </c>
      <c r="AY118" t="str">
        <f ca="1" t="shared" si="28"/>
        <v>{63,60880}</v>
      </c>
      <c r="AZ118" t="str">
        <f ca="1" t="shared" si="29"/>
        <v>{2,163000}</v>
      </c>
      <c r="BA118" t="str">
        <f ca="1" t="shared" si="30"/>
        <v>{6030001,1985}</v>
      </c>
      <c r="BB118" t="str">
        <f ca="1" t="shared" si="31"/>
        <v>{6030002,2030}</v>
      </c>
      <c r="BC118" t="str">
        <f ca="1" t="shared" si="32"/>
        <v>{6030003,149}</v>
      </c>
      <c r="BD118" t="str">
        <f ca="1" t="shared" si="33"/>
        <v/>
      </c>
    </row>
    <row r="119" spans="3:56">
      <c r="C119">
        <f ca="1" t="shared" si="21"/>
        <v>115.902777777778</v>
      </c>
      <c r="D119" s="40">
        <v>113</v>
      </c>
      <c r="E119" s="40">
        <v>105</v>
      </c>
      <c r="F119" s="40">
        <v>124</v>
      </c>
      <c r="G119" s="41">
        <v>144</v>
      </c>
      <c r="H119" s="40">
        <f t="shared" si="18"/>
        <v>198</v>
      </c>
      <c r="I119" s="40">
        <f t="shared" si="20"/>
        <v>252</v>
      </c>
      <c r="J119" s="40">
        <f t="shared" si="34"/>
        <v>221</v>
      </c>
      <c r="K119" s="40">
        <f ca="1">SUM(U$36:U119)-SUM(OFFSET(载具产出!H$399,0,0,$R119+1,1))</f>
        <v>576</v>
      </c>
      <c r="L119" s="40">
        <f ca="1">SUM(T$36:T119)-SUM(OFFSET(载具产出!G$399,0,0,$R119+1,1))</f>
        <v>61795</v>
      </c>
      <c r="M119" s="40">
        <f ca="1">SUM(V$36:V119)/2-SUM(OFFSET(载具产出!I$399,0,0,$R119+1,1))</f>
        <v>165900</v>
      </c>
      <c r="N119" s="40">
        <f ca="1">SUM(AA$36:AA119)-SUM(OFFSET(载具产出!J$399,0,0,$R119+1,1))</f>
        <v>2003.6</v>
      </c>
      <c r="O119" s="40">
        <f ca="1">SUM(AB$36:AB119)-SUM(OFFSET(载具产出!K$399,0,0,$R119+1,1))</f>
        <v>2059.32</v>
      </c>
      <c r="P119" s="40">
        <f ca="1">SUM(AC$36:AC119)-SUM(OFFSET(载具产出!L$399,0,0,$R119+1,1))</f>
        <v>152.08</v>
      </c>
      <c r="Q119" s="40">
        <f ca="1">SUM(AD$36:AD119)-SUM(OFFSET(载具产出!M$399,0,0,$R119+1,1))</f>
        <v>0</v>
      </c>
      <c r="R119" s="40">
        <v>12</v>
      </c>
      <c r="S119" s="40" t="str">
        <f ca="1">OFFSET(载具产出!$D$111,IFERROR(MATCH(OFFSET($D119,0,MATCH($D$5,$E$6:$H$6,0)),载具产出!$E$112:$E$151,1),0),0)</f>
        <v>豪华Ⅴ</v>
      </c>
      <c r="T119" s="40">
        <f ca="1">OFFSET(载具产出!$F$399,IFERROR(MATCH(OFFSET($D119,0,MATCH($D$5,$E$6:$H$6,0)),载具产出!$E$400:$E$439,1),0),MATCH(T$6,载具产出!$G$399:$O$399,0))</f>
        <v>915</v>
      </c>
      <c r="U119" s="40">
        <v>7</v>
      </c>
      <c r="V119" s="40">
        <f ca="1">OFFSET(载具产出!$F$399,IFERROR(MATCH(OFFSET($D119,0,MATCH($D$5,$E$6:$H$6,0)),载具产出!$E$400:$E$439,1),0),MATCH(V$6,载具产出!$G$399:$O$399,0))</f>
        <v>5800</v>
      </c>
      <c r="W119" s="43">
        <f ca="1">_xlfn.XLOOKUP(Z119,载具属性!$E$98:$E$497,载具属性!$G$98:$G$497)+6000+OFFSET(载具属性!L$33,AS119,0)*载具属性!M$30+OFFSET(载具属性!M$33,AT119,0)*载具属性!N$30+OFFSET(载具属性!N$33,AU119,0)*载具属性!O$30+OFFSET(载具属性!O$33,AV119,0)*载具属性!P$30</f>
        <v>16690</v>
      </c>
      <c r="X119" s="43">
        <f ca="1">_xlfn.XLOOKUP(Z119,载具属性!$E$98:$E$497,载具属性!$G$98:$G$497)</f>
        <v>6100</v>
      </c>
      <c r="Y119" s="43">
        <f ca="1">OFFSET(载具属性!L$33,AS119,0)*载具属性!M$30+OFFSET(载具属性!M$33,AT119,0)*载具属性!N$30+OFFSET(载具属性!N$33,AU119,0)*载具属性!O$30+OFFSET(载具属性!O$33,AV119,0)*载具属性!P$30</f>
        <v>4590</v>
      </c>
      <c r="Z119" s="40">
        <f ca="1">MATCH(SUM($T$7:T119),载具属性!$I$98:$I$497,1)</f>
        <v>102</v>
      </c>
      <c r="AA119" s="40">
        <f ca="1">OFFSET(载具产出!$F$399,IFERROR(MATCH(OFFSET($D119,0,MATCH($D$5,$E$6:$H$6,0)),载具产出!$E$112:$E$151,1),0),MATCH(AA$6,载具产出!$G$111:$O$111,0))*2</f>
        <v>18</v>
      </c>
      <c r="AB119" s="40">
        <f ca="1">OFFSET(载具产出!$F$399,IFERROR(MATCH(OFFSET($D119,0,MATCH($D$5,$E$6:$H$6,0)),载具产出!$E$112:$E$151,1),0),MATCH(AB$6,载具产出!$G$111:$O$111,0))*2</f>
        <v>29.12</v>
      </c>
      <c r="AC119" s="40">
        <f ca="1">OFFSET(载具产出!$F$399,IFERROR(MATCH(OFFSET($D119,0,MATCH($D$5,$E$6:$H$6,0)),载具产出!$E$112:$E$151,1),0),MATCH(AC$6,载具产出!$G$111:$O$111,0))*2</f>
        <v>2.88</v>
      </c>
      <c r="AD119" s="40">
        <f ca="1">OFFSET(载具产出!$F$399,IFERROR(MATCH(OFFSET($D119,0,MATCH($D$5,$E$6:$H$6,0)),载具产出!$E$112:$E$151,1),0),MATCH(AD$6,载具产出!$G$111:$O$111,0))*2</f>
        <v>0</v>
      </c>
      <c r="AE119" s="44">
        <f ca="1">SUM(AA$36:AA119)/3</f>
        <v>722.8</v>
      </c>
      <c r="AF119" s="44">
        <f ca="1">SUM(AB$36:AB119)/3</f>
        <v>726.293333333332</v>
      </c>
      <c r="AG119" s="44">
        <f ca="1">SUM(AC$36:AC119)/3</f>
        <v>54.24</v>
      </c>
      <c r="AH119" s="44">
        <f ca="1">SUM(AD$36:AD119)/3</f>
        <v>0</v>
      </c>
      <c r="AI119" s="44">
        <f>_xlfn.XLOOKUP($D$5,载具产出!$D$71:$D$75,载具产出!$E$71:$E$75)*(D119-30+1)</f>
        <v>988.000000000003</v>
      </c>
      <c r="AJ119" s="44">
        <f>IFERROR(MATCH(_xlfn.XLOOKUP($D$5,载具产出!$D$71:$D$75,载具产出!$E$71:$E$75)*(D119-30+1)*10,载具产出!$E$60:$E$67,1),0)+1</f>
        <v>6</v>
      </c>
      <c r="AK119" s="44">
        <f ca="1">IF($AJ119=1,($AI119)*(10*OFFSET(载具产出!$D$45,MATCH(AK$6,$AK$6:$AN$6,0)-1,$AJ119)+OFFSET(载具产出!$D$49,MATCH(AK$6,$AK$6:$AN$6,0)-1,$AJ119)*OFFSET(载具产出!$N$49,MATCH(AK$6,$AK$6:$AN$6,0)-1,0)),OFFSET(载具产出!F$59,$AJ119-1,0)*10+OFFSET(载具产出!J$59,$AJ119-1,0)+($AI119*10-_xlfn.XLOOKUP($AJ119-1,载具产出!$D$59:$D$67,载具产出!$E$59:$E$67))/10*(10*OFFSET(载具产出!$D$45,MATCH(AK$6,$AK$6:$AN$6,0)-1,$AJ119)+OFFSET(载具产出!$D$49,MATCH(AK$6,$AK$6:$AN$6,0)-1,$AJ119)*OFFSET(载具产出!$N$49,MATCH(AK$6,$AK$6:$AN$6,0)-1,0)))</f>
        <v>2244.48600000001</v>
      </c>
      <c r="AL119" s="44">
        <f ca="1">IF($AJ119=1,($AI119)*(10*OFFSET(载具产出!$D$45,MATCH(AL$6,$AK$6:$AN$6,0)-1,$AJ119)+OFFSET(载具产出!$D$49,MATCH(AL$6,$AK$6:$AN$6,0)-1,$AJ119)*OFFSET(载具产出!$N$49,MATCH(AL$6,$AK$6:$AN$6,0)-1,0)),OFFSET(载具产出!G$59,$AJ119-1,0)*10+OFFSET(载具产出!K$59,$AJ119-1,0)+($AI119*10-_xlfn.XLOOKUP($AJ119-1,载具产出!$D$59:$D$67,载具产出!$E$59:$E$67))/10*(10*OFFSET(载具产出!$D$45,MATCH(AL$6,$AK$6:$AN$6,0)-1,$AJ119)+OFFSET(载具产出!$D$49,MATCH(AL$6,$AK$6:$AN$6,0)-1,$AJ119)*OFFSET(载具产出!$N$49,MATCH(AL$6,$AK$6:$AN$6,0)-1,0)))</f>
        <v>848.100000000003</v>
      </c>
      <c r="AM119" s="44">
        <f ca="1">IF($AJ119=1,($AI119)*(10*OFFSET(载具产出!$D$45,MATCH(AM$6,$AK$6:$AN$6,0)-1,$AJ119)+OFFSET(载具产出!$D$49,MATCH(AM$6,$AK$6:$AN$6,0)-1,$AJ119)*OFFSET(载具产出!$N$49,MATCH(AM$6,$AK$6:$AN$6,0)-1,0)),OFFSET(载具产出!H$59,$AJ119-1,0)*10+OFFSET(载具产出!L$59,$AJ119-1,0)+($AI119*10-_xlfn.XLOOKUP($AJ119-1,载具产出!$D$59:$D$67,载具产出!$E$59:$E$67))/10*(10*OFFSET(载具产出!$D$45,MATCH(AM$6,$AK$6:$AN$6,0)-1,$AJ119)+OFFSET(载具产出!$D$49,MATCH(AM$6,$AK$6:$AN$6,0)-1,$AJ119)*OFFSET(载具产出!$N$49,MATCH(AM$6,$AK$6:$AN$6,0)-1,0)))</f>
        <v>446.368000000001</v>
      </c>
      <c r="AN119" s="44">
        <f ca="1">IF($AJ119=1,($AI119)*(10*OFFSET(载具产出!$D$45,MATCH(AN$6,$AK$6:$AN$6,0)-1,$AJ119)+OFFSET(载具产出!$D$49,MATCH(AN$6,$AK$6:$AN$6,0)-1,$AJ119)*OFFSET(载具产出!$N$49,MATCH(AN$6,$AK$6:$AN$6,0)-1,0)),OFFSET(载具产出!I$59,$AJ119-1,0)*10+OFFSET(载具产出!M$59,$AJ119-1,0)+($AI119*10-_xlfn.XLOOKUP($AJ119-1,载具产出!$D$59:$D$67,载具产出!$E$59:$E$67))/10*(10*OFFSET(载具产出!$D$45,MATCH(AN$6,$AK$6:$AN$6,0)-1,$AJ119)+OFFSET(载具产出!$D$49,MATCH(AN$6,$AK$6:$AN$6,0)-1,$AJ119)*OFFSET(载具产出!$N$49,MATCH(AN$6,$AK$6:$AN$6,0)-1,0)))</f>
        <v>130.544</v>
      </c>
      <c r="AO119" s="44">
        <f ca="1" t="shared" si="22"/>
        <v>2967.28600000001</v>
      </c>
      <c r="AP119" s="44">
        <f ca="1" t="shared" si="23"/>
        <v>1574.39333333333</v>
      </c>
      <c r="AQ119" s="44">
        <f ca="1" t="shared" si="24"/>
        <v>500.608000000001</v>
      </c>
      <c r="AR119" s="44">
        <f ca="1" t="shared" si="25"/>
        <v>130.544</v>
      </c>
      <c r="AS119" s="45">
        <f ca="1">IFERROR(MATCH(AO119/载具产出!R$58,载具属性!$G$33:$G$92,1),0)</f>
        <v>27</v>
      </c>
      <c r="AT119" s="45">
        <f ca="1">IFERROR(MATCH(AP119/载具产出!S$58,载具属性!$G$33:$G$92,1),0)</f>
        <v>18</v>
      </c>
      <c r="AU119" s="45">
        <f ca="1">IFERROR(MATCH(AQ119/载具产出!T$58,载具属性!$G$33:$G$92,1),0)</f>
        <v>10</v>
      </c>
      <c r="AV119" s="45">
        <f ca="1">IFERROR(MATCH(AR119/载具产出!U$58,载具属性!$G$33:$G$92,1),0)</f>
        <v>2</v>
      </c>
      <c r="AW119" s="46" t="str">
        <f ca="1" t="shared" si="26"/>
        <v>[{62,576},{63,61795},{2,165900},{6030001,2003},{6030002,2059},{6030003,152}]</v>
      </c>
      <c r="AX119" t="str">
        <f ca="1" t="shared" si="27"/>
        <v>{62,576}</v>
      </c>
      <c r="AY119" t="str">
        <f ca="1" t="shared" si="28"/>
        <v>{63,61795}</v>
      </c>
      <c r="AZ119" t="str">
        <f ca="1" t="shared" si="29"/>
        <v>{2,165900}</v>
      </c>
      <c r="BA119" t="str">
        <f ca="1" t="shared" si="30"/>
        <v>{6030001,2003}</v>
      </c>
      <c r="BB119" t="str">
        <f ca="1" t="shared" si="31"/>
        <v>{6030002,2059}</v>
      </c>
      <c r="BC119" t="str">
        <f ca="1" t="shared" si="32"/>
        <v>{6030003,152}</v>
      </c>
      <c r="BD119" t="str">
        <f ca="1" t="shared" si="33"/>
        <v/>
      </c>
    </row>
    <row r="120" spans="3:56">
      <c r="C120">
        <f ca="1" t="shared" si="21"/>
        <v>115.103448275862</v>
      </c>
      <c r="D120" s="40">
        <v>114</v>
      </c>
      <c r="E120" s="40">
        <v>105</v>
      </c>
      <c r="F120" s="40">
        <v>125</v>
      </c>
      <c r="G120" s="41">
        <v>145</v>
      </c>
      <c r="H120" s="40">
        <f t="shared" si="18"/>
        <v>199</v>
      </c>
      <c r="I120" s="40">
        <f t="shared" si="20"/>
        <v>254</v>
      </c>
      <c r="J120" s="40">
        <f t="shared" si="34"/>
        <v>223</v>
      </c>
      <c r="K120" s="40">
        <f ca="1">SUM(U$36:U120)-SUM(OFFSET(载具产出!H$399,0,0,$R120+1,1))</f>
        <v>583</v>
      </c>
      <c r="L120" s="40">
        <f ca="1">SUM(T$36:T120)-SUM(OFFSET(载具产出!G$399,0,0,$R120+1,1))</f>
        <v>62735</v>
      </c>
      <c r="M120" s="40">
        <f ca="1">SUM(V$36:V120)/2-SUM(OFFSET(载具产出!I$399,0,0,$R120+1,1))</f>
        <v>168900</v>
      </c>
      <c r="N120" s="40">
        <f ca="1">SUM(AA$36:AA120)-SUM(OFFSET(载具产出!J$399,0,0,$R120+1,1))</f>
        <v>2021.6</v>
      </c>
      <c r="O120" s="40">
        <f ca="1">SUM(AB$36:AB120)-SUM(OFFSET(载具产出!K$399,0,0,$R120+1,1))</f>
        <v>2081.96</v>
      </c>
      <c r="P120" s="40">
        <f ca="1">SUM(AC$36:AC120)-SUM(OFFSET(载具产出!L$399,0,0,$R120+1,1))</f>
        <v>155.44</v>
      </c>
      <c r="Q120" s="40">
        <f ca="1">SUM(AD$36:AD120)-SUM(OFFSET(载具产出!M$399,0,0,$R120+1,1))</f>
        <v>0</v>
      </c>
      <c r="R120" s="40">
        <v>12</v>
      </c>
      <c r="S120" s="40" t="str">
        <f ca="1">OFFSET(载具产出!$D$111,IFERROR(MATCH(OFFSET($D120,0,MATCH($D$5,$E$6:$H$6,0)),载具产出!$E$112:$E$151,1),0),0)</f>
        <v>珍惜Ⅰ</v>
      </c>
      <c r="T120" s="40">
        <f ca="1">OFFSET(载具产出!$F$399,IFERROR(MATCH(OFFSET($D120,0,MATCH($D$5,$E$6:$H$6,0)),载具产出!$E$400:$E$439,1),0),MATCH(T$6,载具产出!$G$399:$O$399,0))</f>
        <v>940</v>
      </c>
      <c r="U120" s="40">
        <v>7</v>
      </c>
      <c r="V120" s="40">
        <f ca="1">OFFSET(载具产出!$F$399,IFERROR(MATCH(OFFSET($D120,0,MATCH($D$5,$E$6:$H$6,0)),载具产出!$E$400:$E$439,1),0),MATCH(V$6,载具产出!$G$399:$O$399,0))</f>
        <v>6000</v>
      </c>
      <c r="W120" s="43">
        <f ca="1">_xlfn.XLOOKUP(Z120,载具属性!$E$98:$E$497,载具属性!$G$98:$G$497)+6000+OFFSET(载具属性!L$33,AS120,0)*载具属性!M$30+OFFSET(载具属性!M$33,AT120,0)*载具属性!N$30+OFFSET(载具属性!N$33,AU120,0)*载具属性!O$30+OFFSET(载具属性!O$33,AV120,0)*载具属性!P$30</f>
        <v>16690</v>
      </c>
      <c r="X120" s="43">
        <f ca="1">_xlfn.XLOOKUP(Z120,载具属性!$E$98:$E$497,载具属性!$G$98:$G$497)</f>
        <v>6100</v>
      </c>
      <c r="Y120" s="43">
        <f ca="1">OFFSET(载具属性!L$33,AS120,0)*载具属性!M$30+OFFSET(载具属性!M$33,AT120,0)*载具属性!N$30+OFFSET(载具属性!N$33,AU120,0)*载具属性!O$30+OFFSET(载具属性!O$33,AV120,0)*载具属性!P$30</f>
        <v>4590</v>
      </c>
      <c r="Z120" s="40">
        <f ca="1">MATCH(SUM($T$7:T120),载具属性!$I$98:$I$497,1)</f>
        <v>102</v>
      </c>
      <c r="AA120" s="40">
        <f ca="1">OFFSET(载具产出!$F$399,IFERROR(MATCH(OFFSET($D120,0,MATCH($D$5,$E$6:$H$6,0)),载具产出!$E$112:$E$151,1),0),MATCH(AA$6,载具产出!$G$111:$O$111,0))*2</f>
        <v>18</v>
      </c>
      <c r="AB120" s="40">
        <f ca="1">OFFSET(载具产出!$F$399,IFERROR(MATCH(OFFSET($D120,0,MATCH($D$5,$E$6:$H$6,0)),载具产出!$E$112:$E$151,1),0),MATCH(AB$6,载具产出!$G$111:$O$111,0))*2</f>
        <v>22.64</v>
      </c>
      <c r="AC120" s="40">
        <f ca="1">OFFSET(载具产出!$F$399,IFERROR(MATCH(OFFSET($D120,0,MATCH($D$5,$E$6:$H$6,0)),载具产出!$E$112:$E$151,1),0),MATCH(AC$6,载具产出!$G$111:$O$111,0))*2</f>
        <v>3.36</v>
      </c>
      <c r="AD120" s="40">
        <f ca="1">OFFSET(载具产出!$F$399,IFERROR(MATCH(OFFSET($D120,0,MATCH($D$5,$E$6:$H$6,0)),载具产出!$E$112:$E$151,1),0),MATCH(AD$6,载具产出!$G$111:$O$111,0))*2</f>
        <v>0</v>
      </c>
      <c r="AE120" s="44">
        <f ca="1">SUM(AA$36:AA120)/3</f>
        <v>728.8</v>
      </c>
      <c r="AF120" s="44">
        <f ca="1">SUM(AB$36:AB120)/3</f>
        <v>733.839999999999</v>
      </c>
      <c r="AG120" s="44">
        <f ca="1">SUM(AC$36:AC120)/3</f>
        <v>55.36</v>
      </c>
      <c r="AH120" s="44">
        <f ca="1">SUM(AD$36:AD120)/3</f>
        <v>0</v>
      </c>
      <c r="AI120" s="44">
        <f>_xlfn.XLOOKUP($D$5,载具产出!$D$71:$D$75,载具产出!$E$71:$E$75)*(D120-30+1)</f>
        <v>999.761904761908</v>
      </c>
      <c r="AJ120" s="44">
        <f>IFERROR(MATCH(_xlfn.XLOOKUP($D$5,载具产出!$D$71:$D$75,载具产出!$E$71:$E$75)*(D120-30+1)*10,载具产出!$E$60:$E$67,1),0)+1</f>
        <v>6</v>
      </c>
      <c r="AK120" s="44">
        <f ca="1">IF($AJ120=1,($AI120)*(10*OFFSET(载具产出!$D$45,MATCH(AK$6,$AK$6:$AN$6,0)-1,$AJ120)+OFFSET(载具产出!$D$49,MATCH(AK$6,$AK$6:$AN$6,0)-1,$AJ120)*OFFSET(载具产出!$N$49,MATCH(AK$6,$AK$6:$AN$6,0)-1,0)),OFFSET(载具产出!F$59,$AJ120-1,0)*10+OFFSET(载具产出!J$59,$AJ120-1,0)+($AI120*10-_xlfn.XLOOKUP($AJ120-1,载具产出!$D$59:$D$67,载具产出!$E$59:$E$67))/10*(10*OFFSET(载具产出!$D$45,MATCH(AK$6,$AK$6:$AN$6,0)-1,$AJ120)+OFFSET(载具产出!$D$49,MATCH(AK$6,$AK$6:$AN$6,0)-1,$AJ120)*OFFSET(载具产出!$N$49,MATCH(AK$6,$AK$6:$AN$6,0)-1,0)))</f>
        <v>2270.03285714286</v>
      </c>
      <c r="AL120" s="44">
        <f ca="1">IF($AJ120=1,($AI120)*(10*OFFSET(载具产出!$D$45,MATCH(AL$6,$AK$6:$AN$6,0)-1,$AJ120)+OFFSET(载具产出!$D$49,MATCH(AL$6,$AK$6:$AN$6,0)-1,$AJ120)*OFFSET(载具产出!$N$49,MATCH(AL$6,$AK$6:$AN$6,0)-1,0)),OFFSET(载具产出!G$59,$AJ120-1,0)*10+OFFSET(载具产出!K$59,$AJ120-1,0)+($AI120*10-_xlfn.XLOOKUP($AJ120-1,载具产出!$D$59:$D$67,载具产出!$E$59:$E$67))/10*(10*OFFSET(载具产出!$D$45,MATCH(AL$6,$AK$6:$AN$6,0)-1,$AJ120)+OFFSET(载具产出!$D$49,MATCH(AL$6,$AK$6:$AN$6,0)-1,$AJ120)*OFFSET(载具产出!$N$49,MATCH(AL$6,$AK$6:$AN$6,0)-1,0)))</f>
        <v>858.685714285717</v>
      </c>
      <c r="AM120" s="44">
        <f ca="1">IF($AJ120=1,($AI120)*(10*OFFSET(载具产出!$D$45,MATCH(AM$6,$AK$6:$AN$6,0)-1,$AJ120)+OFFSET(载具产出!$D$49,MATCH(AM$6,$AK$6:$AN$6,0)-1,$AJ120)*OFFSET(载具产出!$N$49,MATCH(AM$6,$AK$6:$AN$6,0)-1,0)),OFFSET(载具产出!H$59,$AJ120-1,0)*10+OFFSET(载具产出!L$59,$AJ120-1,0)+($AI120*10-_xlfn.XLOOKUP($AJ120-1,载具产出!$D$59:$D$67,载具产出!$E$59:$E$67))/10*(10*OFFSET(载具产出!$D$45,MATCH(AM$6,$AK$6:$AN$6,0)-1,$AJ120)+OFFSET(载具产出!$D$49,MATCH(AM$6,$AK$6:$AN$6,0)-1,$AJ120)*OFFSET(载具产出!$N$49,MATCH(AM$6,$AK$6:$AN$6,0)-1,0)))</f>
        <v>452.201904761906</v>
      </c>
      <c r="AN120" s="44">
        <f ca="1">IF($AJ120=1,($AI120)*(10*OFFSET(载具产出!$D$45,MATCH(AN$6,$AK$6:$AN$6,0)-1,$AJ120)+OFFSET(载具产出!$D$49,MATCH(AN$6,$AK$6:$AN$6,0)-1,$AJ120)*OFFSET(载具产出!$N$49,MATCH(AN$6,$AK$6:$AN$6,0)-1,0)),OFFSET(载具产出!I$59,$AJ120-1,0)*10+OFFSET(载具产出!M$59,$AJ120-1,0)+($AI120*10-_xlfn.XLOOKUP($AJ120-1,载具产出!$D$59:$D$67,载具产出!$E$59:$E$67))/10*(10*OFFSET(载具产出!$D$45,MATCH(AN$6,$AK$6:$AN$6,0)-1,$AJ120)+OFFSET(载具产出!$D$49,MATCH(AN$6,$AK$6:$AN$6,0)-1,$AJ120)*OFFSET(载具产出!$N$49,MATCH(AN$6,$AK$6:$AN$6,0)-1,0)))</f>
        <v>132.402380952381</v>
      </c>
      <c r="AO120" s="44">
        <f ca="1" t="shared" si="22"/>
        <v>2998.83285714286</v>
      </c>
      <c r="AP120" s="44">
        <f ca="1" t="shared" si="23"/>
        <v>1592.52571428572</v>
      </c>
      <c r="AQ120" s="44">
        <f ca="1" t="shared" si="24"/>
        <v>507.561904761906</v>
      </c>
      <c r="AR120" s="44">
        <f ca="1" t="shared" si="25"/>
        <v>132.402380952381</v>
      </c>
      <c r="AS120" s="45">
        <f ca="1">IFERROR(MATCH(AO120/载具产出!R$58,载具属性!$G$33:$G$92,1),0)</f>
        <v>27</v>
      </c>
      <c r="AT120" s="45">
        <f ca="1">IFERROR(MATCH(AP120/载具产出!S$58,载具属性!$G$33:$G$92,1),0)</f>
        <v>18</v>
      </c>
      <c r="AU120" s="45">
        <f ca="1">IFERROR(MATCH(AQ120/载具产出!T$58,载具属性!$G$33:$G$92,1),0)</f>
        <v>10</v>
      </c>
      <c r="AV120" s="45">
        <f ca="1">IFERROR(MATCH(AR120/载具产出!U$58,载具属性!$G$33:$G$92,1),0)</f>
        <v>2</v>
      </c>
      <c r="AW120" s="46" t="str">
        <f ca="1" t="shared" si="26"/>
        <v>[{62,583},{63,62735},{2,168900},{6030001,2021},{6030002,2081},{6030003,155}]</v>
      </c>
      <c r="AX120" t="str">
        <f ca="1" t="shared" si="27"/>
        <v>{62,583}</v>
      </c>
      <c r="AY120" t="str">
        <f ca="1" t="shared" si="28"/>
        <v>{63,62735}</v>
      </c>
      <c r="AZ120" t="str">
        <f ca="1" t="shared" si="29"/>
        <v>{2,168900}</v>
      </c>
      <c r="BA120" t="str">
        <f ca="1" t="shared" si="30"/>
        <v>{6030001,2021}</v>
      </c>
      <c r="BB120" t="str">
        <f ca="1" t="shared" si="31"/>
        <v>{6030002,2081}</v>
      </c>
      <c r="BC120" t="str">
        <f ca="1" t="shared" si="32"/>
        <v>{6030003,155}</v>
      </c>
      <c r="BD120" t="str">
        <f ca="1" t="shared" si="33"/>
        <v/>
      </c>
    </row>
    <row r="121" spans="3:56">
      <c r="C121">
        <f ca="1" t="shared" si="21"/>
        <v>115.620689655172</v>
      </c>
      <c r="D121" s="40">
        <v>115</v>
      </c>
      <c r="E121" s="40">
        <v>106</v>
      </c>
      <c r="F121" s="40">
        <v>125</v>
      </c>
      <c r="G121" s="41">
        <v>145</v>
      </c>
      <c r="H121" s="40">
        <f t="shared" si="18"/>
        <v>200</v>
      </c>
      <c r="I121" s="40">
        <f t="shared" si="20"/>
        <v>256</v>
      </c>
      <c r="J121" s="40">
        <f t="shared" si="34"/>
        <v>225</v>
      </c>
      <c r="K121" s="40">
        <f ca="1">SUM(U$36:U121)-SUM(OFFSET(载具产出!H$399,0,0,$R121+1,1))</f>
        <v>590</v>
      </c>
      <c r="L121" s="40">
        <f ca="1">SUM(T$36:T121)-SUM(OFFSET(载具产出!G$399,0,0,$R121+1,1))</f>
        <v>63675</v>
      </c>
      <c r="M121" s="40">
        <f ca="1">SUM(V$36:V121)/2-SUM(OFFSET(载具产出!I$399,0,0,$R121+1,1))</f>
        <v>171900</v>
      </c>
      <c r="N121" s="40">
        <f ca="1">SUM(AA$36:AA121)-SUM(OFFSET(载具产出!J$399,0,0,$R121+1,1))</f>
        <v>2039.6</v>
      </c>
      <c r="O121" s="40">
        <f ca="1">SUM(AB$36:AB121)-SUM(OFFSET(载具产出!K$399,0,0,$R121+1,1))</f>
        <v>2104.6</v>
      </c>
      <c r="P121" s="40">
        <f ca="1">SUM(AC$36:AC121)-SUM(OFFSET(载具产出!L$399,0,0,$R121+1,1))</f>
        <v>158.8</v>
      </c>
      <c r="Q121" s="40">
        <f ca="1">SUM(AD$36:AD121)-SUM(OFFSET(载具产出!M$399,0,0,$R121+1,1))</f>
        <v>0</v>
      </c>
      <c r="R121" s="40">
        <v>12</v>
      </c>
      <c r="S121" s="40" t="str">
        <f ca="1">OFFSET(载具产出!$D$111,IFERROR(MATCH(OFFSET($D121,0,MATCH($D$5,$E$6:$H$6,0)),载具产出!$E$112:$E$151,1),0),0)</f>
        <v>珍惜Ⅰ</v>
      </c>
      <c r="T121" s="40">
        <f ca="1">OFFSET(载具产出!$F$399,IFERROR(MATCH(OFFSET($D121,0,MATCH($D$5,$E$6:$H$6,0)),载具产出!$E$400:$E$439,1),0),MATCH(T$6,载具产出!$G$399:$O$399,0))</f>
        <v>940</v>
      </c>
      <c r="U121" s="40">
        <v>7</v>
      </c>
      <c r="V121" s="40">
        <f ca="1">OFFSET(载具产出!$F$399,IFERROR(MATCH(OFFSET($D121,0,MATCH($D$5,$E$6:$H$6,0)),载具产出!$E$400:$E$439,1),0),MATCH(V$6,载具产出!$G$399:$O$399,0))</f>
        <v>6000</v>
      </c>
      <c r="W121" s="43">
        <f ca="1">_xlfn.XLOOKUP(Z121,载具属性!$E$98:$E$497,载具属性!$G$98:$G$497)+6000+OFFSET(载具属性!L$33,AS121,0)*载具属性!M$30+OFFSET(载具属性!M$33,AT121,0)*载具属性!N$30+OFFSET(载具属性!N$33,AU121,0)*载具属性!O$30+OFFSET(载具属性!O$33,AV121,0)*载具属性!P$30</f>
        <v>16765</v>
      </c>
      <c r="X121" s="43">
        <f ca="1">_xlfn.XLOOKUP(Z121,载具属性!$E$98:$E$497,载具属性!$G$98:$G$497)</f>
        <v>6175</v>
      </c>
      <c r="Y121" s="43">
        <f ca="1">OFFSET(载具属性!L$33,AS121,0)*载具属性!M$30+OFFSET(载具属性!M$33,AT121,0)*载具属性!N$30+OFFSET(载具属性!N$33,AU121,0)*载具属性!O$30+OFFSET(载具属性!O$33,AV121,0)*载具属性!P$30</f>
        <v>4590</v>
      </c>
      <c r="Z121" s="40">
        <f ca="1">MATCH(SUM($T$7:T121),载具属性!$I$98:$I$497,1)</f>
        <v>103</v>
      </c>
      <c r="AA121" s="40">
        <f ca="1">OFFSET(载具产出!$F$399,IFERROR(MATCH(OFFSET($D121,0,MATCH($D$5,$E$6:$H$6,0)),载具产出!$E$112:$E$151,1),0),MATCH(AA$6,载具产出!$G$111:$O$111,0))*2</f>
        <v>18</v>
      </c>
      <c r="AB121" s="40">
        <f ca="1">OFFSET(载具产出!$F$399,IFERROR(MATCH(OFFSET($D121,0,MATCH($D$5,$E$6:$H$6,0)),载具产出!$E$112:$E$151,1),0),MATCH(AB$6,载具产出!$G$111:$O$111,0))*2</f>
        <v>22.64</v>
      </c>
      <c r="AC121" s="40">
        <f ca="1">OFFSET(载具产出!$F$399,IFERROR(MATCH(OFFSET($D121,0,MATCH($D$5,$E$6:$H$6,0)),载具产出!$E$112:$E$151,1),0),MATCH(AC$6,载具产出!$G$111:$O$111,0))*2</f>
        <v>3.36</v>
      </c>
      <c r="AD121" s="40">
        <f ca="1">OFFSET(载具产出!$F$399,IFERROR(MATCH(OFFSET($D121,0,MATCH($D$5,$E$6:$H$6,0)),载具产出!$E$112:$E$151,1),0),MATCH(AD$6,载具产出!$G$111:$O$111,0))*2</f>
        <v>0</v>
      </c>
      <c r="AE121" s="44">
        <f ca="1">SUM(AA$36:AA121)/3</f>
        <v>734.8</v>
      </c>
      <c r="AF121" s="44">
        <f ca="1">SUM(AB$36:AB121)/3</f>
        <v>741.386666666665</v>
      </c>
      <c r="AG121" s="44">
        <f ca="1">SUM(AC$36:AC121)/3</f>
        <v>56.48</v>
      </c>
      <c r="AH121" s="44">
        <f ca="1">SUM(AD$36:AD121)/3</f>
        <v>0</v>
      </c>
      <c r="AI121" s="44">
        <f>_xlfn.XLOOKUP($D$5,载具产出!$D$71:$D$75,载具产出!$E$71:$E$75)*(D121-30+1)</f>
        <v>1011.52380952381</v>
      </c>
      <c r="AJ121" s="44">
        <f>IFERROR(MATCH(_xlfn.XLOOKUP($D$5,载具产出!$D$71:$D$75,载具产出!$E$71:$E$75)*(D121-30+1)*10,载具产出!$E$60:$E$67,1),0)+1</f>
        <v>6</v>
      </c>
      <c r="AK121" s="44">
        <f ca="1">IF($AJ121=1,($AI121)*(10*OFFSET(载具产出!$D$45,MATCH(AK$6,$AK$6:$AN$6,0)-1,$AJ121)+OFFSET(载具产出!$D$49,MATCH(AK$6,$AK$6:$AN$6,0)-1,$AJ121)*OFFSET(载具产出!$N$49,MATCH(AK$6,$AK$6:$AN$6,0)-1,0)),OFFSET(载具产出!F$59,$AJ121-1,0)*10+OFFSET(载具产出!J$59,$AJ121-1,0)+($AI121*10-_xlfn.XLOOKUP($AJ121-1,载具产出!$D$59:$D$67,载具产出!$E$59:$E$67))/10*(10*OFFSET(载具产出!$D$45,MATCH(AK$6,$AK$6:$AN$6,0)-1,$AJ121)+OFFSET(载具产出!$D$49,MATCH(AK$6,$AK$6:$AN$6,0)-1,$AJ121)*OFFSET(载具产出!$N$49,MATCH(AK$6,$AK$6:$AN$6,0)-1,0)))</f>
        <v>2295.57971428572</v>
      </c>
      <c r="AL121" s="44">
        <f ca="1">IF($AJ121=1,($AI121)*(10*OFFSET(载具产出!$D$45,MATCH(AL$6,$AK$6:$AN$6,0)-1,$AJ121)+OFFSET(载具产出!$D$49,MATCH(AL$6,$AK$6:$AN$6,0)-1,$AJ121)*OFFSET(载具产出!$N$49,MATCH(AL$6,$AK$6:$AN$6,0)-1,0)),OFFSET(载具产出!G$59,$AJ121-1,0)*10+OFFSET(载具产出!K$59,$AJ121-1,0)+($AI121*10-_xlfn.XLOOKUP($AJ121-1,载具产出!$D$59:$D$67,载具产出!$E$59:$E$67))/10*(10*OFFSET(载具产出!$D$45,MATCH(AL$6,$AK$6:$AN$6,0)-1,$AJ121)+OFFSET(载具产出!$D$49,MATCH(AL$6,$AK$6:$AN$6,0)-1,$AJ121)*OFFSET(载具产出!$N$49,MATCH(AL$6,$AK$6:$AN$6,0)-1,0)))</f>
        <v>869.271428571429</v>
      </c>
      <c r="AM121" s="44">
        <f ca="1">IF($AJ121=1,($AI121)*(10*OFFSET(载具产出!$D$45,MATCH(AM$6,$AK$6:$AN$6,0)-1,$AJ121)+OFFSET(载具产出!$D$49,MATCH(AM$6,$AK$6:$AN$6,0)-1,$AJ121)*OFFSET(载具产出!$N$49,MATCH(AM$6,$AK$6:$AN$6,0)-1,0)),OFFSET(载具产出!H$59,$AJ121-1,0)*10+OFFSET(载具产出!L$59,$AJ121-1,0)+($AI121*10-_xlfn.XLOOKUP($AJ121-1,载具产出!$D$59:$D$67,载具产出!$E$59:$E$67))/10*(10*OFFSET(载具产出!$D$45,MATCH(AM$6,$AK$6:$AN$6,0)-1,$AJ121)+OFFSET(载具产出!$D$49,MATCH(AM$6,$AK$6:$AN$6,0)-1,$AJ121)*OFFSET(载具产出!$N$49,MATCH(AM$6,$AK$6:$AN$6,0)-1,0)))</f>
        <v>458.03580952381</v>
      </c>
      <c r="AN121" s="44">
        <f ca="1">IF($AJ121=1,($AI121)*(10*OFFSET(载具产出!$D$45,MATCH(AN$6,$AK$6:$AN$6,0)-1,$AJ121)+OFFSET(载具产出!$D$49,MATCH(AN$6,$AK$6:$AN$6,0)-1,$AJ121)*OFFSET(载具产出!$N$49,MATCH(AN$6,$AK$6:$AN$6,0)-1,0)),OFFSET(载具产出!I$59,$AJ121-1,0)*10+OFFSET(载具产出!M$59,$AJ121-1,0)+($AI121*10-_xlfn.XLOOKUP($AJ121-1,载具产出!$D$59:$D$67,载具产出!$E$59:$E$67))/10*(10*OFFSET(载具产出!$D$45,MATCH(AN$6,$AK$6:$AN$6,0)-1,$AJ121)+OFFSET(载具产出!$D$49,MATCH(AN$6,$AK$6:$AN$6,0)-1,$AJ121)*OFFSET(载具产出!$N$49,MATCH(AN$6,$AK$6:$AN$6,0)-1,0)))</f>
        <v>134.260761904762</v>
      </c>
      <c r="AO121" s="44">
        <f ca="1" t="shared" si="22"/>
        <v>3030.37971428572</v>
      </c>
      <c r="AP121" s="44">
        <f ca="1" t="shared" si="23"/>
        <v>1610.65809523809</v>
      </c>
      <c r="AQ121" s="44">
        <f ca="1" t="shared" si="24"/>
        <v>514.51580952381</v>
      </c>
      <c r="AR121" s="44">
        <f ca="1" t="shared" si="25"/>
        <v>134.260761904762</v>
      </c>
      <c r="AS121" s="45">
        <f ca="1">IFERROR(MATCH(AO121/载具产出!R$58,载具属性!$G$33:$G$92,1),0)</f>
        <v>27</v>
      </c>
      <c r="AT121" s="45">
        <f ca="1">IFERROR(MATCH(AP121/载具产出!S$58,载具属性!$G$33:$G$92,1),0)</f>
        <v>18</v>
      </c>
      <c r="AU121" s="45">
        <f ca="1">IFERROR(MATCH(AQ121/载具产出!T$58,载具属性!$G$33:$G$92,1),0)</f>
        <v>10</v>
      </c>
      <c r="AV121" s="45">
        <f ca="1">IFERROR(MATCH(AR121/载具产出!U$58,载具属性!$G$33:$G$92,1),0)</f>
        <v>2</v>
      </c>
      <c r="AW121" s="46" t="str">
        <f ca="1" t="shared" si="26"/>
        <v>[{62,590},{63,63675},{2,171900},{6030001,2039},{6030002,2104},{6030003,158}]</v>
      </c>
      <c r="AX121" t="str">
        <f ca="1" t="shared" si="27"/>
        <v>{62,590}</v>
      </c>
      <c r="AY121" t="str">
        <f ca="1" t="shared" si="28"/>
        <v>{63,63675}</v>
      </c>
      <c r="AZ121" t="str">
        <f ca="1" t="shared" si="29"/>
        <v>{2,171900}</v>
      </c>
      <c r="BA121" t="str">
        <f ca="1" t="shared" si="30"/>
        <v>{6030001,2039}</v>
      </c>
      <c r="BB121" t="str">
        <f ca="1" t="shared" si="31"/>
        <v>{6030002,2104}</v>
      </c>
      <c r="BC121" t="str">
        <f ca="1" t="shared" si="32"/>
        <v>{6030003,158}</v>
      </c>
      <c r="BD121" t="str">
        <f ca="1" t="shared" si="33"/>
        <v/>
      </c>
    </row>
    <row r="122" spans="3:56">
      <c r="C122">
        <f ca="1" t="shared" si="21"/>
        <v>115.958904109589</v>
      </c>
      <c r="D122" s="40">
        <v>116</v>
      </c>
      <c r="E122" s="40">
        <v>106</v>
      </c>
      <c r="F122" s="40">
        <v>126</v>
      </c>
      <c r="G122" s="41">
        <v>146</v>
      </c>
      <c r="H122" s="40">
        <f>H121</f>
        <v>200</v>
      </c>
      <c r="I122" s="40">
        <f t="shared" si="20"/>
        <v>258</v>
      </c>
      <c r="J122" s="40">
        <f t="shared" si="34"/>
        <v>227</v>
      </c>
      <c r="K122" s="40">
        <f ca="1">SUM(U$36:U122)-SUM(OFFSET(载具产出!H$399,0,0,$R122+1,1))</f>
        <v>597</v>
      </c>
      <c r="L122" s="40">
        <f ca="1">SUM(T$36:T122)-SUM(OFFSET(载具产出!G$399,0,0,$R122+1,1))</f>
        <v>64615</v>
      </c>
      <c r="M122" s="40">
        <f ca="1">SUM(V$36:V122)/2-SUM(OFFSET(载具产出!I$399,0,0,$R122+1,1))</f>
        <v>174900</v>
      </c>
      <c r="N122" s="40">
        <f ca="1">SUM(AA$36:AA122)-SUM(OFFSET(载具产出!J$399,0,0,$R122+1,1))</f>
        <v>2057.6</v>
      </c>
      <c r="O122" s="40">
        <f ca="1">SUM(AB$36:AB122)-SUM(OFFSET(载具产出!K$399,0,0,$R122+1,1))</f>
        <v>2127.24</v>
      </c>
      <c r="P122" s="40">
        <f ca="1">SUM(AC$36:AC122)-SUM(OFFSET(载具产出!L$399,0,0,$R122+1,1))</f>
        <v>162.16</v>
      </c>
      <c r="Q122" s="40">
        <f ca="1">SUM(AD$36:AD122)-SUM(OFFSET(载具产出!M$399,0,0,$R122+1,1))</f>
        <v>0</v>
      </c>
      <c r="R122" s="40">
        <v>12</v>
      </c>
      <c r="S122" s="40" t="str">
        <f ca="1">OFFSET(载具产出!$D$111,IFERROR(MATCH(OFFSET($D122,0,MATCH($D$5,$E$6:$H$6,0)),载具产出!$E$112:$E$151,1),0),0)</f>
        <v>珍惜Ⅰ</v>
      </c>
      <c r="T122" s="40">
        <f ca="1">OFFSET(载具产出!$F$399,IFERROR(MATCH(OFFSET($D122,0,MATCH($D$5,$E$6:$H$6,0)),载具产出!$E$400:$E$439,1),0),MATCH(T$6,载具产出!$G$399:$O$399,0))</f>
        <v>940</v>
      </c>
      <c r="U122" s="40">
        <v>7</v>
      </c>
      <c r="V122" s="40">
        <f ca="1">OFFSET(载具产出!$F$399,IFERROR(MATCH(OFFSET($D122,0,MATCH($D$5,$E$6:$H$6,0)),载具产出!$E$400:$E$439,1),0),MATCH(V$6,载具产出!$G$399:$O$399,0))</f>
        <v>6000</v>
      </c>
      <c r="W122" s="43">
        <f ca="1">_xlfn.XLOOKUP(Z122,载具属性!$E$98:$E$497,载具属性!$G$98:$G$497)+6000+OFFSET(载具属性!L$33,AS122,0)*载具属性!M$30+OFFSET(载具属性!M$33,AT122,0)*载具属性!N$30+OFFSET(载具属性!N$33,AU122,0)*载具属性!O$30+OFFSET(载具属性!O$33,AV122,0)*载具属性!P$30</f>
        <v>16930</v>
      </c>
      <c r="X122" s="43">
        <f ca="1">_xlfn.XLOOKUP(Z122,载具属性!$E$98:$E$497,载具属性!$G$98:$G$497)</f>
        <v>6250</v>
      </c>
      <c r="Y122" s="43">
        <f ca="1">OFFSET(载具属性!L$33,AS122,0)*载具属性!M$30+OFFSET(载具属性!M$33,AT122,0)*载具属性!N$30+OFFSET(载具属性!N$33,AU122,0)*载具属性!O$30+OFFSET(载具属性!O$33,AV122,0)*载具属性!P$30</f>
        <v>4680</v>
      </c>
      <c r="Z122" s="40">
        <f ca="1">MATCH(SUM($T$7:T122),载具属性!$I$98:$I$497,1)</f>
        <v>104</v>
      </c>
      <c r="AA122" s="40">
        <f ca="1">OFFSET(载具产出!$F$399,IFERROR(MATCH(OFFSET($D122,0,MATCH($D$5,$E$6:$H$6,0)),载具产出!$E$112:$E$151,1),0),MATCH(AA$6,载具产出!$G$111:$O$111,0))*2</f>
        <v>18</v>
      </c>
      <c r="AB122" s="40">
        <f ca="1">OFFSET(载具产出!$F$399,IFERROR(MATCH(OFFSET($D122,0,MATCH($D$5,$E$6:$H$6,0)),载具产出!$E$112:$E$151,1),0),MATCH(AB$6,载具产出!$G$111:$O$111,0))*2</f>
        <v>22.64</v>
      </c>
      <c r="AC122" s="40">
        <f ca="1">OFFSET(载具产出!$F$399,IFERROR(MATCH(OFFSET($D122,0,MATCH($D$5,$E$6:$H$6,0)),载具产出!$E$112:$E$151,1),0),MATCH(AC$6,载具产出!$G$111:$O$111,0))*2</f>
        <v>3.36</v>
      </c>
      <c r="AD122" s="40">
        <f ca="1">OFFSET(载具产出!$F$399,IFERROR(MATCH(OFFSET($D122,0,MATCH($D$5,$E$6:$H$6,0)),载具产出!$E$112:$E$151,1),0),MATCH(AD$6,载具产出!$G$111:$O$111,0))*2</f>
        <v>0</v>
      </c>
      <c r="AE122" s="44">
        <f ca="1">SUM(AA$36:AA122)/3</f>
        <v>740.8</v>
      </c>
      <c r="AF122" s="44">
        <f ca="1">SUM(AB$36:AB122)/3</f>
        <v>748.933333333332</v>
      </c>
      <c r="AG122" s="44">
        <f ca="1">SUM(AC$36:AC122)/3</f>
        <v>57.6</v>
      </c>
      <c r="AH122" s="44">
        <f ca="1">SUM(AD$36:AD122)/3</f>
        <v>0</v>
      </c>
      <c r="AI122" s="44">
        <f>_xlfn.XLOOKUP($D$5,载具产出!$D$71:$D$75,载具产出!$E$71:$E$75)*(D122-30+1)</f>
        <v>1023.28571428572</v>
      </c>
      <c r="AJ122" s="44">
        <f>IFERROR(MATCH(_xlfn.XLOOKUP($D$5,载具产出!$D$71:$D$75,载具产出!$E$71:$E$75)*(D122-30+1)*10,载具产出!$E$60:$E$67,1),0)+1</f>
        <v>6</v>
      </c>
      <c r="AK122" s="44">
        <f ca="1">IF($AJ122=1,($AI122)*(10*OFFSET(载具产出!$D$45,MATCH(AK$6,$AK$6:$AN$6,0)-1,$AJ122)+OFFSET(载具产出!$D$49,MATCH(AK$6,$AK$6:$AN$6,0)-1,$AJ122)*OFFSET(载具产出!$N$49,MATCH(AK$6,$AK$6:$AN$6,0)-1,0)),OFFSET(载具产出!F$59,$AJ122-1,0)*10+OFFSET(载具产出!J$59,$AJ122-1,0)+($AI122*10-_xlfn.XLOOKUP($AJ122-1,载具产出!$D$59:$D$67,载具产出!$E$59:$E$67))/10*(10*OFFSET(载具产出!$D$45,MATCH(AK$6,$AK$6:$AN$6,0)-1,$AJ122)+OFFSET(载具产出!$D$49,MATCH(AK$6,$AK$6:$AN$6,0)-1,$AJ122)*OFFSET(载具产出!$N$49,MATCH(AK$6,$AK$6:$AN$6,0)-1,0)))</f>
        <v>2321.12657142858</v>
      </c>
      <c r="AL122" s="44">
        <f ca="1">IF($AJ122=1,($AI122)*(10*OFFSET(载具产出!$D$45,MATCH(AL$6,$AK$6:$AN$6,0)-1,$AJ122)+OFFSET(载具产出!$D$49,MATCH(AL$6,$AK$6:$AN$6,0)-1,$AJ122)*OFFSET(载具产出!$N$49,MATCH(AL$6,$AK$6:$AN$6,0)-1,0)),OFFSET(载具产出!G$59,$AJ122-1,0)*10+OFFSET(载具产出!K$59,$AJ122-1,0)+($AI122*10-_xlfn.XLOOKUP($AJ122-1,载具产出!$D$59:$D$67,载具产出!$E$59:$E$67))/10*(10*OFFSET(载具产出!$D$45,MATCH(AL$6,$AK$6:$AN$6,0)-1,$AJ122)+OFFSET(载具产出!$D$49,MATCH(AL$6,$AK$6:$AN$6,0)-1,$AJ122)*OFFSET(载具产出!$N$49,MATCH(AL$6,$AK$6:$AN$6,0)-1,0)))</f>
        <v>879.857142857148</v>
      </c>
      <c r="AM122" s="44">
        <f ca="1">IF($AJ122=1,($AI122)*(10*OFFSET(载具产出!$D$45,MATCH(AM$6,$AK$6:$AN$6,0)-1,$AJ122)+OFFSET(载具产出!$D$49,MATCH(AM$6,$AK$6:$AN$6,0)-1,$AJ122)*OFFSET(载具产出!$N$49,MATCH(AM$6,$AK$6:$AN$6,0)-1,0)),OFFSET(载具产出!H$59,$AJ122-1,0)*10+OFFSET(载具产出!L$59,$AJ122-1,0)+($AI122*10-_xlfn.XLOOKUP($AJ122-1,载具产出!$D$59:$D$67,载具产出!$E$59:$E$67))/10*(10*OFFSET(载具产出!$D$45,MATCH(AM$6,$AK$6:$AN$6,0)-1,$AJ122)+OFFSET(载具产出!$D$49,MATCH(AM$6,$AK$6:$AN$6,0)-1,$AJ122)*OFFSET(载具产出!$N$49,MATCH(AM$6,$AK$6:$AN$6,0)-1,0)))</f>
        <v>463.869714285717</v>
      </c>
      <c r="AN122" s="44">
        <f ca="1">IF($AJ122=1,($AI122)*(10*OFFSET(载具产出!$D$45,MATCH(AN$6,$AK$6:$AN$6,0)-1,$AJ122)+OFFSET(载具产出!$D$49,MATCH(AN$6,$AK$6:$AN$6,0)-1,$AJ122)*OFFSET(载具产出!$N$49,MATCH(AN$6,$AK$6:$AN$6,0)-1,0)),OFFSET(载具产出!I$59,$AJ122-1,0)*10+OFFSET(载具产出!M$59,$AJ122-1,0)+($AI122*10-_xlfn.XLOOKUP($AJ122-1,载具产出!$D$59:$D$67,载具产出!$E$59:$E$67))/10*(10*OFFSET(载具产出!$D$45,MATCH(AN$6,$AK$6:$AN$6,0)-1,$AJ122)+OFFSET(载具产出!$D$49,MATCH(AN$6,$AK$6:$AN$6,0)-1,$AJ122)*OFFSET(载具产出!$N$49,MATCH(AN$6,$AK$6:$AN$6,0)-1,0)))</f>
        <v>136.119142857144</v>
      </c>
      <c r="AO122" s="44">
        <f ca="1" t="shared" si="22"/>
        <v>3061.92657142858</v>
      </c>
      <c r="AP122" s="44">
        <f ca="1" t="shared" si="23"/>
        <v>1628.79047619048</v>
      </c>
      <c r="AQ122" s="44">
        <f ca="1" t="shared" si="24"/>
        <v>521.469714285717</v>
      </c>
      <c r="AR122" s="44">
        <f ca="1" t="shared" si="25"/>
        <v>136.119142857144</v>
      </c>
      <c r="AS122" s="45">
        <f ca="1">IFERROR(MATCH(AO122/载具产出!R$58,载具属性!$G$33:$G$92,1),0)</f>
        <v>27</v>
      </c>
      <c r="AT122" s="45">
        <f ca="1">IFERROR(MATCH(AP122/载具产出!S$58,载具属性!$G$33:$G$92,1),0)</f>
        <v>19</v>
      </c>
      <c r="AU122" s="45">
        <f ca="1">IFERROR(MATCH(AQ122/载具产出!T$58,载具属性!$G$33:$G$92,1),0)</f>
        <v>10</v>
      </c>
      <c r="AV122" s="45">
        <f ca="1">IFERROR(MATCH(AR122/载具产出!U$58,载具属性!$G$33:$G$92,1),0)</f>
        <v>2</v>
      </c>
      <c r="AW122" s="46" t="str">
        <f ca="1" t="shared" si="26"/>
        <v>[{62,597},{63,64615},{2,174900},{6030001,2057},{6030002,2127},{6030003,162}]</v>
      </c>
      <c r="AX122" t="str">
        <f ca="1" t="shared" si="27"/>
        <v>{62,597}</v>
      </c>
      <c r="AY122" t="str">
        <f ca="1" t="shared" si="28"/>
        <v>{63,64615}</v>
      </c>
      <c r="AZ122" t="str">
        <f ca="1" t="shared" si="29"/>
        <v>{2,174900}</v>
      </c>
      <c r="BA122" t="str">
        <f ca="1" t="shared" si="30"/>
        <v>{6030001,2057}</v>
      </c>
      <c r="BB122" t="str">
        <f ca="1" t="shared" si="31"/>
        <v>{6030002,2127}</v>
      </c>
      <c r="BC122" t="str">
        <f ca="1" t="shared" si="32"/>
        <v>{6030003,162}</v>
      </c>
      <c r="BD122" t="str">
        <f ca="1" t="shared" si="33"/>
        <v/>
      </c>
    </row>
    <row r="123" spans="3:56">
      <c r="C123">
        <f ca="1" t="shared" si="21"/>
        <v>115.958904109589</v>
      </c>
      <c r="D123" s="40">
        <v>117</v>
      </c>
      <c r="E123" s="40">
        <v>106</v>
      </c>
      <c r="F123" s="40">
        <v>126</v>
      </c>
      <c r="G123" s="41">
        <v>146</v>
      </c>
      <c r="H123" s="40">
        <f>H122+1</f>
        <v>201</v>
      </c>
      <c r="I123" s="40">
        <f t="shared" si="20"/>
        <v>260</v>
      </c>
      <c r="J123" s="40">
        <f t="shared" si="34"/>
        <v>229</v>
      </c>
      <c r="K123" s="40">
        <f ca="1">SUM(U$36:U123)-SUM(OFFSET(载具产出!H$399,0,0,$R123+1,1))</f>
        <v>604</v>
      </c>
      <c r="L123" s="40">
        <f ca="1">SUM(T$36:T123)-SUM(OFFSET(载具产出!G$399,0,0,$R123+1,1))</f>
        <v>65555</v>
      </c>
      <c r="M123" s="40">
        <f ca="1">SUM(V$36:V123)/2-SUM(OFFSET(载具产出!I$399,0,0,$R123+1,1))</f>
        <v>177900</v>
      </c>
      <c r="N123" s="40">
        <f ca="1">SUM(AA$36:AA123)-SUM(OFFSET(载具产出!J$399,0,0,$R123+1,1))</f>
        <v>2075.6</v>
      </c>
      <c r="O123" s="40">
        <f ca="1">SUM(AB$36:AB123)-SUM(OFFSET(载具产出!K$399,0,0,$R123+1,1))</f>
        <v>2149.88</v>
      </c>
      <c r="P123" s="40">
        <f ca="1">SUM(AC$36:AC123)-SUM(OFFSET(载具产出!L$399,0,0,$R123+1,1))</f>
        <v>165.52</v>
      </c>
      <c r="Q123" s="40">
        <f ca="1">SUM(AD$36:AD123)-SUM(OFFSET(载具产出!M$399,0,0,$R123+1,1))</f>
        <v>0</v>
      </c>
      <c r="R123" s="40">
        <v>12</v>
      </c>
      <c r="S123" s="40" t="str">
        <f ca="1">OFFSET(载具产出!$D$111,IFERROR(MATCH(OFFSET($D123,0,MATCH($D$5,$E$6:$H$6,0)),载具产出!$E$112:$E$151,1),0),0)</f>
        <v>珍惜Ⅰ</v>
      </c>
      <c r="T123" s="40">
        <f ca="1">OFFSET(载具产出!$F$399,IFERROR(MATCH(OFFSET($D123,0,MATCH($D$5,$E$6:$H$6,0)),载具产出!$E$400:$E$439,1),0),MATCH(T$6,载具产出!$G$399:$O$399,0))</f>
        <v>940</v>
      </c>
      <c r="U123" s="40">
        <v>7</v>
      </c>
      <c r="V123" s="40">
        <f ca="1">OFFSET(载具产出!$F$399,IFERROR(MATCH(OFFSET($D123,0,MATCH($D$5,$E$6:$H$6,0)),载具产出!$E$400:$E$439,1),0),MATCH(V$6,载具产出!$G$399:$O$399,0))</f>
        <v>6000</v>
      </c>
      <c r="W123" s="43">
        <f ca="1">_xlfn.XLOOKUP(Z123,载具属性!$E$98:$E$497,载具属性!$G$98:$G$497)+6000+OFFSET(载具属性!L$33,AS123,0)*载具属性!M$30+OFFSET(载具属性!M$33,AT123,0)*载具属性!N$30+OFFSET(载具属性!N$33,AU123,0)*载具属性!O$30+OFFSET(载具属性!O$33,AV123,0)*载具属性!P$30</f>
        <v>16930</v>
      </c>
      <c r="X123" s="43">
        <f ca="1">_xlfn.XLOOKUP(Z123,载具属性!$E$98:$E$497,载具属性!$G$98:$G$497)</f>
        <v>6250</v>
      </c>
      <c r="Y123" s="43">
        <f ca="1">OFFSET(载具属性!L$33,AS123,0)*载具属性!M$30+OFFSET(载具属性!M$33,AT123,0)*载具属性!N$30+OFFSET(载具属性!N$33,AU123,0)*载具属性!O$30+OFFSET(载具属性!O$33,AV123,0)*载具属性!P$30</f>
        <v>4680</v>
      </c>
      <c r="Z123" s="40">
        <f ca="1">MATCH(SUM($T$7:T123),载具属性!$I$98:$I$497,1)</f>
        <v>104</v>
      </c>
      <c r="AA123" s="40">
        <f ca="1">OFFSET(载具产出!$F$399,IFERROR(MATCH(OFFSET($D123,0,MATCH($D$5,$E$6:$H$6,0)),载具产出!$E$112:$E$151,1),0),MATCH(AA$6,载具产出!$G$111:$O$111,0))*2</f>
        <v>18</v>
      </c>
      <c r="AB123" s="40">
        <f ca="1">OFFSET(载具产出!$F$399,IFERROR(MATCH(OFFSET($D123,0,MATCH($D$5,$E$6:$H$6,0)),载具产出!$E$112:$E$151,1),0),MATCH(AB$6,载具产出!$G$111:$O$111,0))*2</f>
        <v>22.64</v>
      </c>
      <c r="AC123" s="40">
        <f ca="1">OFFSET(载具产出!$F$399,IFERROR(MATCH(OFFSET($D123,0,MATCH($D$5,$E$6:$H$6,0)),载具产出!$E$112:$E$151,1),0),MATCH(AC$6,载具产出!$G$111:$O$111,0))*2</f>
        <v>3.36</v>
      </c>
      <c r="AD123" s="40">
        <f ca="1">OFFSET(载具产出!$F$399,IFERROR(MATCH(OFFSET($D123,0,MATCH($D$5,$E$6:$H$6,0)),载具产出!$E$112:$E$151,1),0),MATCH(AD$6,载具产出!$G$111:$O$111,0))*2</f>
        <v>0</v>
      </c>
      <c r="AE123" s="44">
        <f ca="1">SUM(AA$36:AA123)/3</f>
        <v>746.8</v>
      </c>
      <c r="AF123" s="44">
        <f ca="1">SUM(AB$36:AB123)/3</f>
        <v>756.479999999999</v>
      </c>
      <c r="AG123" s="44">
        <f ca="1">SUM(AC$36:AC123)/3</f>
        <v>58.72</v>
      </c>
      <c r="AH123" s="44">
        <f ca="1">SUM(AD$36:AD123)/3</f>
        <v>0</v>
      </c>
      <c r="AI123" s="44">
        <f>_xlfn.XLOOKUP($D$5,载具产出!$D$71:$D$75,载具产出!$E$71:$E$75)*(D123-30+1)</f>
        <v>1035.04761904762</v>
      </c>
      <c r="AJ123" s="44">
        <f>IFERROR(MATCH(_xlfn.XLOOKUP($D$5,载具产出!$D$71:$D$75,载具产出!$E$71:$E$75)*(D123-30+1)*10,载具产出!$E$60:$E$67,1),0)+1</f>
        <v>6</v>
      </c>
      <c r="AK123" s="44">
        <f ca="1">IF($AJ123=1,($AI123)*(10*OFFSET(载具产出!$D$45,MATCH(AK$6,$AK$6:$AN$6,0)-1,$AJ123)+OFFSET(载具产出!$D$49,MATCH(AK$6,$AK$6:$AN$6,0)-1,$AJ123)*OFFSET(载具产出!$N$49,MATCH(AK$6,$AK$6:$AN$6,0)-1,0)),OFFSET(载具产出!F$59,$AJ123-1,0)*10+OFFSET(载具产出!J$59,$AJ123-1,0)+($AI123*10-_xlfn.XLOOKUP($AJ123-1,载具产出!$D$59:$D$67,载具产出!$E$59:$E$67))/10*(10*OFFSET(载具产出!$D$45,MATCH(AK$6,$AK$6:$AN$6,0)-1,$AJ123)+OFFSET(载具产出!$D$49,MATCH(AK$6,$AK$6:$AN$6,0)-1,$AJ123)*OFFSET(载具产出!$N$49,MATCH(AK$6,$AK$6:$AN$6,0)-1,0)))</f>
        <v>2346.67342857143</v>
      </c>
      <c r="AL123" s="44">
        <f ca="1">IF($AJ123=1,($AI123)*(10*OFFSET(载具产出!$D$45,MATCH(AL$6,$AK$6:$AN$6,0)-1,$AJ123)+OFFSET(载具产出!$D$49,MATCH(AL$6,$AK$6:$AN$6,0)-1,$AJ123)*OFFSET(载具产出!$N$49,MATCH(AL$6,$AK$6:$AN$6,0)-1,0)),OFFSET(载具产出!G$59,$AJ123-1,0)*10+OFFSET(载具产出!K$59,$AJ123-1,0)+($AI123*10-_xlfn.XLOOKUP($AJ123-1,载具产出!$D$59:$D$67,载具产出!$E$59:$E$67))/10*(10*OFFSET(载具产出!$D$45,MATCH(AL$6,$AK$6:$AN$6,0)-1,$AJ123)+OFFSET(载具产出!$D$49,MATCH(AL$6,$AK$6:$AN$6,0)-1,$AJ123)*OFFSET(载具产出!$N$49,MATCH(AL$6,$AK$6:$AN$6,0)-1,0)))</f>
        <v>890.442857142858</v>
      </c>
      <c r="AM123" s="44">
        <f ca="1">IF($AJ123=1,($AI123)*(10*OFFSET(载具产出!$D$45,MATCH(AM$6,$AK$6:$AN$6,0)-1,$AJ123)+OFFSET(载具产出!$D$49,MATCH(AM$6,$AK$6:$AN$6,0)-1,$AJ123)*OFFSET(载具产出!$N$49,MATCH(AM$6,$AK$6:$AN$6,0)-1,0)),OFFSET(载具产出!H$59,$AJ123-1,0)*10+OFFSET(载具产出!L$59,$AJ123-1,0)+($AI123*10-_xlfn.XLOOKUP($AJ123-1,载具产出!$D$59:$D$67,载具产出!$E$59:$E$67))/10*(10*OFFSET(载具产出!$D$45,MATCH(AM$6,$AK$6:$AN$6,0)-1,$AJ123)+OFFSET(载具产出!$D$49,MATCH(AM$6,$AK$6:$AN$6,0)-1,$AJ123)*OFFSET(载具产出!$N$49,MATCH(AM$6,$AK$6:$AN$6,0)-1,0)))</f>
        <v>469.703619047619</v>
      </c>
      <c r="AN123" s="44">
        <f ca="1">IF($AJ123=1,($AI123)*(10*OFFSET(载具产出!$D$45,MATCH(AN$6,$AK$6:$AN$6,0)-1,$AJ123)+OFFSET(载具产出!$D$49,MATCH(AN$6,$AK$6:$AN$6,0)-1,$AJ123)*OFFSET(载具产出!$N$49,MATCH(AN$6,$AK$6:$AN$6,0)-1,0)),OFFSET(载具产出!I$59,$AJ123-1,0)*10+OFFSET(载具产出!M$59,$AJ123-1,0)+($AI123*10-_xlfn.XLOOKUP($AJ123-1,载具产出!$D$59:$D$67,载具产出!$E$59:$E$67))/10*(10*OFFSET(载具产出!$D$45,MATCH(AN$6,$AK$6:$AN$6,0)-1,$AJ123)+OFFSET(载具产出!$D$49,MATCH(AN$6,$AK$6:$AN$6,0)-1,$AJ123)*OFFSET(载具产出!$N$49,MATCH(AN$6,$AK$6:$AN$6,0)-1,0)))</f>
        <v>137.977523809524</v>
      </c>
      <c r="AO123" s="44">
        <f ca="1" t="shared" si="22"/>
        <v>3093.47342857143</v>
      </c>
      <c r="AP123" s="44">
        <f ca="1" t="shared" si="23"/>
        <v>1646.92285714286</v>
      </c>
      <c r="AQ123" s="44">
        <f ca="1" t="shared" si="24"/>
        <v>528.42361904762</v>
      </c>
      <c r="AR123" s="44">
        <f ca="1" t="shared" si="25"/>
        <v>137.977523809524</v>
      </c>
      <c r="AS123" s="45">
        <f ca="1">IFERROR(MATCH(AO123/载具产出!R$58,载具属性!$G$33:$G$92,1),0)</f>
        <v>27</v>
      </c>
      <c r="AT123" s="45">
        <f ca="1">IFERROR(MATCH(AP123/载具产出!S$58,载具属性!$G$33:$G$92,1),0)</f>
        <v>19</v>
      </c>
      <c r="AU123" s="45">
        <f ca="1">IFERROR(MATCH(AQ123/载具产出!T$58,载具属性!$G$33:$G$92,1),0)</f>
        <v>10</v>
      </c>
      <c r="AV123" s="45">
        <f ca="1">IFERROR(MATCH(AR123/载具产出!U$58,载具属性!$G$33:$G$92,1),0)</f>
        <v>2</v>
      </c>
      <c r="AW123" s="46" t="str">
        <f ca="1" t="shared" si="26"/>
        <v>[{62,604},{63,65555},{2,177900},{6030001,2075},{6030002,2149},{6030003,165}]</v>
      </c>
      <c r="AX123" t="str">
        <f ca="1" t="shared" si="27"/>
        <v>{62,604}</v>
      </c>
      <c r="AY123" t="str">
        <f ca="1" t="shared" si="28"/>
        <v>{63,65555}</v>
      </c>
      <c r="AZ123" t="str">
        <f ca="1" t="shared" si="29"/>
        <v>{2,177900}</v>
      </c>
      <c r="BA123" t="str">
        <f ca="1" t="shared" si="30"/>
        <v>{6030001,2075}</v>
      </c>
      <c r="BB123" t="str">
        <f ca="1" t="shared" si="31"/>
        <v>{6030002,2149}</v>
      </c>
      <c r="BC123" t="str">
        <f ca="1" t="shared" si="32"/>
        <v>{6030003,165}</v>
      </c>
      <c r="BD123" t="str">
        <f ca="1" t="shared" si="33"/>
        <v/>
      </c>
    </row>
    <row r="124" spans="3:56">
      <c r="C124">
        <f ca="1" t="shared" si="21"/>
        <v>115.680272108844</v>
      </c>
      <c r="D124" s="40">
        <v>118</v>
      </c>
      <c r="E124" s="40">
        <v>107</v>
      </c>
      <c r="F124" s="40">
        <v>127</v>
      </c>
      <c r="G124" s="41">
        <v>147</v>
      </c>
      <c r="H124" s="40">
        <f>H123</f>
        <v>201</v>
      </c>
      <c r="I124" s="40">
        <f t="shared" si="20"/>
        <v>262</v>
      </c>
      <c r="J124" s="40">
        <f t="shared" si="34"/>
        <v>230</v>
      </c>
      <c r="K124" s="40">
        <f ca="1">SUM(U$36:U124)-SUM(OFFSET(载具产出!H$399,0,0,$R124+1,1))</f>
        <v>611</v>
      </c>
      <c r="L124" s="40">
        <f ca="1">SUM(T$36:T124)-SUM(OFFSET(载具产出!G$399,0,0,$R124+1,1))</f>
        <v>66495</v>
      </c>
      <c r="M124" s="40">
        <f ca="1">SUM(V$36:V124)/2-SUM(OFFSET(载具产出!I$399,0,0,$R124+1,1))</f>
        <v>180900</v>
      </c>
      <c r="N124" s="40">
        <f ca="1">SUM(AA$36:AA124)-SUM(OFFSET(载具产出!J$399,0,0,$R124+1,1))</f>
        <v>2093.6</v>
      </c>
      <c r="O124" s="40">
        <f ca="1">SUM(AB$36:AB124)-SUM(OFFSET(载具产出!K$399,0,0,$R124+1,1))</f>
        <v>2172.52</v>
      </c>
      <c r="P124" s="40">
        <f ca="1">SUM(AC$36:AC124)-SUM(OFFSET(载具产出!L$399,0,0,$R124+1,1))</f>
        <v>168.88</v>
      </c>
      <c r="Q124" s="40">
        <f ca="1">SUM(AD$36:AD124)-SUM(OFFSET(载具产出!M$399,0,0,$R124+1,1))</f>
        <v>0</v>
      </c>
      <c r="R124" s="40">
        <v>12</v>
      </c>
      <c r="S124" s="40" t="str">
        <f ca="1">OFFSET(载具产出!$D$111,IFERROR(MATCH(OFFSET($D124,0,MATCH($D$5,$E$6:$H$6,0)),载具产出!$E$112:$E$151,1),0),0)</f>
        <v>珍惜Ⅰ</v>
      </c>
      <c r="T124" s="40">
        <f ca="1">OFFSET(载具产出!$F$399,IFERROR(MATCH(OFFSET($D124,0,MATCH($D$5,$E$6:$H$6,0)),载具产出!$E$400:$E$439,1),0),MATCH(T$6,载具产出!$G$399:$O$399,0))</f>
        <v>940</v>
      </c>
      <c r="U124" s="40">
        <v>7</v>
      </c>
      <c r="V124" s="40">
        <f ca="1">OFFSET(载具产出!$F$399,IFERROR(MATCH(OFFSET($D124,0,MATCH($D$5,$E$6:$H$6,0)),载具产出!$E$400:$E$439,1),0),MATCH(V$6,载具产出!$G$399:$O$399,0))</f>
        <v>6000</v>
      </c>
      <c r="W124" s="43">
        <f ca="1">_xlfn.XLOOKUP(Z124,载具属性!$E$98:$E$497,载具属性!$G$98:$G$497)+6000+OFFSET(载具属性!L$33,AS124,0)*载具属性!M$30+OFFSET(载具属性!M$33,AT124,0)*载具属性!N$30+OFFSET(载具属性!N$33,AU124,0)*载具属性!O$30+OFFSET(载具属性!O$33,AV124,0)*载具属性!P$30</f>
        <v>17005</v>
      </c>
      <c r="X124" s="43">
        <f ca="1">_xlfn.XLOOKUP(Z124,载具属性!$E$98:$E$497,载具属性!$G$98:$G$497)</f>
        <v>6325</v>
      </c>
      <c r="Y124" s="43">
        <f ca="1">OFFSET(载具属性!L$33,AS124,0)*载具属性!M$30+OFFSET(载具属性!M$33,AT124,0)*载具属性!N$30+OFFSET(载具属性!N$33,AU124,0)*载具属性!O$30+OFFSET(载具属性!O$33,AV124,0)*载具属性!P$30</f>
        <v>4680</v>
      </c>
      <c r="Z124" s="40">
        <f ca="1">MATCH(SUM($T$7:T124),载具属性!$I$98:$I$497,1)</f>
        <v>105</v>
      </c>
      <c r="AA124" s="40">
        <f ca="1">OFFSET(载具产出!$F$399,IFERROR(MATCH(OFFSET($D124,0,MATCH($D$5,$E$6:$H$6,0)),载具产出!$E$112:$E$151,1),0),MATCH(AA$6,载具产出!$G$111:$O$111,0))*2</f>
        <v>18</v>
      </c>
      <c r="AB124" s="40">
        <f ca="1">OFFSET(载具产出!$F$399,IFERROR(MATCH(OFFSET($D124,0,MATCH($D$5,$E$6:$H$6,0)),载具产出!$E$112:$E$151,1),0),MATCH(AB$6,载具产出!$G$111:$O$111,0))*2</f>
        <v>22.64</v>
      </c>
      <c r="AC124" s="40">
        <f ca="1">OFFSET(载具产出!$F$399,IFERROR(MATCH(OFFSET($D124,0,MATCH($D$5,$E$6:$H$6,0)),载具产出!$E$112:$E$151,1),0),MATCH(AC$6,载具产出!$G$111:$O$111,0))*2</f>
        <v>3.36</v>
      </c>
      <c r="AD124" s="40">
        <f ca="1">OFFSET(载具产出!$F$399,IFERROR(MATCH(OFFSET($D124,0,MATCH($D$5,$E$6:$H$6,0)),载具产出!$E$112:$E$151,1),0),MATCH(AD$6,载具产出!$G$111:$O$111,0))*2</f>
        <v>0</v>
      </c>
      <c r="AE124" s="44">
        <f ca="1">SUM(AA$36:AA124)/3</f>
        <v>752.8</v>
      </c>
      <c r="AF124" s="44">
        <f ca="1">SUM(AB$36:AB124)/3</f>
        <v>764.026666666665</v>
      </c>
      <c r="AG124" s="44">
        <f ca="1">SUM(AC$36:AC124)/3</f>
        <v>59.84</v>
      </c>
      <c r="AH124" s="44">
        <f ca="1">SUM(AD$36:AD124)/3</f>
        <v>0</v>
      </c>
      <c r="AI124" s="44">
        <f>_xlfn.XLOOKUP($D$5,载具产出!$D$71:$D$75,载具产出!$E$71:$E$75)*(D124-30+1)</f>
        <v>1046.80952380953</v>
      </c>
      <c r="AJ124" s="44">
        <f>IFERROR(MATCH(_xlfn.XLOOKUP($D$5,载具产出!$D$71:$D$75,载具产出!$E$71:$E$75)*(D124-30+1)*10,载具产出!$E$60:$E$67,1),0)+1</f>
        <v>6</v>
      </c>
      <c r="AK124" s="44">
        <f ca="1">IF($AJ124=1,($AI124)*(10*OFFSET(载具产出!$D$45,MATCH(AK$6,$AK$6:$AN$6,0)-1,$AJ124)+OFFSET(载具产出!$D$49,MATCH(AK$6,$AK$6:$AN$6,0)-1,$AJ124)*OFFSET(载具产出!$N$49,MATCH(AK$6,$AK$6:$AN$6,0)-1,0)),OFFSET(载具产出!F$59,$AJ124-1,0)*10+OFFSET(载具产出!J$59,$AJ124-1,0)+($AI124*10-_xlfn.XLOOKUP($AJ124-1,载具产出!$D$59:$D$67,载具产出!$E$59:$E$67))/10*(10*OFFSET(载具产出!$D$45,MATCH(AK$6,$AK$6:$AN$6,0)-1,$AJ124)+OFFSET(载具产出!$D$49,MATCH(AK$6,$AK$6:$AN$6,0)-1,$AJ124)*OFFSET(载具产出!$N$49,MATCH(AK$6,$AK$6:$AN$6,0)-1,0)))</f>
        <v>2372.2202857143</v>
      </c>
      <c r="AL124" s="44">
        <f ca="1">IF($AJ124=1,($AI124)*(10*OFFSET(载具产出!$D$45,MATCH(AL$6,$AK$6:$AN$6,0)-1,$AJ124)+OFFSET(载具产出!$D$49,MATCH(AL$6,$AK$6:$AN$6,0)-1,$AJ124)*OFFSET(载具产出!$N$49,MATCH(AL$6,$AK$6:$AN$6,0)-1,0)),OFFSET(载具产出!G$59,$AJ124-1,0)*10+OFFSET(载具产出!K$59,$AJ124-1,0)+($AI124*10-_xlfn.XLOOKUP($AJ124-1,载具产出!$D$59:$D$67,载具产出!$E$59:$E$67))/10*(10*OFFSET(载具产出!$D$45,MATCH(AL$6,$AK$6:$AN$6,0)-1,$AJ124)+OFFSET(载具产出!$D$49,MATCH(AL$6,$AK$6:$AN$6,0)-1,$AJ124)*OFFSET(载具产出!$N$49,MATCH(AL$6,$AK$6:$AN$6,0)-1,0)))</f>
        <v>901.028571428577</v>
      </c>
      <c r="AM124" s="44">
        <f ca="1">IF($AJ124=1,($AI124)*(10*OFFSET(载具产出!$D$45,MATCH(AM$6,$AK$6:$AN$6,0)-1,$AJ124)+OFFSET(载具产出!$D$49,MATCH(AM$6,$AK$6:$AN$6,0)-1,$AJ124)*OFFSET(载具产出!$N$49,MATCH(AM$6,$AK$6:$AN$6,0)-1,0)),OFFSET(载具产出!H$59,$AJ124-1,0)*10+OFFSET(载具产出!L$59,$AJ124-1,0)+($AI124*10-_xlfn.XLOOKUP($AJ124-1,载具产出!$D$59:$D$67,载具产出!$E$59:$E$67))/10*(10*OFFSET(载具产出!$D$45,MATCH(AM$6,$AK$6:$AN$6,0)-1,$AJ124)+OFFSET(载具产出!$D$49,MATCH(AM$6,$AK$6:$AN$6,0)-1,$AJ124)*OFFSET(载具产出!$N$49,MATCH(AM$6,$AK$6:$AN$6,0)-1,0)))</f>
        <v>475.537523809527</v>
      </c>
      <c r="AN124" s="44">
        <f ca="1">IF($AJ124=1,($AI124)*(10*OFFSET(载具产出!$D$45,MATCH(AN$6,$AK$6:$AN$6,0)-1,$AJ124)+OFFSET(载具产出!$D$49,MATCH(AN$6,$AK$6:$AN$6,0)-1,$AJ124)*OFFSET(载具产出!$N$49,MATCH(AN$6,$AK$6:$AN$6,0)-1,0)),OFFSET(载具产出!I$59,$AJ124-1,0)*10+OFFSET(载具产出!M$59,$AJ124-1,0)+($AI124*10-_xlfn.XLOOKUP($AJ124-1,载具产出!$D$59:$D$67,载具产出!$E$59:$E$67))/10*(10*OFFSET(载具产出!$D$45,MATCH(AN$6,$AK$6:$AN$6,0)-1,$AJ124)+OFFSET(载具产出!$D$49,MATCH(AN$6,$AK$6:$AN$6,0)-1,$AJ124)*OFFSET(载具产出!$N$49,MATCH(AN$6,$AK$6:$AN$6,0)-1,0)))</f>
        <v>139.835904761906</v>
      </c>
      <c r="AO124" s="44">
        <f ca="1" t="shared" si="22"/>
        <v>3125.0202857143</v>
      </c>
      <c r="AP124" s="44">
        <f ca="1" t="shared" si="23"/>
        <v>1665.05523809524</v>
      </c>
      <c r="AQ124" s="44">
        <f ca="1" t="shared" si="24"/>
        <v>535.377523809527</v>
      </c>
      <c r="AR124" s="44">
        <f ca="1" t="shared" si="25"/>
        <v>139.835904761906</v>
      </c>
      <c r="AS124" s="45">
        <f ca="1">IFERROR(MATCH(AO124/载具产出!R$58,载具属性!$G$33:$G$92,1),0)</f>
        <v>27</v>
      </c>
      <c r="AT124" s="45">
        <f ca="1">IFERROR(MATCH(AP124/载具产出!S$58,载具属性!$G$33:$G$92,1),0)</f>
        <v>19</v>
      </c>
      <c r="AU124" s="45">
        <f ca="1">IFERROR(MATCH(AQ124/载具产出!T$58,载具属性!$G$33:$G$92,1),0)</f>
        <v>10</v>
      </c>
      <c r="AV124" s="45">
        <f ca="1">IFERROR(MATCH(AR124/载具产出!U$58,载具属性!$G$33:$G$92,1),0)</f>
        <v>2</v>
      </c>
      <c r="AW124" s="46" t="str">
        <f ca="1" t="shared" si="26"/>
        <v>[{62,611},{63,66495},{2,180900},{6030001,2093},{6030002,2172},{6030003,168}]</v>
      </c>
      <c r="AX124" t="str">
        <f ca="1" t="shared" si="27"/>
        <v>{62,611}</v>
      </c>
      <c r="AY124" t="str">
        <f ca="1" t="shared" si="28"/>
        <v>{63,66495}</v>
      </c>
      <c r="AZ124" t="str">
        <f ca="1" t="shared" si="29"/>
        <v>{2,180900}</v>
      </c>
      <c r="BA124" t="str">
        <f ca="1" t="shared" si="30"/>
        <v>{6030001,2093}</v>
      </c>
      <c r="BB124" t="str">
        <f ca="1" t="shared" si="31"/>
        <v>{6030002,2172}</v>
      </c>
      <c r="BC124" t="str">
        <f ca="1" t="shared" si="32"/>
        <v>{6030003,168}</v>
      </c>
      <c r="BD124" t="str">
        <f ca="1" t="shared" si="33"/>
        <v/>
      </c>
    </row>
    <row r="125" spans="3:56">
      <c r="C125">
        <f ca="1" t="shared" si="21"/>
        <v>116.190476190476</v>
      </c>
      <c r="D125" s="40">
        <v>119</v>
      </c>
      <c r="E125" s="40">
        <v>107</v>
      </c>
      <c r="F125" s="40">
        <v>127</v>
      </c>
      <c r="G125" s="41">
        <v>147</v>
      </c>
      <c r="H125" s="40">
        <f>H124+1</f>
        <v>202</v>
      </c>
      <c r="I125" s="40">
        <f t="shared" si="20"/>
        <v>264</v>
      </c>
      <c r="J125" s="40">
        <f t="shared" si="34"/>
        <v>232</v>
      </c>
      <c r="K125" s="40">
        <f ca="1">SUM(U$36:U125)-SUM(OFFSET(载具产出!H$399,0,0,$R125+1,1))</f>
        <v>617</v>
      </c>
      <c r="L125" s="40">
        <f ca="1">SUM(T$36:T125)-SUM(OFFSET(载具产出!G$399,0,0,$R125+1,1))</f>
        <v>66435</v>
      </c>
      <c r="M125" s="40">
        <f ca="1">SUM(V$36:V125)/2-SUM(OFFSET(载具产出!I$399,0,0,$R125+1,1))</f>
        <v>177500</v>
      </c>
      <c r="N125" s="40">
        <f ca="1">SUM(AA$36:AA125)-SUM(OFFSET(载具产出!J$399,0,0,$R125+1,1))</f>
        <v>2102.6</v>
      </c>
      <c r="O125" s="40">
        <f ca="1">SUM(AB$36:AB125)-SUM(OFFSET(载具产出!K$399,0,0,$R125+1,1))</f>
        <v>2185.32</v>
      </c>
      <c r="P125" s="40">
        <f ca="1">SUM(AC$36:AC125)-SUM(OFFSET(载具产出!L$399,0,0,$R125+1,1))</f>
        <v>167.08</v>
      </c>
      <c r="Q125" s="40">
        <f ca="1">SUM(AD$36:AD125)-SUM(OFFSET(载具产出!M$399,0,0,$R125+1,1))</f>
        <v>0</v>
      </c>
      <c r="R125" s="40">
        <v>13</v>
      </c>
      <c r="S125" s="40" t="str">
        <f ca="1">OFFSET(载具产出!$D$111,IFERROR(MATCH(OFFSET($D125,0,MATCH($D$5,$E$6:$H$6,0)),载具产出!$E$112:$E$151,1),0),0)</f>
        <v>珍惜Ⅰ</v>
      </c>
      <c r="T125" s="40">
        <f ca="1">OFFSET(载具产出!$F$399,IFERROR(MATCH(OFFSET($D125,0,MATCH($D$5,$E$6:$H$6,0)),载具产出!$E$400:$E$439,1),0),MATCH(T$6,载具产出!$G$399:$O$399,0))</f>
        <v>940</v>
      </c>
      <c r="U125" s="40">
        <v>7</v>
      </c>
      <c r="V125" s="40">
        <f ca="1">OFFSET(载具产出!$F$399,IFERROR(MATCH(OFFSET($D125,0,MATCH($D$5,$E$6:$H$6,0)),载具产出!$E$400:$E$439,1),0),MATCH(V$6,载具产出!$G$399:$O$399,0))</f>
        <v>6000</v>
      </c>
      <c r="W125" s="43">
        <f ca="1">_xlfn.XLOOKUP(Z125,载具属性!$E$98:$E$497,载具属性!$G$98:$G$497)+6000+OFFSET(载具属性!L$33,AS125,0)*载具属性!M$30+OFFSET(载具属性!M$33,AT125,0)*载具属性!N$30+OFFSET(载具属性!N$33,AU125,0)*载具属性!O$30+OFFSET(载具属性!O$33,AV125,0)*载具属性!P$30</f>
        <v>17080</v>
      </c>
      <c r="X125" s="43">
        <f ca="1">_xlfn.XLOOKUP(Z125,载具属性!$E$98:$E$497,载具属性!$G$98:$G$497)</f>
        <v>6400</v>
      </c>
      <c r="Y125" s="43">
        <f ca="1">OFFSET(载具属性!L$33,AS125,0)*载具属性!M$30+OFFSET(载具属性!M$33,AT125,0)*载具属性!N$30+OFFSET(载具属性!N$33,AU125,0)*载具属性!O$30+OFFSET(载具属性!O$33,AV125,0)*载具属性!P$30</f>
        <v>4680</v>
      </c>
      <c r="Z125" s="40">
        <f ca="1">MATCH(SUM($T$7:T125),载具属性!$I$98:$I$497,1)</f>
        <v>106</v>
      </c>
      <c r="AA125" s="40">
        <f ca="1">OFFSET(载具产出!$F$399,IFERROR(MATCH(OFFSET($D125,0,MATCH($D$5,$E$6:$H$6,0)),载具产出!$E$112:$E$151,1),0),MATCH(AA$6,载具产出!$G$111:$O$111,0))*2</f>
        <v>18</v>
      </c>
      <c r="AB125" s="40">
        <f ca="1">OFFSET(载具产出!$F$399,IFERROR(MATCH(OFFSET($D125,0,MATCH($D$5,$E$6:$H$6,0)),载具产出!$E$112:$E$151,1),0),MATCH(AB$6,载具产出!$G$111:$O$111,0))*2</f>
        <v>22.64</v>
      </c>
      <c r="AC125" s="40">
        <f ca="1">OFFSET(载具产出!$F$399,IFERROR(MATCH(OFFSET($D125,0,MATCH($D$5,$E$6:$H$6,0)),载具产出!$E$112:$E$151,1),0),MATCH(AC$6,载具产出!$G$111:$O$111,0))*2</f>
        <v>3.36</v>
      </c>
      <c r="AD125" s="40">
        <f ca="1">OFFSET(载具产出!$F$399,IFERROR(MATCH(OFFSET($D125,0,MATCH($D$5,$E$6:$H$6,0)),载具产出!$E$112:$E$151,1),0),MATCH(AD$6,载具产出!$G$111:$O$111,0))*2</f>
        <v>0</v>
      </c>
      <c r="AE125" s="44">
        <f ca="1">SUM(AA$36:AA125)/3</f>
        <v>758.8</v>
      </c>
      <c r="AF125" s="44">
        <f ca="1">SUM(AB$36:AB125)/3</f>
        <v>771.573333333332</v>
      </c>
      <c r="AG125" s="44">
        <f ca="1">SUM(AC$36:AC125)/3</f>
        <v>60.96</v>
      </c>
      <c r="AH125" s="44">
        <f ca="1">SUM(AD$36:AD125)/3</f>
        <v>0</v>
      </c>
      <c r="AI125" s="44">
        <f>_xlfn.XLOOKUP($D$5,载具产出!$D$71:$D$75,载具产出!$E$71:$E$75)*(D125-30+1)</f>
        <v>1058.57142857143</v>
      </c>
      <c r="AJ125" s="44">
        <f>IFERROR(MATCH(_xlfn.XLOOKUP($D$5,载具产出!$D$71:$D$75,载具产出!$E$71:$E$75)*(D125-30+1)*10,载具产出!$E$60:$E$67,1),0)+1</f>
        <v>6</v>
      </c>
      <c r="AK125" s="44">
        <f ca="1">IF($AJ125=1,($AI125)*(10*OFFSET(载具产出!$D$45,MATCH(AK$6,$AK$6:$AN$6,0)-1,$AJ125)+OFFSET(载具产出!$D$49,MATCH(AK$6,$AK$6:$AN$6,0)-1,$AJ125)*OFFSET(载具产出!$N$49,MATCH(AK$6,$AK$6:$AN$6,0)-1,0)),OFFSET(载具产出!F$59,$AJ125-1,0)*10+OFFSET(载具产出!J$59,$AJ125-1,0)+($AI125*10-_xlfn.XLOOKUP($AJ125-1,载具产出!$D$59:$D$67,载具产出!$E$59:$E$67))/10*(10*OFFSET(载具产出!$D$45,MATCH(AK$6,$AK$6:$AN$6,0)-1,$AJ125)+OFFSET(载具产出!$D$49,MATCH(AK$6,$AK$6:$AN$6,0)-1,$AJ125)*OFFSET(载具产出!$N$49,MATCH(AK$6,$AK$6:$AN$6,0)-1,0)))</f>
        <v>2397.76714285715</v>
      </c>
      <c r="AL125" s="44">
        <f ca="1">IF($AJ125=1,($AI125)*(10*OFFSET(载具产出!$D$45,MATCH(AL$6,$AK$6:$AN$6,0)-1,$AJ125)+OFFSET(载具产出!$D$49,MATCH(AL$6,$AK$6:$AN$6,0)-1,$AJ125)*OFFSET(载具产出!$N$49,MATCH(AL$6,$AK$6:$AN$6,0)-1,0)),OFFSET(载具产出!G$59,$AJ125-1,0)*10+OFFSET(载具产出!K$59,$AJ125-1,0)+($AI125*10-_xlfn.XLOOKUP($AJ125-1,载具产出!$D$59:$D$67,载具产出!$E$59:$E$67))/10*(10*OFFSET(载具产出!$D$45,MATCH(AL$6,$AK$6:$AN$6,0)-1,$AJ125)+OFFSET(载具产出!$D$49,MATCH(AL$6,$AK$6:$AN$6,0)-1,$AJ125)*OFFSET(载具产出!$N$49,MATCH(AL$6,$AK$6:$AN$6,0)-1,0)))</f>
        <v>911.614285714287</v>
      </c>
      <c r="AM125" s="44">
        <f ca="1">IF($AJ125=1,($AI125)*(10*OFFSET(载具产出!$D$45,MATCH(AM$6,$AK$6:$AN$6,0)-1,$AJ125)+OFFSET(载具产出!$D$49,MATCH(AM$6,$AK$6:$AN$6,0)-1,$AJ125)*OFFSET(载具产出!$N$49,MATCH(AM$6,$AK$6:$AN$6,0)-1,0)),OFFSET(载具产出!H$59,$AJ125-1,0)*10+OFFSET(载具产出!L$59,$AJ125-1,0)+($AI125*10-_xlfn.XLOOKUP($AJ125-1,载具产出!$D$59:$D$67,载具产出!$E$59:$E$67))/10*(10*OFFSET(载具产出!$D$45,MATCH(AM$6,$AK$6:$AN$6,0)-1,$AJ125)+OFFSET(载具产出!$D$49,MATCH(AM$6,$AK$6:$AN$6,0)-1,$AJ125)*OFFSET(载具产出!$N$49,MATCH(AM$6,$AK$6:$AN$6,0)-1,0)))</f>
        <v>481.371428571429</v>
      </c>
      <c r="AN125" s="44">
        <f ca="1">IF($AJ125=1,($AI125)*(10*OFFSET(载具产出!$D$45,MATCH(AN$6,$AK$6:$AN$6,0)-1,$AJ125)+OFFSET(载具产出!$D$49,MATCH(AN$6,$AK$6:$AN$6,0)-1,$AJ125)*OFFSET(载具产出!$N$49,MATCH(AN$6,$AK$6:$AN$6,0)-1,0)),OFFSET(载具产出!I$59,$AJ125-1,0)*10+OFFSET(载具产出!M$59,$AJ125-1,0)+($AI125*10-_xlfn.XLOOKUP($AJ125-1,载具产出!$D$59:$D$67,载具产出!$E$59:$E$67))/10*(10*OFFSET(载具产出!$D$45,MATCH(AN$6,$AK$6:$AN$6,0)-1,$AJ125)+OFFSET(载具产出!$D$49,MATCH(AN$6,$AK$6:$AN$6,0)-1,$AJ125)*OFFSET(载具产出!$N$49,MATCH(AN$6,$AK$6:$AN$6,0)-1,0)))</f>
        <v>141.694285714286</v>
      </c>
      <c r="AO125" s="44">
        <f ca="1" t="shared" si="22"/>
        <v>3156.56714285715</v>
      </c>
      <c r="AP125" s="44">
        <f ca="1" t="shared" si="23"/>
        <v>1683.18761904762</v>
      </c>
      <c r="AQ125" s="44">
        <f ca="1" t="shared" si="24"/>
        <v>542.331428571429</v>
      </c>
      <c r="AR125" s="44">
        <f ca="1" t="shared" si="25"/>
        <v>141.694285714286</v>
      </c>
      <c r="AS125" s="45">
        <f ca="1">IFERROR(MATCH(AO125/载具产出!R$58,载具属性!$G$33:$G$92,1),0)</f>
        <v>27</v>
      </c>
      <c r="AT125" s="45">
        <f ca="1">IFERROR(MATCH(AP125/载具产出!S$58,载具属性!$G$33:$G$92,1),0)</f>
        <v>19</v>
      </c>
      <c r="AU125" s="45">
        <f ca="1">IFERROR(MATCH(AQ125/载具产出!T$58,载具属性!$G$33:$G$92,1),0)</f>
        <v>10</v>
      </c>
      <c r="AV125" s="45">
        <f ca="1">IFERROR(MATCH(AR125/载具产出!U$58,载具属性!$G$33:$G$92,1),0)</f>
        <v>2</v>
      </c>
      <c r="AW125" s="46" t="str">
        <f ca="1" t="shared" si="26"/>
        <v>[{62,617},{63,66435},{2,177500},{6030001,2102},{6030002,2185},{6030003,167}]</v>
      </c>
      <c r="AX125" t="str">
        <f ca="1" t="shared" si="27"/>
        <v>{62,617}</v>
      </c>
      <c r="AY125" t="str">
        <f ca="1" t="shared" si="28"/>
        <v>{63,66435}</v>
      </c>
      <c r="AZ125" t="str">
        <f ca="1" t="shared" si="29"/>
        <v>{2,177500}</v>
      </c>
      <c r="BA125" t="str">
        <f ca="1" t="shared" si="30"/>
        <v>{6030001,2102}</v>
      </c>
      <c r="BB125" t="str">
        <f ca="1" t="shared" si="31"/>
        <v>{6030002,2185}</v>
      </c>
      <c r="BC125" t="str">
        <f ca="1" t="shared" si="32"/>
        <v>{6030003,167}</v>
      </c>
      <c r="BD125" t="str">
        <f ca="1" t="shared" si="33"/>
        <v/>
      </c>
    </row>
    <row r="126" s="25" customFormat="1" spans="3:56">
      <c r="C126">
        <f ca="1" t="shared" si="21"/>
        <v>115.405405405405</v>
      </c>
      <c r="D126" s="41">
        <v>120</v>
      </c>
      <c r="E126" s="41">
        <v>107</v>
      </c>
      <c r="F126" s="41">
        <v>128</v>
      </c>
      <c r="G126" s="41">
        <v>148</v>
      </c>
      <c r="H126" s="41">
        <f>H125</f>
        <v>202</v>
      </c>
      <c r="I126" s="40">
        <f t="shared" si="20"/>
        <v>266</v>
      </c>
      <c r="J126" s="40">
        <f t="shared" si="34"/>
        <v>234</v>
      </c>
      <c r="K126" s="40">
        <f ca="1">SUM(U$36:U126)-SUM(OFFSET(载具产出!H$399,0,0,$R126+1,1))</f>
        <v>624</v>
      </c>
      <c r="L126" s="40">
        <f ca="1">SUM(T$36:T126)-SUM(OFFSET(载具产出!G$399,0,0,$R126+1,1))</f>
        <v>67375</v>
      </c>
      <c r="M126" s="40">
        <f ca="1">SUM(V$36:V126)/2-SUM(OFFSET(载具产出!I$399,0,0,$R126+1,1))</f>
        <v>180500</v>
      </c>
      <c r="N126" s="40">
        <f ca="1">SUM(AA$36:AA126)-SUM(OFFSET(载具产出!J$399,0,0,$R126+1,1))</f>
        <v>2120.6</v>
      </c>
      <c r="O126" s="40">
        <f ca="1">SUM(AB$36:AB126)-SUM(OFFSET(载具产出!K$399,0,0,$R126+1,1))</f>
        <v>2207.96</v>
      </c>
      <c r="P126" s="40">
        <f ca="1">SUM(AC$36:AC126)-SUM(OFFSET(载具产出!L$399,0,0,$R126+1,1))</f>
        <v>170.44</v>
      </c>
      <c r="Q126" s="40">
        <f ca="1">SUM(AD$36:AD126)-SUM(OFFSET(载具产出!M$399,0,0,$R126+1,1))</f>
        <v>0</v>
      </c>
      <c r="R126" s="40">
        <v>13</v>
      </c>
      <c r="S126" s="41" t="str">
        <f ca="1">OFFSET(载具产出!$D$111,IFERROR(MATCH(OFFSET($D126,0,MATCH($D$5,$E$6:$H$6,0)),载具产出!$E$112:$E$151,1),0),0)</f>
        <v>珍惜Ⅰ</v>
      </c>
      <c r="T126" s="40">
        <f ca="1">OFFSET(载具产出!$F$399,IFERROR(MATCH(OFFSET($D126,0,MATCH($D$5,$E$6:$H$6,0)),载具产出!$E$400:$E$439,1),0),MATCH(T$6,载具产出!$G$399:$O$399,0))</f>
        <v>940</v>
      </c>
      <c r="U126" s="40">
        <v>7</v>
      </c>
      <c r="V126" s="40">
        <f ca="1">OFFSET(载具产出!$F$399,IFERROR(MATCH(OFFSET($D126,0,MATCH($D$5,$E$6:$H$6,0)),载具产出!$E$400:$E$439,1),0),MATCH(V$6,载具产出!$G$399:$O$399,0))</f>
        <v>6000</v>
      </c>
      <c r="W126" s="41">
        <f ca="1">_xlfn.XLOOKUP(Z126,载具属性!$E$98:$E$497,载具属性!$G$98:$G$497)+6000+OFFSET(载具属性!L$33,AS126,0)*载具属性!M$30+OFFSET(载具属性!M$33,AT126,0)*载具属性!N$30+OFFSET(载具属性!N$33,AU126,0)*载具属性!O$30+OFFSET(载具属性!O$33,AV126,0)*载具属性!P$30</f>
        <v>17080</v>
      </c>
      <c r="X126" s="41">
        <f ca="1">_xlfn.XLOOKUP(Z126,载具属性!$E$98:$E$497,载具属性!$G$98:$G$497)</f>
        <v>6400</v>
      </c>
      <c r="Y126" s="41">
        <f ca="1">OFFSET(载具属性!L$33,AS126,0)*载具属性!M$30+OFFSET(载具属性!M$33,AT126,0)*载具属性!N$30+OFFSET(载具属性!N$33,AU126,0)*载具属性!O$30+OFFSET(载具属性!O$33,AV126,0)*载具属性!P$30</f>
        <v>4680</v>
      </c>
      <c r="Z126" s="41">
        <f ca="1">MATCH(SUM($T$7:T126),载具属性!$I$98:$I$497,1)</f>
        <v>106</v>
      </c>
      <c r="AA126" s="40">
        <f ca="1">OFFSET(载具产出!$F$399,IFERROR(MATCH(OFFSET($D126,0,MATCH($D$5,$E$6:$H$6,0)),载具产出!$E$112:$E$151,1),0),MATCH(AA$6,载具产出!$G$111:$O$111,0))*2</f>
        <v>18</v>
      </c>
      <c r="AB126" s="40">
        <f ca="1">OFFSET(载具产出!$F$399,IFERROR(MATCH(OFFSET($D126,0,MATCH($D$5,$E$6:$H$6,0)),载具产出!$E$112:$E$151,1),0),MATCH(AB$6,载具产出!$G$111:$O$111,0))*2</f>
        <v>22.64</v>
      </c>
      <c r="AC126" s="40">
        <f ca="1">OFFSET(载具产出!$F$399,IFERROR(MATCH(OFFSET($D126,0,MATCH($D$5,$E$6:$H$6,0)),载具产出!$E$112:$E$151,1),0),MATCH(AC$6,载具产出!$G$111:$O$111,0))*2</f>
        <v>3.36</v>
      </c>
      <c r="AD126" s="40">
        <f ca="1">OFFSET(载具产出!$F$399,IFERROR(MATCH(OFFSET($D126,0,MATCH($D$5,$E$6:$H$6,0)),载具产出!$E$112:$E$151,1),0),MATCH(AD$6,载具产出!$G$111:$O$111,0))*2</f>
        <v>0</v>
      </c>
      <c r="AE126" s="47">
        <f ca="1">SUM(AA$36:AA126)/3</f>
        <v>764.8</v>
      </c>
      <c r="AF126" s="47">
        <f ca="1">SUM(AB$36:AB126)/3</f>
        <v>779.119999999998</v>
      </c>
      <c r="AG126" s="47">
        <f ca="1">SUM(AC$36:AC126)/3</f>
        <v>62.08</v>
      </c>
      <c r="AH126" s="47">
        <f ca="1">SUM(AD$36:AD126)/3</f>
        <v>0</v>
      </c>
      <c r="AI126" s="47">
        <f>_xlfn.XLOOKUP($D$5,载具产出!$D$71:$D$75,载具产出!$E$71:$E$75)*(D126-30+1)</f>
        <v>1070.33333333334</v>
      </c>
      <c r="AJ126" s="47">
        <f>IFERROR(MATCH(_xlfn.XLOOKUP($D$5,载具产出!$D$71:$D$75,载具产出!$E$71:$E$75)*(D126-30+1)*10,载具产出!$E$60:$E$67,1),0)+1</f>
        <v>6</v>
      </c>
      <c r="AK126" s="47">
        <f ca="1">IF($AJ126=1,($AI126)*(10*OFFSET(载具产出!$D$45,MATCH(AK$6,$AK$6:$AN$6,0)-1,$AJ126)+OFFSET(载具产出!$D$49,MATCH(AK$6,$AK$6:$AN$6,0)-1,$AJ126)*OFFSET(载具产出!$N$49,MATCH(AK$6,$AK$6:$AN$6,0)-1,0)),OFFSET(载具产出!F$59,$AJ126-1,0)*10+OFFSET(载具产出!J$59,$AJ126-1,0)+($AI126*10-_xlfn.XLOOKUP($AJ126-1,载具产出!$D$59:$D$67,载具产出!$E$59:$E$67))/10*(10*OFFSET(载具产出!$D$45,MATCH(AK$6,$AK$6:$AN$6,0)-1,$AJ126)+OFFSET(载具产出!$D$49,MATCH(AK$6,$AK$6:$AN$6,0)-1,$AJ126)*OFFSET(载具产出!$N$49,MATCH(AK$6,$AK$6:$AN$6,0)-1,0)))</f>
        <v>2423.31400000001</v>
      </c>
      <c r="AL126" s="47">
        <f ca="1">IF($AJ126=1,($AI126)*(10*OFFSET(载具产出!$D$45,MATCH(AL$6,$AK$6:$AN$6,0)-1,$AJ126)+OFFSET(载具产出!$D$49,MATCH(AL$6,$AK$6:$AN$6,0)-1,$AJ126)*OFFSET(载具产出!$N$49,MATCH(AL$6,$AK$6:$AN$6,0)-1,0)),OFFSET(载具产出!G$59,$AJ126-1,0)*10+OFFSET(载具产出!K$59,$AJ126-1,0)+($AI126*10-_xlfn.XLOOKUP($AJ126-1,载具产出!$D$59:$D$67,载具产出!$E$59:$E$67))/10*(10*OFFSET(载具产出!$D$45,MATCH(AL$6,$AK$6:$AN$6,0)-1,$AJ126)+OFFSET(载具产出!$D$49,MATCH(AL$6,$AK$6:$AN$6,0)-1,$AJ126)*OFFSET(载具产出!$N$49,MATCH(AL$6,$AK$6:$AN$6,0)-1,0)))</f>
        <v>922.200000000006</v>
      </c>
      <c r="AM126" s="47">
        <f ca="1">IF($AJ126=1,($AI126)*(10*OFFSET(载具产出!$D$45,MATCH(AM$6,$AK$6:$AN$6,0)-1,$AJ126)+OFFSET(载具产出!$D$49,MATCH(AM$6,$AK$6:$AN$6,0)-1,$AJ126)*OFFSET(载具产出!$N$49,MATCH(AM$6,$AK$6:$AN$6,0)-1,0)),OFFSET(载具产出!H$59,$AJ126-1,0)*10+OFFSET(载具产出!L$59,$AJ126-1,0)+($AI126*10-_xlfn.XLOOKUP($AJ126-1,载具产出!$D$59:$D$67,载具产出!$E$59:$E$67))/10*(10*OFFSET(载具产出!$D$45,MATCH(AM$6,$AK$6:$AN$6,0)-1,$AJ126)+OFFSET(载具产出!$D$49,MATCH(AM$6,$AK$6:$AN$6,0)-1,$AJ126)*OFFSET(载具产出!$N$49,MATCH(AM$6,$AK$6:$AN$6,0)-1,0)))</f>
        <v>487.205333333337</v>
      </c>
      <c r="AN126" s="47">
        <f ca="1">IF($AJ126=1,($AI126)*(10*OFFSET(载具产出!$D$45,MATCH(AN$6,$AK$6:$AN$6,0)-1,$AJ126)+OFFSET(载具产出!$D$49,MATCH(AN$6,$AK$6:$AN$6,0)-1,$AJ126)*OFFSET(载具产出!$N$49,MATCH(AN$6,$AK$6:$AN$6,0)-1,0)),OFFSET(载具产出!I$59,$AJ126-1,0)*10+OFFSET(载具产出!M$59,$AJ126-1,0)+($AI126*10-_xlfn.XLOOKUP($AJ126-1,载具产出!$D$59:$D$67,载具产出!$E$59:$E$67))/10*(10*OFFSET(载具产出!$D$45,MATCH(AN$6,$AK$6:$AN$6,0)-1,$AJ126)+OFFSET(载具产出!$D$49,MATCH(AN$6,$AK$6:$AN$6,0)-1,$AJ126)*OFFSET(载具产出!$N$49,MATCH(AN$6,$AK$6:$AN$6,0)-1,0)))</f>
        <v>143.552666666668</v>
      </c>
      <c r="AO126" s="47">
        <f ca="1" t="shared" si="22"/>
        <v>3188.11400000002</v>
      </c>
      <c r="AP126" s="47">
        <f ca="1" t="shared" si="23"/>
        <v>1701.32</v>
      </c>
      <c r="AQ126" s="47">
        <f ca="1" t="shared" si="24"/>
        <v>549.285333333337</v>
      </c>
      <c r="AR126" s="47">
        <f ca="1" t="shared" si="25"/>
        <v>143.552666666668</v>
      </c>
      <c r="AS126" s="48">
        <f ca="1">IFERROR(MATCH(AO126/载具产出!R$58,载具属性!$G$33:$G$92,1),0)</f>
        <v>27</v>
      </c>
      <c r="AT126" s="48">
        <f ca="1">IFERROR(MATCH(AP126/载具产出!S$58,载具属性!$G$33:$G$92,1),0)</f>
        <v>19</v>
      </c>
      <c r="AU126" s="48">
        <f ca="1">IFERROR(MATCH(AQ126/载具产出!T$58,载具属性!$G$33:$G$92,1),0)</f>
        <v>10</v>
      </c>
      <c r="AV126" s="48">
        <f ca="1">IFERROR(MATCH(AR126/载具产出!U$58,载具属性!$G$33:$G$92,1),0)</f>
        <v>2</v>
      </c>
      <c r="AW126" s="46" t="str">
        <f ca="1" t="shared" si="26"/>
        <v>[{62,624},{63,67375},{2,180500},{6030001,2120},{6030002,2207},{6030003,170}]</v>
      </c>
      <c r="AX126" t="str">
        <f ca="1" t="shared" si="27"/>
        <v>{62,624}</v>
      </c>
      <c r="AY126" t="str">
        <f ca="1" t="shared" si="28"/>
        <v>{63,67375}</v>
      </c>
      <c r="AZ126" t="str">
        <f ca="1" t="shared" si="29"/>
        <v>{2,180500}</v>
      </c>
      <c r="BA126" t="str">
        <f ca="1" t="shared" si="30"/>
        <v>{6030001,2120}</v>
      </c>
      <c r="BB126" t="str">
        <f ca="1" t="shared" si="31"/>
        <v>{6030002,2207}</v>
      </c>
      <c r="BC126" t="str">
        <f ca="1" t="shared" si="32"/>
        <v>{6030003,170}</v>
      </c>
      <c r="BD126" t="str">
        <f ca="1" t="shared" si="33"/>
        <v/>
      </c>
    </row>
    <row r="127" spans="3:56">
      <c r="C127">
        <f ca="1" t="shared" si="21"/>
        <v>115.912162162162</v>
      </c>
      <c r="D127" s="40">
        <v>121</v>
      </c>
      <c r="E127" s="40">
        <v>108</v>
      </c>
      <c r="F127" s="40">
        <v>128</v>
      </c>
      <c r="G127" s="41">
        <v>148</v>
      </c>
      <c r="H127" s="40">
        <f>H126+1</f>
        <v>203</v>
      </c>
      <c r="I127" s="40">
        <f t="shared" si="20"/>
        <v>268</v>
      </c>
      <c r="J127" s="40">
        <f t="shared" si="34"/>
        <v>236</v>
      </c>
      <c r="K127" s="40">
        <f ca="1">SUM(U$36:U127)-SUM(OFFSET(载具产出!H$399,0,0,$R127+1,1))</f>
        <v>631</v>
      </c>
      <c r="L127" s="40">
        <f ca="1">SUM(T$36:T127)-SUM(OFFSET(载具产出!G$399,0,0,$R127+1,1))</f>
        <v>68315</v>
      </c>
      <c r="M127" s="40">
        <f ca="1">SUM(V$36:V127)/2-SUM(OFFSET(载具产出!I$399,0,0,$R127+1,1))</f>
        <v>183500</v>
      </c>
      <c r="N127" s="40">
        <f ca="1">SUM(AA$36:AA127)-SUM(OFFSET(载具产出!J$399,0,0,$R127+1,1))</f>
        <v>2138.6</v>
      </c>
      <c r="O127" s="40">
        <f ca="1">SUM(AB$36:AB127)-SUM(OFFSET(载具产出!K$399,0,0,$R127+1,1))</f>
        <v>2230.59999999999</v>
      </c>
      <c r="P127" s="40">
        <f ca="1">SUM(AC$36:AC127)-SUM(OFFSET(载具产出!L$399,0,0,$R127+1,1))</f>
        <v>173.8</v>
      </c>
      <c r="Q127" s="40">
        <f ca="1">SUM(AD$36:AD127)-SUM(OFFSET(载具产出!M$399,0,0,$R127+1,1))</f>
        <v>0</v>
      </c>
      <c r="R127" s="40">
        <v>13</v>
      </c>
      <c r="S127" s="40" t="str">
        <f ca="1">OFFSET(载具产出!$D$111,IFERROR(MATCH(OFFSET($D127,0,MATCH($D$5,$E$6:$H$6,0)),载具产出!$E$112:$E$151,1),0),0)</f>
        <v>珍惜Ⅰ</v>
      </c>
      <c r="T127" s="40">
        <f ca="1">OFFSET(载具产出!$F$399,IFERROR(MATCH(OFFSET($D127,0,MATCH($D$5,$E$6:$H$6,0)),载具产出!$E$400:$E$439,1),0),MATCH(T$6,载具产出!$G$399:$O$399,0))</f>
        <v>940</v>
      </c>
      <c r="U127" s="40">
        <v>7</v>
      </c>
      <c r="V127" s="40">
        <f ca="1">OFFSET(载具产出!$F$399,IFERROR(MATCH(OFFSET($D127,0,MATCH($D$5,$E$6:$H$6,0)),载具产出!$E$400:$E$439,1),0),MATCH(V$6,载具产出!$G$399:$O$399,0))</f>
        <v>6000</v>
      </c>
      <c r="W127" s="43">
        <f ca="1">_xlfn.XLOOKUP(Z127,载具属性!$E$98:$E$497,载具属性!$G$98:$G$497)+6000+OFFSET(载具属性!L$33,AS127,0)*载具属性!M$30+OFFSET(载具属性!M$33,AT127,0)*载具属性!N$30+OFFSET(载具属性!N$33,AU127,0)*载具属性!O$30+OFFSET(载具属性!O$33,AV127,0)*载具属性!P$30</f>
        <v>17155</v>
      </c>
      <c r="X127" s="43">
        <f ca="1">_xlfn.XLOOKUP(Z127,载具属性!$E$98:$E$497,载具属性!$G$98:$G$497)</f>
        <v>6475</v>
      </c>
      <c r="Y127" s="43">
        <f ca="1">OFFSET(载具属性!L$33,AS127,0)*载具属性!M$30+OFFSET(载具属性!M$33,AT127,0)*载具属性!N$30+OFFSET(载具属性!N$33,AU127,0)*载具属性!O$30+OFFSET(载具属性!O$33,AV127,0)*载具属性!P$30</f>
        <v>4680</v>
      </c>
      <c r="Z127" s="40">
        <f ca="1">MATCH(SUM($T$7:T127),载具属性!$I$98:$I$497,1)</f>
        <v>107</v>
      </c>
      <c r="AA127" s="40">
        <f ca="1">OFFSET(载具产出!$F$399,IFERROR(MATCH(OFFSET($D127,0,MATCH($D$5,$E$6:$H$6,0)),载具产出!$E$112:$E$151,1),0),MATCH(AA$6,载具产出!$G$111:$O$111,0))*2</f>
        <v>18</v>
      </c>
      <c r="AB127" s="40">
        <f ca="1">OFFSET(载具产出!$F$399,IFERROR(MATCH(OFFSET($D127,0,MATCH($D$5,$E$6:$H$6,0)),载具产出!$E$112:$E$151,1),0),MATCH(AB$6,载具产出!$G$111:$O$111,0))*2</f>
        <v>22.64</v>
      </c>
      <c r="AC127" s="40">
        <f ca="1">OFFSET(载具产出!$F$399,IFERROR(MATCH(OFFSET($D127,0,MATCH($D$5,$E$6:$H$6,0)),载具产出!$E$112:$E$151,1),0),MATCH(AC$6,载具产出!$G$111:$O$111,0))*2</f>
        <v>3.36</v>
      </c>
      <c r="AD127" s="40">
        <f ca="1">OFFSET(载具产出!$F$399,IFERROR(MATCH(OFFSET($D127,0,MATCH($D$5,$E$6:$H$6,0)),载具产出!$E$112:$E$151,1),0),MATCH(AD$6,载具产出!$G$111:$O$111,0))*2</f>
        <v>0</v>
      </c>
      <c r="AE127" s="44">
        <f ca="1">SUM(AA$36:AA127)/3</f>
        <v>770.8</v>
      </c>
      <c r="AF127" s="44">
        <f ca="1">SUM(AB$36:AB127)/3</f>
        <v>786.666666666665</v>
      </c>
      <c r="AG127" s="44">
        <f ca="1">SUM(AC$36:AC127)/3</f>
        <v>63.2000000000001</v>
      </c>
      <c r="AH127" s="44">
        <f ca="1">SUM(AD$36:AD127)/3</f>
        <v>0</v>
      </c>
      <c r="AI127" s="44">
        <f>_xlfn.XLOOKUP($D$5,载具产出!$D$71:$D$75,载具产出!$E$71:$E$75)*(D127-30+1)</f>
        <v>1082.09523809524</v>
      </c>
      <c r="AJ127" s="44">
        <f>IFERROR(MATCH(_xlfn.XLOOKUP($D$5,载具产出!$D$71:$D$75,载具产出!$E$71:$E$75)*(D127-30+1)*10,载具产出!$E$60:$E$67,1),0)+1</f>
        <v>6</v>
      </c>
      <c r="AK127" s="44">
        <f ca="1">IF($AJ127=1,($AI127)*(10*OFFSET(载具产出!$D$45,MATCH(AK$6,$AK$6:$AN$6,0)-1,$AJ127)+OFFSET(载具产出!$D$49,MATCH(AK$6,$AK$6:$AN$6,0)-1,$AJ127)*OFFSET(载具产出!$N$49,MATCH(AK$6,$AK$6:$AN$6,0)-1,0)),OFFSET(载具产出!F$59,$AJ127-1,0)*10+OFFSET(载具产出!J$59,$AJ127-1,0)+($AI127*10-_xlfn.XLOOKUP($AJ127-1,载具产出!$D$59:$D$67,载具产出!$E$59:$E$67))/10*(10*OFFSET(载具产出!$D$45,MATCH(AK$6,$AK$6:$AN$6,0)-1,$AJ127)+OFFSET(载具产出!$D$49,MATCH(AK$6,$AK$6:$AN$6,0)-1,$AJ127)*OFFSET(载具产出!$N$49,MATCH(AK$6,$AK$6:$AN$6,0)-1,0)))</f>
        <v>2448.86085714286</v>
      </c>
      <c r="AL127" s="44">
        <f ca="1">IF($AJ127=1,($AI127)*(10*OFFSET(载具产出!$D$45,MATCH(AL$6,$AK$6:$AN$6,0)-1,$AJ127)+OFFSET(载具产出!$D$49,MATCH(AL$6,$AK$6:$AN$6,0)-1,$AJ127)*OFFSET(载具产出!$N$49,MATCH(AL$6,$AK$6:$AN$6,0)-1,0)),OFFSET(载具产出!G$59,$AJ127-1,0)*10+OFFSET(载具产出!K$59,$AJ127-1,0)+($AI127*10-_xlfn.XLOOKUP($AJ127-1,载具产出!$D$59:$D$67,载具产出!$E$59:$E$67))/10*(10*OFFSET(载具产出!$D$45,MATCH(AL$6,$AK$6:$AN$6,0)-1,$AJ127)+OFFSET(载具产出!$D$49,MATCH(AL$6,$AK$6:$AN$6,0)-1,$AJ127)*OFFSET(载具产出!$N$49,MATCH(AL$6,$AK$6:$AN$6,0)-1,0)))</f>
        <v>932.785714285716</v>
      </c>
      <c r="AM127" s="44">
        <f ca="1">IF($AJ127=1,($AI127)*(10*OFFSET(载具产出!$D$45,MATCH(AM$6,$AK$6:$AN$6,0)-1,$AJ127)+OFFSET(载具产出!$D$49,MATCH(AM$6,$AK$6:$AN$6,0)-1,$AJ127)*OFFSET(载具产出!$N$49,MATCH(AM$6,$AK$6:$AN$6,0)-1,0)),OFFSET(载具产出!H$59,$AJ127-1,0)*10+OFFSET(载具产出!L$59,$AJ127-1,0)+($AI127*10-_xlfn.XLOOKUP($AJ127-1,载具产出!$D$59:$D$67,载具产出!$E$59:$E$67))/10*(10*OFFSET(载具产出!$D$45,MATCH(AM$6,$AK$6:$AN$6,0)-1,$AJ127)+OFFSET(载具产出!$D$49,MATCH(AM$6,$AK$6:$AN$6,0)-1,$AJ127)*OFFSET(载具产出!$N$49,MATCH(AM$6,$AK$6:$AN$6,0)-1,0)))</f>
        <v>493.039238095239</v>
      </c>
      <c r="AN127" s="44">
        <f ca="1">IF($AJ127=1,($AI127)*(10*OFFSET(载具产出!$D$45,MATCH(AN$6,$AK$6:$AN$6,0)-1,$AJ127)+OFFSET(载具产出!$D$49,MATCH(AN$6,$AK$6:$AN$6,0)-1,$AJ127)*OFFSET(载具产出!$N$49,MATCH(AN$6,$AK$6:$AN$6,0)-1,0)),OFFSET(载具产出!I$59,$AJ127-1,0)*10+OFFSET(载具产出!M$59,$AJ127-1,0)+($AI127*10-_xlfn.XLOOKUP($AJ127-1,载具产出!$D$59:$D$67,载具产出!$E$59:$E$67))/10*(10*OFFSET(载具产出!$D$45,MATCH(AN$6,$AK$6:$AN$6,0)-1,$AJ127)+OFFSET(载具产出!$D$49,MATCH(AN$6,$AK$6:$AN$6,0)-1,$AJ127)*OFFSET(载具产出!$N$49,MATCH(AN$6,$AK$6:$AN$6,0)-1,0)))</f>
        <v>145.411047619048</v>
      </c>
      <c r="AO127" s="44">
        <f ca="1" t="shared" si="22"/>
        <v>3219.66085714286</v>
      </c>
      <c r="AP127" s="44">
        <f ca="1" t="shared" si="23"/>
        <v>1719.45238095238</v>
      </c>
      <c r="AQ127" s="44">
        <f ca="1" t="shared" si="24"/>
        <v>556.239238095239</v>
      </c>
      <c r="AR127" s="44">
        <f ca="1" t="shared" si="25"/>
        <v>145.411047619048</v>
      </c>
      <c r="AS127" s="45">
        <f ca="1">IFERROR(MATCH(AO127/载具产出!R$58,载具属性!$G$33:$G$92,1),0)</f>
        <v>27</v>
      </c>
      <c r="AT127" s="45">
        <f ca="1">IFERROR(MATCH(AP127/载具产出!S$58,载具属性!$G$33:$G$92,1),0)</f>
        <v>19</v>
      </c>
      <c r="AU127" s="45">
        <f ca="1">IFERROR(MATCH(AQ127/载具产出!T$58,载具属性!$G$33:$G$92,1),0)</f>
        <v>10</v>
      </c>
      <c r="AV127" s="45">
        <f ca="1">IFERROR(MATCH(AR127/载具产出!U$58,载具属性!$G$33:$G$92,1),0)</f>
        <v>2</v>
      </c>
      <c r="AW127" s="46" t="str">
        <f ca="1" t="shared" si="26"/>
        <v>[{62,631},{63,68315},{2,183500},{6030001,2138},{6030002,2230},{6030003,173}]</v>
      </c>
      <c r="AX127" t="str">
        <f ca="1" t="shared" si="27"/>
        <v>{62,631}</v>
      </c>
      <c r="AY127" t="str">
        <f ca="1" t="shared" si="28"/>
        <v>{63,68315}</v>
      </c>
      <c r="AZ127" t="str">
        <f ca="1" t="shared" si="29"/>
        <v>{2,183500}</v>
      </c>
      <c r="BA127" t="str">
        <f ca="1" t="shared" si="30"/>
        <v>{6030001,2138}</v>
      </c>
      <c r="BB127" t="str">
        <f ca="1" t="shared" si="31"/>
        <v>{6030002,2230}</v>
      </c>
      <c r="BC127" t="str">
        <f ca="1" t="shared" si="32"/>
        <v>{6030003,173}</v>
      </c>
      <c r="BD127" t="str">
        <f ca="1" t="shared" si="33"/>
        <v/>
      </c>
    </row>
    <row r="128" spans="3:56">
      <c r="C128">
        <f ca="1" t="shared" si="21"/>
        <v>116.040268456376</v>
      </c>
      <c r="D128" s="40">
        <v>122</v>
      </c>
      <c r="E128" s="40">
        <v>108</v>
      </c>
      <c r="F128" s="40">
        <v>128</v>
      </c>
      <c r="G128" s="41">
        <v>149</v>
      </c>
      <c r="H128" s="40">
        <f>H127</f>
        <v>203</v>
      </c>
      <c r="I128" s="40">
        <f t="shared" si="20"/>
        <v>270</v>
      </c>
      <c r="J128" s="40">
        <f t="shared" si="34"/>
        <v>237</v>
      </c>
      <c r="K128" s="40">
        <f ca="1">SUM(U$36:U128)-SUM(OFFSET(载具产出!H$399,0,0,$R128+1,1))</f>
        <v>638</v>
      </c>
      <c r="L128" s="40">
        <f ca="1">SUM(T$36:T128)-SUM(OFFSET(载具产出!G$399,0,0,$R128+1,1))</f>
        <v>69255</v>
      </c>
      <c r="M128" s="40">
        <f ca="1">SUM(V$36:V128)/2-SUM(OFFSET(载具产出!I$399,0,0,$R128+1,1))</f>
        <v>186500</v>
      </c>
      <c r="N128" s="40">
        <f ca="1">SUM(AA$36:AA128)-SUM(OFFSET(载具产出!J$399,0,0,$R128+1,1))</f>
        <v>2156.6</v>
      </c>
      <c r="O128" s="40">
        <f ca="1">SUM(AB$36:AB128)-SUM(OFFSET(载具产出!K$399,0,0,$R128+1,1))</f>
        <v>2253.23999999999</v>
      </c>
      <c r="P128" s="40">
        <f ca="1">SUM(AC$36:AC128)-SUM(OFFSET(载具产出!L$399,0,0,$R128+1,1))</f>
        <v>177.16</v>
      </c>
      <c r="Q128" s="40">
        <f ca="1">SUM(AD$36:AD128)-SUM(OFFSET(载具产出!M$399,0,0,$R128+1,1))</f>
        <v>0</v>
      </c>
      <c r="R128" s="40">
        <v>13</v>
      </c>
      <c r="S128" s="40" t="str">
        <f ca="1">OFFSET(载具产出!$D$111,IFERROR(MATCH(OFFSET($D128,0,MATCH($D$5,$E$6:$H$6,0)),载具产出!$E$112:$E$151,1),0),0)</f>
        <v>珍惜Ⅰ</v>
      </c>
      <c r="T128" s="40">
        <f ca="1">OFFSET(载具产出!$F$399,IFERROR(MATCH(OFFSET($D128,0,MATCH($D$5,$E$6:$H$6,0)),载具产出!$E$400:$E$439,1),0),MATCH(T$6,载具产出!$G$399:$O$399,0))</f>
        <v>940</v>
      </c>
      <c r="U128" s="40">
        <v>7</v>
      </c>
      <c r="V128" s="40">
        <f ca="1">OFFSET(载具产出!$F$399,IFERROR(MATCH(OFFSET($D128,0,MATCH($D$5,$E$6:$H$6,0)),载具产出!$E$400:$E$439,1),0),MATCH(V$6,载具产出!$G$399:$O$399,0))</f>
        <v>6000</v>
      </c>
      <c r="W128" s="43">
        <f ca="1">_xlfn.XLOOKUP(Z128,载具属性!$E$98:$E$497,载具属性!$G$98:$G$497)+6000+OFFSET(载具属性!L$33,AS128,0)*载具属性!M$30+OFFSET(载具属性!M$33,AT128,0)*载具属性!N$30+OFFSET(载具属性!N$33,AU128,0)*载具属性!O$30+OFFSET(载具属性!O$33,AV128,0)*载具属性!P$30</f>
        <v>17290</v>
      </c>
      <c r="X128" s="43">
        <f ca="1">_xlfn.XLOOKUP(Z128,载具属性!$E$98:$E$497,载具属性!$G$98:$G$497)</f>
        <v>6550</v>
      </c>
      <c r="Y128" s="43">
        <f ca="1">OFFSET(载具属性!L$33,AS128,0)*载具属性!M$30+OFFSET(载具属性!M$33,AT128,0)*载具属性!N$30+OFFSET(载具属性!N$33,AU128,0)*载具属性!O$30+OFFSET(载具属性!O$33,AV128,0)*载具属性!P$30</f>
        <v>4740</v>
      </c>
      <c r="Z128" s="40">
        <f ca="1">MATCH(SUM($T$7:T128),载具属性!$I$98:$I$497,1)</f>
        <v>108</v>
      </c>
      <c r="AA128" s="40">
        <f ca="1">OFFSET(载具产出!$F$399,IFERROR(MATCH(OFFSET($D128,0,MATCH($D$5,$E$6:$H$6,0)),载具产出!$E$112:$E$151,1),0),MATCH(AA$6,载具产出!$G$111:$O$111,0))*2</f>
        <v>18</v>
      </c>
      <c r="AB128" s="40">
        <f ca="1">OFFSET(载具产出!$F$399,IFERROR(MATCH(OFFSET($D128,0,MATCH($D$5,$E$6:$H$6,0)),载具产出!$E$112:$E$151,1),0),MATCH(AB$6,载具产出!$G$111:$O$111,0))*2</f>
        <v>22.64</v>
      </c>
      <c r="AC128" s="40">
        <f ca="1">OFFSET(载具产出!$F$399,IFERROR(MATCH(OFFSET($D128,0,MATCH($D$5,$E$6:$H$6,0)),载具产出!$E$112:$E$151,1),0),MATCH(AC$6,载具产出!$G$111:$O$111,0))*2</f>
        <v>3.36</v>
      </c>
      <c r="AD128" s="40">
        <f ca="1">OFFSET(载具产出!$F$399,IFERROR(MATCH(OFFSET($D128,0,MATCH($D$5,$E$6:$H$6,0)),载具产出!$E$112:$E$151,1),0),MATCH(AD$6,载具产出!$G$111:$O$111,0))*2</f>
        <v>0</v>
      </c>
      <c r="AE128" s="44">
        <f ca="1">SUM(AA$36:AA128)/3</f>
        <v>776.8</v>
      </c>
      <c r="AF128" s="44">
        <f ca="1">SUM(AB$36:AB128)/3</f>
        <v>794.213333333332</v>
      </c>
      <c r="AG128" s="44">
        <f ca="1">SUM(AC$36:AC128)/3</f>
        <v>64.3200000000001</v>
      </c>
      <c r="AH128" s="44">
        <f ca="1">SUM(AD$36:AD128)/3</f>
        <v>0</v>
      </c>
      <c r="AI128" s="44">
        <f>_xlfn.XLOOKUP($D$5,载具产出!$D$71:$D$75,载具产出!$E$71:$E$75)*(D128-30+1)</f>
        <v>1093.85714285715</v>
      </c>
      <c r="AJ128" s="44">
        <f>IFERROR(MATCH(_xlfn.XLOOKUP($D$5,载具产出!$D$71:$D$75,载具产出!$E$71:$E$75)*(D128-30+1)*10,载具产出!$E$60:$E$67,1),0)+1</f>
        <v>6</v>
      </c>
      <c r="AK128" s="44">
        <f ca="1">IF($AJ128=1,($AI128)*(10*OFFSET(载具产出!$D$45,MATCH(AK$6,$AK$6:$AN$6,0)-1,$AJ128)+OFFSET(载具产出!$D$49,MATCH(AK$6,$AK$6:$AN$6,0)-1,$AJ128)*OFFSET(载具产出!$N$49,MATCH(AK$6,$AK$6:$AN$6,0)-1,0)),OFFSET(载具产出!F$59,$AJ128-1,0)*10+OFFSET(载具产出!J$59,$AJ128-1,0)+($AI128*10-_xlfn.XLOOKUP($AJ128-1,载具产出!$D$59:$D$67,载具产出!$E$59:$E$67))/10*(10*OFFSET(载具产出!$D$45,MATCH(AK$6,$AK$6:$AN$6,0)-1,$AJ128)+OFFSET(载具产出!$D$49,MATCH(AK$6,$AK$6:$AN$6,0)-1,$AJ128)*OFFSET(载具产出!$N$49,MATCH(AK$6,$AK$6:$AN$6,0)-1,0)))</f>
        <v>2474.40771428573</v>
      </c>
      <c r="AL128" s="44">
        <f ca="1">IF($AJ128=1,($AI128)*(10*OFFSET(载具产出!$D$45,MATCH(AL$6,$AK$6:$AN$6,0)-1,$AJ128)+OFFSET(载具产出!$D$49,MATCH(AL$6,$AK$6:$AN$6,0)-1,$AJ128)*OFFSET(载具产出!$N$49,MATCH(AL$6,$AK$6:$AN$6,0)-1,0)),OFFSET(载具产出!G$59,$AJ128-1,0)*10+OFFSET(载具产出!K$59,$AJ128-1,0)+($AI128*10-_xlfn.XLOOKUP($AJ128-1,载具产出!$D$59:$D$67,载具产出!$E$59:$E$67))/10*(10*OFFSET(载具产出!$D$45,MATCH(AL$6,$AK$6:$AN$6,0)-1,$AJ128)+OFFSET(载具产出!$D$49,MATCH(AL$6,$AK$6:$AN$6,0)-1,$AJ128)*OFFSET(载具产出!$N$49,MATCH(AL$6,$AK$6:$AN$6,0)-1,0)))</f>
        <v>943.371428571435</v>
      </c>
      <c r="AM128" s="44">
        <f ca="1">IF($AJ128=1,($AI128)*(10*OFFSET(载具产出!$D$45,MATCH(AM$6,$AK$6:$AN$6,0)-1,$AJ128)+OFFSET(载具产出!$D$49,MATCH(AM$6,$AK$6:$AN$6,0)-1,$AJ128)*OFFSET(载具产出!$N$49,MATCH(AM$6,$AK$6:$AN$6,0)-1,0)),OFFSET(载具产出!H$59,$AJ128-1,0)*10+OFFSET(载具产出!L$59,$AJ128-1,0)+($AI128*10-_xlfn.XLOOKUP($AJ128-1,载具产出!$D$59:$D$67,载具产出!$E$59:$E$67))/10*(10*OFFSET(载具产出!$D$45,MATCH(AM$6,$AK$6:$AN$6,0)-1,$AJ128)+OFFSET(载具产出!$D$49,MATCH(AM$6,$AK$6:$AN$6,0)-1,$AJ128)*OFFSET(载具产出!$N$49,MATCH(AM$6,$AK$6:$AN$6,0)-1,0)))</f>
        <v>498.873142857146</v>
      </c>
      <c r="AN128" s="44">
        <f ca="1">IF($AJ128=1,($AI128)*(10*OFFSET(载具产出!$D$45,MATCH(AN$6,$AK$6:$AN$6,0)-1,$AJ128)+OFFSET(载具产出!$D$49,MATCH(AN$6,$AK$6:$AN$6,0)-1,$AJ128)*OFFSET(载具产出!$N$49,MATCH(AN$6,$AK$6:$AN$6,0)-1,0)),OFFSET(载具产出!I$59,$AJ128-1,0)*10+OFFSET(载具产出!M$59,$AJ128-1,0)+($AI128*10-_xlfn.XLOOKUP($AJ128-1,载具产出!$D$59:$D$67,载具产出!$E$59:$E$67))/10*(10*OFFSET(载具产出!$D$45,MATCH(AN$6,$AK$6:$AN$6,0)-1,$AJ128)+OFFSET(载具产出!$D$49,MATCH(AN$6,$AK$6:$AN$6,0)-1,$AJ128)*OFFSET(载具产出!$N$49,MATCH(AN$6,$AK$6:$AN$6,0)-1,0)))</f>
        <v>147.26942857143</v>
      </c>
      <c r="AO128" s="44">
        <f ca="1" t="shared" si="22"/>
        <v>3251.20771428573</v>
      </c>
      <c r="AP128" s="44">
        <f ca="1" t="shared" si="23"/>
        <v>1737.58476190477</v>
      </c>
      <c r="AQ128" s="44">
        <f ca="1" t="shared" si="24"/>
        <v>563.193142857146</v>
      </c>
      <c r="AR128" s="44">
        <f ca="1" t="shared" si="25"/>
        <v>147.26942857143</v>
      </c>
      <c r="AS128" s="45">
        <f ca="1">IFERROR(MATCH(AO128/载具产出!R$58,载具属性!$G$33:$G$92,1),0)</f>
        <v>28</v>
      </c>
      <c r="AT128" s="45">
        <f ca="1">IFERROR(MATCH(AP128/载具产出!S$58,载具属性!$G$33:$G$92,1),0)</f>
        <v>19</v>
      </c>
      <c r="AU128" s="45">
        <f ca="1">IFERROR(MATCH(AQ128/载具产出!T$58,载具属性!$G$33:$G$92,1),0)</f>
        <v>10</v>
      </c>
      <c r="AV128" s="45">
        <f ca="1">IFERROR(MATCH(AR128/载具产出!U$58,载具属性!$G$33:$G$92,1),0)</f>
        <v>2</v>
      </c>
      <c r="AW128" s="46" t="str">
        <f ca="1" t="shared" si="26"/>
        <v>[{62,638},{63,69255},{2,186500},{6030001,2156},{6030002,2253},{6030003,177}]</v>
      </c>
      <c r="AX128" t="str">
        <f ca="1" t="shared" si="27"/>
        <v>{62,638}</v>
      </c>
      <c r="AY128" t="str">
        <f ca="1" t="shared" si="28"/>
        <v>{63,69255}</v>
      </c>
      <c r="AZ128" t="str">
        <f ca="1" t="shared" si="29"/>
        <v>{2,186500}</v>
      </c>
      <c r="BA128" t="str">
        <f ca="1" t="shared" si="30"/>
        <v>{6030001,2156}</v>
      </c>
      <c r="BB128" t="str">
        <f ca="1" t="shared" si="31"/>
        <v>{6030002,2253}</v>
      </c>
      <c r="BC128" t="str">
        <f ca="1" t="shared" si="32"/>
        <v>{6030003,177}</v>
      </c>
      <c r="BD128" t="str">
        <f ca="1" t="shared" si="33"/>
        <v/>
      </c>
    </row>
    <row r="129" spans="3:56">
      <c r="C129">
        <f ca="1" t="shared" si="21"/>
        <v>116.040268456376</v>
      </c>
      <c r="D129" s="40">
        <v>123</v>
      </c>
      <c r="E129" s="40">
        <v>108</v>
      </c>
      <c r="F129" s="40">
        <v>129</v>
      </c>
      <c r="G129" s="41">
        <v>149</v>
      </c>
      <c r="H129" s="40">
        <f>H128+1</f>
        <v>204</v>
      </c>
      <c r="I129" s="40">
        <f t="shared" si="20"/>
        <v>272</v>
      </c>
      <c r="J129" s="40">
        <f t="shared" si="34"/>
        <v>239</v>
      </c>
      <c r="K129" s="40">
        <f ca="1">SUM(U$36:U129)-SUM(OFFSET(载具产出!H$399,0,0,$R129+1,1))</f>
        <v>645</v>
      </c>
      <c r="L129" s="40">
        <f ca="1">SUM(T$36:T129)-SUM(OFFSET(载具产出!G$399,0,0,$R129+1,1))</f>
        <v>70195</v>
      </c>
      <c r="M129" s="40">
        <f ca="1">SUM(V$36:V129)/2-SUM(OFFSET(载具产出!I$399,0,0,$R129+1,1))</f>
        <v>189500</v>
      </c>
      <c r="N129" s="40">
        <f ca="1">SUM(AA$36:AA129)-SUM(OFFSET(载具产出!J$399,0,0,$R129+1,1))</f>
        <v>2174.6</v>
      </c>
      <c r="O129" s="40">
        <f ca="1">SUM(AB$36:AB129)-SUM(OFFSET(载具产出!K$399,0,0,$R129+1,1))</f>
        <v>2275.87999999999</v>
      </c>
      <c r="P129" s="40">
        <f ca="1">SUM(AC$36:AC129)-SUM(OFFSET(载具产出!L$399,0,0,$R129+1,1))</f>
        <v>180.52</v>
      </c>
      <c r="Q129" s="40">
        <f ca="1">SUM(AD$36:AD129)-SUM(OFFSET(载具产出!M$399,0,0,$R129+1,1))</f>
        <v>0</v>
      </c>
      <c r="R129" s="40">
        <v>13</v>
      </c>
      <c r="S129" s="40" t="str">
        <f ca="1">OFFSET(载具产出!$D$111,IFERROR(MATCH(OFFSET($D129,0,MATCH($D$5,$E$6:$H$6,0)),载具产出!$E$112:$E$151,1),0),0)</f>
        <v>珍惜Ⅰ</v>
      </c>
      <c r="T129" s="40">
        <f ca="1">OFFSET(载具产出!$F$399,IFERROR(MATCH(OFFSET($D129,0,MATCH($D$5,$E$6:$H$6,0)),载具产出!$E$400:$E$439,1),0),MATCH(T$6,载具产出!$G$399:$O$399,0))</f>
        <v>940</v>
      </c>
      <c r="U129" s="40">
        <v>7</v>
      </c>
      <c r="V129" s="40">
        <f ca="1">OFFSET(载具产出!$F$399,IFERROR(MATCH(OFFSET($D129,0,MATCH($D$5,$E$6:$H$6,0)),载具产出!$E$400:$E$439,1),0),MATCH(V$6,载具产出!$G$399:$O$399,0))</f>
        <v>6000</v>
      </c>
      <c r="W129" s="43">
        <f ca="1">_xlfn.XLOOKUP(Z129,载具属性!$E$98:$E$497,载具属性!$G$98:$G$497)+6000+OFFSET(载具属性!L$33,AS129,0)*载具属性!M$30+OFFSET(载具属性!M$33,AT129,0)*载具属性!N$30+OFFSET(载具属性!N$33,AU129,0)*载具属性!O$30+OFFSET(载具属性!O$33,AV129,0)*载具属性!P$30</f>
        <v>17290</v>
      </c>
      <c r="X129" s="43">
        <f ca="1">_xlfn.XLOOKUP(Z129,载具属性!$E$98:$E$497,载具属性!$G$98:$G$497)</f>
        <v>6550</v>
      </c>
      <c r="Y129" s="43">
        <f ca="1">OFFSET(载具属性!L$33,AS129,0)*载具属性!M$30+OFFSET(载具属性!M$33,AT129,0)*载具属性!N$30+OFFSET(载具属性!N$33,AU129,0)*载具属性!O$30+OFFSET(载具属性!O$33,AV129,0)*载具属性!P$30</f>
        <v>4740</v>
      </c>
      <c r="Z129" s="40">
        <f ca="1">MATCH(SUM($T$7:T129),载具属性!$I$98:$I$497,1)</f>
        <v>108</v>
      </c>
      <c r="AA129" s="40">
        <f ca="1">OFFSET(载具产出!$F$399,IFERROR(MATCH(OFFSET($D129,0,MATCH($D$5,$E$6:$H$6,0)),载具产出!$E$112:$E$151,1),0),MATCH(AA$6,载具产出!$G$111:$O$111,0))*2</f>
        <v>18</v>
      </c>
      <c r="AB129" s="40">
        <f ca="1">OFFSET(载具产出!$F$399,IFERROR(MATCH(OFFSET($D129,0,MATCH($D$5,$E$6:$H$6,0)),载具产出!$E$112:$E$151,1),0),MATCH(AB$6,载具产出!$G$111:$O$111,0))*2</f>
        <v>22.64</v>
      </c>
      <c r="AC129" s="40">
        <f ca="1">OFFSET(载具产出!$F$399,IFERROR(MATCH(OFFSET($D129,0,MATCH($D$5,$E$6:$H$6,0)),载具产出!$E$112:$E$151,1),0),MATCH(AC$6,载具产出!$G$111:$O$111,0))*2</f>
        <v>3.36</v>
      </c>
      <c r="AD129" s="40">
        <f ca="1">OFFSET(载具产出!$F$399,IFERROR(MATCH(OFFSET($D129,0,MATCH($D$5,$E$6:$H$6,0)),载具产出!$E$112:$E$151,1),0),MATCH(AD$6,载具产出!$G$111:$O$111,0))*2</f>
        <v>0</v>
      </c>
      <c r="AE129" s="44">
        <f ca="1">SUM(AA$36:AA129)/3</f>
        <v>782.8</v>
      </c>
      <c r="AF129" s="44">
        <f ca="1">SUM(AB$36:AB129)/3</f>
        <v>801.759999999998</v>
      </c>
      <c r="AG129" s="44">
        <f ca="1">SUM(AC$36:AC129)/3</f>
        <v>65.4400000000001</v>
      </c>
      <c r="AH129" s="44">
        <f ca="1">SUM(AD$36:AD129)/3</f>
        <v>0</v>
      </c>
      <c r="AI129" s="44">
        <f>_xlfn.XLOOKUP($D$5,载具产出!$D$71:$D$75,载具产出!$E$71:$E$75)*(D129-30+1)</f>
        <v>1105.61904761905</v>
      </c>
      <c r="AJ129" s="44">
        <f>IFERROR(MATCH(_xlfn.XLOOKUP($D$5,载具产出!$D$71:$D$75,载具产出!$E$71:$E$75)*(D129-30+1)*10,载具产出!$E$60:$E$67,1),0)+1</f>
        <v>6</v>
      </c>
      <c r="AK129" s="44">
        <f ca="1">IF($AJ129=1,($AI129)*(10*OFFSET(载具产出!$D$45,MATCH(AK$6,$AK$6:$AN$6,0)-1,$AJ129)+OFFSET(载具产出!$D$49,MATCH(AK$6,$AK$6:$AN$6,0)-1,$AJ129)*OFFSET(载具产出!$N$49,MATCH(AK$6,$AK$6:$AN$6,0)-1,0)),OFFSET(载具产出!F$59,$AJ129-1,0)*10+OFFSET(载具产出!J$59,$AJ129-1,0)+($AI129*10-_xlfn.XLOOKUP($AJ129-1,载具产出!$D$59:$D$67,载具产出!$E$59:$E$67))/10*(10*OFFSET(载具产出!$D$45,MATCH(AK$6,$AK$6:$AN$6,0)-1,$AJ129)+OFFSET(载具产出!$D$49,MATCH(AK$6,$AK$6:$AN$6,0)-1,$AJ129)*OFFSET(载具产出!$N$49,MATCH(AK$6,$AK$6:$AN$6,0)-1,0)))</f>
        <v>2499.95457142858</v>
      </c>
      <c r="AL129" s="44">
        <f ca="1">IF($AJ129=1,($AI129)*(10*OFFSET(载具产出!$D$45,MATCH(AL$6,$AK$6:$AN$6,0)-1,$AJ129)+OFFSET(载具产出!$D$49,MATCH(AL$6,$AK$6:$AN$6,0)-1,$AJ129)*OFFSET(载具产出!$N$49,MATCH(AL$6,$AK$6:$AN$6,0)-1,0)),OFFSET(载具产出!G$59,$AJ129-1,0)*10+OFFSET(载具产出!K$59,$AJ129-1,0)+($AI129*10-_xlfn.XLOOKUP($AJ129-1,载具产出!$D$59:$D$67,载具产出!$E$59:$E$67))/10*(10*OFFSET(载具产出!$D$45,MATCH(AL$6,$AK$6:$AN$6,0)-1,$AJ129)+OFFSET(载具产出!$D$49,MATCH(AL$6,$AK$6:$AN$6,0)-1,$AJ129)*OFFSET(载具产出!$N$49,MATCH(AL$6,$AK$6:$AN$6,0)-1,0)))</f>
        <v>953.957142857145</v>
      </c>
      <c r="AM129" s="44">
        <f ca="1">IF($AJ129=1,($AI129)*(10*OFFSET(载具产出!$D$45,MATCH(AM$6,$AK$6:$AN$6,0)-1,$AJ129)+OFFSET(载具产出!$D$49,MATCH(AM$6,$AK$6:$AN$6,0)-1,$AJ129)*OFFSET(载具产出!$N$49,MATCH(AM$6,$AK$6:$AN$6,0)-1,0)),OFFSET(载具产出!H$59,$AJ129-1,0)*10+OFFSET(载具产出!L$59,$AJ129-1,0)+($AI129*10-_xlfn.XLOOKUP($AJ129-1,载具产出!$D$59:$D$67,载具产出!$E$59:$E$67))/10*(10*OFFSET(载具产出!$D$45,MATCH(AM$6,$AK$6:$AN$6,0)-1,$AJ129)+OFFSET(载具产出!$D$49,MATCH(AM$6,$AK$6:$AN$6,0)-1,$AJ129)*OFFSET(载具产出!$N$49,MATCH(AM$6,$AK$6:$AN$6,0)-1,0)))</f>
        <v>504.707047619049</v>
      </c>
      <c r="AN129" s="44">
        <f ca="1">IF($AJ129=1,($AI129)*(10*OFFSET(载具产出!$D$45,MATCH(AN$6,$AK$6:$AN$6,0)-1,$AJ129)+OFFSET(载具产出!$D$49,MATCH(AN$6,$AK$6:$AN$6,0)-1,$AJ129)*OFFSET(载具产出!$N$49,MATCH(AN$6,$AK$6:$AN$6,0)-1,0)),OFFSET(载具产出!I$59,$AJ129-1,0)*10+OFFSET(载具产出!M$59,$AJ129-1,0)+($AI129*10-_xlfn.XLOOKUP($AJ129-1,载具产出!$D$59:$D$67,载具产出!$E$59:$E$67))/10*(10*OFFSET(载具产出!$D$45,MATCH(AN$6,$AK$6:$AN$6,0)-1,$AJ129)+OFFSET(载具产出!$D$49,MATCH(AN$6,$AK$6:$AN$6,0)-1,$AJ129)*OFFSET(载具产出!$N$49,MATCH(AN$6,$AK$6:$AN$6,0)-1,0)))</f>
        <v>149.12780952381</v>
      </c>
      <c r="AO129" s="44">
        <f ca="1" t="shared" si="22"/>
        <v>3282.75457142858</v>
      </c>
      <c r="AP129" s="44">
        <f ca="1" t="shared" si="23"/>
        <v>1755.71714285714</v>
      </c>
      <c r="AQ129" s="44">
        <f ca="1" t="shared" si="24"/>
        <v>570.147047619049</v>
      </c>
      <c r="AR129" s="44">
        <f ca="1" t="shared" si="25"/>
        <v>149.12780952381</v>
      </c>
      <c r="AS129" s="45">
        <f ca="1">IFERROR(MATCH(AO129/载具产出!R$58,载具属性!$G$33:$G$92,1),0)</f>
        <v>28</v>
      </c>
      <c r="AT129" s="45">
        <f ca="1">IFERROR(MATCH(AP129/载具产出!S$58,载具属性!$G$33:$G$92,1),0)</f>
        <v>19</v>
      </c>
      <c r="AU129" s="45">
        <f ca="1">IFERROR(MATCH(AQ129/载具产出!T$58,载具属性!$G$33:$G$92,1),0)</f>
        <v>10</v>
      </c>
      <c r="AV129" s="45">
        <f ca="1">IFERROR(MATCH(AR129/载具产出!U$58,载具属性!$G$33:$G$92,1),0)</f>
        <v>2</v>
      </c>
      <c r="AW129" s="46" t="str">
        <f ca="1" t="shared" si="26"/>
        <v>[{62,645},{63,70195},{2,189500},{6030001,2174},{6030002,2275},{6030003,180}]</v>
      </c>
      <c r="AX129" t="str">
        <f ca="1" t="shared" si="27"/>
        <v>{62,645}</v>
      </c>
      <c r="AY129" t="str">
        <f ca="1" t="shared" si="28"/>
        <v>{63,70195}</v>
      </c>
      <c r="AZ129" t="str">
        <f ca="1" t="shared" si="29"/>
        <v>{2,189500}</v>
      </c>
      <c r="BA129" t="str">
        <f ca="1" t="shared" si="30"/>
        <v>{6030001,2174}</v>
      </c>
      <c r="BB129" t="str">
        <f ca="1" t="shared" si="31"/>
        <v>{6030002,2275}</v>
      </c>
      <c r="BC129" t="str">
        <f ca="1" t="shared" si="32"/>
        <v>{6030003,180}</v>
      </c>
      <c r="BD129" t="str">
        <f ca="1" t="shared" si="33"/>
        <v/>
      </c>
    </row>
    <row r="130" spans="3:56">
      <c r="C130">
        <f ca="1" t="shared" si="21"/>
        <v>115.766666666667</v>
      </c>
      <c r="D130" s="40">
        <v>124</v>
      </c>
      <c r="E130" s="40">
        <v>109</v>
      </c>
      <c r="F130" s="40">
        <v>129</v>
      </c>
      <c r="G130" s="41">
        <v>150</v>
      </c>
      <c r="H130" s="40">
        <f>H129</f>
        <v>204</v>
      </c>
      <c r="I130" s="40">
        <f t="shared" si="20"/>
        <v>274</v>
      </c>
      <c r="J130" s="40">
        <f t="shared" si="34"/>
        <v>241</v>
      </c>
      <c r="K130" s="40">
        <f ca="1">SUM(U$36:U130)-SUM(OFFSET(载具产出!H$399,0,0,$R130+1,1))</f>
        <v>652</v>
      </c>
      <c r="L130" s="40">
        <f ca="1">SUM(T$36:T130)-SUM(OFFSET(载具产出!G$399,0,0,$R130+1,1))</f>
        <v>71135</v>
      </c>
      <c r="M130" s="40">
        <f ca="1">SUM(V$36:V130)/2-SUM(OFFSET(载具产出!I$399,0,0,$R130+1,1))</f>
        <v>192500</v>
      </c>
      <c r="N130" s="40">
        <f ca="1">SUM(AA$36:AA130)-SUM(OFFSET(载具产出!J$399,0,0,$R130+1,1))</f>
        <v>2192.6</v>
      </c>
      <c r="O130" s="40">
        <f ca="1">SUM(AB$36:AB130)-SUM(OFFSET(载具产出!K$399,0,0,$R130+1,1))</f>
        <v>2298.51999999999</v>
      </c>
      <c r="P130" s="40">
        <f ca="1">SUM(AC$36:AC130)-SUM(OFFSET(载具产出!L$399,0,0,$R130+1,1))</f>
        <v>183.88</v>
      </c>
      <c r="Q130" s="40">
        <f ca="1">SUM(AD$36:AD130)-SUM(OFFSET(载具产出!M$399,0,0,$R130+1,1))</f>
        <v>0</v>
      </c>
      <c r="R130" s="40">
        <v>13</v>
      </c>
      <c r="S130" s="40" t="str">
        <f ca="1">OFFSET(载具产出!$D$111,IFERROR(MATCH(OFFSET($D130,0,MATCH($D$5,$E$6:$H$6,0)),载具产出!$E$112:$E$151,1),0),0)</f>
        <v>珍惜Ⅰ</v>
      </c>
      <c r="T130" s="40">
        <f ca="1">OFFSET(载具产出!$F$399,IFERROR(MATCH(OFFSET($D130,0,MATCH($D$5,$E$6:$H$6,0)),载具产出!$E$400:$E$439,1),0),MATCH(T$6,载具产出!$G$399:$O$399,0))</f>
        <v>940</v>
      </c>
      <c r="U130" s="40">
        <v>7</v>
      </c>
      <c r="V130" s="40">
        <f ca="1">OFFSET(载具产出!$F$399,IFERROR(MATCH(OFFSET($D130,0,MATCH($D$5,$E$6:$H$6,0)),载具产出!$E$400:$E$439,1),0),MATCH(V$6,载具产出!$G$399:$O$399,0))</f>
        <v>6000</v>
      </c>
      <c r="W130" s="43">
        <f ca="1">_xlfn.XLOOKUP(Z130,载具属性!$E$98:$E$497,载具属性!$G$98:$G$497)+6000+OFFSET(载具属性!L$33,AS130,0)*载具属性!M$30+OFFSET(载具属性!M$33,AT130,0)*载具属性!N$30+OFFSET(载具属性!N$33,AU130,0)*载具属性!O$30+OFFSET(载具属性!O$33,AV130,0)*载具属性!P$30</f>
        <v>17365</v>
      </c>
      <c r="X130" s="43">
        <f ca="1">_xlfn.XLOOKUP(Z130,载具属性!$E$98:$E$497,载具属性!$G$98:$G$497)</f>
        <v>6625</v>
      </c>
      <c r="Y130" s="43">
        <f ca="1">OFFSET(载具属性!L$33,AS130,0)*载具属性!M$30+OFFSET(载具属性!M$33,AT130,0)*载具属性!N$30+OFFSET(载具属性!N$33,AU130,0)*载具属性!O$30+OFFSET(载具属性!O$33,AV130,0)*载具属性!P$30</f>
        <v>4740</v>
      </c>
      <c r="Z130" s="40">
        <f ca="1">MATCH(SUM($T$7:T130),载具属性!$I$98:$I$497,1)</f>
        <v>109</v>
      </c>
      <c r="AA130" s="40">
        <f ca="1">OFFSET(载具产出!$F$399,IFERROR(MATCH(OFFSET($D130,0,MATCH($D$5,$E$6:$H$6,0)),载具产出!$E$112:$E$151,1),0),MATCH(AA$6,载具产出!$G$111:$O$111,0))*2</f>
        <v>18</v>
      </c>
      <c r="AB130" s="40">
        <f ca="1">OFFSET(载具产出!$F$399,IFERROR(MATCH(OFFSET($D130,0,MATCH($D$5,$E$6:$H$6,0)),载具产出!$E$112:$E$151,1),0),MATCH(AB$6,载具产出!$G$111:$O$111,0))*2</f>
        <v>22.64</v>
      </c>
      <c r="AC130" s="40">
        <f ca="1">OFFSET(载具产出!$F$399,IFERROR(MATCH(OFFSET($D130,0,MATCH($D$5,$E$6:$H$6,0)),载具产出!$E$112:$E$151,1),0),MATCH(AC$6,载具产出!$G$111:$O$111,0))*2</f>
        <v>3.36</v>
      </c>
      <c r="AD130" s="40">
        <f ca="1">OFFSET(载具产出!$F$399,IFERROR(MATCH(OFFSET($D130,0,MATCH($D$5,$E$6:$H$6,0)),载具产出!$E$112:$E$151,1),0),MATCH(AD$6,载具产出!$G$111:$O$111,0))*2</f>
        <v>0</v>
      </c>
      <c r="AE130" s="44">
        <f ca="1">SUM(AA$36:AA130)/3</f>
        <v>788.8</v>
      </c>
      <c r="AF130" s="44">
        <f ca="1">SUM(AB$36:AB130)/3</f>
        <v>809.306666666665</v>
      </c>
      <c r="AG130" s="44">
        <f ca="1">SUM(AC$36:AC130)/3</f>
        <v>66.5600000000001</v>
      </c>
      <c r="AH130" s="44">
        <f ca="1">SUM(AD$36:AD130)/3</f>
        <v>0</v>
      </c>
      <c r="AI130" s="44">
        <f>_xlfn.XLOOKUP($D$5,载具产出!$D$71:$D$75,载具产出!$E$71:$E$75)*(D130-30+1)</f>
        <v>1117.38095238096</v>
      </c>
      <c r="AJ130" s="44">
        <f>IFERROR(MATCH(_xlfn.XLOOKUP($D$5,载具产出!$D$71:$D$75,载具产出!$E$71:$E$75)*(D130-30+1)*10,载具产出!$E$60:$E$67,1),0)+1</f>
        <v>6</v>
      </c>
      <c r="AK130" s="44">
        <f ca="1">IF($AJ130=1,($AI130)*(10*OFFSET(载具产出!$D$45,MATCH(AK$6,$AK$6:$AN$6,0)-1,$AJ130)+OFFSET(载具产出!$D$49,MATCH(AK$6,$AK$6:$AN$6,0)-1,$AJ130)*OFFSET(载具产出!$N$49,MATCH(AK$6,$AK$6:$AN$6,0)-1,0)),OFFSET(载具产出!F$59,$AJ130-1,0)*10+OFFSET(载具产出!J$59,$AJ130-1,0)+($AI130*10-_xlfn.XLOOKUP($AJ130-1,载具产出!$D$59:$D$67,载具产出!$E$59:$E$67))/10*(10*OFFSET(载具产出!$D$45,MATCH(AK$6,$AK$6:$AN$6,0)-1,$AJ130)+OFFSET(载具产出!$D$49,MATCH(AK$6,$AK$6:$AN$6,0)-1,$AJ130)*OFFSET(载具产出!$N$49,MATCH(AK$6,$AK$6:$AN$6,0)-1,0)))</f>
        <v>2525.50142857145</v>
      </c>
      <c r="AL130" s="44">
        <f ca="1">IF($AJ130=1,($AI130)*(10*OFFSET(载具产出!$D$45,MATCH(AL$6,$AK$6:$AN$6,0)-1,$AJ130)+OFFSET(载具产出!$D$49,MATCH(AL$6,$AK$6:$AN$6,0)-1,$AJ130)*OFFSET(载具产出!$N$49,MATCH(AL$6,$AK$6:$AN$6,0)-1,0)),OFFSET(载具产出!G$59,$AJ130-1,0)*10+OFFSET(载具产出!K$59,$AJ130-1,0)+($AI130*10-_xlfn.XLOOKUP($AJ130-1,载具产出!$D$59:$D$67,载具产出!$E$59:$E$67))/10*(10*OFFSET(载具产出!$D$45,MATCH(AL$6,$AK$6:$AN$6,0)-1,$AJ130)+OFFSET(载具产出!$D$49,MATCH(AL$6,$AK$6:$AN$6,0)-1,$AJ130)*OFFSET(载具产出!$N$49,MATCH(AL$6,$AK$6:$AN$6,0)-1,0)))</f>
        <v>964.542857142864</v>
      </c>
      <c r="AM130" s="44">
        <f ca="1">IF($AJ130=1,($AI130)*(10*OFFSET(载具产出!$D$45,MATCH(AM$6,$AK$6:$AN$6,0)-1,$AJ130)+OFFSET(载具产出!$D$49,MATCH(AM$6,$AK$6:$AN$6,0)-1,$AJ130)*OFFSET(载具产出!$N$49,MATCH(AM$6,$AK$6:$AN$6,0)-1,0)),OFFSET(载具产出!H$59,$AJ130-1,0)*10+OFFSET(载具产出!L$59,$AJ130-1,0)+($AI130*10-_xlfn.XLOOKUP($AJ130-1,载具产出!$D$59:$D$67,载具产出!$E$59:$E$67))/10*(10*OFFSET(载具产出!$D$45,MATCH(AM$6,$AK$6:$AN$6,0)-1,$AJ130)+OFFSET(载具产出!$D$49,MATCH(AM$6,$AK$6:$AN$6,0)-1,$AJ130)*OFFSET(载具产出!$N$49,MATCH(AM$6,$AK$6:$AN$6,0)-1,0)))</f>
        <v>510.540952380956</v>
      </c>
      <c r="AN130" s="44">
        <f ca="1">IF($AJ130=1,($AI130)*(10*OFFSET(载具产出!$D$45,MATCH(AN$6,$AK$6:$AN$6,0)-1,$AJ130)+OFFSET(载具产出!$D$49,MATCH(AN$6,$AK$6:$AN$6,0)-1,$AJ130)*OFFSET(载具产出!$N$49,MATCH(AN$6,$AK$6:$AN$6,0)-1,0)),OFFSET(载具产出!I$59,$AJ130-1,0)*10+OFFSET(载具产出!M$59,$AJ130-1,0)+($AI130*10-_xlfn.XLOOKUP($AJ130-1,载具产出!$D$59:$D$67,载具产出!$E$59:$E$67))/10*(10*OFFSET(载具产出!$D$45,MATCH(AN$6,$AK$6:$AN$6,0)-1,$AJ130)+OFFSET(载具产出!$D$49,MATCH(AN$6,$AK$6:$AN$6,0)-1,$AJ130)*OFFSET(载具产出!$N$49,MATCH(AN$6,$AK$6:$AN$6,0)-1,0)))</f>
        <v>150.986190476192</v>
      </c>
      <c r="AO130" s="44">
        <f ca="1" t="shared" si="22"/>
        <v>3314.30142857145</v>
      </c>
      <c r="AP130" s="44">
        <f ca="1" t="shared" si="23"/>
        <v>1773.84952380953</v>
      </c>
      <c r="AQ130" s="44">
        <f ca="1" t="shared" si="24"/>
        <v>577.100952380956</v>
      </c>
      <c r="AR130" s="44">
        <f ca="1" t="shared" si="25"/>
        <v>150.986190476192</v>
      </c>
      <c r="AS130" s="45">
        <f ca="1">IFERROR(MATCH(AO130/载具产出!R$58,载具属性!$G$33:$G$92,1),0)</f>
        <v>28</v>
      </c>
      <c r="AT130" s="45">
        <f ca="1">IFERROR(MATCH(AP130/载具产出!S$58,载具属性!$G$33:$G$92,1),0)</f>
        <v>19</v>
      </c>
      <c r="AU130" s="45">
        <f ca="1">IFERROR(MATCH(AQ130/载具产出!T$58,载具属性!$G$33:$G$92,1),0)</f>
        <v>10</v>
      </c>
      <c r="AV130" s="45">
        <f ca="1">IFERROR(MATCH(AR130/载具产出!U$58,载具属性!$G$33:$G$92,1),0)</f>
        <v>2</v>
      </c>
      <c r="AW130" s="46" t="str">
        <f ca="1" t="shared" si="26"/>
        <v>[{62,652},{63,71135},{2,192500},{6030001,2192},{6030002,2298},{6030003,183}]</v>
      </c>
      <c r="AX130" t="str">
        <f ca="1" t="shared" si="27"/>
        <v>{62,652}</v>
      </c>
      <c r="AY130" t="str">
        <f ca="1" t="shared" si="28"/>
        <v>{63,71135}</v>
      </c>
      <c r="AZ130" t="str">
        <f ca="1" t="shared" si="29"/>
        <v>{2,192500}</v>
      </c>
      <c r="BA130" t="str">
        <f ca="1" t="shared" si="30"/>
        <v>{6030001,2192}</v>
      </c>
      <c r="BB130" t="str">
        <f ca="1" t="shared" si="31"/>
        <v>{6030002,2298}</v>
      </c>
      <c r="BC130" t="str">
        <f ca="1" t="shared" si="32"/>
        <v>{6030003,183}</v>
      </c>
      <c r="BD130" t="str">
        <f ca="1" t="shared" si="33"/>
        <v/>
      </c>
    </row>
    <row r="131" spans="3:56">
      <c r="C131">
        <f ca="1" t="shared" si="21"/>
        <v>116.266666666667</v>
      </c>
      <c r="D131" s="40">
        <v>125</v>
      </c>
      <c r="E131" s="40">
        <v>109</v>
      </c>
      <c r="F131" s="40">
        <v>129</v>
      </c>
      <c r="G131" s="41">
        <v>150</v>
      </c>
      <c r="H131" s="40">
        <f>H130+1</f>
        <v>205</v>
      </c>
      <c r="I131" s="40">
        <f t="shared" si="20"/>
        <v>276</v>
      </c>
      <c r="J131" s="40">
        <f t="shared" si="34"/>
        <v>243</v>
      </c>
      <c r="K131" s="40">
        <f ca="1">SUM(U$36:U131)-SUM(OFFSET(载具产出!H$399,0,0,$R131+1,1))</f>
        <v>659</v>
      </c>
      <c r="L131" s="40">
        <f ca="1">SUM(T$36:T131)-SUM(OFFSET(载具产出!G$399,0,0,$R131+1,1))</f>
        <v>72075</v>
      </c>
      <c r="M131" s="40">
        <f ca="1">SUM(V$36:V131)/2-SUM(OFFSET(载具产出!I$399,0,0,$R131+1,1))</f>
        <v>195500</v>
      </c>
      <c r="N131" s="40">
        <f ca="1">SUM(AA$36:AA131)-SUM(OFFSET(载具产出!J$399,0,0,$R131+1,1))</f>
        <v>2210.6</v>
      </c>
      <c r="O131" s="40">
        <f ca="1">SUM(AB$36:AB131)-SUM(OFFSET(载具产出!K$399,0,0,$R131+1,1))</f>
        <v>2321.15999999999</v>
      </c>
      <c r="P131" s="40">
        <f ca="1">SUM(AC$36:AC131)-SUM(OFFSET(载具产出!L$399,0,0,$R131+1,1))</f>
        <v>187.24</v>
      </c>
      <c r="Q131" s="40">
        <f ca="1">SUM(AD$36:AD131)-SUM(OFFSET(载具产出!M$399,0,0,$R131+1,1))</f>
        <v>0</v>
      </c>
      <c r="R131" s="40">
        <v>13</v>
      </c>
      <c r="S131" s="40" t="str">
        <f ca="1">OFFSET(载具产出!$D$111,IFERROR(MATCH(OFFSET($D131,0,MATCH($D$5,$E$6:$H$6,0)),载具产出!$E$112:$E$151,1),0),0)</f>
        <v>珍惜Ⅰ</v>
      </c>
      <c r="T131" s="40">
        <f ca="1">OFFSET(载具产出!$F$399,IFERROR(MATCH(OFFSET($D131,0,MATCH($D$5,$E$6:$H$6,0)),载具产出!$E$400:$E$439,1),0),MATCH(T$6,载具产出!$G$399:$O$399,0))</f>
        <v>940</v>
      </c>
      <c r="U131" s="40">
        <v>7</v>
      </c>
      <c r="V131" s="40">
        <f ca="1">OFFSET(载具产出!$F$399,IFERROR(MATCH(OFFSET($D131,0,MATCH($D$5,$E$6:$H$6,0)),载具产出!$E$400:$E$439,1),0),MATCH(V$6,载具产出!$G$399:$O$399,0))</f>
        <v>6000</v>
      </c>
      <c r="W131" s="43">
        <f ca="1">_xlfn.XLOOKUP(Z131,载具属性!$E$98:$E$497,载具属性!$G$98:$G$497)+6000+OFFSET(载具属性!L$33,AS131,0)*载具属性!M$30+OFFSET(载具属性!M$33,AT131,0)*载具属性!N$30+OFFSET(载具属性!N$33,AU131,0)*载具属性!O$30+OFFSET(载具属性!O$33,AV131,0)*载具属性!P$30</f>
        <v>17440</v>
      </c>
      <c r="X131" s="43">
        <f ca="1">_xlfn.XLOOKUP(Z131,载具属性!$E$98:$E$497,载具属性!$G$98:$G$497)</f>
        <v>6700</v>
      </c>
      <c r="Y131" s="43">
        <f ca="1">OFFSET(载具属性!L$33,AS131,0)*载具属性!M$30+OFFSET(载具属性!M$33,AT131,0)*载具属性!N$30+OFFSET(载具属性!N$33,AU131,0)*载具属性!O$30+OFFSET(载具属性!O$33,AV131,0)*载具属性!P$30</f>
        <v>4740</v>
      </c>
      <c r="Z131" s="40">
        <f ca="1">MATCH(SUM($T$7:T131),载具属性!$I$98:$I$497,1)</f>
        <v>110</v>
      </c>
      <c r="AA131" s="40">
        <f ca="1">OFFSET(载具产出!$F$399,IFERROR(MATCH(OFFSET($D131,0,MATCH($D$5,$E$6:$H$6,0)),载具产出!$E$112:$E$151,1),0),MATCH(AA$6,载具产出!$G$111:$O$111,0))*2</f>
        <v>18</v>
      </c>
      <c r="AB131" s="40">
        <f ca="1">OFFSET(载具产出!$F$399,IFERROR(MATCH(OFFSET($D131,0,MATCH($D$5,$E$6:$H$6,0)),载具产出!$E$112:$E$151,1),0),MATCH(AB$6,载具产出!$G$111:$O$111,0))*2</f>
        <v>22.64</v>
      </c>
      <c r="AC131" s="40">
        <f ca="1">OFFSET(载具产出!$F$399,IFERROR(MATCH(OFFSET($D131,0,MATCH($D$5,$E$6:$H$6,0)),载具产出!$E$112:$E$151,1),0),MATCH(AC$6,载具产出!$G$111:$O$111,0))*2</f>
        <v>3.36</v>
      </c>
      <c r="AD131" s="40">
        <f ca="1">OFFSET(载具产出!$F$399,IFERROR(MATCH(OFFSET($D131,0,MATCH($D$5,$E$6:$H$6,0)),载具产出!$E$112:$E$151,1),0),MATCH(AD$6,载具产出!$G$111:$O$111,0))*2</f>
        <v>0</v>
      </c>
      <c r="AE131" s="44">
        <f ca="1">SUM(AA$36:AA131)/3</f>
        <v>794.8</v>
      </c>
      <c r="AF131" s="44">
        <f ca="1">SUM(AB$36:AB131)/3</f>
        <v>816.853333333332</v>
      </c>
      <c r="AG131" s="44">
        <f ca="1">SUM(AC$36:AC131)/3</f>
        <v>67.6800000000001</v>
      </c>
      <c r="AH131" s="44">
        <f ca="1">SUM(AD$36:AD131)/3</f>
        <v>0</v>
      </c>
      <c r="AI131" s="44">
        <f>_xlfn.XLOOKUP($D$5,载具产出!$D$71:$D$75,载具产出!$E$71:$E$75)*(D131-30+1)</f>
        <v>1129.14285714286</v>
      </c>
      <c r="AJ131" s="44">
        <f>IFERROR(MATCH(_xlfn.XLOOKUP($D$5,载具产出!$D$71:$D$75,载具产出!$E$71:$E$75)*(D131-30+1)*10,载具产出!$E$60:$E$67,1),0)+1</f>
        <v>6</v>
      </c>
      <c r="AK131" s="44">
        <f ca="1">IF($AJ131=1,($AI131)*(10*OFFSET(载具产出!$D$45,MATCH(AK$6,$AK$6:$AN$6,0)-1,$AJ131)+OFFSET(载具产出!$D$49,MATCH(AK$6,$AK$6:$AN$6,0)-1,$AJ131)*OFFSET(载具产出!$N$49,MATCH(AK$6,$AK$6:$AN$6,0)-1,0)),OFFSET(载具产出!F$59,$AJ131-1,0)*10+OFFSET(载具产出!J$59,$AJ131-1,0)+($AI131*10-_xlfn.XLOOKUP($AJ131-1,载具产出!$D$59:$D$67,载具产出!$E$59:$E$67))/10*(10*OFFSET(载具产出!$D$45,MATCH(AK$6,$AK$6:$AN$6,0)-1,$AJ131)+OFFSET(载具产出!$D$49,MATCH(AK$6,$AK$6:$AN$6,0)-1,$AJ131)*OFFSET(载具产出!$N$49,MATCH(AK$6,$AK$6:$AN$6,0)-1,0)))</f>
        <v>2551.04828571429</v>
      </c>
      <c r="AL131" s="44">
        <f ca="1">IF($AJ131=1,($AI131)*(10*OFFSET(载具产出!$D$45,MATCH(AL$6,$AK$6:$AN$6,0)-1,$AJ131)+OFFSET(载具产出!$D$49,MATCH(AL$6,$AK$6:$AN$6,0)-1,$AJ131)*OFFSET(载具产出!$N$49,MATCH(AL$6,$AK$6:$AN$6,0)-1,0)),OFFSET(载具产出!G$59,$AJ131-1,0)*10+OFFSET(载具产出!K$59,$AJ131-1,0)+($AI131*10-_xlfn.XLOOKUP($AJ131-1,载具产出!$D$59:$D$67,载具产出!$E$59:$E$67))/10*(10*OFFSET(载具产出!$D$45,MATCH(AL$6,$AK$6:$AN$6,0)-1,$AJ131)+OFFSET(载具产出!$D$49,MATCH(AL$6,$AK$6:$AN$6,0)-1,$AJ131)*OFFSET(载具产出!$N$49,MATCH(AL$6,$AK$6:$AN$6,0)-1,0)))</f>
        <v>975.128571428574</v>
      </c>
      <c r="AM131" s="44">
        <f ca="1">IF($AJ131=1,($AI131)*(10*OFFSET(载具产出!$D$45,MATCH(AM$6,$AK$6:$AN$6,0)-1,$AJ131)+OFFSET(载具产出!$D$49,MATCH(AM$6,$AK$6:$AN$6,0)-1,$AJ131)*OFFSET(载具产出!$N$49,MATCH(AM$6,$AK$6:$AN$6,0)-1,0)),OFFSET(载具产出!H$59,$AJ131-1,0)*10+OFFSET(载具产出!L$59,$AJ131-1,0)+($AI131*10-_xlfn.XLOOKUP($AJ131-1,载具产出!$D$59:$D$67,载具产出!$E$59:$E$67))/10*(10*OFFSET(载具产出!$D$45,MATCH(AM$6,$AK$6:$AN$6,0)-1,$AJ131)+OFFSET(载具产出!$D$49,MATCH(AM$6,$AK$6:$AN$6,0)-1,$AJ131)*OFFSET(载具产出!$N$49,MATCH(AM$6,$AK$6:$AN$6,0)-1,0)))</f>
        <v>516.374857142859</v>
      </c>
      <c r="AN131" s="44">
        <f ca="1">IF($AJ131=1,($AI131)*(10*OFFSET(载具产出!$D$45,MATCH(AN$6,$AK$6:$AN$6,0)-1,$AJ131)+OFFSET(载具产出!$D$49,MATCH(AN$6,$AK$6:$AN$6,0)-1,$AJ131)*OFFSET(载具产出!$N$49,MATCH(AN$6,$AK$6:$AN$6,0)-1,0)),OFFSET(载具产出!I$59,$AJ131-1,0)*10+OFFSET(载具产出!M$59,$AJ131-1,0)+($AI131*10-_xlfn.XLOOKUP($AJ131-1,载具产出!$D$59:$D$67,载具产出!$E$59:$E$67))/10*(10*OFFSET(载具产出!$D$45,MATCH(AN$6,$AK$6:$AN$6,0)-1,$AJ131)+OFFSET(载具产出!$D$49,MATCH(AN$6,$AK$6:$AN$6,0)-1,$AJ131)*OFFSET(载具产出!$N$49,MATCH(AN$6,$AK$6:$AN$6,0)-1,0)))</f>
        <v>152.844571428572</v>
      </c>
      <c r="AO131" s="44">
        <f ca="1" t="shared" si="22"/>
        <v>3345.84828571429</v>
      </c>
      <c r="AP131" s="44">
        <f ca="1" t="shared" si="23"/>
        <v>1791.98190476191</v>
      </c>
      <c r="AQ131" s="44">
        <f ca="1" t="shared" si="24"/>
        <v>584.054857142859</v>
      </c>
      <c r="AR131" s="44">
        <f ca="1" t="shared" si="25"/>
        <v>152.844571428572</v>
      </c>
      <c r="AS131" s="45">
        <f ca="1">IFERROR(MATCH(AO131/载具产出!R$58,载具属性!$G$33:$G$92,1),0)</f>
        <v>28</v>
      </c>
      <c r="AT131" s="45">
        <f ca="1">IFERROR(MATCH(AP131/载具产出!S$58,载具属性!$G$33:$G$92,1),0)</f>
        <v>19</v>
      </c>
      <c r="AU131" s="45">
        <f ca="1">IFERROR(MATCH(AQ131/载具产出!T$58,载具属性!$G$33:$G$92,1),0)</f>
        <v>10</v>
      </c>
      <c r="AV131" s="45">
        <f ca="1">IFERROR(MATCH(AR131/载具产出!U$58,载具属性!$G$33:$G$92,1),0)</f>
        <v>2</v>
      </c>
      <c r="AW131" s="46" t="str">
        <f ca="1" t="shared" si="26"/>
        <v>[{62,659},{63,72075},{2,195500},{6030001,2210},{6030002,2321},{6030003,187}]</v>
      </c>
      <c r="AX131" t="str">
        <f ca="1" t="shared" si="27"/>
        <v>{62,659}</v>
      </c>
      <c r="AY131" t="str">
        <f ca="1" t="shared" si="28"/>
        <v>{63,72075}</v>
      </c>
      <c r="AZ131" t="str">
        <f ca="1" t="shared" si="29"/>
        <v>{2,195500}</v>
      </c>
      <c r="BA131" t="str">
        <f ca="1" t="shared" si="30"/>
        <v>{6030001,2210}</v>
      </c>
      <c r="BB131" t="str">
        <f ca="1" t="shared" si="31"/>
        <v>{6030002,2321}</v>
      </c>
      <c r="BC131" t="str">
        <f ca="1" t="shared" si="32"/>
        <v>{6030003,187}</v>
      </c>
      <c r="BD131" t="str">
        <f ca="1" t="shared" si="33"/>
        <v/>
      </c>
    </row>
    <row r="132" spans="3:56">
      <c r="C132">
        <f ca="1" t="shared" si="21"/>
        <v>115.496688741722</v>
      </c>
      <c r="D132" s="40">
        <v>126</v>
      </c>
      <c r="E132" s="40">
        <v>109</v>
      </c>
      <c r="F132" s="40">
        <v>130</v>
      </c>
      <c r="G132" s="41">
        <f>G130+1</f>
        <v>151</v>
      </c>
      <c r="H132" s="40">
        <f>H131</f>
        <v>205</v>
      </c>
      <c r="I132" s="40">
        <f t="shared" si="20"/>
        <v>278</v>
      </c>
      <c r="J132" s="40">
        <f t="shared" si="34"/>
        <v>245</v>
      </c>
      <c r="K132" s="40">
        <f ca="1">SUM(U$36:U132)-SUM(OFFSET(载具产出!H$399,0,0,$R132+1,1))</f>
        <v>666</v>
      </c>
      <c r="L132" s="40">
        <f ca="1">SUM(T$36:T132)-SUM(OFFSET(载具产出!G$399,0,0,$R132+1,1))</f>
        <v>73015</v>
      </c>
      <c r="M132" s="40">
        <f ca="1">SUM(V$36:V132)/2-SUM(OFFSET(载具产出!I$399,0,0,$R132+1,1))</f>
        <v>198500</v>
      </c>
      <c r="N132" s="40">
        <f ca="1">SUM(AA$36:AA132)-SUM(OFFSET(载具产出!J$399,0,0,$R132+1,1))</f>
        <v>2228.6</v>
      </c>
      <c r="O132" s="40">
        <f ca="1">SUM(AB$36:AB132)-SUM(OFFSET(载具产出!K$399,0,0,$R132+1,1))</f>
        <v>2343.79999999999</v>
      </c>
      <c r="P132" s="40">
        <f ca="1">SUM(AC$36:AC132)-SUM(OFFSET(载具产出!L$399,0,0,$R132+1,1))</f>
        <v>190.6</v>
      </c>
      <c r="Q132" s="40">
        <f ca="1">SUM(AD$36:AD132)-SUM(OFFSET(载具产出!M$399,0,0,$R132+1,1))</f>
        <v>0</v>
      </c>
      <c r="R132" s="40">
        <v>13</v>
      </c>
      <c r="S132" s="40" t="str">
        <f ca="1">OFFSET(载具产出!$D$111,IFERROR(MATCH(OFFSET($D132,0,MATCH($D$5,$E$6:$H$6,0)),载具产出!$E$112:$E$151,1),0),0)</f>
        <v>珍惜Ⅰ</v>
      </c>
      <c r="T132" s="40">
        <f ca="1">OFFSET(载具产出!$F$399,IFERROR(MATCH(OFFSET($D132,0,MATCH($D$5,$E$6:$H$6,0)),载具产出!$E$400:$E$439,1),0),MATCH(T$6,载具产出!$G$399:$O$399,0))</f>
        <v>940</v>
      </c>
      <c r="U132" s="40">
        <v>7</v>
      </c>
      <c r="V132" s="40">
        <f ca="1">OFFSET(载具产出!$F$399,IFERROR(MATCH(OFFSET($D132,0,MATCH($D$5,$E$6:$H$6,0)),载具产出!$E$400:$E$439,1),0),MATCH(V$6,载具产出!$G$399:$O$399,0))</f>
        <v>6000</v>
      </c>
      <c r="W132" s="43">
        <f ca="1">_xlfn.XLOOKUP(Z132,载具属性!$E$98:$E$497,载具属性!$G$98:$G$497)+6000+OFFSET(载具属性!L$33,AS132,0)*载具属性!M$30+OFFSET(载具属性!M$33,AT132,0)*载具属性!N$30+OFFSET(载具属性!N$33,AU132,0)*载具属性!O$30+OFFSET(载具属性!O$33,AV132,0)*载具属性!P$30</f>
        <v>17440</v>
      </c>
      <c r="X132" s="43">
        <f ca="1">_xlfn.XLOOKUP(Z132,载具属性!$E$98:$E$497,载具属性!$G$98:$G$497)</f>
        <v>6700</v>
      </c>
      <c r="Y132" s="43">
        <f ca="1">OFFSET(载具属性!L$33,AS132,0)*载具属性!M$30+OFFSET(载具属性!M$33,AT132,0)*载具属性!N$30+OFFSET(载具属性!N$33,AU132,0)*载具属性!O$30+OFFSET(载具属性!O$33,AV132,0)*载具属性!P$30</f>
        <v>4740</v>
      </c>
      <c r="Z132" s="40">
        <f ca="1">MATCH(SUM($T$7:T132),载具属性!$I$98:$I$497,1)</f>
        <v>110</v>
      </c>
      <c r="AA132" s="40">
        <f ca="1">OFFSET(载具产出!$F$399,IFERROR(MATCH(OFFSET($D132,0,MATCH($D$5,$E$6:$H$6,0)),载具产出!$E$112:$E$151,1),0),MATCH(AA$6,载具产出!$G$111:$O$111,0))*2</f>
        <v>18</v>
      </c>
      <c r="AB132" s="40">
        <f ca="1">OFFSET(载具产出!$F$399,IFERROR(MATCH(OFFSET($D132,0,MATCH($D$5,$E$6:$H$6,0)),载具产出!$E$112:$E$151,1),0),MATCH(AB$6,载具产出!$G$111:$O$111,0))*2</f>
        <v>22.64</v>
      </c>
      <c r="AC132" s="40">
        <f ca="1">OFFSET(载具产出!$F$399,IFERROR(MATCH(OFFSET($D132,0,MATCH($D$5,$E$6:$H$6,0)),载具产出!$E$112:$E$151,1),0),MATCH(AC$6,载具产出!$G$111:$O$111,0))*2</f>
        <v>3.36</v>
      </c>
      <c r="AD132" s="40">
        <f ca="1">OFFSET(载具产出!$F$399,IFERROR(MATCH(OFFSET($D132,0,MATCH($D$5,$E$6:$H$6,0)),载具产出!$E$112:$E$151,1),0),MATCH(AD$6,载具产出!$G$111:$O$111,0))*2</f>
        <v>0</v>
      </c>
      <c r="AE132" s="44">
        <f ca="1">SUM(AA$36:AA132)/3</f>
        <v>800.8</v>
      </c>
      <c r="AF132" s="44">
        <f ca="1">SUM(AB$36:AB132)/3</f>
        <v>824.399999999998</v>
      </c>
      <c r="AG132" s="44">
        <f ca="1">SUM(AC$36:AC132)/3</f>
        <v>68.8000000000001</v>
      </c>
      <c r="AH132" s="44">
        <f ca="1">SUM(AD$36:AD132)/3</f>
        <v>0</v>
      </c>
      <c r="AI132" s="44">
        <f>_xlfn.XLOOKUP($D$5,载具产出!$D$71:$D$75,载具产出!$E$71:$E$75)*(D132-30+1)</f>
        <v>1140.90476190477</v>
      </c>
      <c r="AJ132" s="44">
        <f>IFERROR(MATCH(_xlfn.XLOOKUP($D$5,载具产出!$D$71:$D$75,载具产出!$E$71:$E$75)*(D132-30+1)*10,载具产出!$E$60:$E$67,1),0)+1</f>
        <v>6</v>
      </c>
      <c r="AK132" s="44">
        <f ca="1">IF($AJ132=1,($AI132)*(10*OFFSET(载具产出!$D$45,MATCH(AK$6,$AK$6:$AN$6,0)-1,$AJ132)+OFFSET(载具产出!$D$49,MATCH(AK$6,$AK$6:$AN$6,0)-1,$AJ132)*OFFSET(载具产出!$N$49,MATCH(AK$6,$AK$6:$AN$6,0)-1,0)),OFFSET(载具产出!F$59,$AJ132-1,0)*10+OFFSET(载具产出!J$59,$AJ132-1,0)+($AI132*10-_xlfn.XLOOKUP($AJ132-1,载具产出!$D$59:$D$67,载具产出!$E$59:$E$67))/10*(10*OFFSET(载具产出!$D$45,MATCH(AK$6,$AK$6:$AN$6,0)-1,$AJ132)+OFFSET(载具产出!$D$49,MATCH(AK$6,$AK$6:$AN$6,0)-1,$AJ132)*OFFSET(载具产出!$N$49,MATCH(AK$6,$AK$6:$AN$6,0)-1,0)))</f>
        <v>2576.59514285716</v>
      </c>
      <c r="AL132" s="44">
        <f ca="1">IF($AJ132=1,($AI132)*(10*OFFSET(载具产出!$D$45,MATCH(AL$6,$AK$6:$AN$6,0)-1,$AJ132)+OFFSET(载具产出!$D$49,MATCH(AL$6,$AK$6:$AN$6,0)-1,$AJ132)*OFFSET(载具产出!$N$49,MATCH(AL$6,$AK$6:$AN$6,0)-1,0)),OFFSET(载具产出!G$59,$AJ132-1,0)*10+OFFSET(载具产出!K$59,$AJ132-1,0)+($AI132*10-_xlfn.XLOOKUP($AJ132-1,载具产出!$D$59:$D$67,载具产出!$E$59:$E$67))/10*(10*OFFSET(载具产出!$D$45,MATCH(AL$6,$AK$6:$AN$6,0)-1,$AJ132)+OFFSET(载具产出!$D$49,MATCH(AL$6,$AK$6:$AN$6,0)-1,$AJ132)*OFFSET(载具产出!$N$49,MATCH(AL$6,$AK$6:$AN$6,0)-1,0)))</f>
        <v>985.714285714293</v>
      </c>
      <c r="AM132" s="44">
        <f ca="1">IF($AJ132=1,($AI132)*(10*OFFSET(载具产出!$D$45,MATCH(AM$6,$AK$6:$AN$6,0)-1,$AJ132)+OFFSET(载具产出!$D$49,MATCH(AM$6,$AK$6:$AN$6,0)-1,$AJ132)*OFFSET(载具产出!$N$49,MATCH(AM$6,$AK$6:$AN$6,0)-1,0)),OFFSET(载具产出!H$59,$AJ132-1,0)*10+OFFSET(载具产出!L$59,$AJ132-1,0)+($AI132*10-_xlfn.XLOOKUP($AJ132-1,载具产出!$D$59:$D$67,载具产出!$E$59:$E$67))/10*(10*OFFSET(载具产出!$D$45,MATCH(AM$6,$AK$6:$AN$6,0)-1,$AJ132)+OFFSET(载具产出!$D$49,MATCH(AM$6,$AK$6:$AN$6,0)-1,$AJ132)*OFFSET(载具产出!$N$49,MATCH(AM$6,$AK$6:$AN$6,0)-1,0)))</f>
        <v>522.208761904766</v>
      </c>
      <c r="AN132" s="44">
        <f ca="1">IF($AJ132=1,($AI132)*(10*OFFSET(载具产出!$D$45,MATCH(AN$6,$AK$6:$AN$6,0)-1,$AJ132)+OFFSET(载具产出!$D$49,MATCH(AN$6,$AK$6:$AN$6,0)-1,$AJ132)*OFFSET(载具产出!$N$49,MATCH(AN$6,$AK$6:$AN$6,0)-1,0)),OFFSET(载具产出!I$59,$AJ132-1,0)*10+OFFSET(载具产出!M$59,$AJ132-1,0)+($AI132*10-_xlfn.XLOOKUP($AJ132-1,载具产出!$D$59:$D$67,载具产出!$E$59:$E$67))/10*(10*OFFSET(载具产出!$D$45,MATCH(AN$6,$AK$6:$AN$6,0)-1,$AJ132)+OFFSET(载具产出!$D$49,MATCH(AN$6,$AK$6:$AN$6,0)-1,$AJ132)*OFFSET(载具产出!$N$49,MATCH(AN$6,$AK$6:$AN$6,0)-1,0)))</f>
        <v>154.702952380954</v>
      </c>
      <c r="AO132" s="44">
        <f ca="1" t="shared" si="22"/>
        <v>3377.39514285716</v>
      </c>
      <c r="AP132" s="44">
        <f ca="1" t="shared" si="23"/>
        <v>1810.11428571429</v>
      </c>
      <c r="AQ132" s="44">
        <f ca="1" t="shared" si="24"/>
        <v>591.008761904766</v>
      </c>
      <c r="AR132" s="44">
        <f ca="1" t="shared" si="25"/>
        <v>154.702952380954</v>
      </c>
      <c r="AS132" s="45">
        <f ca="1">IFERROR(MATCH(AO132/载具产出!R$58,载具属性!$G$33:$G$92,1),0)</f>
        <v>28</v>
      </c>
      <c r="AT132" s="45">
        <f ca="1">IFERROR(MATCH(AP132/载具产出!S$58,载具属性!$G$33:$G$92,1),0)</f>
        <v>19</v>
      </c>
      <c r="AU132" s="45">
        <f ca="1">IFERROR(MATCH(AQ132/载具产出!T$58,载具属性!$G$33:$G$92,1),0)</f>
        <v>10</v>
      </c>
      <c r="AV132" s="45">
        <f ca="1">IFERROR(MATCH(AR132/载具产出!U$58,载具属性!$G$33:$G$92,1),0)</f>
        <v>2</v>
      </c>
      <c r="AW132" s="46" t="str">
        <f ca="1" t="shared" si="26"/>
        <v>[{62,666},{63,73015},{2,198500},{6030001,2228},{6030002,2343},{6030003,190}]</v>
      </c>
      <c r="AX132" t="str">
        <f ca="1" t="shared" si="27"/>
        <v>{62,666}</v>
      </c>
      <c r="AY132" t="str">
        <f ca="1" t="shared" si="28"/>
        <v>{63,73015}</v>
      </c>
      <c r="AZ132" t="str">
        <f ca="1" t="shared" si="29"/>
        <v>{2,198500}</v>
      </c>
      <c r="BA132" t="str">
        <f ca="1" t="shared" si="30"/>
        <v>{6030001,2228}</v>
      </c>
      <c r="BB132" t="str">
        <f ca="1" t="shared" si="31"/>
        <v>{6030002,2343}</v>
      </c>
      <c r="BC132" t="str">
        <f ca="1" t="shared" si="32"/>
        <v>{6030003,190}</v>
      </c>
      <c r="BD132" t="str">
        <f ca="1" t="shared" si="33"/>
        <v/>
      </c>
    </row>
    <row r="133" spans="3:56">
      <c r="C133">
        <f ca="1" t="shared" si="21"/>
        <v>116.58940397351</v>
      </c>
      <c r="D133" s="40">
        <v>127</v>
      </c>
      <c r="E133" s="40">
        <f>F132-20</f>
        <v>110</v>
      </c>
      <c r="F133" s="40">
        <v>130</v>
      </c>
      <c r="G133" s="41">
        <f t="shared" ref="G133:G164" si="35">G131+1</f>
        <v>151</v>
      </c>
      <c r="H133" s="40">
        <f>H132+1</f>
        <v>206</v>
      </c>
      <c r="I133" s="40">
        <f t="shared" si="20"/>
        <v>280</v>
      </c>
      <c r="J133" s="40">
        <f t="shared" si="34"/>
        <v>247</v>
      </c>
      <c r="K133" s="40">
        <f ca="1">SUM(U$36:U133)-SUM(OFFSET(载具产出!H$399,0,0,$R133+1,1))</f>
        <v>673</v>
      </c>
      <c r="L133" s="40">
        <f ca="1">SUM(T$36:T133)-SUM(OFFSET(载具产出!G$399,0,0,$R133+1,1))</f>
        <v>73955</v>
      </c>
      <c r="M133" s="40">
        <f ca="1">SUM(V$36:V133)/2-SUM(OFFSET(载具产出!I$399,0,0,$R133+1,1))</f>
        <v>201500</v>
      </c>
      <c r="N133" s="40">
        <f ca="1">SUM(AA$36:AA133)-SUM(OFFSET(载具产出!J$399,0,0,$R133+1,1))</f>
        <v>2246.6</v>
      </c>
      <c r="O133" s="40">
        <f ca="1">SUM(AB$36:AB133)-SUM(OFFSET(载具产出!K$399,0,0,$R133+1,1))</f>
        <v>2366.43999999999</v>
      </c>
      <c r="P133" s="40">
        <f ca="1">SUM(AC$36:AC133)-SUM(OFFSET(载具产出!L$399,0,0,$R133+1,1))</f>
        <v>193.96</v>
      </c>
      <c r="Q133" s="40">
        <f ca="1">SUM(AD$36:AD133)-SUM(OFFSET(载具产出!M$399,0,0,$R133+1,1))</f>
        <v>0</v>
      </c>
      <c r="R133" s="40">
        <v>13</v>
      </c>
      <c r="S133" s="40" t="str">
        <f ca="1">OFFSET(载具产出!$D$111,IFERROR(MATCH(OFFSET($D133,0,MATCH($D$5,$E$6:$H$6,0)),载具产出!$E$112:$E$151,1),0),0)</f>
        <v>珍惜Ⅰ</v>
      </c>
      <c r="T133" s="40">
        <f ca="1">OFFSET(载具产出!$F$399,IFERROR(MATCH(OFFSET($D133,0,MATCH($D$5,$E$6:$H$6,0)),载具产出!$E$400:$E$439,1),0),MATCH(T$6,载具产出!$G$399:$O$399,0))</f>
        <v>940</v>
      </c>
      <c r="U133" s="40">
        <v>7</v>
      </c>
      <c r="V133" s="40">
        <f ca="1">OFFSET(载具产出!$F$399,IFERROR(MATCH(OFFSET($D133,0,MATCH($D$5,$E$6:$H$6,0)),载具产出!$E$400:$E$439,1),0),MATCH(V$6,载具产出!$G$399:$O$399,0))</f>
        <v>6000</v>
      </c>
      <c r="W133" s="43">
        <f ca="1">_xlfn.XLOOKUP(Z133,载具属性!$E$98:$E$497,载具属性!$G$98:$G$497)+6000+OFFSET(载具属性!L$33,AS133,0)*载具属性!M$30+OFFSET(载具属性!M$33,AT133,0)*载具属性!N$30+OFFSET(载具属性!N$33,AU133,0)*载具属性!O$30+OFFSET(载具属性!O$33,AV133,0)*载具属性!P$30</f>
        <v>17605</v>
      </c>
      <c r="X133" s="43">
        <f ca="1">_xlfn.XLOOKUP(Z133,载具属性!$E$98:$E$497,载具属性!$G$98:$G$497)</f>
        <v>6775</v>
      </c>
      <c r="Y133" s="43">
        <f ca="1">OFFSET(载具属性!L$33,AS133,0)*载具属性!M$30+OFFSET(载具属性!M$33,AT133,0)*载具属性!N$30+OFFSET(载具属性!N$33,AU133,0)*载具属性!O$30+OFFSET(载具属性!O$33,AV133,0)*载具属性!P$30</f>
        <v>4830</v>
      </c>
      <c r="Z133" s="40">
        <f ca="1">MATCH(SUM($T$7:T133),载具属性!$I$98:$I$497,1)</f>
        <v>111</v>
      </c>
      <c r="AA133" s="40">
        <f ca="1">OFFSET(载具产出!$F$399,IFERROR(MATCH(OFFSET($D133,0,MATCH($D$5,$E$6:$H$6,0)),载具产出!$E$112:$E$151,1),0),MATCH(AA$6,载具产出!$G$111:$O$111,0))*2</f>
        <v>18</v>
      </c>
      <c r="AB133" s="40">
        <f ca="1">OFFSET(载具产出!$F$399,IFERROR(MATCH(OFFSET($D133,0,MATCH($D$5,$E$6:$H$6,0)),载具产出!$E$112:$E$151,1),0),MATCH(AB$6,载具产出!$G$111:$O$111,0))*2</f>
        <v>22.64</v>
      </c>
      <c r="AC133" s="40">
        <f ca="1">OFFSET(载具产出!$F$399,IFERROR(MATCH(OFFSET($D133,0,MATCH($D$5,$E$6:$H$6,0)),载具产出!$E$112:$E$151,1),0),MATCH(AC$6,载具产出!$G$111:$O$111,0))*2</f>
        <v>3.36</v>
      </c>
      <c r="AD133" s="40">
        <f ca="1">OFFSET(载具产出!$F$399,IFERROR(MATCH(OFFSET($D133,0,MATCH($D$5,$E$6:$H$6,0)),载具产出!$E$112:$E$151,1),0),MATCH(AD$6,载具产出!$G$111:$O$111,0))*2</f>
        <v>0</v>
      </c>
      <c r="AE133" s="44">
        <f ca="1">SUM(AA$36:AA133)/3</f>
        <v>806.8</v>
      </c>
      <c r="AF133" s="44">
        <f ca="1">SUM(AB$36:AB133)/3</f>
        <v>831.946666666665</v>
      </c>
      <c r="AG133" s="44">
        <f ca="1">SUM(AC$36:AC133)/3</f>
        <v>69.9200000000001</v>
      </c>
      <c r="AH133" s="44">
        <f ca="1">SUM(AD$36:AD133)/3</f>
        <v>0</v>
      </c>
      <c r="AI133" s="44">
        <f>_xlfn.XLOOKUP($D$5,载具产出!$D$71:$D$75,载具产出!$E$71:$E$75)*(D133-30+1)</f>
        <v>1152.66666666667</v>
      </c>
      <c r="AJ133" s="44">
        <f>IFERROR(MATCH(_xlfn.XLOOKUP($D$5,载具产出!$D$71:$D$75,载具产出!$E$71:$E$75)*(D133-30+1)*10,载具产出!$E$60:$E$67,1),0)+1</f>
        <v>6</v>
      </c>
      <c r="AK133" s="44">
        <f ca="1">IF($AJ133=1,($AI133)*(10*OFFSET(载具产出!$D$45,MATCH(AK$6,$AK$6:$AN$6,0)-1,$AJ133)+OFFSET(载具产出!$D$49,MATCH(AK$6,$AK$6:$AN$6,0)-1,$AJ133)*OFFSET(载具产出!$N$49,MATCH(AK$6,$AK$6:$AN$6,0)-1,0)),OFFSET(载具产出!F$59,$AJ133-1,0)*10+OFFSET(载具产出!J$59,$AJ133-1,0)+($AI133*10-_xlfn.XLOOKUP($AJ133-1,载具产出!$D$59:$D$67,载具产出!$E$59:$E$67))/10*(10*OFFSET(载具产出!$D$45,MATCH(AK$6,$AK$6:$AN$6,0)-1,$AJ133)+OFFSET(载具产出!$D$49,MATCH(AK$6,$AK$6:$AN$6,0)-1,$AJ133)*OFFSET(载具产出!$N$49,MATCH(AK$6,$AK$6:$AN$6,0)-1,0)))</f>
        <v>2602.14200000001</v>
      </c>
      <c r="AL133" s="44">
        <f ca="1">IF($AJ133=1,($AI133)*(10*OFFSET(载具产出!$D$45,MATCH(AL$6,$AK$6:$AN$6,0)-1,$AJ133)+OFFSET(载具产出!$D$49,MATCH(AL$6,$AK$6:$AN$6,0)-1,$AJ133)*OFFSET(载具产出!$N$49,MATCH(AL$6,$AK$6:$AN$6,0)-1,0)),OFFSET(载具产出!G$59,$AJ133-1,0)*10+OFFSET(载具产出!K$59,$AJ133-1,0)+($AI133*10-_xlfn.XLOOKUP($AJ133-1,载具产出!$D$59:$D$67,载具产出!$E$59:$E$67))/10*(10*OFFSET(载具产出!$D$45,MATCH(AL$6,$AK$6:$AN$6,0)-1,$AJ133)+OFFSET(载具产出!$D$49,MATCH(AL$6,$AK$6:$AN$6,0)-1,$AJ133)*OFFSET(载具产出!$N$49,MATCH(AL$6,$AK$6:$AN$6,0)-1,0)))</f>
        <v>996.300000000003</v>
      </c>
      <c r="AM133" s="44">
        <f ca="1">IF($AJ133=1,($AI133)*(10*OFFSET(载具产出!$D$45,MATCH(AM$6,$AK$6:$AN$6,0)-1,$AJ133)+OFFSET(载具产出!$D$49,MATCH(AM$6,$AK$6:$AN$6,0)-1,$AJ133)*OFFSET(载具产出!$N$49,MATCH(AM$6,$AK$6:$AN$6,0)-1,0)),OFFSET(载具产出!H$59,$AJ133-1,0)*10+OFFSET(载具产出!L$59,$AJ133-1,0)+($AI133*10-_xlfn.XLOOKUP($AJ133-1,载具产出!$D$59:$D$67,载具产出!$E$59:$E$67))/10*(10*OFFSET(载具产出!$D$45,MATCH(AM$6,$AK$6:$AN$6,0)-1,$AJ133)+OFFSET(载具产出!$D$49,MATCH(AM$6,$AK$6:$AN$6,0)-1,$AJ133)*OFFSET(载具产出!$N$49,MATCH(AM$6,$AK$6:$AN$6,0)-1,0)))</f>
        <v>528.042666666668</v>
      </c>
      <c r="AN133" s="44">
        <f ca="1">IF($AJ133=1,($AI133)*(10*OFFSET(载具产出!$D$45,MATCH(AN$6,$AK$6:$AN$6,0)-1,$AJ133)+OFFSET(载具产出!$D$49,MATCH(AN$6,$AK$6:$AN$6,0)-1,$AJ133)*OFFSET(载具产出!$N$49,MATCH(AN$6,$AK$6:$AN$6,0)-1,0)),OFFSET(载具产出!I$59,$AJ133-1,0)*10+OFFSET(载具产出!M$59,$AJ133-1,0)+($AI133*10-_xlfn.XLOOKUP($AJ133-1,载具产出!$D$59:$D$67,载具产出!$E$59:$E$67))/10*(10*OFFSET(载具产出!$D$45,MATCH(AN$6,$AK$6:$AN$6,0)-1,$AJ133)+OFFSET(载具产出!$D$49,MATCH(AN$6,$AK$6:$AN$6,0)-1,$AJ133)*OFFSET(载具产出!$N$49,MATCH(AN$6,$AK$6:$AN$6,0)-1,0)))</f>
        <v>156.561333333334</v>
      </c>
      <c r="AO133" s="44">
        <f ca="1" t="shared" si="22"/>
        <v>3408.94200000001</v>
      </c>
      <c r="AP133" s="44">
        <f ca="1" t="shared" si="23"/>
        <v>1828.24666666667</v>
      </c>
      <c r="AQ133" s="44">
        <f ca="1" t="shared" si="24"/>
        <v>597.962666666668</v>
      </c>
      <c r="AR133" s="44">
        <f ca="1" t="shared" si="25"/>
        <v>156.561333333334</v>
      </c>
      <c r="AS133" s="45">
        <f ca="1">IFERROR(MATCH(AO133/载具产出!R$58,载具属性!$G$33:$G$92,1),0)</f>
        <v>28</v>
      </c>
      <c r="AT133" s="45">
        <f ca="1">IFERROR(MATCH(AP133/载具产出!S$58,载具属性!$G$33:$G$92,1),0)</f>
        <v>20</v>
      </c>
      <c r="AU133" s="45">
        <f ca="1">IFERROR(MATCH(AQ133/载具产出!T$58,载具属性!$G$33:$G$92,1),0)</f>
        <v>10</v>
      </c>
      <c r="AV133" s="45">
        <f ca="1">IFERROR(MATCH(AR133/载具产出!U$58,载具属性!$G$33:$G$92,1),0)</f>
        <v>2</v>
      </c>
      <c r="AW133" s="46" t="str">
        <f ca="1" t="shared" si="26"/>
        <v>[{62,673},{63,73955},{2,201500},{6030001,2246},{6030002,2366},{6030003,193}]</v>
      </c>
      <c r="AX133" t="str">
        <f ca="1" t="shared" si="27"/>
        <v>{62,673}</v>
      </c>
      <c r="AY133" t="str">
        <f ca="1" t="shared" si="28"/>
        <v>{63,73955}</v>
      </c>
      <c r="AZ133" t="str">
        <f ca="1" t="shared" si="29"/>
        <v>{2,201500}</v>
      </c>
      <c r="BA133" t="str">
        <f ca="1" t="shared" si="30"/>
        <v>{6030001,2246}</v>
      </c>
      <c r="BB133" t="str">
        <f ca="1" t="shared" si="31"/>
        <v>{6030002,2366}</v>
      </c>
      <c r="BC133" t="str">
        <f ca="1" t="shared" si="32"/>
        <v>{6030003,193}</v>
      </c>
      <c r="BD133" t="str">
        <f ca="1" t="shared" si="33"/>
        <v/>
      </c>
    </row>
    <row r="134" spans="3:56">
      <c r="C134">
        <f ca="1" t="shared" si="21"/>
        <v>116.315789473684</v>
      </c>
      <c r="D134" s="40">
        <v>128</v>
      </c>
      <c r="E134" s="40">
        <f t="shared" ref="E134:E165" si="36">F133-20</f>
        <v>110</v>
      </c>
      <c r="F134" s="40">
        <v>130</v>
      </c>
      <c r="G134" s="41">
        <f t="shared" si="35"/>
        <v>152</v>
      </c>
      <c r="H134" s="40">
        <f>H133</f>
        <v>206</v>
      </c>
      <c r="I134" s="40">
        <f t="shared" si="20"/>
        <v>282</v>
      </c>
      <c r="J134" s="40">
        <f t="shared" si="34"/>
        <v>249</v>
      </c>
      <c r="K134" s="40">
        <f ca="1">SUM(U$36:U134)-SUM(OFFSET(载具产出!H$399,0,0,$R134+1,1))</f>
        <v>680</v>
      </c>
      <c r="L134" s="40">
        <f ca="1">SUM(T$36:T134)-SUM(OFFSET(载具产出!G$399,0,0,$R134+1,1))</f>
        <v>74895</v>
      </c>
      <c r="M134" s="40">
        <f ca="1">SUM(V$36:V134)/2-SUM(OFFSET(载具产出!I$399,0,0,$R134+1,1))</f>
        <v>204500</v>
      </c>
      <c r="N134" s="40">
        <f ca="1">SUM(AA$36:AA134)-SUM(OFFSET(载具产出!J$399,0,0,$R134+1,1))</f>
        <v>2264.6</v>
      </c>
      <c r="O134" s="40">
        <f ca="1">SUM(AB$36:AB134)-SUM(OFFSET(载具产出!K$399,0,0,$R134+1,1))</f>
        <v>2389.07999999999</v>
      </c>
      <c r="P134" s="40">
        <f ca="1">SUM(AC$36:AC134)-SUM(OFFSET(载具产出!L$399,0,0,$R134+1,1))</f>
        <v>197.32</v>
      </c>
      <c r="Q134" s="40">
        <f ca="1">SUM(AD$36:AD134)-SUM(OFFSET(载具产出!M$399,0,0,$R134+1,1))</f>
        <v>0</v>
      </c>
      <c r="R134" s="40">
        <v>13</v>
      </c>
      <c r="S134" s="40" t="str">
        <f ca="1">OFFSET(载具产出!$D$111,IFERROR(MATCH(OFFSET($D134,0,MATCH($D$5,$E$6:$H$6,0)),载具产出!$E$112:$E$151,1),0),0)</f>
        <v>珍惜Ⅰ</v>
      </c>
      <c r="T134" s="40">
        <f ca="1">OFFSET(载具产出!$F$399,IFERROR(MATCH(OFFSET($D134,0,MATCH($D$5,$E$6:$H$6,0)),载具产出!$E$400:$E$439,1),0),MATCH(T$6,载具产出!$G$399:$O$399,0))</f>
        <v>940</v>
      </c>
      <c r="U134" s="40">
        <v>7</v>
      </c>
      <c r="V134" s="40">
        <f ca="1">OFFSET(载具产出!$F$399,IFERROR(MATCH(OFFSET($D134,0,MATCH($D$5,$E$6:$H$6,0)),载具产出!$E$400:$E$439,1),0),MATCH(V$6,载具产出!$G$399:$O$399,0))</f>
        <v>6000</v>
      </c>
      <c r="W134" s="43">
        <f ca="1">_xlfn.XLOOKUP(Z134,载具属性!$E$98:$E$497,载具属性!$G$98:$G$497)+6000+OFFSET(载具属性!L$33,AS134,0)*载具属性!M$30+OFFSET(载具属性!M$33,AT134,0)*载具属性!N$30+OFFSET(载具属性!N$33,AU134,0)*载具属性!O$30+OFFSET(载具属性!O$33,AV134,0)*载具属性!P$30</f>
        <v>17680</v>
      </c>
      <c r="X134" s="43">
        <f ca="1">_xlfn.XLOOKUP(Z134,载具属性!$E$98:$E$497,载具属性!$G$98:$G$497)</f>
        <v>6850</v>
      </c>
      <c r="Y134" s="43">
        <f ca="1">OFFSET(载具属性!L$33,AS134,0)*载具属性!M$30+OFFSET(载具属性!M$33,AT134,0)*载具属性!N$30+OFFSET(载具属性!N$33,AU134,0)*载具属性!O$30+OFFSET(载具属性!O$33,AV134,0)*载具属性!P$30</f>
        <v>4830</v>
      </c>
      <c r="Z134" s="40">
        <f ca="1">MATCH(SUM($T$7:T134),载具属性!$I$98:$I$497,1)</f>
        <v>112</v>
      </c>
      <c r="AA134" s="40">
        <f ca="1">OFFSET(载具产出!$F$399,IFERROR(MATCH(OFFSET($D134,0,MATCH($D$5,$E$6:$H$6,0)),载具产出!$E$112:$E$151,1),0),MATCH(AA$6,载具产出!$G$111:$O$111,0))*2</f>
        <v>18</v>
      </c>
      <c r="AB134" s="40">
        <f ca="1">OFFSET(载具产出!$F$399,IFERROR(MATCH(OFFSET($D134,0,MATCH($D$5,$E$6:$H$6,0)),载具产出!$E$112:$E$151,1),0),MATCH(AB$6,载具产出!$G$111:$O$111,0))*2</f>
        <v>22.64</v>
      </c>
      <c r="AC134" s="40">
        <f ca="1">OFFSET(载具产出!$F$399,IFERROR(MATCH(OFFSET($D134,0,MATCH($D$5,$E$6:$H$6,0)),载具产出!$E$112:$E$151,1),0),MATCH(AC$6,载具产出!$G$111:$O$111,0))*2</f>
        <v>3.36</v>
      </c>
      <c r="AD134" s="40">
        <f ca="1">OFFSET(载具产出!$F$399,IFERROR(MATCH(OFFSET($D134,0,MATCH($D$5,$E$6:$H$6,0)),载具产出!$E$112:$E$151,1),0),MATCH(AD$6,载具产出!$G$111:$O$111,0))*2</f>
        <v>0</v>
      </c>
      <c r="AE134" s="44">
        <f ca="1">SUM(AA$36:AA134)/3</f>
        <v>812.8</v>
      </c>
      <c r="AF134" s="44">
        <f ca="1">SUM(AB$36:AB134)/3</f>
        <v>839.493333333331</v>
      </c>
      <c r="AG134" s="44">
        <f ca="1">SUM(AC$36:AC134)/3</f>
        <v>71.0400000000001</v>
      </c>
      <c r="AH134" s="44">
        <f ca="1">SUM(AD$36:AD134)/3</f>
        <v>0</v>
      </c>
      <c r="AI134" s="44">
        <f>_xlfn.XLOOKUP($D$5,载具产出!$D$71:$D$75,载具产出!$E$71:$E$75)*(D134-30+1)</f>
        <v>1164.42857142858</v>
      </c>
      <c r="AJ134" s="44">
        <f>IFERROR(MATCH(_xlfn.XLOOKUP($D$5,载具产出!$D$71:$D$75,载具产出!$E$71:$E$75)*(D134-30+1)*10,载具产出!$E$60:$E$67,1),0)+1</f>
        <v>6</v>
      </c>
      <c r="AK134" s="44">
        <f ca="1">IF($AJ134=1,($AI134)*(10*OFFSET(载具产出!$D$45,MATCH(AK$6,$AK$6:$AN$6,0)-1,$AJ134)+OFFSET(载具产出!$D$49,MATCH(AK$6,$AK$6:$AN$6,0)-1,$AJ134)*OFFSET(载具产出!$N$49,MATCH(AK$6,$AK$6:$AN$6,0)-1,0)),OFFSET(载具产出!F$59,$AJ134-1,0)*10+OFFSET(载具产出!J$59,$AJ134-1,0)+($AI134*10-_xlfn.XLOOKUP($AJ134-1,载具产出!$D$59:$D$67,载具产出!$E$59:$E$67))/10*(10*OFFSET(载具产出!$D$45,MATCH(AK$6,$AK$6:$AN$6,0)-1,$AJ134)+OFFSET(载具产出!$D$49,MATCH(AK$6,$AK$6:$AN$6,0)-1,$AJ134)*OFFSET(载具产出!$N$49,MATCH(AK$6,$AK$6:$AN$6,0)-1,0)))</f>
        <v>2627.68885714288</v>
      </c>
      <c r="AL134" s="44">
        <f ca="1">IF($AJ134=1,($AI134)*(10*OFFSET(载具产出!$D$45,MATCH(AL$6,$AK$6:$AN$6,0)-1,$AJ134)+OFFSET(载具产出!$D$49,MATCH(AL$6,$AK$6:$AN$6,0)-1,$AJ134)*OFFSET(载具产出!$N$49,MATCH(AL$6,$AK$6:$AN$6,0)-1,0)),OFFSET(载具产出!G$59,$AJ134-1,0)*10+OFFSET(载具产出!K$59,$AJ134-1,0)+($AI134*10-_xlfn.XLOOKUP($AJ134-1,载具产出!$D$59:$D$67,载具产出!$E$59:$E$67))/10*(10*OFFSET(载具产出!$D$45,MATCH(AL$6,$AK$6:$AN$6,0)-1,$AJ134)+OFFSET(载具产出!$D$49,MATCH(AL$6,$AK$6:$AN$6,0)-1,$AJ134)*OFFSET(载具产出!$N$49,MATCH(AL$6,$AK$6:$AN$6,0)-1,0)))</f>
        <v>1006.88571428572</v>
      </c>
      <c r="AM134" s="44">
        <f ca="1">IF($AJ134=1,($AI134)*(10*OFFSET(载具产出!$D$45,MATCH(AM$6,$AK$6:$AN$6,0)-1,$AJ134)+OFFSET(载具产出!$D$49,MATCH(AM$6,$AK$6:$AN$6,0)-1,$AJ134)*OFFSET(载具产出!$N$49,MATCH(AM$6,$AK$6:$AN$6,0)-1,0)),OFFSET(载具产出!H$59,$AJ134-1,0)*10+OFFSET(载具产出!L$59,$AJ134-1,0)+($AI134*10-_xlfn.XLOOKUP($AJ134-1,载具产出!$D$59:$D$67,载具产出!$E$59:$E$67))/10*(10*OFFSET(载具产出!$D$45,MATCH(AM$6,$AK$6:$AN$6,0)-1,$AJ134)+OFFSET(载具产出!$D$49,MATCH(AM$6,$AK$6:$AN$6,0)-1,$AJ134)*OFFSET(载具产出!$N$49,MATCH(AM$6,$AK$6:$AN$6,0)-1,0)))</f>
        <v>533.876571428576</v>
      </c>
      <c r="AN134" s="44">
        <f ca="1">IF($AJ134=1,($AI134)*(10*OFFSET(载具产出!$D$45,MATCH(AN$6,$AK$6:$AN$6,0)-1,$AJ134)+OFFSET(载具产出!$D$49,MATCH(AN$6,$AK$6:$AN$6,0)-1,$AJ134)*OFFSET(载具产出!$N$49,MATCH(AN$6,$AK$6:$AN$6,0)-1,0)),OFFSET(载具产出!I$59,$AJ134-1,0)*10+OFFSET(载具产出!M$59,$AJ134-1,0)+($AI134*10-_xlfn.XLOOKUP($AJ134-1,载具产出!$D$59:$D$67,载具产出!$E$59:$E$67))/10*(10*OFFSET(载具产出!$D$45,MATCH(AN$6,$AK$6:$AN$6,0)-1,$AJ134)+OFFSET(载具产出!$D$49,MATCH(AN$6,$AK$6:$AN$6,0)-1,$AJ134)*OFFSET(载具产出!$N$49,MATCH(AN$6,$AK$6:$AN$6,0)-1,0)))</f>
        <v>158.419714285716</v>
      </c>
      <c r="AO134" s="44">
        <f ca="1" t="shared" si="22"/>
        <v>3440.48885714288</v>
      </c>
      <c r="AP134" s="44">
        <f ca="1" t="shared" si="23"/>
        <v>1846.37904761905</v>
      </c>
      <c r="AQ134" s="44">
        <f ca="1" t="shared" si="24"/>
        <v>604.916571428576</v>
      </c>
      <c r="AR134" s="44">
        <f ca="1" t="shared" si="25"/>
        <v>158.419714285716</v>
      </c>
      <c r="AS134" s="45">
        <f ca="1">IFERROR(MATCH(AO134/载具产出!R$58,载具属性!$G$33:$G$92,1),0)</f>
        <v>28</v>
      </c>
      <c r="AT134" s="45">
        <f ca="1">IFERROR(MATCH(AP134/载具产出!S$58,载具属性!$G$33:$G$92,1),0)</f>
        <v>20</v>
      </c>
      <c r="AU134" s="45">
        <f ca="1">IFERROR(MATCH(AQ134/载具产出!T$58,载具属性!$G$33:$G$92,1),0)</f>
        <v>10</v>
      </c>
      <c r="AV134" s="45">
        <f ca="1">IFERROR(MATCH(AR134/载具产出!U$58,载具属性!$G$33:$G$92,1),0)</f>
        <v>2</v>
      </c>
      <c r="AW134" s="46" t="str">
        <f ca="1" t="shared" si="26"/>
        <v>[{62,680},{63,74895},{2,204500},{6030001,2264},{6030002,2389},{6030003,197}]</v>
      </c>
      <c r="AX134" t="str">
        <f ca="1" t="shared" si="27"/>
        <v>{62,680}</v>
      </c>
      <c r="AY134" t="str">
        <f ca="1" t="shared" si="28"/>
        <v>{63,74895}</v>
      </c>
      <c r="AZ134" t="str">
        <f ca="1" t="shared" si="29"/>
        <v>{2,204500}</v>
      </c>
      <c r="BA134" t="str">
        <f ca="1" t="shared" si="30"/>
        <v>{6030001,2264}</v>
      </c>
      <c r="BB134" t="str">
        <f ca="1" t="shared" si="31"/>
        <v>{6030002,2389}</v>
      </c>
      <c r="BC134" t="str">
        <f ca="1" t="shared" si="32"/>
        <v>{6030003,197}</v>
      </c>
      <c r="BD134" t="str">
        <f ca="1" t="shared" si="33"/>
        <v/>
      </c>
    </row>
    <row r="135" spans="3:56">
      <c r="C135">
        <f ca="1" t="shared" si="21"/>
        <v>116.809210526316</v>
      </c>
      <c r="D135" s="40">
        <v>129</v>
      </c>
      <c r="E135" s="40">
        <f t="shared" si="36"/>
        <v>110</v>
      </c>
      <c r="F135" s="40">
        <v>130</v>
      </c>
      <c r="G135" s="41">
        <f t="shared" si="35"/>
        <v>152</v>
      </c>
      <c r="H135" s="40">
        <f>H134+1</f>
        <v>207</v>
      </c>
      <c r="I135" s="40">
        <f t="shared" si="20"/>
        <v>284</v>
      </c>
      <c r="J135" s="40">
        <f t="shared" si="34"/>
        <v>251</v>
      </c>
      <c r="K135" s="40">
        <f ca="1">SUM(U$36:U135)-SUM(OFFSET(载具产出!H$399,0,0,$R135+1,1))</f>
        <v>687</v>
      </c>
      <c r="L135" s="40">
        <f ca="1">SUM(T$36:T135)-SUM(OFFSET(载具产出!G$399,0,0,$R135+1,1))</f>
        <v>75835</v>
      </c>
      <c r="M135" s="40">
        <f ca="1">SUM(V$36:V135)/2-SUM(OFFSET(载具产出!I$399,0,0,$R135+1,1))</f>
        <v>207500</v>
      </c>
      <c r="N135" s="40">
        <f ca="1">SUM(AA$36:AA135)-SUM(OFFSET(载具产出!J$399,0,0,$R135+1,1))</f>
        <v>2282.6</v>
      </c>
      <c r="O135" s="40">
        <f ca="1">SUM(AB$36:AB135)-SUM(OFFSET(载具产出!K$399,0,0,$R135+1,1))</f>
        <v>2411.71999999999</v>
      </c>
      <c r="P135" s="40">
        <f ca="1">SUM(AC$36:AC135)-SUM(OFFSET(载具产出!L$399,0,0,$R135+1,1))</f>
        <v>200.68</v>
      </c>
      <c r="Q135" s="40">
        <f ca="1">SUM(AD$36:AD135)-SUM(OFFSET(载具产出!M$399,0,0,$R135+1,1))</f>
        <v>0</v>
      </c>
      <c r="R135" s="40">
        <v>13</v>
      </c>
      <c r="S135" s="40" t="str">
        <f ca="1">OFFSET(载具产出!$D$111,IFERROR(MATCH(OFFSET($D135,0,MATCH($D$5,$E$6:$H$6,0)),载具产出!$E$112:$E$151,1),0),0)</f>
        <v>珍惜Ⅰ</v>
      </c>
      <c r="T135" s="40">
        <f ca="1">OFFSET(载具产出!$F$399,IFERROR(MATCH(OFFSET($D135,0,MATCH($D$5,$E$6:$H$6,0)),载具产出!$E$400:$E$439,1),0),MATCH(T$6,载具产出!$G$399:$O$399,0))</f>
        <v>940</v>
      </c>
      <c r="U135" s="40">
        <v>7</v>
      </c>
      <c r="V135" s="40">
        <f ca="1">OFFSET(载具产出!$F$399,IFERROR(MATCH(OFFSET($D135,0,MATCH($D$5,$E$6:$H$6,0)),载具产出!$E$400:$E$439,1),0),MATCH(V$6,载具产出!$G$399:$O$399,0))</f>
        <v>6000</v>
      </c>
      <c r="W135" s="43">
        <f ca="1">_xlfn.XLOOKUP(Z135,载具属性!$E$98:$E$497,载具属性!$G$98:$G$497)+6000+OFFSET(载具属性!L$33,AS135,0)*载具属性!M$30+OFFSET(载具属性!M$33,AT135,0)*载具属性!N$30+OFFSET(载具属性!N$33,AU135,0)*载具属性!O$30+OFFSET(载具属性!O$33,AV135,0)*载具属性!P$30</f>
        <v>17755</v>
      </c>
      <c r="X135" s="43">
        <f ca="1">_xlfn.XLOOKUP(Z135,载具属性!$E$98:$E$497,载具属性!$G$98:$G$497)</f>
        <v>6850</v>
      </c>
      <c r="Y135" s="43">
        <f ca="1">OFFSET(载具属性!L$33,AS135,0)*载具属性!M$30+OFFSET(载具属性!M$33,AT135,0)*载具属性!N$30+OFFSET(载具属性!N$33,AU135,0)*载具属性!O$30+OFFSET(载具属性!O$33,AV135,0)*载具属性!P$30</f>
        <v>4905</v>
      </c>
      <c r="Z135" s="40">
        <f ca="1">MATCH(SUM($T$7:T135),载具属性!$I$98:$I$497,1)</f>
        <v>112</v>
      </c>
      <c r="AA135" s="40">
        <f ca="1">OFFSET(载具产出!$F$399,IFERROR(MATCH(OFFSET($D135,0,MATCH($D$5,$E$6:$H$6,0)),载具产出!$E$112:$E$151,1),0),MATCH(AA$6,载具产出!$G$111:$O$111,0))*2</f>
        <v>18</v>
      </c>
      <c r="AB135" s="40">
        <f ca="1">OFFSET(载具产出!$F$399,IFERROR(MATCH(OFFSET($D135,0,MATCH($D$5,$E$6:$H$6,0)),载具产出!$E$112:$E$151,1),0),MATCH(AB$6,载具产出!$G$111:$O$111,0))*2</f>
        <v>22.64</v>
      </c>
      <c r="AC135" s="40">
        <f ca="1">OFFSET(载具产出!$F$399,IFERROR(MATCH(OFFSET($D135,0,MATCH($D$5,$E$6:$H$6,0)),载具产出!$E$112:$E$151,1),0),MATCH(AC$6,载具产出!$G$111:$O$111,0))*2</f>
        <v>3.36</v>
      </c>
      <c r="AD135" s="40">
        <f ca="1">OFFSET(载具产出!$F$399,IFERROR(MATCH(OFFSET($D135,0,MATCH($D$5,$E$6:$H$6,0)),载具产出!$E$112:$E$151,1),0),MATCH(AD$6,载具产出!$G$111:$O$111,0))*2</f>
        <v>0</v>
      </c>
      <c r="AE135" s="44">
        <f ca="1">SUM(AA$36:AA135)/3</f>
        <v>818.8</v>
      </c>
      <c r="AF135" s="44">
        <f ca="1">SUM(AB$36:AB135)/3</f>
        <v>847.039999999998</v>
      </c>
      <c r="AG135" s="44">
        <f ca="1">SUM(AC$36:AC135)/3</f>
        <v>72.1600000000001</v>
      </c>
      <c r="AH135" s="44">
        <f ca="1">SUM(AD$36:AD135)/3</f>
        <v>0</v>
      </c>
      <c r="AI135" s="44">
        <f>_xlfn.XLOOKUP($D$5,载具产出!$D$71:$D$75,载具产出!$E$71:$E$75)*(D135-30+1)</f>
        <v>1176.19047619048</v>
      </c>
      <c r="AJ135" s="44">
        <f>IFERROR(MATCH(_xlfn.XLOOKUP($D$5,载具产出!$D$71:$D$75,载具产出!$E$71:$E$75)*(D135-30+1)*10,载具产出!$E$60:$E$67,1),0)+1</f>
        <v>6</v>
      </c>
      <c r="AK135" s="44">
        <f ca="1">IF($AJ135=1,($AI135)*(10*OFFSET(载具产出!$D$45,MATCH(AK$6,$AK$6:$AN$6,0)-1,$AJ135)+OFFSET(载具产出!$D$49,MATCH(AK$6,$AK$6:$AN$6,0)-1,$AJ135)*OFFSET(载具产出!$N$49,MATCH(AK$6,$AK$6:$AN$6,0)-1,0)),OFFSET(载具产出!F$59,$AJ135-1,0)*10+OFFSET(载具产出!J$59,$AJ135-1,0)+($AI135*10-_xlfn.XLOOKUP($AJ135-1,载具产出!$D$59:$D$67,载具产出!$E$59:$E$67))/10*(10*OFFSET(载具产出!$D$45,MATCH(AK$6,$AK$6:$AN$6,0)-1,$AJ135)+OFFSET(载具产出!$D$49,MATCH(AK$6,$AK$6:$AN$6,0)-1,$AJ135)*OFFSET(载具产出!$N$49,MATCH(AK$6,$AK$6:$AN$6,0)-1,0)))</f>
        <v>2653.23571428572</v>
      </c>
      <c r="AL135" s="44">
        <f ca="1">IF($AJ135=1,($AI135)*(10*OFFSET(载具产出!$D$45,MATCH(AL$6,$AK$6:$AN$6,0)-1,$AJ135)+OFFSET(载具产出!$D$49,MATCH(AL$6,$AK$6:$AN$6,0)-1,$AJ135)*OFFSET(载具产出!$N$49,MATCH(AL$6,$AK$6:$AN$6,0)-1,0)),OFFSET(载具产出!G$59,$AJ135-1,0)*10+OFFSET(载具产出!K$59,$AJ135-1,0)+($AI135*10-_xlfn.XLOOKUP($AJ135-1,载具产出!$D$59:$D$67,载具产出!$E$59:$E$67))/10*(10*OFFSET(载具产出!$D$45,MATCH(AL$6,$AK$6:$AN$6,0)-1,$AJ135)+OFFSET(载具产出!$D$49,MATCH(AL$6,$AK$6:$AN$6,0)-1,$AJ135)*OFFSET(载具产出!$N$49,MATCH(AL$6,$AK$6:$AN$6,0)-1,0)))</f>
        <v>1017.47142857143</v>
      </c>
      <c r="AM135" s="44">
        <f ca="1">IF($AJ135=1,($AI135)*(10*OFFSET(载具产出!$D$45,MATCH(AM$6,$AK$6:$AN$6,0)-1,$AJ135)+OFFSET(载具产出!$D$49,MATCH(AM$6,$AK$6:$AN$6,0)-1,$AJ135)*OFFSET(载具产出!$N$49,MATCH(AM$6,$AK$6:$AN$6,0)-1,0)),OFFSET(载具产出!H$59,$AJ135-1,0)*10+OFFSET(载具产出!L$59,$AJ135-1,0)+($AI135*10-_xlfn.XLOOKUP($AJ135-1,载具产出!$D$59:$D$67,载具产出!$E$59:$E$67))/10*(10*OFFSET(载具产出!$D$45,MATCH(AM$6,$AK$6:$AN$6,0)-1,$AJ135)+OFFSET(载具产出!$D$49,MATCH(AM$6,$AK$6:$AN$6,0)-1,$AJ135)*OFFSET(载具产出!$N$49,MATCH(AM$6,$AK$6:$AN$6,0)-1,0)))</f>
        <v>539.710476190478</v>
      </c>
      <c r="AN135" s="44">
        <f ca="1">IF($AJ135=1,($AI135)*(10*OFFSET(载具产出!$D$45,MATCH(AN$6,$AK$6:$AN$6,0)-1,$AJ135)+OFFSET(载具产出!$D$49,MATCH(AN$6,$AK$6:$AN$6,0)-1,$AJ135)*OFFSET(载具产出!$N$49,MATCH(AN$6,$AK$6:$AN$6,0)-1,0)),OFFSET(载具产出!I$59,$AJ135-1,0)*10+OFFSET(载具产出!M$59,$AJ135-1,0)+($AI135*10-_xlfn.XLOOKUP($AJ135-1,载具产出!$D$59:$D$67,载具产出!$E$59:$E$67))/10*(10*OFFSET(载具产出!$D$45,MATCH(AN$6,$AK$6:$AN$6,0)-1,$AJ135)+OFFSET(载具产出!$D$49,MATCH(AN$6,$AK$6:$AN$6,0)-1,$AJ135)*OFFSET(载具产出!$N$49,MATCH(AN$6,$AK$6:$AN$6,0)-1,0)))</f>
        <v>160.278095238096</v>
      </c>
      <c r="AO135" s="44">
        <f ca="1" t="shared" si="22"/>
        <v>3472.03571428572</v>
      </c>
      <c r="AP135" s="44">
        <f ca="1" t="shared" si="23"/>
        <v>1864.51142857143</v>
      </c>
      <c r="AQ135" s="44">
        <f ca="1" t="shared" si="24"/>
        <v>611.870476190478</v>
      </c>
      <c r="AR135" s="44">
        <f ca="1" t="shared" si="25"/>
        <v>160.278095238096</v>
      </c>
      <c r="AS135" s="45">
        <f ca="1">IFERROR(MATCH(AO135/载具产出!R$58,载具属性!$G$33:$G$92,1),0)</f>
        <v>28</v>
      </c>
      <c r="AT135" s="45">
        <f ca="1">IFERROR(MATCH(AP135/载具产出!S$58,载具属性!$G$33:$G$92,1),0)</f>
        <v>20</v>
      </c>
      <c r="AU135" s="45">
        <f ca="1">IFERROR(MATCH(AQ135/载具产出!T$58,载具属性!$G$33:$G$92,1),0)</f>
        <v>10</v>
      </c>
      <c r="AV135" s="45">
        <f ca="1">IFERROR(MATCH(AR135/载具产出!U$58,载具属性!$G$33:$G$92,1),0)</f>
        <v>3</v>
      </c>
      <c r="AW135" s="46" t="str">
        <f ca="1" t="shared" si="26"/>
        <v>[{62,687},{63,75835},{2,207500},{6030001,2282},{6030002,2411},{6030003,200}]</v>
      </c>
      <c r="AX135" t="str">
        <f ca="1" t="shared" si="27"/>
        <v>{62,687}</v>
      </c>
      <c r="AY135" t="str">
        <f ca="1" t="shared" si="28"/>
        <v>{63,75835}</v>
      </c>
      <c r="AZ135" t="str">
        <f ca="1" t="shared" si="29"/>
        <v>{2,207500}</v>
      </c>
      <c r="BA135" t="str">
        <f ca="1" t="shared" si="30"/>
        <v>{6030001,2282}</v>
      </c>
      <c r="BB135" t="str">
        <f ca="1" t="shared" si="31"/>
        <v>{6030002,2411}</v>
      </c>
      <c r="BC135" t="str">
        <f ca="1" t="shared" si="32"/>
        <v>{6030003,200}</v>
      </c>
      <c r="BD135" t="str">
        <f ca="1" t="shared" si="33"/>
        <v/>
      </c>
    </row>
    <row r="136" spans="3:56">
      <c r="C136">
        <f ca="1" t="shared" si="21"/>
        <v>116.928104575163</v>
      </c>
      <c r="D136" s="40">
        <v>130</v>
      </c>
      <c r="E136" s="40">
        <f t="shared" si="36"/>
        <v>110</v>
      </c>
      <c r="F136" s="40">
        <v>130</v>
      </c>
      <c r="G136" s="41">
        <f t="shared" si="35"/>
        <v>153</v>
      </c>
      <c r="H136" s="40">
        <f>H135</f>
        <v>207</v>
      </c>
      <c r="I136" s="40">
        <f t="shared" si="20"/>
        <v>286</v>
      </c>
      <c r="J136" s="40">
        <f t="shared" ref="J136:J167" si="37">MIN(INT(H136*(120-(D136-60))/120+(D136-60)/120*I136),I136)</f>
        <v>253</v>
      </c>
      <c r="K136" s="40">
        <f ca="1">SUM(U$36:U136)-SUM(OFFSET(载具产出!H$399,0,0,$R136+1,1))</f>
        <v>694</v>
      </c>
      <c r="L136" s="40">
        <f ca="1">SUM(T$36:T136)-SUM(OFFSET(载具产出!G$399,0,0,$R136+1,1))</f>
        <v>76775</v>
      </c>
      <c r="M136" s="40">
        <f ca="1">SUM(V$36:V136)/2-SUM(OFFSET(载具产出!I$399,0,0,$R136+1,1))</f>
        <v>210500</v>
      </c>
      <c r="N136" s="40">
        <f ca="1">SUM(AA$36:AA136)-SUM(OFFSET(载具产出!J$399,0,0,$R136+1,1))</f>
        <v>2300.6</v>
      </c>
      <c r="O136" s="40">
        <f ca="1">SUM(AB$36:AB136)-SUM(OFFSET(载具产出!K$399,0,0,$R136+1,1))</f>
        <v>2434.35999999999</v>
      </c>
      <c r="P136" s="40">
        <f ca="1">SUM(AC$36:AC136)-SUM(OFFSET(载具产出!L$399,0,0,$R136+1,1))</f>
        <v>204.04</v>
      </c>
      <c r="Q136" s="40">
        <f ca="1">SUM(AD$36:AD136)-SUM(OFFSET(载具产出!M$399,0,0,$R136+1,1))</f>
        <v>0</v>
      </c>
      <c r="R136" s="40">
        <v>13</v>
      </c>
      <c r="S136" s="40" t="str">
        <f ca="1">OFFSET(载具产出!$D$111,IFERROR(MATCH(OFFSET($D136,0,MATCH($D$5,$E$6:$H$6,0)),载具产出!$E$112:$E$151,1),0),0)</f>
        <v>珍惜Ⅰ</v>
      </c>
      <c r="T136" s="40">
        <f ca="1">OFFSET(载具产出!$F$399,IFERROR(MATCH(OFFSET($D136,0,MATCH($D$5,$E$6:$H$6,0)),载具产出!$E$400:$E$439,1),0),MATCH(T$6,载具产出!$G$399:$O$399,0))</f>
        <v>940</v>
      </c>
      <c r="U136" s="40">
        <v>7</v>
      </c>
      <c r="V136" s="40">
        <f ca="1">OFFSET(载具产出!$F$399,IFERROR(MATCH(OFFSET($D136,0,MATCH($D$5,$E$6:$H$6,0)),载具产出!$E$400:$E$439,1),0),MATCH(V$6,载具产出!$G$399:$O$399,0))</f>
        <v>6000</v>
      </c>
      <c r="W136" s="43">
        <f ca="1">_xlfn.XLOOKUP(Z136,载具属性!$E$98:$E$497,载具属性!$G$98:$G$497)+6000+OFFSET(载具属性!L$33,AS136,0)*载具属性!M$30+OFFSET(载具属性!M$33,AT136,0)*载具属性!N$30+OFFSET(载具属性!N$33,AU136,0)*载具属性!O$30+OFFSET(载具属性!O$33,AV136,0)*载具属性!P$30</f>
        <v>17890</v>
      </c>
      <c r="X136" s="43">
        <f ca="1">_xlfn.XLOOKUP(Z136,载具属性!$E$98:$E$497,载具属性!$G$98:$G$497)</f>
        <v>6925</v>
      </c>
      <c r="Y136" s="43">
        <f ca="1">OFFSET(载具属性!L$33,AS136,0)*载具属性!M$30+OFFSET(载具属性!M$33,AT136,0)*载具属性!N$30+OFFSET(载具属性!N$33,AU136,0)*载具属性!O$30+OFFSET(载具属性!O$33,AV136,0)*载具属性!P$30</f>
        <v>4965</v>
      </c>
      <c r="Z136" s="40">
        <f ca="1">MATCH(SUM($T$7:T136),载具属性!$I$98:$I$497,1)</f>
        <v>113</v>
      </c>
      <c r="AA136" s="40">
        <f ca="1">OFFSET(载具产出!$F$399,IFERROR(MATCH(OFFSET($D136,0,MATCH($D$5,$E$6:$H$6,0)),载具产出!$E$112:$E$151,1),0),MATCH(AA$6,载具产出!$G$111:$O$111,0))*2</f>
        <v>18</v>
      </c>
      <c r="AB136" s="40">
        <f ca="1">OFFSET(载具产出!$F$399,IFERROR(MATCH(OFFSET($D136,0,MATCH($D$5,$E$6:$H$6,0)),载具产出!$E$112:$E$151,1),0),MATCH(AB$6,载具产出!$G$111:$O$111,0))*2</f>
        <v>22.64</v>
      </c>
      <c r="AC136" s="40">
        <f ca="1">OFFSET(载具产出!$F$399,IFERROR(MATCH(OFFSET($D136,0,MATCH($D$5,$E$6:$H$6,0)),载具产出!$E$112:$E$151,1),0),MATCH(AC$6,载具产出!$G$111:$O$111,0))*2</f>
        <v>3.36</v>
      </c>
      <c r="AD136" s="40">
        <f ca="1">OFFSET(载具产出!$F$399,IFERROR(MATCH(OFFSET($D136,0,MATCH($D$5,$E$6:$H$6,0)),载具产出!$E$112:$E$151,1),0),MATCH(AD$6,载具产出!$G$111:$O$111,0))*2</f>
        <v>0</v>
      </c>
      <c r="AE136" s="44">
        <f ca="1">SUM(AA$36:AA136)/3</f>
        <v>824.8</v>
      </c>
      <c r="AF136" s="44">
        <f ca="1">SUM(AB$36:AB136)/3</f>
        <v>854.586666666665</v>
      </c>
      <c r="AG136" s="44">
        <f ca="1">SUM(AC$36:AC136)/3</f>
        <v>73.2800000000001</v>
      </c>
      <c r="AH136" s="44">
        <f ca="1">SUM(AD$36:AD136)/3</f>
        <v>0</v>
      </c>
      <c r="AI136" s="44">
        <f>_xlfn.XLOOKUP($D$5,载具产出!$D$71:$D$75,载具产出!$E$71:$E$75)*(D136-30+1)</f>
        <v>1187.95238095238</v>
      </c>
      <c r="AJ136" s="44">
        <f>IFERROR(MATCH(_xlfn.XLOOKUP($D$5,载具产出!$D$71:$D$75,载具产出!$E$71:$E$75)*(D136-30+1)*10,载具产出!$E$60:$E$67,1),0)+1</f>
        <v>6</v>
      </c>
      <c r="AK136" s="44">
        <f ca="1">IF($AJ136=1,($AI136)*(10*OFFSET(载具产出!$D$45,MATCH(AK$6,$AK$6:$AN$6,0)-1,$AJ136)+OFFSET(载具产出!$D$49,MATCH(AK$6,$AK$6:$AN$6,0)-1,$AJ136)*OFFSET(载具产出!$N$49,MATCH(AK$6,$AK$6:$AN$6,0)-1,0)),OFFSET(载具产出!F$59,$AJ136-1,0)*10+OFFSET(载具产出!J$59,$AJ136-1,0)+($AI136*10-_xlfn.XLOOKUP($AJ136-1,载具产出!$D$59:$D$67,载具产出!$E$59:$E$67))/10*(10*OFFSET(载具产出!$D$45,MATCH(AK$6,$AK$6:$AN$6,0)-1,$AJ136)+OFFSET(载具产出!$D$49,MATCH(AK$6,$AK$6:$AN$6,0)-1,$AJ136)*OFFSET(载具产出!$N$49,MATCH(AK$6,$AK$6:$AN$6,0)-1,0)))</f>
        <v>2678.78257142857</v>
      </c>
      <c r="AL136" s="44">
        <f ca="1">IF($AJ136=1,($AI136)*(10*OFFSET(载具产出!$D$45,MATCH(AL$6,$AK$6:$AN$6,0)-1,$AJ136)+OFFSET(载具产出!$D$49,MATCH(AL$6,$AK$6:$AN$6,0)-1,$AJ136)*OFFSET(载具产出!$N$49,MATCH(AL$6,$AK$6:$AN$6,0)-1,0)),OFFSET(载具产出!G$59,$AJ136-1,0)*10+OFFSET(载具产出!K$59,$AJ136-1,0)+($AI136*10-_xlfn.XLOOKUP($AJ136-1,载具产出!$D$59:$D$67,载具产出!$E$59:$E$67))/10*(10*OFFSET(载具产出!$D$45,MATCH(AL$6,$AK$6:$AN$6,0)-1,$AJ136)+OFFSET(载具产出!$D$49,MATCH(AL$6,$AK$6:$AN$6,0)-1,$AJ136)*OFFSET(载具产出!$N$49,MATCH(AL$6,$AK$6:$AN$6,0)-1,0)))</f>
        <v>1028.05714285714</v>
      </c>
      <c r="AM136" s="44">
        <f ca="1">IF($AJ136=1,($AI136)*(10*OFFSET(载具产出!$D$45,MATCH(AM$6,$AK$6:$AN$6,0)-1,$AJ136)+OFFSET(载具产出!$D$49,MATCH(AM$6,$AK$6:$AN$6,0)-1,$AJ136)*OFFSET(载具产出!$N$49,MATCH(AM$6,$AK$6:$AN$6,0)-1,0)),OFFSET(载具产出!H$59,$AJ136-1,0)*10+OFFSET(载具产出!L$59,$AJ136-1,0)+($AI136*10-_xlfn.XLOOKUP($AJ136-1,载具产出!$D$59:$D$67,载具产出!$E$59:$E$67))/10*(10*OFFSET(载具产出!$D$45,MATCH(AM$6,$AK$6:$AN$6,0)-1,$AJ136)+OFFSET(载具产出!$D$49,MATCH(AM$6,$AK$6:$AN$6,0)-1,$AJ136)*OFFSET(载具产出!$N$49,MATCH(AM$6,$AK$6:$AN$6,0)-1,0)))</f>
        <v>545.54438095238</v>
      </c>
      <c r="AN136" s="44">
        <f ca="1">IF($AJ136=1,($AI136)*(10*OFFSET(载具产出!$D$45,MATCH(AN$6,$AK$6:$AN$6,0)-1,$AJ136)+OFFSET(载具产出!$D$49,MATCH(AN$6,$AK$6:$AN$6,0)-1,$AJ136)*OFFSET(载具产出!$N$49,MATCH(AN$6,$AK$6:$AN$6,0)-1,0)),OFFSET(载具产出!I$59,$AJ136-1,0)*10+OFFSET(载具产出!M$59,$AJ136-1,0)+($AI136*10-_xlfn.XLOOKUP($AJ136-1,载具产出!$D$59:$D$67,载具产出!$E$59:$E$67))/10*(10*OFFSET(载具产出!$D$45,MATCH(AN$6,$AK$6:$AN$6,0)-1,$AJ136)+OFFSET(载具产出!$D$49,MATCH(AN$6,$AK$6:$AN$6,0)-1,$AJ136)*OFFSET(载具产出!$N$49,MATCH(AN$6,$AK$6:$AN$6,0)-1,0)))</f>
        <v>162.136476190476</v>
      </c>
      <c r="AO136" s="44">
        <f ca="1" t="shared" si="22"/>
        <v>3503.58257142857</v>
      </c>
      <c r="AP136" s="44">
        <f ca="1" t="shared" si="23"/>
        <v>1882.64380952381</v>
      </c>
      <c r="AQ136" s="44">
        <f ca="1" t="shared" si="24"/>
        <v>618.824380952381</v>
      </c>
      <c r="AR136" s="44">
        <f ca="1" t="shared" si="25"/>
        <v>162.136476190476</v>
      </c>
      <c r="AS136" s="45">
        <f ca="1">IFERROR(MATCH(AO136/载具产出!R$58,载具属性!$G$33:$G$92,1),0)</f>
        <v>29</v>
      </c>
      <c r="AT136" s="45">
        <f ca="1">IFERROR(MATCH(AP136/载具产出!S$58,载具属性!$G$33:$G$92,1),0)</f>
        <v>20</v>
      </c>
      <c r="AU136" s="45">
        <f ca="1">IFERROR(MATCH(AQ136/载具产出!T$58,载具属性!$G$33:$G$92,1),0)</f>
        <v>10</v>
      </c>
      <c r="AV136" s="45">
        <f ca="1">IFERROR(MATCH(AR136/载具产出!U$58,载具属性!$G$33:$G$92,1),0)</f>
        <v>3</v>
      </c>
      <c r="AW136" s="46" t="str">
        <f ca="1" t="shared" si="26"/>
        <v>[{62,694},{63,76775},{2,210500},{6030001,2300},{6030002,2434},{6030003,204}]</v>
      </c>
      <c r="AX136" t="str">
        <f ca="1" t="shared" si="27"/>
        <v>{62,694}</v>
      </c>
      <c r="AY136" t="str">
        <f ca="1" t="shared" si="28"/>
        <v>{63,76775}</v>
      </c>
      <c r="AZ136" t="str">
        <f ca="1" t="shared" si="29"/>
        <v>{2,210500}</v>
      </c>
      <c r="BA136" t="str">
        <f ca="1" t="shared" si="30"/>
        <v>{6030001,2300}</v>
      </c>
      <c r="BB136" t="str">
        <f ca="1" t="shared" si="31"/>
        <v>{6030002,2434}</v>
      </c>
      <c r="BC136" t="str">
        <f ca="1" t="shared" si="32"/>
        <v>{6030003,204}</v>
      </c>
      <c r="BD136" t="str">
        <f ca="1" t="shared" si="33"/>
        <v/>
      </c>
    </row>
    <row r="137" spans="3:56">
      <c r="C137">
        <f ca="1" t="shared" si="21"/>
        <v>117.418300653595</v>
      </c>
      <c r="D137" s="40">
        <v>131</v>
      </c>
      <c r="E137" s="40">
        <f t="shared" si="36"/>
        <v>110</v>
      </c>
      <c r="F137" s="40">
        <v>130</v>
      </c>
      <c r="G137" s="41">
        <f t="shared" si="35"/>
        <v>153</v>
      </c>
      <c r="H137" s="40">
        <f>H136+1</f>
        <v>208</v>
      </c>
      <c r="I137" s="40">
        <f t="shared" si="20"/>
        <v>288</v>
      </c>
      <c r="J137" s="40">
        <f t="shared" si="37"/>
        <v>255</v>
      </c>
      <c r="K137" s="40">
        <f ca="1">SUM(U$36:U137)-SUM(OFFSET(载具产出!H$399,0,0,$R137+1,1))</f>
        <v>701</v>
      </c>
      <c r="L137" s="40">
        <f ca="1">SUM(T$36:T137)-SUM(OFFSET(载具产出!G$399,0,0,$R137+1,1))</f>
        <v>77715</v>
      </c>
      <c r="M137" s="40">
        <f ca="1">SUM(V$36:V137)/2-SUM(OFFSET(载具产出!I$399,0,0,$R137+1,1))</f>
        <v>213500</v>
      </c>
      <c r="N137" s="40">
        <f ca="1">SUM(AA$36:AA137)-SUM(OFFSET(载具产出!J$399,0,0,$R137+1,1))</f>
        <v>2318.6</v>
      </c>
      <c r="O137" s="40">
        <f ca="1">SUM(AB$36:AB137)-SUM(OFFSET(载具产出!K$399,0,0,$R137+1,1))</f>
        <v>2456.99999999999</v>
      </c>
      <c r="P137" s="40">
        <f ca="1">SUM(AC$36:AC137)-SUM(OFFSET(载具产出!L$399,0,0,$R137+1,1))</f>
        <v>207.4</v>
      </c>
      <c r="Q137" s="40">
        <f ca="1">SUM(AD$36:AD137)-SUM(OFFSET(载具产出!M$399,0,0,$R137+1,1))</f>
        <v>0</v>
      </c>
      <c r="R137" s="40">
        <v>13</v>
      </c>
      <c r="S137" s="40" t="str">
        <f ca="1">OFFSET(载具产出!$D$111,IFERROR(MATCH(OFFSET($D137,0,MATCH($D$5,$E$6:$H$6,0)),载具产出!$E$112:$E$151,1),0),0)</f>
        <v>珍惜Ⅰ</v>
      </c>
      <c r="T137" s="40">
        <f ca="1">OFFSET(载具产出!$F$399,IFERROR(MATCH(OFFSET($D137,0,MATCH($D$5,$E$6:$H$6,0)),载具产出!$E$400:$E$439,1),0),MATCH(T$6,载具产出!$G$399:$O$399,0))</f>
        <v>940</v>
      </c>
      <c r="U137" s="40">
        <v>7</v>
      </c>
      <c r="V137" s="40">
        <f ca="1">OFFSET(载具产出!$F$399,IFERROR(MATCH(OFFSET($D137,0,MATCH($D$5,$E$6:$H$6,0)),载具产出!$E$400:$E$439,1),0),MATCH(V$6,载具产出!$G$399:$O$399,0))</f>
        <v>6000</v>
      </c>
      <c r="W137" s="43">
        <f ca="1">_xlfn.XLOOKUP(Z137,载具属性!$E$98:$E$497,载具属性!$G$98:$G$497)+6000+OFFSET(载具属性!L$33,AS137,0)*载具属性!M$30+OFFSET(载具属性!M$33,AT137,0)*载具属性!N$30+OFFSET(载具属性!N$33,AU137,0)*载具属性!O$30+OFFSET(载具属性!O$33,AV137,0)*载具属性!P$30</f>
        <v>17965</v>
      </c>
      <c r="X137" s="43">
        <f ca="1">_xlfn.XLOOKUP(Z137,载具属性!$E$98:$E$497,载具属性!$G$98:$G$497)</f>
        <v>7000</v>
      </c>
      <c r="Y137" s="43">
        <f ca="1">OFFSET(载具属性!L$33,AS137,0)*载具属性!M$30+OFFSET(载具属性!M$33,AT137,0)*载具属性!N$30+OFFSET(载具属性!N$33,AU137,0)*载具属性!O$30+OFFSET(载具属性!O$33,AV137,0)*载具属性!P$30</f>
        <v>4965</v>
      </c>
      <c r="Z137" s="40">
        <f ca="1">MATCH(SUM($T$7:T137),载具属性!$I$98:$I$497,1)</f>
        <v>114</v>
      </c>
      <c r="AA137" s="40">
        <f ca="1">OFFSET(载具产出!$F$399,IFERROR(MATCH(OFFSET($D137,0,MATCH($D$5,$E$6:$H$6,0)),载具产出!$E$112:$E$151,1),0),MATCH(AA$6,载具产出!$G$111:$O$111,0))*2</f>
        <v>18</v>
      </c>
      <c r="AB137" s="40">
        <f ca="1">OFFSET(载具产出!$F$399,IFERROR(MATCH(OFFSET($D137,0,MATCH($D$5,$E$6:$H$6,0)),载具产出!$E$112:$E$151,1),0),MATCH(AB$6,载具产出!$G$111:$O$111,0))*2</f>
        <v>22.64</v>
      </c>
      <c r="AC137" s="40">
        <f ca="1">OFFSET(载具产出!$F$399,IFERROR(MATCH(OFFSET($D137,0,MATCH($D$5,$E$6:$H$6,0)),载具产出!$E$112:$E$151,1),0),MATCH(AC$6,载具产出!$G$111:$O$111,0))*2</f>
        <v>3.36</v>
      </c>
      <c r="AD137" s="40">
        <f ca="1">OFFSET(载具产出!$F$399,IFERROR(MATCH(OFFSET($D137,0,MATCH($D$5,$E$6:$H$6,0)),载具产出!$E$112:$E$151,1),0),MATCH(AD$6,载具产出!$G$111:$O$111,0))*2</f>
        <v>0</v>
      </c>
      <c r="AE137" s="44">
        <f ca="1">SUM(AA$36:AA137)/3</f>
        <v>830.8</v>
      </c>
      <c r="AF137" s="44">
        <f ca="1">SUM(AB$36:AB137)/3</f>
        <v>862.133333333331</v>
      </c>
      <c r="AG137" s="44">
        <f ca="1">SUM(AC$36:AC137)/3</f>
        <v>74.4000000000001</v>
      </c>
      <c r="AH137" s="44">
        <f ca="1">SUM(AD$36:AD137)/3</f>
        <v>0</v>
      </c>
      <c r="AI137" s="44">
        <f>_xlfn.XLOOKUP($D$5,载具产出!$D$71:$D$75,载具产出!$E$71:$E$75)*(D137-30+1)</f>
        <v>1199.71428571429</v>
      </c>
      <c r="AJ137" s="44">
        <f>IFERROR(MATCH(_xlfn.XLOOKUP($D$5,载具产出!$D$71:$D$75,载具产出!$E$71:$E$75)*(D137-30+1)*10,载具产出!$E$60:$E$67,1),0)+1</f>
        <v>6</v>
      </c>
      <c r="AK137" s="44">
        <f ca="1">IF($AJ137=1,($AI137)*(10*OFFSET(载具产出!$D$45,MATCH(AK$6,$AK$6:$AN$6,0)-1,$AJ137)+OFFSET(载具产出!$D$49,MATCH(AK$6,$AK$6:$AN$6,0)-1,$AJ137)*OFFSET(载具产出!$N$49,MATCH(AK$6,$AK$6:$AN$6,0)-1,0)),OFFSET(载具产出!F$59,$AJ137-1,0)*10+OFFSET(载具产出!J$59,$AJ137-1,0)+($AI137*10-_xlfn.XLOOKUP($AJ137-1,载具产出!$D$59:$D$67,载具产出!$E$59:$E$67))/10*(10*OFFSET(载具产出!$D$45,MATCH(AK$6,$AK$6:$AN$6,0)-1,$AJ137)+OFFSET(载具产出!$D$49,MATCH(AK$6,$AK$6:$AN$6,0)-1,$AJ137)*OFFSET(载具产出!$N$49,MATCH(AK$6,$AK$6:$AN$6,0)-1,0)))</f>
        <v>2704.32942857144</v>
      </c>
      <c r="AL137" s="44">
        <f ca="1">IF($AJ137=1,($AI137)*(10*OFFSET(载具产出!$D$45,MATCH(AL$6,$AK$6:$AN$6,0)-1,$AJ137)+OFFSET(载具产出!$D$49,MATCH(AL$6,$AK$6:$AN$6,0)-1,$AJ137)*OFFSET(载具产出!$N$49,MATCH(AL$6,$AK$6:$AN$6,0)-1,0)),OFFSET(载具产出!G$59,$AJ137-1,0)*10+OFFSET(载具产出!K$59,$AJ137-1,0)+($AI137*10-_xlfn.XLOOKUP($AJ137-1,载具产出!$D$59:$D$67,载具产出!$E$59:$E$67))/10*(10*OFFSET(载具产出!$D$45,MATCH(AL$6,$AK$6:$AN$6,0)-1,$AJ137)+OFFSET(载具产出!$D$49,MATCH(AL$6,$AK$6:$AN$6,0)-1,$AJ137)*OFFSET(载具产出!$N$49,MATCH(AL$6,$AK$6:$AN$6,0)-1,0)))</f>
        <v>1038.64285714286</v>
      </c>
      <c r="AM137" s="44">
        <f ca="1">IF($AJ137=1,($AI137)*(10*OFFSET(载具产出!$D$45,MATCH(AM$6,$AK$6:$AN$6,0)-1,$AJ137)+OFFSET(载具产出!$D$49,MATCH(AM$6,$AK$6:$AN$6,0)-1,$AJ137)*OFFSET(载具产出!$N$49,MATCH(AM$6,$AK$6:$AN$6,0)-1,0)),OFFSET(载具产出!H$59,$AJ137-1,0)*10+OFFSET(载具产出!L$59,$AJ137-1,0)+($AI137*10-_xlfn.XLOOKUP($AJ137-1,载具产出!$D$59:$D$67,载具产出!$E$59:$E$67))/10*(10*OFFSET(载具产出!$D$45,MATCH(AM$6,$AK$6:$AN$6,0)-1,$AJ137)+OFFSET(载具产出!$D$49,MATCH(AM$6,$AK$6:$AN$6,0)-1,$AJ137)*OFFSET(载具产出!$N$49,MATCH(AM$6,$AK$6:$AN$6,0)-1,0)))</f>
        <v>551.378285714288</v>
      </c>
      <c r="AN137" s="44">
        <f ca="1">IF($AJ137=1,($AI137)*(10*OFFSET(载具产出!$D$45,MATCH(AN$6,$AK$6:$AN$6,0)-1,$AJ137)+OFFSET(载具产出!$D$49,MATCH(AN$6,$AK$6:$AN$6,0)-1,$AJ137)*OFFSET(载具产出!$N$49,MATCH(AN$6,$AK$6:$AN$6,0)-1,0)),OFFSET(载具产出!I$59,$AJ137-1,0)*10+OFFSET(载具产出!M$59,$AJ137-1,0)+($AI137*10-_xlfn.XLOOKUP($AJ137-1,载具产出!$D$59:$D$67,载具产出!$E$59:$E$67))/10*(10*OFFSET(载具产出!$D$45,MATCH(AN$6,$AK$6:$AN$6,0)-1,$AJ137)+OFFSET(载具产出!$D$49,MATCH(AN$6,$AK$6:$AN$6,0)-1,$AJ137)*OFFSET(载具产出!$N$49,MATCH(AN$6,$AK$6:$AN$6,0)-1,0)))</f>
        <v>163.994857142858</v>
      </c>
      <c r="AO137" s="44">
        <f ca="1" t="shared" si="22"/>
        <v>3535.12942857144</v>
      </c>
      <c r="AP137" s="44">
        <f ca="1" t="shared" si="23"/>
        <v>1900.77619047619</v>
      </c>
      <c r="AQ137" s="44">
        <f ca="1" t="shared" si="24"/>
        <v>625.778285714288</v>
      </c>
      <c r="AR137" s="44">
        <f ca="1" t="shared" si="25"/>
        <v>163.994857142858</v>
      </c>
      <c r="AS137" s="45">
        <f ca="1">IFERROR(MATCH(AO137/载具产出!R$58,载具属性!$G$33:$G$92,1),0)</f>
        <v>29</v>
      </c>
      <c r="AT137" s="45">
        <f ca="1">IFERROR(MATCH(AP137/载具产出!S$58,载具属性!$G$33:$G$92,1),0)</f>
        <v>20</v>
      </c>
      <c r="AU137" s="45">
        <f ca="1">IFERROR(MATCH(AQ137/载具产出!T$58,载具属性!$G$33:$G$92,1),0)</f>
        <v>10</v>
      </c>
      <c r="AV137" s="45">
        <f ca="1">IFERROR(MATCH(AR137/载具产出!U$58,载具属性!$G$33:$G$92,1),0)</f>
        <v>3</v>
      </c>
      <c r="AW137" s="46" t="str">
        <f ca="1" t="shared" si="26"/>
        <v>[{62,701},{63,77715},{2,213500},{6030001,2318},{6030002,2456},{6030003,207}]</v>
      </c>
      <c r="AX137" t="str">
        <f ca="1" t="shared" si="27"/>
        <v>{62,701}</v>
      </c>
      <c r="AY137" t="str">
        <f ca="1" t="shared" si="28"/>
        <v>{63,77715}</v>
      </c>
      <c r="AZ137" t="str">
        <f ca="1" t="shared" si="29"/>
        <v>{2,213500}</v>
      </c>
      <c r="BA137" t="str">
        <f ca="1" t="shared" si="30"/>
        <v>{6030001,2318}</v>
      </c>
      <c r="BB137" t="str">
        <f ca="1" t="shared" si="31"/>
        <v>{6030002,2456}</v>
      </c>
      <c r="BC137" t="str">
        <f ca="1" t="shared" si="32"/>
        <v>{6030003,207}</v>
      </c>
      <c r="BD137" t="str">
        <f ca="1" t="shared" si="33"/>
        <v/>
      </c>
    </row>
    <row r="138" spans="3:56">
      <c r="C138">
        <f ca="1" t="shared" si="21"/>
        <v>117.435064935065</v>
      </c>
      <c r="D138" s="40">
        <v>132</v>
      </c>
      <c r="E138" s="40">
        <f t="shared" si="36"/>
        <v>110</v>
      </c>
      <c r="F138" s="40">
        <v>131</v>
      </c>
      <c r="G138" s="41">
        <f t="shared" si="35"/>
        <v>154</v>
      </c>
      <c r="H138" s="40">
        <f>H137</f>
        <v>208</v>
      </c>
      <c r="I138" s="40">
        <f t="shared" si="20"/>
        <v>290</v>
      </c>
      <c r="J138" s="40">
        <f t="shared" si="37"/>
        <v>257</v>
      </c>
      <c r="K138" s="40">
        <f ca="1">SUM(U$36:U138)-SUM(OFFSET(载具产出!H$399,0,0,$R138+1,1))</f>
        <v>708</v>
      </c>
      <c r="L138" s="40">
        <f ca="1">SUM(T$36:T138)-SUM(OFFSET(载具产出!G$399,0,0,$R138+1,1))</f>
        <v>78655</v>
      </c>
      <c r="M138" s="40">
        <f ca="1">SUM(V$36:V138)/2-SUM(OFFSET(载具产出!I$399,0,0,$R138+1,1))</f>
        <v>216500</v>
      </c>
      <c r="N138" s="40">
        <f ca="1">SUM(AA$36:AA138)-SUM(OFFSET(载具产出!J$399,0,0,$R138+1,1))</f>
        <v>2336.6</v>
      </c>
      <c r="O138" s="40">
        <f ca="1">SUM(AB$36:AB138)-SUM(OFFSET(载具产出!K$399,0,0,$R138+1,1))</f>
        <v>2479.63999999999</v>
      </c>
      <c r="P138" s="40">
        <f ca="1">SUM(AC$36:AC138)-SUM(OFFSET(载具产出!L$399,0,0,$R138+1,1))</f>
        <v>210.76</v>
      </c>
      <c r="Q138" s="40">
        <f ca="1">SUM(AD$36:AD138)-SUM(OFFSET(载具产出!M$399,0,0,$R138+1,1))</f>
        <v>0</v>
      </c>
      <c r="R138" s="40">
        <v>13</v>
      </c>
      <c r="S138" s="40" t="str">
        <f ca="1">OFFSET(载具产出!$D$111,IFERROR(MATCH(OFFSET($D138,0,MATCH($D$5,$E$6:$H$6,0)),载具产出!$E$112:$E$151,1),0),0)</f>
        <v>珍惜Ⅰ</v>
      </c>
      <c r="T138" s="40">
        <f ca="1">OFFSET(载具产出!$F$399,IFERROR(MATCH(OFFSET($D138,0,MATCH($D$5,$E$6:$H$6,0)),载具产出!$E$400:$E$439,1),0),MATCH(T$6,载具产出!$G$399:$O$399,0))</f>
        <v>940</v>
      </c>
      <c r="U138" s="40">
        <v>7</v>
      </c>
      <c r="V138" s="40">
        <f ca="1">OFFSET(载具产出!$F$399,IFERROR(MATCH(OFFSET($D138,0,MATCH($D$5,$E$6:$H$6,0)),载具产出!$E$400:$E$439,1),0),MATCH(V$6,载具产出!$G$399:$O$399,0))</f>
        <v>6000</v>
      </c>
      <c r="W138" s="43">
        <f ca="1">_xlfn.XLOOKUP(Z138,载具属性!$E$98:$E$497,载具属性!$G$98:$G$497)+6000+OFFSET(载具属性!L$33,AS138,0)*载具属性!M$30+OFFSET(载具属性!M$33,AT138,0)*载具属性!N$30+OFFSET(载具属性!N$33,AU138,0)*载具属性!O$30+OFFSET(载具属性!O$33,AV138,0)*载具属性!P$30</f>
        <v>18085</v>
      </c>
      <c r="X138" s="43">
        <f ca="1">_xlfn.XLOOKUP(Z138,载具属性!$E$98:$E$497,载具属性!$G$98:$G$497)</f>
        <v>7000</v>
      </c>
      <c r="Y138" s="43">
        <f ca="1">OFFSET(载具属性!L$33,AS138,0)*载具属性!M$30+OFFSET(载具属性!M$33,AT138,0)*载具属性!N$30+OFFSET(载具属性!N$33,AU138,0)*载具属性!O$30+OFFSET(载具属性!O$33,AV138,0)*载具属性!P$30</f>
        <v>5085</v>
      </c>
      <c r="Z138" s="40">
        <f ca="1">MATCH(SUM($T$7:T138),载具属性!$I$98:$I$497,1)</f>
        <v>114</v>
      </c>
      <c r="AA138" s="40">
        <f ca="1">OFFSET(载具产出!$F$399,IFERROR(MATCH(OFFSET($D138,0,MATCH($D$5,$E$6:$H$6,0)),载具产出!$E$112:$E$151,1),0),MATCH(AA$6,载具产出!$G$111:$O$111,0))*2</f>
        <v>18</v>
      </c>
      <c r="AB138" s="40">
        <f ca="1">OFFSET(载具产出!$F$399,IFERROR(MATCH(OFFSET($D138,0,MATCH($D$5,$E$6:$H$6,0)),载具产出!$E$112:$E$151,1),0),MATCH(AB$6,载具产出!$G$111:$O$111,0))*2</f>
        <v>22.64</v>
      </c>
      <c r="AC138" s="40">
        <f ca="1">OFFSET(载具产出!$F$399,IFERROR(MATCH(OFFSET($D138,0,MATCH($D$5,$E$6:$H$6,0)),载具产出!$E$112:$E$151,1),0),MATCH(AC$6,载具产出!$G$111:$O$111,0))*2</f>
        <v>3.36</v>
      </c>
      <c r="AD138" s="40">
        <f ca="1">OFFSET(载具产出!$F$399,IFERROR(MATCH(OFFSET($D138,0,MATCH($D$5,$E$6:$H$6,0)),载具产出!$E$112:$E$151,1),0),MATCH(AD$6,载具产出!$G$111:$O$111,0))*2</f>
        <v>0</v>
      </c>
      <c r="AE138" s="44">
        <f ca="1">SUM(AA$36:AA138)/3</f>
        <v>836.8</v>
      </c>
      <c r="AF138" s="44">
        <f ca="1">SUM(AB$36:AB138)/3</f>
        <v>869.679999999998</v>
      </c>
      <c r="AG138" s="44">
        <f ca="1">SUM(AC$36:AC138)/3</f>
        <v>75.5200000000001</v>
      </c>
      <c r="AH138" s="44">
        <f ca="1">SUM(AD$36:AD138)/3</f>
        <v>0</v>
      </c>
      <c r="AI138" s="44">
        <f>_xlfn.XLOOKUP($D$5,载具产出!$D$71:$D$75,载具产出!$E$71:$E$75)*(D138-30+1)</f>
        <v>1211.47619047619</v>
      </c>
      <c r="AJ138" s="44">
        <f>IFERROR(MATCH(_xlfn.XLOOKUP($D$5,载具产出!$D$71:$D$75,载具产出!$E$71:$E$75)*(D138-30+1)*10,载具产出!$E$60:$E$67,1),0)+1</f>
        <v>6</v>
      </c>
      <c r="AK138" s="44">
        <f ca="1">IF($AJ138=1,($AI138)*(10*OFFSET(载具产出!$D$45,MATCH(AK$6,$AK$6:$AN$6,0)-1,$AJ138)+OFFSET(载具产出!$D$49,MATCH(AK$6,$AK$6:$AN$6,0)-1,$AJ138)*OFFSET(载具产出!$N$49,MATCH(AK$6,$AK$6:$AN$6,0)-1,0)),OFFSET(载具产出!F$59,$AJ138-1,0)*10+OFFSET(载具产出!J$59,$AJ138-1,0)+($AI138*10-_xlfn.XLOOKUP($AJ138-1,载具产出!$D$59:$D$67,载具产出!$E$59:$E$67))/10*(10*OFFSET(载具产出!$D$45,MATCH(AK$6,$AK$6:$AN$6,0)-1,$AJ138)+OFFSET(载具产出!$D$49,MATCH(AK$6,$AK$6:$AN$6,0)-1,$AJ138)*OFFSET(载具产出!$N$49,MATCH(AK$6,$AK$6:$AN$6,0)-1,0)))</f>
        <v>2729.87628571428</v>
      </c>
      <c r="AL138" s="44">
        <f ca="1">IF($AJ138=1,($AI138)*(10*OFFSET(载具产出!$D$45,MATCH(AL$6,$AK$6:$AN$6,0)-1,$AJ138)+OFFSET(载具产出!$D$49,MATCH(AL$6,$AK$6:$AN$6,0)-1,$AJ138)*OFFSET(载具产出!$N$49,MATCH(AL$6,$AK$6:$AN$6,0)-1,0)),OFFSET(载具产出!G$59,$AJ138-1,0)*10+OFFSET(载具产出!K$59,$AJ138-1,0)+($AI138*10-_xlfn.XLOOKUP($AJ138-1,载具产出!$D$59:$D$67,载具产出!$E$59:$E$67))/10*(10*OFFSET(载具产出!$D$45,MATCH(AL$6,$AK$6:$AN$6,0)-1,$AJ138)+OFFSET(载具产出!$D$49,MATCH(AL$6,$AK$6:$AN$6,0)-1,$AJ138)*OFFSET(载具产出!$N$49,MATCH(AL$6,$AK$6:$AN$6,0)-1,0)))</f>
        <v>1049.22857142857</v>
      </c>
      <c r="AM138" s="44">
        <f ca="1">IF($AJ138=1,($AI138)*(10*OFFSET(载具产出!$D$45,MATCH(AM$6,$AK$6:$AN$6,0)-1,$AJ138)+OFFSET(载具产出!$D$49,MATCH(AM$6,$AK$6:$AN$6,0)-1,$AJ138)*OFFSET(载具产出!$N$49,MATCH(AM$6,$AK$6:$AN$6,0)-1,0)),OFFSET(载具产出!H$59,$AJ138-1,0)*10+OFFSET(载具产出!L$59,$AJ138-1,0)+($AI138*10-_xlfn.XLOOKUP($AJ138-1,载具产出!$D$59:$D$67,载具产出!$E$59:$E$67))/10*(10*OFFSET(载具产出!$D$45,MATCH(AM$6,$AK$6:$AN$6,0)-1,$AJ138)+OFFSET(载具产出!$D$49,MATCH(AM$6,$AK$6:$AN$6,0)-1,$AJ138)*OFFSET(载具产出!$N$49,MATCH(AM$6,$AK$6:$AN$6,0)-1,0)))</f>
        <v>557.21219047619</v>
      </c>
      <c r="AN138" s="44">
        <f ca="1">IF($AJ138=1,($AI138)*(10*OFFSET(载具产出!$D$45,MATCH(AN$6,$AK$6:$AN$6,0)-1,$AJ138)+OFFSET(载具产出!$D$49,MATCH(AN$6,$AK$6:$AN$6,0)-1,$AJ138)*OFFSET(载具产出!$N$49,MATCH(AN$6,$AK$6:$AN$6,0)-1,0)),OFFSET(载具产出!I$59,$AJ138-1,0)*10+OFFSET(载具产出!M$59,$AJ138-1,0)+($AI138*10-_xlfn.XLOOKUP($AJ138-1,载具产出!$D$59:$D$67,载具产出!$E$59:$E$67))/10*(10*OFFSET(载具产出!$D$45,MATCH(AN$6,$AK$6:$AN$6,0)-1,$AJ138)+OFFSET(载具产出!$D$49,MATCH(AN$6,$AK$6:$AN$6,0)-1,$AJ138)*OFFSET(载具产出!$N$49,MATCH(AN$6,$AK$6:$AN$6,0)-1,0)))</f>
        <v>165.853238095238</v>
      </c>
      <c r="AO138" s="44">
        <f ca="1" t="shared" si="22"/>
        <v>3566.67628571428</v>
      </c>
      <c r="AP138" s="44">
        <f ca="1" t="shared" si="23"/>
        <v>1918.90857142857</v>
      </c>
      <c r="AQ138" s="44">
        <f ca="1" t="shared" si="24"/>
        <v>632.73219047619</v>
      </c>
      <c r="AR138" s="44">
        <f ca="1" t="shared" si="25"/>
        <v>165.853238095238</v>
      </c>
      <c r="AS138" s="45">
        <f ca="1">IFERROR(MATCH(AO138/载具产出!R$58,载具属性!$G$33:$G$92,1),0)</f>
        <v>29</v>
      </c>
      <c r="AT138" s="45">
        <f ca="1">IFERROR(MATCH(AP138/载具产出!S$58,载具属性!$G$33:$G$92,1),0)</f>
        <v>20</v>
      </c>
      <c r="AU138" s="45">
        <f ca="1">IFERROR(MATCH(AQ138/载具产出!T$58,载具属性!$G$33:$G$92,1),0)</f>
        <v>11</v>
      </c>
      <c r="AV138" s="45">
        <f ca="1">IFERROR(MATCH(AR138/载具产出!U$58,载具属性!$G$33:$G$92,1),0)</f>
        <v>3</v>
      </c>
      <c r="AW138" s="46" t="str">
        <f ca="1" t="shared" si="26"/>
        <v>[{62,708},{63,78655},{2,216500},{6030001,2336},{6030002,2479},{6030003,210}]</v>
      </c>
      <c r="AX138" t="str">
        <f ca="1" t="shared" si="27"/>
        <v>{62,708}</v>
      </c>
      <c r="AY138" t="str">
        <f ca="1" t="shared" si="28"/>
        <v>{63,78655}</v>
      </c>
      <c r="AZ138" t="str">
        <f ca="1" t="shared" si="29"/>
        <v>{2,216500}</v>
      </c>
      <c r="BA138" t="str">
        <f ca="1" t="shared" si="30"/>
        <v>{6030001,2336}</v>
      </c>
      <c r="BB138" t="str">
        <f ca="1" t="shared" si="31"/>
        <v>{6030002,2479}</v>
      </c>
      <c r="BC138" t="str">
        <f ca="1" t="shared" si="32"/>
        <v>{6030003,210}</v>
      </c>
      <c r="BD138" t="str">
        <f ca="1" t="shared" si="33"/>
        <v/>
      </c>
    </row>
    <row r="139" spans="3:56">
      <c r="C139">
        <f ca="1" t="shared" si="21"/>
        <v>117.922077922078</v>
      </c>
      <c r="D139" s="40">
        <v>133</v>
      </c>
      <c r="E139" s="40">
        <f t="shared" si="36"/>
        <v>111</v>
      </c>
      <c r="F139" s="40">
        <v>131</v>
      </c>
      <c r="G139" s="41">
        <f t="shared" si="35"/>
        <v>154</v>
      </c>
      <c r="H139" s="40">
        <f>H138+1</f>
        <v>209</v>
      </c>
      <c r="I139" s="40">
        <f t="shared" si="20"/>
        <v>292</v>
      </c>
      <c r="J139" s="40">
        <f t="shared" si="37"/>
        <v>259</v>
      </c>
      <c r="K139" s="40">
        <f ca="1">SUM(U$36:U139)-SUM(OFFSET(载具产出!H$399,0,0,$R139+1,1))</f>
        <v>715</v>
      </c>
      <c r="L139" s="40">
        <f ca="1">SUM(T$36:T139)-SUM(OFFSET(载具产出!G$399,0,0,$R139+1,1))</f>
        <v>79595</v>
      </c>
      <c r="M139" s="40">
        <f ca="1">SUM(V$36:V139)/2-SUM(OFFSET(载具产出!I$399,0,0,$R139+1,1))</f>
        <v>219500</v>
      </c>
      <c r="N139" s="40">
        <f ca="1">SUM(AA$36:AA139)-SUM(OFFSET(载具产出!J$399,0,0,$R139+1,1))</f>
        <v>2354.6</v>
      </c>
      <c r="O139" s="40">
        <f ca="1">SUM(AB$36:AB139)-SUM(OFFSET(载具产出!K$399,0,0,$R139+1,1))</f>
        <v>2502.27999999999</v>
      </c>
      <c r="P139" s="40">
        <f ca="1">SUM(AC$36:AC139)-SUM(OFFSET(载具产出!L$399,0,0,$R139+1,1))</f>
        <v>214.12</v>
      </c>
      <c r="Q139" s="40">
        <f ca="1">SUM(AD$36:AD139)-SUM(OFFSET(载具产出!M$399,0,0,$R139+1,1))</f>
        <v>0</v>
      </c>
      <c r="R139" s="40">
        <v>13</v>
      </c>
      <c r="S139" s="40" t="str">
        <f ca="1">OFFSET(载具产出!$D$111,IFERROR(MATCH(OFFSET($D139,0,MATCH($D$5,$E$6:$H$6,0)),载具产出!$E$112:$E$151,1),0),0)</f>
        <v>珍惜Ⅰ</v>
      </c>
      <c r="T139" s="40">
        <f ca="1">OFFSET(载具产出!$F$399,IFERROR(MATCH(OFFSET($D139,0,MATCH($D$5,$E$6:$H$6,0)),载具产出!$E$400:$E$439,1),0),MATCH(T$6,载具产出!$G$399:$O$399,0))</f>
        <v>940</v>
      </c>
      <c r="U139" s="40">
        <v>7</v>
      </c>
      <c r="V139" s="40">
        <f ca="1">OFFSET(载具产出!$F$399,IFERROR(MATCH(OFFSET($D139,0,MATCH($D$5,$E$6:$H$6,0)),载具产出!$E$400:$E$439,1),0),MATCH(V$6,载具产出!$G$399:$O$399,0))</f>
        <v>6000</v>
      </c>
      <c r="W139" s="43">
        <f ca="1">_xlfn.XLOOKUP(Z139,载具属性!$E$98:$E$497,载具属性!$G$98:$G$497)+6000+OFFSET(载具属性!L$33,AS139,0)*载具属性!M$30+OFFSET(载具属性!M$33,AT139,0)*载具属性!N$30+OFFSET(载具属性!N$33,AU139,0)*载具属性!O$30+OFFSET(载具属性!O$33,AV139,0)*载具属性!P$30</f>
        <v>18160</v>
      </c>
      <c r="X139" s="43">
        <f ca="1">_xlfn.XLOOKUP(Z139,载具属性!$E$98:$E$497,载具属性!$G$98:$G$497)</f>
        <v>7075</v>
      </c>
      <c r="Y139" s="43">
        <f ca="1">OFFSET(载具属性!L$33,AS139,0)*载具属性!M$30+OFFSET(载具属性!M$33,AT139,0)*载具属性!N$30+OFFSET(载具属性!N$33,AU139,0)*载具属性!O$30+OFFSET(载具属性!O$33,AV139,0)*载具属性!P$30</f>
        <v>5085</v>
      </c>
      <c r="Z139" s="40">
        <f ca="1">MATCH(SUM($T$7:T139),载具属性!$I$98:$I$497,1)</f>
        <v>115</v>
      </c>
      <c r="AA139" s="40">
        <f ca="1">OFFSET(载具产出!$F$399,IFERROR(MATCH(OFFSET($D139,0,MATCH($D$5,$E$6:$H$6,0)),载具产出!$E$112:$E$151,1),0),MATCH(AA$6,载具产出!$G$111:$O$111,0))*2</f>
        <v>18</v>
      </c>
      <c r="AB139" s="40">
        <f ca="1">OFFSET(载具产出!$F$399,IFERROR(MATCH(OFFSET($D139,0,MATCH($D$5,$E$6:$H$6,0)),载具产出!$E$112:$E$151,1),0),MATCH(AB$6,载具产出!$G$111:$O$111,0))*2</f>
        <v>22.64</v>
      </c>
      <c r="AC139" s="40">
        <f ca="1">OFFSET(载具产出!$F$399,IFERROR(MATCH(OFFSET($D139,0,MATCH($D$5,$E$6:$H$6,0)),载具产出!$E$112:$E$151,1),0),MATCH(AC$6,载具产出!$G$111:$O$111,0))*2</f>
        <v>3.36</v>
      </c>
      <c r="AD139" s="40">
        <f ca="1">OFFSET(载具产出!$F$399,IFERROR(MATCH(OFFSET($D139,0,MATCH($D$5,$E$6:$H$6,0)),载具产出!$E$112:$E$151,1),0),MATCH(AD$6,载具产出!$G$111:$O$111,0))*2</f>
        <v>0</v>
      </c>
      <c r="AE139" s="44">
        <f ca="1">SUM(AA$36:AA139)/3</f>
        <v>842.8</v>
      </c>
      <c r="AF139" s="44">
        <f ca="1">SUM(AB$36:AB139)/3</f>
        <v>877.226666666665</v>
      </c>
      <c r="AG139" s="44">
        <f ca="1">SUM(AC$36:AC139)/3</f>
        <v>76.6400000000001</v>
      </c>
      <c r="AH139" s="44">
        <f ca="1">SUM(AD$36:AD139)/3</f>
        <v>0</v>
      </c>
      <c r="AI139" s="44">
        <f>_xlfn.XLOOKUP($D$5,载具产出!$D$71:$D$75,载具产出!$E$71:$E$75)*(D139-30+1)</f>
        <v>1223.2380952381</v>
      </c>
      <c r="AJ139" s="44">
        <f>IFERROR(MATCH(_xlfn.XLOOKUP($D$5,载具产出!$D$71:$D$75,载具产出!$E$71:$E$75)*(D139-30+1)*10,载具产出!$E$60:$E$67,1),0)+1</f>
        <v>6</v>
      </c>
      <c r="AK139" s="44">
        <f ca="1">IF($AJ139=1,($AI139)*(10*OFFSET(载具产出!$D$45,MATCH(AK$6,$AK$6:$AN$6,0)-1,$AJ139)+OFFSET(载具产出!$D$49,MATCH(AK$6,$AK$6:$AN$6,0)-1,$AJ139)*OFFSET(载具产出!$N$49,MATCH(AK$6,$AK$6:$AN$6,0)-1,0)),OFFSET(载具产出!F$59,$AJ139-1,0)*10+OFFSET(载具产出!J$59,$AJ139-1,0)+($AI139*10-_xlfn.XLOOKUP($AJ139-1,载具产出!$D$59:$D$67,载具产出!$E$59:$E$67))/10*(10*OFFSET(载具产出!$D$45,MATCH(AK$6,$AK$6:$AN$6,0)-1,$AJ139)+OFFSET(载具产出!$D$49,MATCH(AK$6,$AK$6:$AN$6,0)-1,$AJ139)*OFFSET(载具产出!$N$49,MATCH(AK$6,$AK$6:$AN$6,0)-1,0)))</f>
        <v>2755.42314285715</v>
      </c>
      <c r="AL139" s="44">
        <f ca="1">IF($AJ139=1,($AI139)*(10*OFFSET(载具产出!$D$45,MATCH(AL$6,$AK$6:$AN$6,0)-1,$AJ139)+OFFSET(载具产出!$D$49,MATCH(AL$6,$AK$6:$AN$6,0)-1,$AJ139)*OFFSET(载具产出!$N$49,MATCH(AL$6,$AK$6:$AN$6,0)-1,0)),OFFSET(载具产出!G$59,$AJ139-1,0)*10+OFFSET(载具产出!K$59,$AJ139-1,0)+($AI139*10-_xlfn.XLOOKUP($AJ139-1,载具产出!$D$59:$D$67,载具产出!$E$59:$E$67))/10*(10*OFFSET(载具产出!$D$45,MATCH(AL$6,$AK$6:$AN$6,0)-1,$AJ139)+OFFSET(载具产出!$D$49,MATCH(AL$6,$AK$6:$AN$6,0)-1,$AJ139)*OFFSET(载具产出!$N$49,MATCH(AL$6,$AK$6:$AN$6,0)-1,0)))</f>
        <v>1059.81428571429</v>
      </c>
      <c r="AM139" s="44">
        <f ca="1">IF($AJ139=1,($AI139)*(10*OFFSET(载具产出!$D$45,MATCH(AM$6,$AK$6:$AN$6,0)-1,$AJ139)+OFFSET(载具产出!$D$49,MATCH(AM$6,$AK$6:$AN$6,0)-1,$AJ139)*OFFSET(载具产出!$N$49,MATCH(AM$6,$AK$6:$AN$6,0)-1,0)),OFFSET(载具产出!H$59,$AJ139-1,0)*10+OFFSET(载具产出!L$59,$AJ139-1,0)+($AI139*10-_xlfn.XLOOKUP($AJ139-1,载具产出!$D$59:$D$67,载具产出!$E$59:$E$67))/10*(10*OFFSET(载具产出!$D$45,MATCH(AM$6,$AK$6:$AN$6,0)-1,$AJ139)+OFFSET(载具产出!$D$49,MATCH(AM$6,$AK$6:$AN$6,0)-1,$AJ139)*OFFSET(载具产出!$N$49,MATCH(AM$6,$AK$6:$AN$6,0)-1,0)))</f>
        <v>563.046095238098</v>
      </c>
      <c r="AN139" s="44">
        <f ca="1">IF($AJ139=1,($AI139)*(10*OFFSET(载具产出!$D$45,MATCH(AN$6,$AK$6:$AN$6,0)-1,$AJ139)+OFFSET(载具产出!$D$49,MATCH(AN$6,$AK$6:$AN$6,0)-1,$AJ139)*OFFSET(载具产出!$N$49,MATCH(AN$6,$AK$6:$AN$6,0)-1,0)),OFFSET(载具产出!I$59,$AJ139-1,0)*10+OFFSET(载具产出!M$59,$AJ139-1,0)+($AI139*10-_xlfn.XLOOKUP($AJ139-1,载具产出!$D$59:$D$67,载具产出!$E$59:$E$67))/10*(10*OFFSET(载具产出!$D$45,MATCH(AN$6,$AK$6:$AN$6,0)-1,$AJ139)+OFFSET(载具产出!$D$49,MATCH(AN$6,$AK$6:$AN$6,0)-1,$AJ139)*OFFSET(载具产出!$N$49,MATCH(AN$6,$AK$6:$AN$6,0)-1,0)))</f>
        <v>167.71161904762</v>
      </c>
      <c r="AO139" s="44">
        <f ca="1" t="shared" si="22"/>
        <v>3598.22314285715</v>
      </c>
      <c r="AP139" s="44">
        <f ca="1" t="shared" si="23"/>
        <v>1937.04095238095</v>
      </c>
      <c r="AQ139" s="44">
        <f ca="1" t="shared" si="24"/>
        <v>639.686095238098</v>
      </c>
      <c r="AR139" s="44">
        <f ca="1" t="shared" si="25"/>
        <v>167.71161904762</v>
      </c>
      <c r="AS139" s="45">
        <f ca="1">IFERROR(MATCH(AO139/载具产出!R$58,载具属性!$G$33:$G$92,1),0)</f>
        <v>29</v>
      </c>
      <c r="AT139" s="45">
        <f ca="1">IFERROR(MATCH(AP139/载具产出!S$58,载具属性!$G$33:$G$92,1),0)</f>
        <v>20</v>
      </c>
      <c r="AU139" s="45">
        <f ca="1">IFERROR(MATCH(AQ139/载具产出!T$58,载具属性!$G$33:$G$92,1),0)</f>
        <v>11</v>
      </c>
      <c r="AV139" s="45">
        <f ca="1">IFERROR(MATCH(AR139/载具产出!U$58,载具属性!$G$33:$G$92,1),0)</f>
        <v>3</v>
      </c>
      <c r="AW139" s="46" t="str">
        <f ca="1" t="shared" si="26"/>
        <v>[{62,715},{63,79595},{2,219500},{6030001,2354},{6030002,2502},{6030003,214}]</v>
      </c>
      <c r="AX139" t="str">
        <f ca="1" t="shared" si="27"/>
        <v>{62,715}</v>
      </c>
      <c r="AY139" t="str">
        <f ca="1" t="shared" si="28"/>
        <v>{63,79595}</v>
      </c>
      <c r="AZ139" t="str">
        <f ca="1" t="shared" si="29"/>
        <v>{2,219500}</v>
      </c>
      <c r="BA139" t="str">
        <f ca="1" t="shared" si="30"/>
        <v>{6030001,2354}</v>
      </c>
      <c r="BB139" t="str">
        <f ca="1" t="shared" si="31"/>
        <v>{6030002,2502}</v>
      </c>
      <c r="BC139" t="str">
        <f ca="1" t="shared" si="32"/>
        <v>{6030003,214}</v>
      </c>
      <c r="BD139" t="str">
        <f ca="1" t="shared" si="33"/>
        <v/>
      </c>
    </row>
    <row r="140" spans="3:56">
      <c r="C140">
        <f ca="1" t="shared" si="21"/>
        <v>117.161290322581</v>
      </c>
      <c r="D140" s="40">
        <v>134</v>
      </c>
      <c r="E140" s="40">
        <f t="shared" si="36"/>
        <v>111</v>
      </c>
      <c r="F140" s="40">
        <v>131</v>
      </c>
      <c r="G140" s="41">
        <f t="shared" si="35"/>
        <v>155</v>
      </c>
      <c r="H140" s="40">
        <f>H139</f>
        <v>209</v>
      </c>
      <c r="I140" s="40">
        <f t="shared" si="20"/>
        <v>294</v>
      </c>
      <c r="J140" s="40">
        <f t="shared" si="37"/>
        <v>261</v>
      </c>
      <c r="K140" s="40">
        <f ca="1">SUM(U$36:U140)-SUM(OFFSET(载具产出!H$399,0,0,$R140+1,1))</f>
        <v>722</v>
      </c>
      <c r="L140" s="40">
        <f ca="1">SUM(T$36:T140)-SUM(OFFSET(载具产出!G$399,0,0,$R140+1,1))</f>
        <v>80575</v>
      </c>
      <c r="M140" s="40">
        <f ca="1">SUM(V$36:V140)/2-SUM(OFFSET(载具产出!I$399,0,0,$R140+1,1))</f>
        <v>222600</v>
      </c>
      <c r="N140" s="40">
        <f ca="1">SUM(AA$36:AA140)-SUM(OFFSET(载具产出!J$399,0,0,$R140+1,1))</f>
        <v>2372.6</v>
      </c>
      <c r="O140" s="40">
        <f ca="1">SUM(AB$36:AB140)-SUM(OFFSET(载具产出!K$399,0,0,$R140+1,1))</f>
        <v>2522.43999999999</v>
      </c>
      <c r="P140" s="40">
        <f ca="1">SUM(AC$36:AC140)-SUM(OFFSET(载具产出!L$399,0,0,$R140+1,1))</f>
        <v>221.96</v>
      </c>
      <c r="Q140" s="40">
        <f ca="1">SUM(AD$36:AD140)-SUM(OFFSET(载具产出!M$399,0,0,$R140+1,1))</f>
        <v>0</v>
      </c>
      <c r="R140" s="40">
        <v>13</v>
      </c>
      <c r="S140" s="40" t="str">
        <f ca="1">OFFSET(载具产出!$D$111,IFERROR(MATCH(OFFSET($D140,0,MATCH($D$5,$E$6:$H$6,0)),载具产出!$E$112:$E$151,1),0),0)</f>
        <v>珍惜Ⅱ</v>
      </c>
      <c r="T140" s="40">
        <f ca="1">OFFSET(载具产出!$F$399,IFERROR(MATCH(OFFSET($D140,0,MATCH($D$5,$E$6:$H$6,0)),载具产出!$E$400:$E$439,1),0),MATCH(T$6,载具产出!$G$399:$O$399,0))</f>
        <v>980</v>
      </c>
      <c r="U140" s="40">
        <v>7</v>
      </c>
      <c r="V140" s="40">
        <f ca="1">OFFSET(载具产出!$F$399,IFERROR(MATCH(OFFSET($D140,0,MATCH($D$5,$E$6:$H$6,0)),载具产出!$E$400:$E$439,1),0),MATCH(V$6,载具产出!$G$399:$O$399,0))</f>
        <v>6200</v>
      </c>
      <c r="W140" s="43">
        <f ca="1">_xlfn.XLOOKUP(Z140,载具属性!$E$98:$E$497,载具属性!$G$98:$G$497)+6000+OFFSET(载具属性!L$33,AS140,0)*载具属性!M$30+OFFSET(载具属性!M$33,AT140,0)*载具属性!N$30+OFFSET(载具属性!N$33,AU140,0)*载具属性!O$30+OFFSET(载具属性!O$33,AV140,0)*载具属性!P$30</f>
        <v>18160</v>
      </c>
      <c r="X140" s="43">
        <f ca="1">_xlfn.XLOOKUP(Z140,载具属性!$E$98:$E$497,载具属性!$G$98:$G$497)</f>
        <v>7075</v>
      </c>
      <c r="Y140" s="43">
        <f ca="1">OFFSET(载具属性!L$33,AS140,0)*载具属性!M$30+OFFSET(载具属性!M$33,AT140,0)*载具属性!N$30+OFFSET(载具属性!N$33,AU140,0)*载具属性!O$30+OFFSET(载具属性!O$33,AV140,0)*载具属性!P$30</f>
        <v>5085</v>
      </c>
      <c r="Z140" s="40">
        <f ca="1">MATCH(SUM($T$7:T140),载具属性!$I$98:$I$497,1)</f>
        <v>115</v>
      </c>
      <c r="AA140" s="40">
        <f ca="1">OFFSET(载具产出!$F$399,IFERROR(MATCH(OFFSET($D140,0,MATCH($D$5,$E$6:$H$6,0)),载具产出!$E$112:$E$151,1),0),MATCH(AA$6,载具产出!$G$111:$O$111,0))*2</f>
        <v>18</v>
      </c>
      <c r="AB140" s="40">
        <f ca="1">OFFSET(载具产出!$F$399,IFERROR(MATCH(OFFSET($D140,0,MATCH($D$5,$E$6:$H$6,0)),载具产出!$E$112:$E$151,1),0),MATCH(AB$6,载具产出!$G$111:$O$111,0))*2</f>
        <v>20.16</v>
      </c>
      <c r="AC140" s="40">
        <f ca="1">OFFSET(载具产出!$F$399,IFERROR(MATCH(OFFSET($D140,0,MATCH($D$5,$E$6:$H$6,0)),载具产出!$E$112:$E$151,1),0),MATCH(AC$6,载具产出!$G$111:$O$111,0))*2</f>
        <v>7.84</v>
      </c>
      <c r="AD140" s="40">
        <f ca="1">OFFSET(载具产出!$F$399,IFERROR(MATCH(OFFSET($D140,0,MATCH($D$5,$E$6:$H$6,0)),载具产出!$E$112:$E$151,1),0),MATCH(AD$6,载具产出!$G$111:$O$111,0))*2</f>
        <v>0</v>
      </c>
      <c r="AE140" s="44">
        <f ca="1">SUM(AA$36:AA140)/3</f>
        <v>848.8</v>
      </c>
      <c r="AF140" s="44">
        <f ca="1">SUM(AB$36:AB140)/3</f>
        <v>883.946666666664</v>
      </c>
      <c r="AG140" s="44">
        <f ca="1">SUM(AC$36:AC140)/3</f>
        <v>79.2533333333334</v>
      </c>
      <c r="AH140" s="44">
        <f ca="1">SUM(AD$36:AD140)/3</f>
        <v>0</v>
      </c>
      <c r="AI140" s="44">
        <f>_xlfn.XLOOKUP($D$5,载具产出!$D$71:$D$75,载具产出!$E$71:$E$75)*(D140-30+1)</f>
        <v>1235</v>
      </c>
      <c r="AJ140" s="44">
        <f>IFERROR(MATCH(_xlfn.XLOOKUP($D$5,载具产出!$D$71:$D$75,载具产出!$E$71:$E$75)*(D140-30+1)*10,载具产出!$E$60:$E$67,1),0)+1</f>
        <v>6</v>
      </c>
      <c r="AK140" s="44">
        <f ca="1">IF($AJ140=1,($AI140)*(10*OFFSET(载具产出!$D$45,MATCH(AK$6,$AK$6:$AN$6,0)-1,$AJ140)+OFFSET(载具产出!$D$49,MATCH(AK$6,$AK$6:$AN$6,0)-1,$AJ140)*OFFSET(载具产出!$N$49,MATCH(AK$6,$AK$6:$AN$6,0)-1,0)),OFFSET(载具产出!F$59,$AJ140-1,0)*10+OFFSET(载具产出!J$59,$AJ140-1,0)+($AI140*10-_xlfn.XLOOKUP($AJ140-1,载具产出!$D$59:$D$67,载具产出!$E$59:$E$67))/10*(10*OFFSET(载具产出!$D$45,MATCH(AK$6,$AK$6:$AN$6,0)-1,$AJ140)+OFFSET(载具产出!$D$49,MATCH(AK$6,$AK$6:$AN$6,0)-1,$AJ140)*OFFSET(载具产出!$N$49,MATCH(AK$6,$AK$6:$AN$6,0)-1,0)))</f>
        <v>2780.97</v>
      </c>
      <c r="AL140" s="44">
        <f ca="1">IF($AJ140=1,($AI140)*(10*OFFSET(载具产出!$D$45,MATCH(AL$6,$AK$6:$AN$6,0)-1,$AJ140)+OFFSET(载具产出!$D$49,MATCH(AL$6,$AK$6:$AN$6,0)-1,$AJ140)*OFFSET(载具产出!$N$49,MATCH(AL$6,$AK$6:$AN$6,0)-1,0)),OFFSET(载具产出!G$59,$AJ140-1,0)*10+OFFSET(载具产出!K$59,$AJ140-1,0)+($AI140*10-_xlfn.XLOOKUP($AJ140-1,载具产出!$D$59:$D$67,载具产出!$E$59:$E$67))/10*(10*OFFSET(载具产出!$D$45,MATCH(AL$6,$AK$6:$AN$6,0)-1,$AJ140)+OFFSET(载具产出!$D$49,MATCH(AL$6,$AK$6:$AN$6,0)-1,$AJ140)*OFFSET(载具产出!$N$49,MATCH(AL$6,$AK$6:$AN$6,0)-1,0)))</f>
        <v>1070.4</v>
      </c>
      <c r="AM140" s="44">
        <f ca="1">IF($AJ140=1,($AI140)*(10*OFFSET(载具产出!$D$45,MATCH(AM$6,$AK$6:$AN$6,0)-1,$AJ140)+OFFSET(载具产出!$D$49,MATCH(AM$6,$AK$6:$AN$6,0)-1,$AJ140)*OFFSET(载具产出!$N$49,MATCH(AM$6,$AK$6:$AN$6,0)-1,0)),OFFSET(载具产出!H$59,$AJ140-1,0)*10+OFFSET(载具产出!L$59,$AJ140-1,0)+($AI140*10-_xlfn.XLOOKUP($AJ140-1,载具产出!$D$59:$D$67,载具产出!$E$59:$E$67))/10*(10*OFFSET(载具产出!$D$45,MATCH(AM$6,$AK$6:$AN$6,0)-1,$AJ140)+OFFSET(载具产出!$D$49,MATCH(AM$6,$AK$6:$AN$6,0)-1,$AJ140)*OFFSET(载具产出!$N$49,MATCH(AM$6,$AK$6:$AN$6,0)-1,0)))</f>
        <v>568.88</v>
      </c>
      <c r="AN140" s="44">
        <f ca="1">IF($AJ140=1,($AI140)*(10*OFFSET(载具产出!$D$45,MATCH(AN$6,$AK$6:$AN$6,0)-1,$AJ140)+OFFSET(载具产出!$D$49,MATCH(AN$6,$AK$6:$AN$6,0)-1,$AJ140)*OFFSET(载具产出!$N$49,MATCH(AN$6,$AK$6:$AN$6,0)-1,0)),OFFSET(载具产出!I$59,$AJ140-1,0)*10+OFFSET(载具产出!M$59,$AJ140-1,0)+($AI140*10-_xlfn.XLOOKUP($AJ140-1,载具产出!$D$59:$D$67,载具产出!$E$59:$E$67))/10*(10*OFFSET(载具产出!$D$45,MATCH(AN$6,$AK$6:$AN$6,0)-1,$AJ140)+OFFSET(载具产出!$D$49,MATCH(AN$6,$AK$6:$AN$6,0)-1,$AJ140)*OFFSET(载具产出!$N$49,MATCH(AN$6,$AK$6:$AN$6,0)-1,0)))</f>
        <v>169.57</v>
      </c>
      <c r="AO140" s="44">
        <f ca="1" t="shared" si="22"/>
        <v>3629.77</v>
      </c>
      <c r="AP140" s="44">
        <f ca="1" t="shared" si="23"/>
        <v>1954.34666666666</v>
      </c>
      <c r="AQ140" s="44">
        <f ca="1" t="shared" si="24"/>
        <v>648.133333333333</v>
      </c>
      <c r="AR140" s="44">
        <f ca="1" t="shared" si="25"/>
        <v>169.57</v>
      </c>
      <c r="AS140" s="45">
        <f ca="1">IFERROR(MATCH(AO140/载具产出!R$58,载具属性!$G$33:$G$92,1),0)</f>
        <v>29</v>
      </c>
      <c r="AT140" s="45">
        <f ca="1">IFERROR(MATCH(AP140/载具产出!S$58,载具属性!$G$33:$G$92,1),0)</f>
        <v>20</v>
      </c>
      <c r="AU140" s="45">
        <f ca="1">IFERROR(MATCH(AQ140/载具产出!T$58,载具属性!$G$33:$G$92,1),0)</f>
        <v>11</v>
      </c>
      <c r="AV140" s="45">
        <f ca="1">IFERROR(MATCH(AR140/载具产出!U$58,载具属性!$G$33:$G$92,1),0)</f>
        <v>3</v>
      </c>
      <c r="AW140" s="46" t="str">
        <f ca="1" t="shared" si="26"/>
        <v>[{62,722},{63,80575},{2,222600},{6030001,2372},{6030002,2522},{6030003,221}]</v>
      </c>
      <c r="AX140" t="str">
        <f ca="1" t="shared" si="27"/>
        <v>{62,722}</v>
      </c>
      <c r="AY140" t="str">
        <f ca="1" t="shared" si="28"/>
        <v>{63,80575}</v>
      </c>
      <c r="AZ140" t="str">
        <f ca="1" t="shared" si="29"/>
        <v>{2,222600}</v>
      </c>
      <c r="BA140" t="str">
        <f ca="1" t="shared" si="30"/>
        <v>{6030001,2372}</v>
      </c>
      <c r="BB140" t="str">
        <f ca="1" t="shared" si="31"/>
        <v>{6030002,2522}</v>
      </c>
      <c r="BC140" t="str">
        <f ca="1" t="shared" si="32"/>
        <v>{6030003,221}</v>
      </c>
      <c r="BD140" t="str">
        <f ca="1" t="shared" si="33"/>
        <v/>
      </c>
    </row>
    <row r="141" spans="3:56">
      <c r="C141">
        <f ca="1" t="shared" si="21"/>
        <v>117.645161290323</v>
      </c>
      <c r="D141" s="40">
        <v>135</v>
      </c>
      <c r="E141" s="40">
        <f t="shared" si="36"/>
        <v>111</v>
      </c>
      <c r="F141" s="40">
        <v>131</v>
      </c>
      <c r="G141" s="41">
        <f t="shared" si="35"/>
        <v>155</v>
      </c>
      <c r="H141" s="40">
        <f>H140+1</f>
        <v>210</v>
      </c>
      <c r="I141" s="40">
        <f t="shared" si="20"/>
        <v>296</v>
      </c>
      <c r="J141" s="40">
        <f t="shared" si="37"/>
        <v>263</v>
      </c>
      <c r="K141" s="40">
        <f ca="1">SUM(U$36:U141)-SUM(OFFSET(载具产出!H$399,0,0,$R141+1,1))</f>
        <v>729</v>
      </c>
      <c r="L141" s="40">
        <f ca="1">SUM(T$36:T141)-SUM(OFFSET(载具产出!G$399,0,0,$R141+1,1))</f>
        <v>81555</v>
      </c>
      <c r="M141" s="40">
        <f ca="1">SUM(V$36:V141)/2-SUM(OFFSET(载具产出!I$399,0,0,$R141+1,1))</f>
        <v>225700</v>
      </c>
      <c r="N141" s="40">
        <f ca="1">SUM(AA$36:AA141)-SUM(OFFSET(载具产出!J$399,0,0,$R141+1,1))</f>
        <v>2390.6</v>
      </c>
      <c r="O141" s="40">
        <f ca="1">SUM(AB$36:AB141)-SUM(OFFSET(载具产出!K$399,0,0,$R141+1,1))</f>
        <v>2542.59999999999</v>
      </c>
      <c r="P141" s="40">
        <f ca="1">SUM(AC$36:AC141)-SUM(OFFSET(载具产出!L$399,0,0,$R141+1,1))</f>
        <v>229.8</v>
      </c>
      <c r="Q141" s="40">
        <f ca="1">SUM(AD$36:AD141)-SUM(OFFSET(载具产出!M$399,0,0,$R141+1,1))</f>
        <v>0</v>
      </c>
      <c r="R141" s="40">
        <v>13</v>
      </c>
      <c r="S141" s="40" t="str">
        <f ca="1">OFFSET(载具产出!$D$111,IFERROR(MATCH(OFFSET($D141,0,MATCH($D$5,$E$6:$H$6,0)),载具产出!$E$112:$E$151,1),0),0)</f>
        <v>珍惜Ⅱ</v>
      </c>
      <c r="T141" s="40">
        <f ca="1">OFFSET(载具产出!$F$399,IFERROR(MATCH(OFFSET($D141,0,MATCH($D$5,$E$6:$H$6,0)),载具产出!$E$400:$E$439,1),0),MATCH(T$6,载具产出!$G$399:$O$399,0))</f>
        <v>980</v>
      </c>
      <c r="U141" s="40">
        <v>7</v>
      </c>
      <c r="V141" s="40">
        <f ca="1">OFFSET(载具产出!$F$399,IFERROR(MATCH(OFFSET($D141,0,MATCH($D$5,$E$6:$H$6,0)),载具产出!$E$400:$E$439,1),0),MATCH(V$6,载具产出!$G$399:$O$399,0))</f>
        <v>6200</v>
      </c>
      <c r="W141" s="43">
        <f ca="1">_xlfn.XLOOKUP(Z141,载具属性!$E$98:$E$497,载具属性!$G$98:$G$497)+6000+OFFSET(载具属性!L$33,AS141,0)*载具属性!M$30+OFFSET(载具属性!M$33,AT141,0)*载具属性!N$30+OFFSET(载具属性!N$33,AU141,0)*载具属性!O$30+OFFSET(载具属性!O$33,AV141,0)*载具属性!P$30</f>
        <v>18235</v>
      </c>
      <c r="X141" s="43">
        <f ca="1">_xlfn.XLOOKUP(Z141,载具属性!$E$98:$E$497,载具属性!$G$98:$G$497)</f>
        <v>7150</v>
      </c>
      <c r="Y141" s="43">
        <f ca="1">OFFSET(载具属性!L$33,AS141,0)*载具属性!M$30+OFFSET(载具属性!M$33,AT141,0)*载具属性!N$30+OFFSET(载具属性!N$33,AU141,0)*载具属性!O$30+OFFSET(载具属性!O$33,AV141,0)*载具属性!P$30</f>
        <v>5085</v>
      </c>
      <c r="Z141" s="40">
        <f ca="1">MATCH(SUM($T$7:T141),载具属性!$I$98:$I$497,1)</f>
        <v>116</v>
      </c>
      <c r="AA141" s="40">
        <f ca="1">OFFSET(载具产出!$F$399,IFERROR(MATCH(OFFSET($D141,0,MATCH($D$5,$E$6:$H$6,0)),载具产出!$E$112:$E$151,1),0),MATCH(AA$6,载具产出!$G$111:$O$111,0))*2</f>
        <v>18</v>
      </c>
      <c r="AB141" s="40">
        <f ca="1">OFFSET(载具产出!$F$399,IFERROR(MATCH(OFFSET($D141,0,MATCH($D$5,$E$6:$H$6,0)),载具产出!$E$112:$E$151,1),0),MATCH(AB$6,载具产出!$G$111:$O$111,0))*2</f>
        <v>20.16</v>
      </c>
      <c r="AC141" s="40">
        <f ca="1">OFFSET(载具产出!$F$399,IFERROR(MATCH(OFFSET($D141,0,MATCH($D$5,$E$6:$H$6,0)),载具产出!$E$112:$E$151,1),0),MATCH(AC$6,载具产出!$G$111:$O$111,0))*2</f>
        <v>7.84</v>
      </c>
      <c r="AD141" s="40">
        <f ca="1">OFFSET(载具产出!$F$399,IFERROR(MATCH(OFFSET($D141,0,MATCH($D$5,$E$6:$H$6,0)),载具产出!$E$112:$E$151,1),0),MATCH(AD$6,载具产出!$G$111:$O$111,0))*2</f>
        <v>0</v>
      </c>
      <c r="AE141" s="44">
        <f ca="1">SUM(AA$36:AA141)/3</f>
        <v>854.8</v>
      </c>
      <c r="AF141" s="44">
        <f ca="1">SUM(AB$36:AB141)/3</f>
        <v>890.666666666664</v>
      </c>
      <c r="AG141" s="44">
        <f ca="1">SUM(AC$36:AC141)/3</f>
        <v>81.8666666666668</v>
      </c>
      <c r="AH141" s="44">
        <f ca="1">SUM(AD$36:AD141)/3</f>
        <v>0</v>
      </c>
      <c r="AI141" s="44">
        <f>_xlfn.XLOOKUP($D$5,载具产出!$D$71:$D$75,载具产出!$E$71:$E$75)*(D141-30+1)</f>
        <v>1246.76190476191</v>
      </c>
      <c r="AJ141" s="44">
        <f>IFERROR(MATCH(_xlfn.XLOOKUP($D$5,载具产出!$D$71:$D$75,载具产出!$E$71:$E$75)*(D141-30+1)*10,载具产出!$E$60:$E$67,1),0)+1</f>
        <v>6</v>
      </c>
      <c r="AK141" s="44">
        <f ca="1">IF($AJ141=1,($AI141)*(10*OFFSET(载具产出!$D$45,MATCH(AK$6,$AK$6:$AN$6,0)-1,$AJ141)+OFFSET(载具产出!$D$49,MATCH(AK$6,$AK$6:$AN$6,0)-1,$AJ141)*OFFSET(载具产出!$N$49,MATCH(AK$6,$AK$6:$AN$6,0)-1,0)),OFFSET(载具产出!F$59,$AJ141-1,0)*10+OFFSET(载具产出!J$59,$AJ141-1,0)+($AI141*10-_xlfn.XLOOKUP($AJ141-1,载具产出!$D$59:$D$67,载具产出!$E$59:$E$67))/10*(10*OFFSET(载具产出!$D$45,MATCH(AK$6,$AK$6:$AN$6,0)-1,$AJ141)+OFFSET(载具产出!$D$49,MATCH(AK$6,$AK$6:$AN$6,0)-1,$AJ141)*OFFSET(载具产出!$N$49,MATCH(AK$6,$AK$6:$AN$6,0)-1,0)))</f>
        <v>2806.51685714287</v>
      </c>
      <c r="AL141" s="44">
        <f ca="1">IF($AJ141=1,($AI141)*(10*OFFSET(载具产出!$D$45,MATCH(AL$6,$AK$6:$AN$6,0)-1,$AJ141)+OFFSET(载具产出!$D$49,MATCH(AL$6,$AK$6:$AN$6,0)-1,$AJ141)*OFFSET(载具产出!$N$49,MATCH(AL$6,$AK$6:$AN$6,0)-1,0)),OFFSET(载具产出!G$59,$AJ141-1,0)*10+OFFSET(载具产出!K$59,$AJ141-1,0)+($AI141*10-_xlfn.XLOOKUP($AJ141-1,载具产出!$D$59:$D$67,载具产出!$E$59:$E$67))/10*(10*OFFSET(载具产出!$D$45,MATCH(AL$6,$AK$6:$AN$6,0)-1,$AJ141)+OFFSET(载具产出!$D$49,MATCH(AL$6,$AK$6:$AN$6,0)-1,$AJ141)*OFFSET(载具产出!$N$49,MATCH(AL$6,$AK$6:$AN$6,0)-1,0)))</f>
        <v>1080.98571428572</v>
      </c>
      <c r="AM141" s="44">
        <f ca="1">IF($AJ141=1,($AI141)*(10*OFFSET(载具产出!$D$45,MATCH(AM$6,$AK$6:$AN$6,0)-1,$AJ141)+OFFSET(载具产出!$D$49,MATCH(AM$6,$AK$6:$AN$6,0)-1,$AJ141)*OFFSET(载具产出!$N$49,MATCH(AM$6,$AK$6:$AN$6,0)-1,0)),OFFSET(载具产出!H$59,$AJ141-1,0)*10+OFFSET(载具产出!L$59,$AJ141-1,0)+($AI141*10-_xlfn.XLOOKUP($AJ141-1,载具产出!$D$59:$D$67,载具产出!$E$59:$E$67))/10*(10*OFFSET(载具产出!$D$45,MATCH(AM$6,$AK$6:$AN$6,0)-1,$AJ141)+OFFSET(载具产出!$D$49,MATCH(AM$6,$AK$6:$AN$6,0)-1,$AJ141)*OFFSET(载具产出!$N$49,MATCH(AM$6,$AK$6:$AN$6,0)-1,0)))</f>
        <v>574.713904761907</v>
      </c>
      <c r="AN141" s="44">
        <f ca="1">IF($AJ141=1,($AI141)*(10*OFFSET(载具产出!$D$45,MATCH(AN$6,$AK$6:$AN$6,0)-1,$AJ141)+OFFSET(载具产出!$D$49,MATCH(AN$6,$AK$6:$AN$6,0)-1,$AJ141)*OFFSET(载具产出!$N$49,MATCH(AN$6,$AK$6:$AN$6,0)-1,0)),OFFSET(载具产出!I$59,$AJ141-1,0)*10+OFFSET(载具产出!M$59,$AJ141-1,0)+($AI141*10-_xlfn.XLOOKUP($AJ141-1,载具产出!$D$59:$D$67,载具产出!$E$59:$E$67))/10*(10*OFFSET(载具产出!$D$45,MATCH(AN$6,$AK$6:$AN$6,0)-1,$AJ141)+OFFSET(载具产出!$D$49,MATCH(AN$6,$AK$6:$AN$6,0)-1,$AJ141)*OFFSET(载具产出!$N$49,MATCH(AN$6,$AK$6:$AN$6,0)-1,0)))</f>
        <v>171.428380952382</v>
      </c>
      <c r="AO141" s="44">
        <f ca="1" t="shared" si="22"/>
        <v>3661.31685714287</v>
      </c>
      <c r="AP141" s="44">
        <f ca="1" t="shared" si="23"/>
        <v>1971.65238095238</v>
      </c>
      <c r="AQ141" s="44">
        <f ca="1" t="shared" si="24"/>
        <v>656.580571428574</v>
      </c>
      <c r="AR141" s="44">
        <f ca="1" t="shared" si="25"/>
        <v>171.428380952382</v>
      </c>
      <c r="AS141" s="45">
        <f ca="1">IFERROR(MATCH(AO141/载具产出!R$58,载具属性!$G$33:$G$92,1),0)</f>
        <v>29</v>
      </c>
      <c r="AT141" s="45">
        <f ca="1">IFERROR(MATCH(AP141/载具产出!S$58,载具属性!$G$33:$G$92,1),0)</f>
        <v>20</v>
      </c>
      <c r="AU141" s="45">
        <f ca="1">IFERROR(MATCH(AQ141/载具产出!T$58,载具属性!$G$33:$G$92,1),0)</f>
        <v>11</v>
      </c>
      <c r="AV141" s="45">
        <f ca="1">IFERROR(MATCH(AR141/载具产出!U$58,载具属性!$G$33:$G$92,1),0)</f>
        <v>3</v>
      </c>
      <c r="AW141" s="46" t="str">
        <f ca="1" t="shared" si="26"/>
        <v>[{62,729},{63,81555},{2,225700},{6030001,2390},{6030002,2542},{6030003,229}]</v>
      </c>
      <c r="AX141" t="str">
        <f ca="1" t="shared" si="27"/>
        <v>{62,729}</v>
      </c>
      <c r="AY141" t="str">
        <f ca="1" t="shared" si="28"/>
        <v>{63,81555}</v>
      </c>
      <c r="AZ141" t="str">
        <f ca="1" t="shared" si="29"/>
        <v>{2,225700}</v>
      </c>
      <c r="BA141" t="str">
        <f ca="1" t="shared" si="30"/>
        <v>{6030001,2390}</v>
      </c>
      <c r="BB141" t="str">
        <f ca="1" t="shared" si="31"/>
        <v>{6030002,2542}</v>
      </c>
      <c r="BC141" t="str">
        <f ca="1" t="shared" si="32"/>
        <v>{6030003,229}</v>
      </c>
      <c r="BD141" t="str">
        <f ca="1" t="shared" si="33"/>
        <v/>
      </c>
    </row>
    <row r="142" spans="3:56">
      <c r="C142">
        <f ca="1" t="shared" si="21"/>
        <v>117.371794871795</v>
      </c>
      <c r="D142" s="40">
        <v>136</v>
      </c>
      <c r="E142" s="40">
        <f t="shared" si="36"/>
        <v>111</v>
      </c>
      <c r="F142" s="40">
        <v>131</v>
      </c>
      <c r="G142" s="41">
        <f t="shared" si="35"/>
        <v>156</v>
      </c>
      <c r="H142" s="40">
        <f>H141</f>
        <v>210</v>
      </c>
      <c r="I142" s="40">
        <f t="shared" si="20"/>
        <v>298</v>
      </c>
      <c r="J142" s="40">
        <f t="shared" si="37"/>
        <v>265</v>
      </c>
      <c r="K142" s="40">
        <f ca="1">SUM(U$36:U142)-SUM(OFFSET(载具产出!H$399,0,0,$R142+1,1))</f>
        <v>736</v>
      </c>
      <c r="L142" s="40">
        <f ca="1">SUM(T$36:T142)-SUM(OFFSET(载具产出!G$399,0,0,$R142+1,1))</f>
        <v>82535</v>
      </c>
      <c r="M142" s="40">
        <f ca="1">SUM(V$36:V142)/2-SUM(OFFSET(载具产出!I$399,0,0,$R142+1,1))</f>
        <v>228800</v>
      </c>
      <c r="N142" s="40">
        <f ca="1">SUM(AA$36:AA142)-SUM(OFFSET(载具产出!J$399,0,0,$R142+1,1))</f>
        <v>2408.6</v>
      </c>
      <c r="O142" s="40">
        <f ca="1">SUM(AB$36:AB142)-SUM(OFFSET(载具产出!K$399,0,0,$R142+1,1))</f>
        <v>2562.75999999999</v>
      </c>
      <c r="P142" s="40">
        <f ca="1">SUM(AC$36:AC142)-SUM(OFFSET(载具产出!L$399,0,0,$R142+1,1))</f>
        <v>237.64</v>
      </c>
      <c r="Q142" s="40">
        <f ca="1">SUM(AD$36:AD142)-SUM(OFFSET(载具产出!M$399,0,0,$R142+1,1))</f>
        <v>0</v>
      </c>
      <c r="R142" s="40">
        <v>13</v>
      </c>
      <c r="S142" s="40" t="str">
        <f ca="1">OFFSET(载具产出!$D$111,IFERROR(MATCH(OFFSET($D142,0,MATCH($D$5,$E$6:$H$6,0)),载具产出!$E$112:$E$151,1),0),0)</f>
        <v>珍惜Ⅱ</v>
      </c>
      <c r="T142" s="40">
        <f ca="1">OFFSET(载具产出!$F$399,IFERROR(MATCH(OFFSET($D142,0,MATCH($D$5,$E$6:$H$6,0)),载具产出!$E$400:$E$439,1),0),MATCH(T$6,载具产出!$G$399:$O$399,0))</f>
        <v>980</v>
      </c>
      <c r="U142" s="40">
        <v>7</v>
      </c>
      <c r="V142" s="40">
        <f ca="1">OFFSET(载具产出!$F$399,IFERROR(MATCH(OFFSET($D142,0,MATCH($D$5,$E$6:$H$6,0)),载具产出!$E$400:$E$439,1),0),MATCH(V$6,载具产出!$G$399:$O$399,0))</f>
        <v>6200</v>
      </c>
      <c r="W142" s="43">
        <f ca="1">_xlfn.XLOOKUP(Z142,载具属性!$E$98:$E$497,载具属性!$G$98:$G$497)+6000+OFFSET(载具属性!L$33,AS142,0)*载具属性!M$30+OFFSET(载具属性!M$33,AT142,0)*载具属性!N$30+OFFSET(载具属性!N$33,AU142,0)*载具属性!O$30+OFFSET(载具属性!O$33,AV142,0)*载具属性!P$30</f>
        <v>18310</v>
      </c>
      <c r="X142" s="43">
        <f ca="1">_xlfn.XLOOKUP(Z142,载具属性!$E$98:$E$497,载具属性!$G$98:$G$497)</f>
        <v>7225</v>
      </c>
      <c r="Y142" s="43">
        <f ca="1">OFFSET(载具属性!L$33,AS142,0)*载具属性!M$30+OFFSET(载具属性!M$33,AT142,0)*载具属性!N$30+OFFSET(载具属性!N$33,AU142,0)*载具属性!O$30+OFFSET(载具属性!O$33,AV142,0)*载具属性!P$30</f>
        <v>5085</v>
      </c>
      <c r="Z142" s="40">
        <f ca="1">MATCH(SUM($T$7:T142),载具属性!$I$98:$I$497,1)</f>
        <v>117</v>
      </c>
      <c r="AA142" s="40">
        <f ca="1">OFFSET(载具产出!$F$399,IFERROR(MATCH(OFFSET($D142,0,MATCH($D$5,$E$6:$H$6,0)),载具产出!$E$112:$E$151,1),0),MATCH(AA$6,载具产出!$G$111:$O$111,0))*2</f>
        <v>18</v>
      </c>
      <c r="AB142" s="40">
        <f ca="1">OFFSET(载具产出!$F$399,IFERROR(MATCH(OFFSET($D142,0,MATCH($D$5,$E$6:$H$6,0)),载具产出!$E$112:$E$151,1),0),MATCH(AB$6,载具产出!$G$111:$O$111,0))*2</f>
        <v>20.16</v>
      </c>
      <c r="AC142" s="40">
        <f ca="1">OFFSET(载具产出!$F$399,IFERROR(MATCH(OFFSET($D142,0,MATCH($D$5,$E$6:$H$6,0)),载具产出!$E$112:$E$151,1),0),MATCH(AC$6,载具产出!$G$111:$O$111,0))*2</f>
        <v>7.84</v>
      </c>
      <c r="AD142" s="40">
        <f ca="1">OFFSET(载具产出!$F$399,IFERROR(MATCH(OFFSET($D142,0,MATCH($D$5,$E$6:$H$6,0)),载具产出!$E$112:$E$151,1),0),MATCH(AD$6,载具产出!$G$111:$O$111,0))*2</f>
        <v>0</v>
      </c>
      <c r="AE142" s="44">
        <f ca="1">SUM(AA$36:AA142)/3</f>
        <v>860.8</v>
      </c>
      <c r="AF142" s="44">
        <f ca="1">SUM(AB$36:AB142)/3</f>
        <v>897.386666666664</v>
      </c>
      <c r="AG142" s="44">
        <f ca="1">SUM(AC$36:AC142)/3</f>
        <v>84.4800000000001</v>
      </c>
      <c r="AH142" s="44">
        <f ca="1">SUM(AD$36:AD142)/3</f>
        <v>0</v>
      </c>
      <c r="AI142" s="44">
        <f>_xlfn.XLOOKUP($D$5,载具产出!$D$71:$D$75,载具产出!$E$71:$E$75)*(D142-30+1)</f>
        <v>1258.52380952381</v>
      </c>
      <c r="AJ142" s="44">
        <f>IFERROR(MATCH(_xlfn.XLOOKUP($D$5,载具产出!$D$71:$D$75,载具产出!$E$71:$E$75)*(D142-30+1)*10,载具产出!$E$60:$E$67,1),0)+1</f>
        <v>6</v>
      </c>
      <c r="AK142" s="44">
        <f ca="1">IF($AJ142=1,($AI142)*(10*OFFSET(载具产出!$D$45,MATCH(AK$6,$AK$6:$AN$6,0)-1,$AJ142)+OFFSET(载具产出!$D$49,MATCH(AK$6,$AK$6:$AN$6,0)-1,$AJ142)*OFFSET(载具产出!$N$49,MATCH(AK$6,$AK$6:$AN$6,0)-1,0)),OFFSET(载具产出!F$59,$AJ142-1,0)*10+OFFSET(载具产出!J$59,$AJ142-1,0)+($AI142*10-_xlfn.XLOOKUP($AJ142-1,载具产出!$D$59:$D$67,载具产出!$E$59:$E$67))/10*(10*OFFSET(载具产出!$D$45,MATCH(AK$6,$AK$6:$AN$6,0)-1,$AJ142)+OFFSET(载具产出!$D$49,MATCH(AK$6,$AK$6:$AN$6,0)-1,$AJ142)*OFFSET(载具产出!$N$49,MATCH(AK$6,$AK$6:$AN$6,0)-1,0)))</f>
        <v>2832.06371428572</v>
      </c>
      <c r="AL142" s="44">
        <f ca="1">IF($AJ142=1,($AI142)*(10*OFFSET(载具产出!$D$45,MATCH(AL$6,$AK$6:$AN$6,0)-1,$AJ142)+OFFSET(载具产出!$D$49,MATCH(AL$6,$AK$6:$AN$6,0)-1,$AJ142)*OFFSET(载具产出!$N$49,MATCH(AL$6,$AK$6:$AN$6,0)-1,0)),OFFSET(载具产出!G$59,$AJ142-1,0)*10+OFFSET(载具产出!K$59,$AJ142-1,0)+($AI142*10-_xlfn.XLOOKUP($AJ142-1,载具产出!$D$59:$D$67,载具产出!$E$59:$E$67))/10*(10*OFFSET(载具产出!$D$45,MATCH(AL$6,$AK$6:$AN$6,0)-1,$AJ142)+OFFSET(载具产出!$D$49,MATCH(AL$6,$AK$6:$AN$6,0)-1,$AJ142)*OFFSET(载具产出!$N$49,MATCH(AL$6,$AK$6:$AN$6,0)-1,0)))</f>
        <v>1091.57142857143</v>
      </c>
      <c r="AM142" s="44">
        <f ca="1">IF($AJ142=1,($AI142)*(10*OFFSET(载具产出!$D$45,MATCH(AM$6,$AK$6:$AN$6,0)-1,$AJ142)+OFFSET(载具产出!$D$49,MATCH(AM$6,$AK$6:$AN$6,0)-1,$AJ142)*OFFSET(载具产出!$N$49,MATCH(AM$6,$AK$6:$AN$6,0)-1,0)),OFFSET(载具产出!H$59,$AJ142-1,0)*10+OFFSET(载具产出!L$59,$AJ142-1,0)+($AI142*10-_xlfn.XLOOKUP($AJ142-1,载具产出!$D$59:$D$67,载具产出!$E$59:$E$67))/10*(10*OFFSET(载具产出!$D$45,MATCH(AM$6,$AK$6:$AN$6,0)-1,$AJ142)+OFFSET(载具产出!$D$49,MATCH(AM$6,$AK$6:$AN$6,0)-1,$AJ142)*OFFSET(载具产出!$N$49,MATCH(AM$6,$AK$6:$AN$6,0)-1,0)))</f>
        <v>580.54780952381</v>
      </c>
      <c r="AN142" s="44">
        <f ca="1">IF($AJ142=1,($AI142)*(10*OFFSET(载具产出!$D$45,MATCH(AN$6,$AK$6:$AN$6,0)-1,$AJ142)+OFFSET(载具产出!$D$49,MATCH(AN$6,$AK$6:$AN$6,0)-1,$AJ142)*OFFSET(载具产出!$N$49,MATCH(AN$6,$AK$6:$AN$6,0)-1,0)),OFFSET(载具产出!I$59,$AJ142-1,0)*10+OFFSET(载具产出!M$59,$AJ142-1,0)+($AI142*10-_xlfn.XLOOKUP($AJ142-1,载具产出!$D$59:$D$67,载具产出!$E$59:$E$67))/10*(10*OFFSET(载具产出!$D$45,MATCH(AN$6,$AK$6:$AN$6,0)-1,$AJ142)+OFFSET(载具产出!$D$49,MATCH(AN$6,$AK$6:$AN$6,0)-1,$AJ142)*OFFSET(载具产出!$N$49,MATCH(AN$6,$AK$6:$AN$6,0)-1,0)))</f>
        <v>173.286761904762</v>
      </c>
      <c r="AO142" s="44">
        <f ca="1" t="shared" si="22"/>
        <v>3692.86371428572</v>
      </c>
      <c r="AP142" s="44">
        <f ca="1" t="shared" si="23"/>
        <v>1988.95809523809</v>
      </c>
      <c r="AQ142" s="44">
        <f ca="1" t="shared" si="24"/>
        <v>665.02780952381</v>
      </c>
      <c r="AR142" s="44">
        <f ca="1" t="shared" si="25"/>
        <v>173.286761904762</v>
      </c>
      <c r="AS142" s="45">
        <f ca="1">IFERROR(MATCH(AO142/载具产出!R$58,载具属性!$G$33:$G$92,1),0)</f>
        <v>29</v>
      </c>
      <c r="AT142" s="45">
        <f ca="1">IFERROR(MATCH(AP142/载具产出!S$58,载具属性!$G$33:$G$92,1),0)</f>
        <v>20</v>
      </c>
      <c r="AU142" s="45">
        <f ca="1">IFERROR(MATCH(AQ142/载具产出!T$58,载具属性!$G$33:$G$92,1),0)</f>
        <v>11</v>
      </c>
      <c r="AV142" s="45">
        <f ca="1">IFERROR(MATCH(AR142/载具产出!U$58,载具属性!$G$33:$G$92,1),0)</f>
        <v>3</v>
      </c>
      <c r="AW142" s="46" t="str">
        <f ca="1" t="shared" si="26"/>
        <v>[{62,736},{63,82535},{2,228800},{6030001,2408},{6030002,2562},{6030003,237}]</v>
      </c>
      <c r="AX142" t="str">
        <f ca="1" t="shared" si="27"/>
        <v>{62,736}</v>
      </c>
      <c r="AY142" t="str">
        <f ca="1" t="shared" si="28"/>
        <v>{63,82535}</v>
      </c>
      <c r="AZ142" t="str">
        <f ca="1" t="shared" si="29"/>
        <v>{2,228800}</v>
      </c>
      <c r="BA142" t="str">
        <f ca="1" t="shared" si="30"/>
        <v>{6030001,2408}</v>
      </c>
      <c r="BB142" t="str">
        <f ca="1" t="shared" si="31"/>
        <v>{6030002,2562}</v>
      </c>
      <c r="BC142" t="str">
        <f ca="1" t="shared" si="32"/>
        <v>{6030003,237}</v>
      </c>
      <c r="BD142" t="str">
        <f ca="1" t="shared" si="33"/>
        <v/>
      </c>
    </row>
    <row r="143" spans="3:56">
      <c r="C143">
        <f ca="1" t="shared" si="21"/>
        <v>117.371794871795</v>
      </c>
      <c r="D143" s="40">
        <v>137</v>
      </c>
      <c r="E143" s="40">
        <f t="shared" si="36"/>
        <v>111</v>
      </c>
      <c r="F143" s="40">
        <v>131</v>
      </c>
      <c r="G143" s="41">
        <f t="shared" si="35"/>
        <v>156</v>
      </c>
      <c r="H143" s="40">
        <f>H142+1</f>
        <v>211</v>
      </c>
      <c r="I143" s="40">
        <f t="shared" si="20"/>
        <v>300</v>
      </c>
      <c r="J143" s="40">
        <f t="shared" si="37"/>
        <v>268</v>
      </c>
      <c r="K143" s="40">
        <f ca="1">SUM(U$36:U143)-SUM(OFFSET(载具产出!H$399,0,0,$R143+1,1))</f>
        <v>743</v>
      </c>
      <c r="L143" s="40">
        <f ca="1">SUM(T$36:T143)-SUM(OFFSET(载具产出!G$399,0,0,$R143+1,1))</f>
        <v>83515</v>
      </c>
      <c r="M143" s="40">
        <f ca="1">SUM(V$36:V143)/2-SUM(OFFSET(载具产出!I$399,0,0,$R143+1,1))</f>
        <v>231900</v>
      </c>
      <c r="N143" s="40">
        <f ca="1">SUM(AA$36:AA143)-SUM(OFFSET(载具产出!J$399,0,0,$R143+1,1))</f>
        <v>2426.6</v>
      </c>
      <c r="O143" s="40">
        <f ca="1">SUM(AB$36:AB143)-SUM(OFFSET(载具产出!K$399,0,0,$R143+1,1))</f>
        <v>2582.91999999999</v>
      </c>
      <c r="P143" s="40">
        <f ca="1">SUM(AC$36:AC143)-SUM(OFFSET(载具产出!L$399,0,0,$R143+1,1))</f>
        <v>245.48</v>
      </c>
      <c r="Q143" s="40">
        <f ca="1">SUM(AD$36:AD143)-SUM(OFFSET(载具产出!M$399,0,0,$R143+1,1))</f>
        <v>0</v>
      </c>
      <c r="R143" s="40">
        <v>13</v>
      </c>
      <c r="S143" s="40" t="str">
        <f ca="1">OFFSET(载具产出!$D$111,IFERROR(MATCH(OFFSET($D143,0,MATCH($D$5,$E$6:$H$6,0)),载具产出!$E$112:$E$151,1),0),0)</f>
        <v>珍惜Ⅱ</v>
      </c>
      <c r="T143" s="40">
        <f ca="1">OFFSET(载具产出!$F$399,IFERROR(MATCH(OFFSET($D143,0,MATCH($D$5,$E$6:$H$6,0)),载具产出!$E$400:$E$439,1),0),MATCH(T$6,载具产出!$G$399:$O$399,0))</f>
        <v>980</v>
      </c>
      <c r="U143" s="40">
        <v>7</v>
      </c>
      <c r="V143" s="40">
        <f ca="1">OFFSET(载具产出!$F$399,IFERROR(MATCH(OFFSET($D143,0,MATCH($D$5,$E$6:$H$6,0)),载具产出!$E$400:$E$439,1),0),MATCH(V$6,载具产出!$G$399:$O$399,0))</f>
        <v>6200</v>
      </c>
      <c r="W143" s="43">
        <f ca="1">_xlfn.XLOOKUP(Z143,载具属性!$E$98:$E$497,载具属性!$G$98:$G$497)+6000+OFFSET(载具属性!L$33,AS143,0)*载具属性!M$30+OFFSET(载具属性!M$33,AT143,0)*载具属性!N$30+OFFSET(载具属性!N$33,AU143,0)*载具属性!O$30+OFFSET(载具属性!O$33,AV143,0)*载具属性!P$30</f>
        <v>18310</v>
      </c>
      <c r="X143" s="43">
        <f ca="1">_xlfn.XLOOKUP(Z143,载具属性!$E$98:$E$497,载具属性!$G$98:$G$497)</f>
        <v>7225</v>
      </c>
      <c r="Y143" s="43">
        <f ca="1">OFFSET(载具属性!L$33,AS143,0)*载具属性!M$30+OFFSET(载具属性!M$33,AT143,0)*载具属性!N$30+OFFSET(载具属性!N$33,AU143,0)*载具属性!O$30+OFFSET(载具属性!O$33,AV143,0)*载具属性!P$30</f>
        <v>5085</v>
      </c>
      <c r="Z143" s="40">
        <f ca="1">MATCH(SUM($T$7:T143),载具属性!$I$98:$I$497,1)</f>
        <v>117</v>
      </c>
      <c r="AA143" s="40">
        <f ca="1">OFFSET(载具产出!$F$399,IFERROR(MATCH(OFFSET($D143,0,MATCH($D$5,$E$6:$H$6,0)),载具产出!$E$112:$E$151,1),0),MATCH(AA$6,载具产出!$G$111:$O$111,0))*2</f>
        <v>18</v>
      </c>
      <c r="AB143" s="40">
        <f ca="1">OFFSET(载具产出!$F$399,IFERROR(MATCH(OFFSET($D143,0,MATCH($D$5,$E$6:$H$6,0)),载具产出!$E$112:$E$151,1),0),MATCH(AB$6,载具产出!$G$111:$O$111,0))*2</f>
        <v>20.16</v>
      </c>
      <c r="AC143" s="40">
        <f ca="1">OFFSET(载具产出!$F$399,IFERROR(MATCH(OFFSET($D143,0,MATCH($D$5,$E$6:$H$6,0)),载具产出!$E$112:$E$151,1),0),MATCH(AC$6,载具产出!$G$111:$O$111,0))*2</f>
        <v>7.84</v>
      </c>
      <c r="AD143" s="40">
        <f ca="1">OFFSET(载具产出!$F$399,IFERROR(MATCH(OFFSET($D143,0,MATCH($D$5,$E$6:$H$6,0)),载具产出!$E$112:$E$151,1),0),MATCH(AD$6,载具产出!$G$111:$O$111,0))*2</f>
        <v>0</v>
      </c>
      <c r="AE143" s="44">
        <f ca="1">SUM(AA$36:AA143)/3</f>
        <v>866.8</v>
      </c>
      <c r="AF143" s="44">
        <f ca="1">SUM(AB$36:AB143)/3</f>
        <v>904.106666666664</v>
      </c>
      <c r="AG143" s="44">
        <f ca="1">SUM(AC$36:AC143)/3</f>
        <v>87.0933333333334</v>
      </c>
      <c r="AH143" s="44">
        <f ca="1">SUM(AD$36:AD143)/3</f>
        <v>0</v>
      </c>
      <c r="AI143" s="44">
        <f>_xlfn.XLOOKUP($D$5,载具产出!$D$71:$D$75,载具产出!$E$71:$E$75)*(D143-30+1)</f>
        <v>1270.28571428572</v>
      </c>
      <c r="AJ143" s="44">
        <f>IFERROR(MATCH(_xlfn.XLOOKUP($D$5,载具产出!$D$71:$D$75,载具产出!$E$71:$E$75)*(D143-30+1)*10,载具产出!$E$60:$E$67,1),0)+1</f>
        <v>6</v>
      </c>
      <c r="AK143" s="44">
        <f ca="1">IF($AJ143=1,($AI143)*(10*OFFSET(载具产出!$D$45,MATCH(AK$6,$AK$6:$AN$6,0)-1,$AJ143)+OFFSET(载具产出!$D$49,MATCH(AK$6,$AK$6:$AN$6,0)-1,$AJ143)*OFFSET(载具产出!$N$49,MATCH(AK$6,$AK$6:$AN$6,0)-1,0)),OFFSET(载具产出!F$59,$AJ143-1,0)*10+OFFSET(载具产出!J$59,$AJ143-1,0)+($AI143*10-_xlfn.XLOOKUP($AJ143-1,载具产出!$D$59:$D$67,载具产出!$E$59:$E$67))/10*(10*OFFSET(载具产出!$D$45,MATCH(AK$6,$AK$6:$AN$6,0)-1,$AJ143)+OFFSET(载具产出!$D$49,MATCH(AK$6,$AK$6:$AN$6,0)-1,$AJ143)*OFFSET(载具产出!$N$49,MATCH(AK$6,$AK$6:$AN$6,0)-1,0)))</f>
        <v>2857.61057142858</v>
      </c>
      <c r="AL143" s="44">
        <f ca="1">IF($AJ143=1,($AI143)*(10*OFFSET(载具产出!$D$45,MATCH(AL$6,$AK$6:$AN$6,0)-1,$AJ143)+OFFSET(载具产出!$D$49,MATCH(AL$6,$AK$6:$AN$6,0)-1,$AJ143)*OFFSET(载具产出!$N$49,MATCH(AL$6,$AK$6:$AN$6,0)-1,0)),OFFSET(载具产出!G$59,$AJ143-1,0)*10+OFFSET(载具产出!K$59,$AJ143-1,0)+($AI143*10-_xlfn.XLOOKUP($AJ143-1,载具产出!$D$59:$D$67,载具产出!$E$59:$E$67))/10*(10*OFFSET(载具产出!$D$45,MATCH(AL$6,$AK$6:$AN$6,0)-1,$AJ143)+OFFSET(载具产出!$D$49,MATCH(AL$6,$AK$6:$AN$6,0)-1,$AJ143)*OFFSET(载具产出!$N$49,MATCH(AL$6,$AK$6:$AN$6,0)-1,0)))</f>
        <v>1102.15714285715</v>
      </c>
      <c r="AM143" s="44">
        <f ca="1">IF($AJ143=1,($AI143)*(10*OFFSET(载具产出!$D$45,MATCH(AM$6,$AK$6:$AN$6,0)-1,$AJ143)+OFFSET(载具产出!$D$49,MATCH(AM$6,$AK$6:$AN$6,0)-1,$AJ143)*OFFSET(载具产出!$N$49,MATCH(AM$6,$AK$6:$AN$6,0)-1,0)),OFFSET(载具产出!H$59,$AJ143-1,0)*10+OFFSET(载具产出!L$59,$AJ143-1,0)+($AI143*10-_xlfn.XLOOKUP($AJ143-1,载具产出!$D$59:$D$67,载具产出!$E$59:$E$67))/10*(10*OFFSET(载具产出!$D$45,MATCH(AM$6,$AK$6:$AN$6,0)-1,$AJ143)+OFFSET(载具产出!$D$49,MATCH(AM$6,$AK$6:$AN$6,0)-1,$AJ143)*OFFSET(载具产出!$N$49,MATCH(AM$6,$AK$6:$AN$6,0)-1,0)))</f>
        <v>586.381714285717</v>
      </c>
      <c r="AN143" s="44">
        <f ca="1">IF($AJ143=1,($AI143)*(10*OFFSET(载具产出!$D$45,MATCH(AN$6,$AK$6:$AN$6,0)-1,$AJ143)+OFFSET(载具产出!$D$49,MATCH(AN$6,$AK$6:$AN$6,0)-1,$AJ143)*OFFSET(载具产出!$N$49,MATCH(AN$6,$AK$6:$AN$6,0)-1,0)),OFFSET(载具产出!I$59,$AJ143-1,0)*10+OFFSET(载具产出!M$59,$AJ143-1,0)+($AI143*10-_xlfn.XLOOKUP($AJ143-1,载具产出!$D$59:$D$67,载具产出!$E$59:$E$67))/10*(10*OFFSET(载具产出!$D$45,MATCH(AN$6,$AK$6:$AN$6,0)-1,$AJ143)+OFFSET(载具产出!$D$49,MATCH(AN$6,$AK$6:$AN$6,0)-1,$AJ143)*OFFSET(载具产出!$N$49,MATCH(AN$6,$AK$6:$AN$6,0)-1,0)))</f>
        <v>175.145142857144</v>
      </c>
      <c r="AO143" s="44">
        <f ca="1" t="shared" si="22"/>
        <v>3724.41057142858</v>
      </c>
      <c r="AP143" s="44">
        <f ca="1" t="shared" si="23"/>
        <v>2006.26380952381</v>
      </c>
      <c r="AQ143" s="44">
        <f ca="1" t="shared" si="24"/>
        <v>673.475047619051</v>
      </c>
      <c r="AR143" s="44">
        <f ca="1" t="shared" si="25"/>
        <v>175.145142857144</v>
      </c>
      <c r="AS143" s="45">
        <f ca="1">IFERROR(MATCH(AO143/载具产出!R$58,载具属性!$G$33:$G$92,1),0)</f>
        <v>29</v>
      </c>
      <c r="AT143" s="45">
        <f ca="1">IFERROR(MATCH(AP143/载具产出!S$58,载具属性!$G$33:$G$92,1),0)</f>
        <v>20</v>
      </c>
      <c r="AU143" s="45">
        <f ca="1">IFERROR(MATCH(AQ143/载具产出!T$58,载具属性!$G$33:$G$92,1),0)</f>
        <v>11</v>
      </c>
      <c r="AV143" s="45">
        <f ca="1">IFERROR(MATCH(AR143/载具产出!U$58,载具属性!$G$33:$G$92,1),0)</f>
        <v>3</v>
      </c>
      <c r="AW143" s="46" t="str">
        <f ca="1" t="shared" si="26"/>
        <v>[{62,743},{63,83515},{2,231900},{6030001,2426},{6030002,2582},{6030003,245}]</v>
      </c>
      <c r="AX143" t="str">
        <f ca="1" t="shared" si="27"/>
        <v>{62,743}</v>
      </c>
      <c r="AY143" t="str">
        <f ca="1" t="shared" si="28"/>
        <v>{63,83515}</v>
      </c>
      <c r="AZ143" t="str">
        <f ca="1" t="shared" si="29"/>
        <v>{2,231900}</v>
      </c>
      <c r="BA143" t="str">
        <f ca="1" t="shared" si="30"/>
        <v>{6030001,2426}</v>
      </c>
      <c r="BB143" t="str">
        <f ca="1" t="shared" si="31"/>
        <v>{6030002,2582}</v>
      </c>
      <c r="BC143" t="str">
        <f ca="1" t="shared" si="32"/>
        <v>{6030003,245}</v>
      </c>
      <c r="BD143" t="str">
        <f ca="1" t="shared" si="33"/>
        <v/>
      </c>
    </row>
    <row r="144" spans="3:56">
      <c r="C144">
        <f ca="1" t="shared" si="21"/>
        <v>117.101910828025</v>
      </c>
      <c r="D144" s="40">
        <v>138</v>
      </c>
      <c r="E144" s="40">
        <f t="shared" si="36"/>
        <v>111</v>
      </c>
      <c r="F144" s="40">
        <v>132</v>
      </c>
      <c r="G144" s="41">
        <f t="shared" si="35"/>
        <v>157</v>
      </c>
      <c r="H144" s="40">
        <f>H143</f>
        <v>211</v>
      </c>
      <c r="I144" s="40">
        <f t="shared" si="20"/>
        <v>302</v>
      </c>
      <c r="J144" s="40">
        <f t="shared" si="37"/>
        <v>270</v>
      </c>
      <c r="K144" s="40">
        <f ca="1">SUM(U$36:U144)-SUM(OFFSET(载具产出!H$399,0,0,$R144+1,1))</f>
        <v>750</v>
      </c>
      <c r="L144" s="40">
        <f ca="1">SUM(T$36:T144)-SUM(OFFSET(载具产出!G$399,0,0,$R144+1,1))</f>
        <v>84495</v>
      </c>
      <c r="M144" s="40">
        <f ca="1">SUM(V$36:V144)/2-SUM(OFFSET(载具产出!I$399,0,0,$R144+1,1))</f>
        <v>235000</v>
      </c>
      <c r="N144" s="40">
        <f ca="1">SUM(AA$36:AA144)-SUM(OFFSET(载具产出!J$399,0,0,$R144+1,1))</f>
        <v>2444.6</v>
      </c>
      <c r="O144" s="40">
        <f ca="1">SUM(AB$36:AB144)-SUM(OFFSET(载具产出!K$399,0,0,$R144+1,1))</f>
        <v>2603.07999999999</v>
      </c>
      <c r="P144" s="40">
        <f ca="1">SUM(AC$36:AC144)-SUM(OFFSET(载具产出!L$399,0,0,$R144+1,1))</f>
        <v>253.32</v>
      </c>
      <c r="Q144" s="40">
        <f ca="1">SUM(AD$36:AD144)-SUM(OFFSET(载具产出!M$399,0,0,$R144+1,1))</f>
        <v>0</v>
      </c>
      <c r="R144" s="40">
        <v>13</v>
      </c>
      <c r="S144" s="40" t="str">
        <f ca="1">OFFSET(载具产出!$D$111,IFERROR(MATCH(OFFSET($D144,0,MATCH($D$5,$E$6:$H$6,0)),载具产出!$E$112:$E$151,1),0),0)</f>
        <v>珍惜Ⅱ</v>
      </c>
      <c r="T144" s="40">
        <f ca="1">OFFSET(载具产出!$F$399,IFERROR(MATCH(OFFSET($D144,0,MATCH($D$5,$E$6:$H$6,0)),载具产出!$E$400:$E$439,1),0),MATCH(T$6,载具产出!$G$399:$O$399,0))</f>
        <v>980</v>
      </c>
      <c r="U144" s="40">
        <v>7</v>
      </c>
      <c r="V144" s="40">
        <f ca="1">OFFSET(载具产出!$F$399,IFERROR(MATCH(OFFSET($D144,0,MATCH($D$5,$E$6:$H$6,0)),载具产出!$E$400:$E$439,1),0),MATCH(V$6,载具产出!$G$399:$O$399,0))</f>
        <v>6200</v>
      </c>
      <c r="W144" s="43">
        <f ca="1">_xlfn.XLOOKUP(Z144,载具属性!$E$98:$E$497,载具属性!$G$98:$G$497)+6000+OFFSET(载具属性!L$33,AS144,0)*载具属性!M$30+OFFSET(载具属性!M$33,AT144,0)*载具属性!N$30+OFFSET(载具属性!N$33,AU144,0)*载具属性!O$30+OFFSET(载具属性!O$33,AV144,0)*载具属性!P$30</f>
        <v>18385</v>
      </c>
      <c r="X144" s="43">
        <f ca="1">_xlfn.XLOOKUP(Z144,载具属性!$E$98:$E$497,载具属性!$G$98:$G$497)</f>
        <v>7300</v>
      </c>
      <c r="Y144" s="43">
        <f ca="1">OFFSET(载具属性!L$33,AS144,0)*载具属性!M$30+OFFSET(载具属性!M$33,AT144,0)*载具属性!N$30+OFFSET(载具属性!N$33,AU144,0)*载具属性!O$30+OFFSET(载具属性!O$33,AV144,0)*载具属性!P$30</f>
        <v>5085</v>
      </c>
      <c r="Z144" s="40">
        <f ca="1">MATCH(SUM($T$7:T144),载具属性!$I$98:$I$497,1)</f>
        <v>118</v>
      </c>
      <c r="AA144" s="40">
        <f ca="1">OFFSET(载具产出!$F$399,IFERROR(MATCH(OFFSET($D144,0,MATCH($D$5,$E$6:$H$6,0)),载具产出!$E$112:$E$151,1),0),MATCH(AA$6,载具产出!$G$111:$O$111,0))*2</f>
        <v>18</v>
      </c>
      <c r="AB144" s="40">
        <f ca="1">OFFSET(载具产出!$F$399,IFERROR(MATCH(OFFSET($D144,0,MATCH($D$5,$E$6:$H$6,0)),载具产出!$E$112:$E$151,1),0),MATCH(AB$6,载具产出!$G$111:$O$111,0))*2</f>
        <v>20.16</v>
      </c>
      <c r="AC144" s="40">
        <f ca="1">OFFSET(载具产出!$F$399,IFERROR(MATCH(OFFSET($D144,0,MATCH($D$5,$E$6:$H$6,0)),载具产出!$E$112:$E$151,1),0),MATCH(AC$6,载具产出!$G$111:$O$111,0))*2</f>
        <v>7.84</v>
      </c>
      <c r="AD144" s="40">
        <f ca="1">OFFSET(载具产出!$F$399,IFERROR(MATCH(OFFSET($D144,0,MATCH($D$5,$E$6:$H$6,0)),载具产出!$E$112:$E$151,1),0),MATCH(AD$6,载具产出!$G$111:$O$111,0))*2</f>
        <v>0</v>
      </c>
      <c r="AE144" s="44">
        <f ca="1">SUM(AA$36:AA144)/3</f>
        <v>872.8</v>
      </c>
      <c r="AF144" s="44">
        <f ca="1">SUM(AB$36:AB144)/3</f>
        <v>910.826666666664</v>
      </c>
      <c r="AG144" s="44">
        <f ca="1">SUM(AC$36:AC144)/3</f>
        <v>89.7066666666668</v>
      </c>
      <c r="AH144" s="44">
        <f ca="1">SUM(AD$36:AD144)/3</f>
        <v>0</v>
      </c>
      <c r="AI144" s="44">
        <f>_xlfn.XLOOKUP($D$5,载具产出!$D$71:$D$75,载具产出!$E$71:$E$75)*(D144-30+1)</f>
        <v>1282.04761904762</v>
      </c>
      <c r="AJ144" s="44">
        <f>IFERROR(MATCH(_xlfn.XLOOKUP($D$5,载具产出!$D$71:$D$75,载具产出!$E$71:$E$75)*(D144-30+1)*10,载具产出!$E$60:$E$67,1),0)+1</f>
        <v>6</v>
      </c>
      <c r="AK144" s="44">
        <f ca="1">IF($AJ144=1,($AI144)*(10*OFFSET(载具产出!$D$45,MATCH(AK$6,$AK$6:$AN$6,0)-1,$AJ144)+OFFSET(载具产出!$D$49,MATCH(AK$6,$AK$6:$AN$6,0)-1,$AJ144)*OFFSET(载具产出!$N$49,MATCH(AK$6,$AK$6:$AN$6,0)-1,0)),OFFSET(载具产出!F$59,$AJ144-1,0)*10+OFFSET(载具产出!J$59,$AJ144-1,0)+($AI144*10-_xlfn.XLOOKUP($AJ144-1,载具产出!$D$59:$D$67,载具产出!$E$59:$E$67))/10*(10*OFFSET(载具产出!$D$45,MATCH(AK$6,$AK$6:$AN$6,0)-1,$AJ144)+OFFSET(载具产出!$D$49,MATCH(AK$6,$AK$6:$AN$6,0)-1,$AJ144)*OFFSET(载具产出!$N$49,MATCH(AK$6,$AK$6:$AN$6,0)-1,0)))</f>
        <v>2883.15742857143</v>
      </c>
      <c r="AL144" s="44">
        <f ca="1">IF($AJ144=1,($AI144)*(10*OFFSET(载具产出!$D$45,MATCH(AL$6,$AK$6:$AN$6,0)-1,$AJ144)+OFFSET(载具产出!$D$49,MATCH(AL$6,$AK$6:$AN$6,0)-1,$AJ144)*OFFSET(载具产出!$N$49,MATCH(AL$6,$AK$6:$AN$6,0)-1,0)),OFFSET(载具产出!G$59,$AJ144-1,0)*10+OFFSET(载具产出!K$59,$AJ144-1,0)+($AI144*10-_xlfn.XLOOKUP($AJ144-1,载具产出!$D$59:$D$67,载具产出!$E$59:$E$67))/10*(10*OFFSET(载具产出!$D$45,MATCH(AL$6,$AK$6:$AN$6,0)-1,$AJ144)+OFFSET(载具产出!$D$49,MATCH(AL$6,$AK$6:$AN$6,0)-1,$AJ144)*OFFSET(载具产出!$N$49,MATCH(AL$6,$AK$6:$AN$6,0)-1,0)))</f>
        <v>1112.74285714286</v>
      </c>
      <c r="AM144" s="44">
        <f ca="1">IF($AJ144=1,($AI144)*(10*OFFSET(载具产出!$D$45,MATCH(AM$6,$AK$6:$AN$6,0)-1,$AJ144)+OFFSET(载具产出!$D$49,MATCH(AM$6,$AK$6:$AN$6,0)-1,$AJ144)*OFFSET(载具产出!$N$49,MATCH(AM$6,$AK$6:$AN$6,0)-1,0)),OFFSET(载具产出!H$59,$AJ144-1,0)*10+OFFSET(载具产出!L$59,$AJ144-1,0)+($AI144*10-_xlfn.XLOOKUP($AJ144-1,载具产出!$D$59:$D$67,载具产出!$E$59:$E$67))/10*(10*OFFSET(载具产出!$D$45,MATCH(AM$6,$AK$6:$AN$6,0)-1,$AJ144)+OFFSET(载具产出!$D$49,MATCH(AM$6,$AK$6:$AN$6,0)-1,$AJ144)*OFFSET(载具产出!$N$49,MATCH(AM$6,$AK$6:$AN$6,0)-1,0)))</f>
        <v>592.215619047619</v>
      </c>
      <c r="AN144" s="44">
        <f ca="1">IF($AJ144=1,($AI144)*(10*OFFSET(载具产出!$D$45,MATCH(AN$6,$AK$6:$AN$6,0)-1,$AJ144)+OFFSET(载具产出!$D$49,MATCH(AN$6,$AK$6:$AN$6,0)-1,$AJ144)*OFFSET(载具产出!$N$49,MATCH(AN$6,$AK$6:$AN$6,0)-1,0)),OFFSET(载具产出!I$59,$AJ144-1,0)*10+OFFSET(载具产出!M$59,$AJ144-1,0)+($AI144*10-_xlfn.XLOOKUP($AJ144-1,载具产出!$D$59:$D$67,载具产出!$E$59:$E$67))/10*(10*OFFSET(载具产出!$D$45,MATCH(AN$6,$AK$6:$AN$6,0)-1,$AJ144)+OFFSET(载具产出!$D$49,MATCH(AN$6,$AK$6:$AN$6,0)-1,$AJ144)*OFFSET(载具产出!$N$49,MATCH(AN$6,$AK$6:$AN$6,0)-1,0)))</f>
        <v>177.003523809524</v>
      </c>
      <c r="AO144" s="44">
        <f ca="1" t="shared" si="22"/>
        <v>3755.95742857143</v>
      </c>
      <c r="AP144" s="44">
        <f ca="1" t="shared" si="23"/>
        <v>2023.56952380952</v>
      </c>
      <c r="AQ144" s="44">
        <f ca="1" t="shared" si="24"/>
        <v>681.922285714286</v>
      </c>
      <c r="AR144" s="44">
        <f ca="1" t="shared" si="25"/>
        <v>177.003523809524</v>
      </c>
      <c r="AS144" s="45">
        <f ca="1">IFERROR(MATCH(AO144/载具产出!R$58,载具属性!$G$33:$G$92,1),0)</f>
        <v>29</v>
      </c>
      <c r="AT144" s="45">
        <f ca="1">IFERROR(MATCH(AP144/载具产出!S$58,载具属性!$G$33:$G$92,1),0)</f>
        <v>20</v>
      </c>
      <c r="AU144" s="45">
        <f ca="1">IFERROR(MATCH(AQ144/载具产出!T$58,载具属性!$G$33:$G$92,1),0)</f>
        <v>11</v>
      </c>
      <c r="AV144" s="45">
        <f ca="1">IFERROR(MATCH(AR144/载具产出!U$58,载具属性!$G$33:$G$92,1),0)</f>
        <v>3</v>
      </c>
      <c r="AW144" s="46" t="str">
        <f ca="1" t="shared" si="26"/>
        <v>[{62,750},{63,84495},{2,235000},{6030001,2444},{6030002,2603},{6030003,253}]</v>
      </c>
      <c r="AX144" t="str">
        <f ca="1" t="shared" si="27"/>
        <v>{62,750}</v>
      </c>
      <c r="AY144" t="str">
        <f ca="1" t="shared" si="28"/>
        <v>{63,84495}</v>
      </c>
      <c r="AZ144" t="str">
        <f ca="1" t="shared" si="29"/>
        <v>{2,235000}</v>
      </c>
      <c r="BA144" t="str">
        <f ca="1" t="shared" si="30"/>
        <v>{6030001,2444}</v>
      </c>
      <c r="BB144" t="str">
        <f ca="1" t="shared" si="31"/>
        <v>{6030002,2603}</v>
      </c>
      <c r="BC144" t="str">
        <f ca="1" t="shared" si="32"/>
        <v>{6030003,253}</v>
      </c>
      <c r="BD144" t="str">
        <f ca="1" t="shared" si="33"/>
        <v/>
      </c>
    </row>
    <row r="145" spans="3:56">
      <c r="C145">
        <f ca="1" t="shared" si="21"/>
        <v>117.96178343949</v>
      </c>
      <c r="D145" s="40">
        <v>139</v>
      </c>
      <c r="E145" s="40">
        <f t="shared" si="36"/>
        <v>112</v>
      </c>
      <c r="F145" s="40">
        <v>132</v>
      </c>
      <c r="G145" s="41">
        <f t="shared" si="35"/>
        <v>157</v>
      </c>
      <c r="H145" s="40">
        <f>H144+1</f>
        <v>212</v>
      </c>
      <c r="I145" s="40">
        <f t="shared" si="20"/>
        <v>304</v>
      </c>
      <c r="J145" s="40">
        <f t="shared" si="37"/>
        <v>272</v>
      </c>
      <c r="K145" s="40">
        <f ca="1">SUM(U$36:U145)-SUM(OFFSET(载具产出!H$399,0,0,$R145+1,1))</f>
        <v>756</v>
      </c>
      <c r="L145" s="40">
        <f ca="1">SUM(T$36:T145)-SUM(OFFSET(载具产出!G$399,0,0,$R145+1,1))</f>
        <v>84435</v>
      </c>
      <c r="M145" s="40">
        <f ca="1">SUM(V$36:V145)/2-SUM(OFFSET(载具产出!I$399,0,0,$R145+1,1))</f>
        <v>231500</v>
      </c>
      <c r="N145" s="40">
        <f ca="1">SUM(AA$36:AA145)-SUM(OFFSET(载具产出!J$399,0,0,$R145+1,1))</f>
        <v>2453.6</v>
      </c>
      <c r="O145" s="40">
        <f ca="1">SUM(AB$36:AB145)-SUM(OFFSET(载具产出!K$399,0,0,$R145+1,1))</f>
        <v>2612.63999999999</v>
      </c>
      <c r="P145" s="40">
        <f ca="1">SUM(AC$36:AC145)-SUM(OFFSET(载具产出!L$399,0,0,$R145+1,1))</f>
        <v>255.76</v>
      </c>
      <c r="Q145" s="40">
        <f ca="1">SUM(AD$36:AD145)-SUM(OFFSET(载具产出!M$399,0,0,$R145+1,1))</f>
        <v>0</v>
      </c>
      <c r="R145" s="40">
        <v>14</v>
      </c>
      <c r="S145" s="40" t="str">
        <f ca="1">OFFSET(载具产出!$D$111,IFERROR(MATCH(OFFSET($D145,0,MATCH($D$5,$E$6:$H$6,0)),载具产出!$E$112:$E$151,1),0),0)</f>
        <v>珍惜Ⅱ</v>
      </c>
      <c r="T145" s="40">
        <f ca="1">OFFSET(载具产出!$F$399,IFERROR(MATCH(OFFSET($D145,0,MATCH($D$5,$E$6:$H$6,0)),载具产出!$E$400:$E$439,1),0),MATCH(T$6,载具产出!$G$399:$O$399,0))</f>
        <v>980</v>
      </c>
      <c r="U145" s="40">
        <v>7</v>
      </c>
      <c r="V145" s="40">
        <f ca="1">OFFSET(载具产出!$F$399,IFERROR(MATCH(OFFSET($D145,0,MATCH($D$5,$E$6:$H$6,0)),载具产出!$E$400:$E$439,1),0),MATCH(V$6,载具产出!$G$399:$O$399,0))</f>
        <v>6200</v>
      </c>
      <c r="W145" s="43">
        <f ca="1">_xlfn.XLOOKUP(Z145,载具属性!$E$98:$E$497,载具属性!$G$98:$G$497)+6000+OFFSET(载具属性!L$33,AS145,0)*载具属性!M$30+OFFSET(载具属性!M$33,AT145,0)*载具属性!N$30+OFFSET(载具属性!N$33,AU145,0)*载具属性!O$30+OFFSET(载具属性!O$33,AV145,0)*载具属性!P$30</f>
        <v>18520</v>
      </c>
      <c r="X145" s="43">
        <f ca="1">_xlfn.XLOOKUP(Z145,载具属性!$E$98:$E$497,载具属性!$G$98:$G$497)</f>
        <v>7375</v>
      </c>
      <c r="Y145" s="43">
        <f ca="1">OFFSET(载具属性!L$33,AS145,0)*载具属性!M$30+OFFSET(载具属性!M$33,AT145,0)*载具属性!N$30+OFFSET(载具属性!N$33,AU145,0)*载具属性!O$30+OFFSET(载具属性!O$33,AV145,0)*载具属性!P$30</f>
        <v>5145</v>
      </c>
      <c r="Z145" s="40">
        <f ca="1">MATCH(SUM($T$7:T145),载具属性!$I$98:$I$497,1)</f>
        <v>119</v>
      </c>
      <c r="AA145" s="40">
        <f ca="1">OFFSET(载具产出!$F$399,IFERROR(MATCH(OFFSET($D145,0,MATCH($D$5,$E$6:$H$6,0)),载具产出!$E$112:$E$151,1),0),MATCH(AA$6,载具产出!$G$111:$O$111,0))*2</f>
        <v>18</v>
      </c>
      <c r="AB145" s="40">
        <f ca="1">OFFSET(载具产出!$F$399,IFERROR(MATCH(OFFSET($D145,0,MATCH($D$5,$E$6:$H$6,0)),载具产出!$E$112:$E$151,1),0),MATCH(AB$6,载具产出!$G$111:$O$111,0))*2</f>
        <v>20.16</v>
      </c>
      <c r="AC145" s="40">
        <f ca="1">OFFSET(载具产出!$F$399,IFERROR(MATCH(OFFSET($D145,0,MATCH($D$5,$E$6:$H$6,0)),载具产出!$E$112:$E$151,1),0),MATCH(AC$6,载具产出!$G$111:$O$111,0))*2</f>
        <v>7.84</v>
      </c>
      <c r="AD145" s="40">
        <f ca="1">OFFSET(载具产出!$F$399,IFERROR(MATCH(OFFSET($D145,0,MATCH($D$5,$E$6:$H$6,0)),载具产出!$E$112:$E$151,1),0),MATCH(AD$6,载具产出!$G$111:$O$111,0))*2</f>
        <v>0</v>
      </c>
      <c r="AE145" s="44">
        <f ca="1">SUM(AA$36:AA145)/3</f>
        <v>878.8</v>
      </c>
      <c r="AF145" s="44">
        <f ca="1">SUM(AB$36:AB145)/3</f>
        <v>917.546666666664</v>
      </c>
      <c r="AG145" s="44">
        <f ca="1">SUM(AC$36:AC145)/3</f>
        <v>92.3200000000001</v>
      </c>
      <c r="AH145" s="44">
        <f ca="1">SUM(AD$36:AD145)/3</f>
        <v>0</v>
      </c>
      <c r="AI145" s="44">
        <f>_xlfn.XLOOKUP($D$5,载具产出!$D$71:$D$75,载具产出!$E$71:$E$75)*(D145-30+1)</f>
        <v>1293.80952380953</v>
      </c>
      <c r="AJ145" s="44">
        <f>IFERROR(MATCH(_xlfn.XLOOKUP($D$5,载具产出!$D$71:$D$75,载具产出!$E$71:$E$75)*(D145-30+1)*10,载具产出!$E$60:$E$67,1),0)+1</f>
        <v>6</v>
      </c>
      <c r="AK145" s="44">
        <f ca="1">IF($AJ145=1,($AI145)*(10*OFFSET(载具产出!$D$45,MATCH(AK$6,$AK$6:$AN$6,0)-1,$AJ145)+OFFSET(载具产出!$D$49,MATCH(AK$6,$AK$6:$AN$6,0)-1,$AJ145)*OFFSET(载具产出!$N$49,MATCH(AK$6,$AK$6:$AN$6,0)-1,0)),OFFSET(载具产出!F$59,$AJ145-1,0)*10+OFFSET(载具产出!J$59,$AJ145-1,0)+($AI145*10-_xlfn.XLOOKUP($AJ145-1,载具产出!$D$59:$D$67,载具产出!$E$59:$E$67))/10*(10*OFFSET(载具产出!$D$45,MATCH(AK$6,$AK$6:$AN$6,0)-1,$AJ145)+OFFSET(载具产出!$D$49,MATCH(AK$6,$AK$6:$AN$6,0)-1,$AJ145)*OFFSET(载具产出!$N$49,MATCH(AK$6,$AK$6:$AN$6,0)-1,0)))</f>
        <v>2908.7042857143</v>
      </c>
      <c r="AL145" s="44">
        <f ca="1">IF($AJ145=1,($AI145)*(10*OFFSET(载具产出!$D$45,MATCH(AL$6,$AK$6:$AN$6,0)-1,$AJ145)+OFFSET(载具产出!$D$49,MATCH(AL$6,$AK$6:$AN$6,0)-1,$AJ145)*OFFSET(载具产出!$N$49,MATCH(AL$6,$AK$6:$AN$6,0)-1,0)),OFFSET(载具产出!G$59,$AJ145-1,0)*10+OFFSET(载具产出!K$59,$AJ145-1,0)+($AI145*10-_xlfn.XLOOKUP($AJ145-1,载具产出!$D$59:$D$67,载具产出!$E$59:$E$67))/10*(10*OFFSET(载具产出!$D$45,MATCH(AL$6,$AK$6:$AN$6,0)-1,$AJ145)+OFFSET(载具产出!$D$49,MATCH(AL$6,$AK$6:$AN$6,0)-1,$AJ145)*OFFSET(载具产出!$N$49,MATCH(AL$6,$AK$6:$AN$6,0)-1,0)))</f>
        <v>1123.32857142858</v>
      </c>
      <c r="AM145" s="44">
        <f ca="1">IF($AJ145=1,($AI145)*(10*OFFSET(载具产出!$D$45,MATCH(AM$6,$AK$6:$AN$6,0)-1,$AJ145)+OFFSET(载具产出!$D$49,MATCH(AM$6,$AK$6:$AN$6,0)-1,$AJ145)*OFFSET(载具产出!$N$49,MATCH(AM$6,$AK$6:$AN$6,0)-1,0)),OFFSET(载具产出!H$59,$AJ145-1,0)*10+OFFSET(载具产出!L$59,$AJ145-1,0)+($AI145*10-_xlfn.XLOOKUP($AJ145-1,载具产出!$D$59:$D$67,载具产出!$E$59:$E$67))/10*(10*OFFSET(载具产出!$D$45,MATCH(AM$6,$AK$6:$AN$6,0)-1,$AJ145)+OFFSET(载具产出!$D$49,MATCH(AM$6,$AK$6:$AN$6,0)-1,$AJ145)*OFFSET(载具产出!$N$49,MATCH(AM$6,$AK$6:$AN$6,0)-1,0)))</f>
        <v>598.049523809527</v>
      </c>
      <c r="AN145" s="44">
        <f ca="1">IF($AJ145=1,($AI145)*(10*OFFSET(载具产出!$D$45,MATCH(AN$6,$AK$6:$AN$6,0)-1,$AJ145)+OFFSET(载具产出!$D$49,MATCH(AN$6,$AK$6:$AN$6,0)-1,$AJ145)*OFFSET(载具产出!$N$49,MATCH(AN$6,$AK$6:$AN$6,0)-1,0)),OFFSET(载具产出!I$59,$AJ145-1,0)*10+OFFSET(载具产出!M$59,$AJ145-1,0)+($AI145*10-_xlfn.XLOOKUP($AJ145-1,载具产出!$D$59:$D$67,载具产出!$E$59:$E$67))/10*(10*OFFSET(载具产出!$D$45,MATCH(AN$6,$AK$6:$AN$6,0)-1,$AJ145)+OFFSET(载具产出!$D$49,MATCH(AN$6,$AK$6:$AN$6,0)-1,$AJ145)*OFFSET(载具产出!$N$49,MATCH(AN$6,$AK$6:$AN$6,0)-1,0)))</f>
        <v>178.861904761906</v>
      </c>
      <c r="AO145" s="44">
        <f ca="1" t="shared" si="22"/>
        <v>3787.5042857143</v>
      </c>
      <c r="AP145" s="44">
        <f ca="1" t="shared" si="23"/>
        <v>2040.87523809524</v>
      </c>
      <c r="AQ145" s="44">
        <f ca="1" t="shared" si="24"/>
        <v>690.369523809527</v>
      </c>
      <c r="AR145" s="44">
        <f ca="1" t="shared" si="25"/>
        <v>178.861904761906</v>
      </c>
      <c r="AS145" s="45">
        <f ca="1">IFERROR(MATCH(AO145/载具产出!R$58,载具属性!$G$33:$G$92,1),0)</f>
        <v>30</v>
      </c>
      <c r="AT145" s="45">
        <f ca="1">IFERROR(MATCH(AP145/载具产出!S$58,载具属性!$G$33:$G$92,1),0)</f>
        <v>20</v>
      </c>
      <c r="AU145" s="45">
        <f ca="1">IFERROR(MATCH(AQ145/载具产出!T$58,载具属性!$G$33:$G$92,1),0)</f>
        <v>11</v>
      </c>
      <c r="AV145" s="45">
        <f ca="1">IFERROR(MATCH(AR145/载具产出!U$58,载具属性!$G$33:$G$92,1),0)</f>
        <v>3</v>
      </c>
      <c r="AW145" s="46" t="str">
        <f ca="1" t="shared" si="26"/>
        <v>[{62,756},{63,84435},{2,231500},{6030001,2453},{6030002,2612},{6030003,255}]</v>
      </c>
      <c r="AX145" t="str">
        <f ca="1" t="shared" si="27"/>
        <v>{62,756}</v>
      </c>
      <c r="AY145" t="str">
        <f ca="1" t="shared" si="28"/>
        <v>{63,84435}</v>
      </c>
      <c r="AZ145" t="str">
        <f ca="1" t="shared" si="29"/>
        <v>{2,231500}</v>
      </c>
      <c r="BA145" t="str">
        <f ca="1" t="shared" si="30"/>
        <v>{6030001,2453}</v>
      </c>
      <c r="BB145" t="str">
        <f ca="1" t="shared" si="31"/>
        <v>{6030002,2612}</v>
      </c>
      <c r="BC145" t="str">
        <f ca="1" t="shared" si="32"/>
        <v>{6030003,255}</v>
      </c>
      <c r="BD145" t="str">
        <f ca="1" t="shared" si="33"/>
        <v/>
      </c>
    </row>
    <row r="146" spans="3:56">
      <c r="C146">
        <f ca="1" t="shared" si="21"/>
        <v>117.215189873418</v>
      </c>
      <c r="D146" s="40">
        <v>140</v>
      </c>
      <c r="E146" s="40">
        <f t="shared" si="36"/>
        <v>112</v>
      </c>
      <c r="F146" s="40">
        <v>132</v>
      </c>
      <c r="G146" s="41">
        <f t="shared" si="35"/>
        <v>158</v>
      </c>
      <c r="H146" s="40">
        <f>H145</f>
        <v>212</v>
      </c>
      <c r="I146" s="40">
        <f t="shared" si="20"/>
        <v>306</v>
      </c>
      <c r="J146" s="40">
        <f t="shared" si="37"/>
        <v>274</v>
      </c>
      <c r="K146" s="40">
        <f ca="1">SUM(U$36:U146)-SUM(OFFSET(载具产出!H$399,0,0,$R146+1,1))</f>
        <v>763</v>
      </c>
      <c r="L146" s="40">
        <f ca="1">SUM(T$36:T146)-SUM(OFFSET(载具产出!G$399,0,0,$R146+1,1))</f>
        <v>85415</v>
      </c>
      <c r="M146" s="40">
        <f ca="1">SUM(V$36:V146)/2-SUM(OFFSET(载具产出!I$399,0,0,$R146+1,1))</f>
        <v>234600</v>
      </c>
      <c r="N146" s="40">
        <f ca="1">SUM(AA$36:AA146)-SUM(OFFSET(载具产出!J$399,0,0,$R146+1,1))</f>
        <v>2471.6</v>
      </c>
      <c r="O146" s="40">
        <f ca="1">SUM(AB$36:AB146)-SUM(OFFSET(载具产出!K$399,0,0,$R146+1,1))</f>
        <v>2632.79999999999</v>
      </c>
      <c r="P146" s="40">
        <f ca="1">SUM(AC$36:AC146)-SUM(OFFSET(载具产出!L$399,0,0,$R146+1,1))</f>
        <v>263.6</v>
      </c>
      <c r="Q146" s="40">
        <f ca="1">SUM(AD$36:AD146)-SUM(OFFSET(载具产出!M$399,0,0,$R146+1,1))</f>
        <v>0</v>
      </c>
      <c r="R146" s="40">
        <v>14</v>
      </c>
      <c r="S146" s="40" t="str">
        <f ca="1">OFFSET(载具产出!$D$111,IFERROR(MATCH(OFFSET($D146,0,MATCH($D$5,$E$6:$H$6,0)),载具产出!$E$112:$E$151,1),0),0)</f>
        <v>珍惜Ⅱ</v>
      </c>
      <c r="T146" s="40">
        <f ca="1">OFFSET(载具产出!$F$399,IFERROR(MATCH(OFFSET($D146,0,MATCH($D$5,$E$6:$H$6,0)),载具产出!$E$400:$E$439,1),0),MATCH(T$6,载具产出!$G$399:$O$399,0))</f>
        <v>980</v>
      </c>
      <c r="U146" s="40">
        <v>7</v>
      </c>
      <c r="V146" s="40">
        <f ca="1">OFFSET(载具产出!$F$399,IFERROR(MATCH(OFFSET($D146,0,MATCH($D$5,$E$6:$H$6,0)),载具产出!$E$400:$E$439,1),0),MATCH(V$6,载具产出!$G$399:$O$399,0))</f>
        <v>6200</v>
      </c>
      <c r="W146" s="43">
        <f ca="1">_xlfn.XLOOKUP(Z146,载具属性!$E$98:$E$497,载具属性!$G$98:$G$497)+6000+OFFSET(载具属性!L$33,AS146,0)*载具属性!M$30+OFFSET(载具属性!M$33,AT146,0)*载具属性!N$30+OFFSET(载具属性!N$33,AU146,0)*载具属性!O$30+OFFSET(载具属性!O$33,AV146,0)*载具属性!P$30</f>
        <v>18520</v>
      </c>
      <c r="X146" s="43">
        <f ca="1">_xlfn.XLOOKUP(Z146,载具属性!$E$98:$E$497,载具属性!$G$98:$G$497)</f>
        <v>7375</v>
      </c>
      <c r="Y146" s="43">
        <f ca="1">OFFSET(载具属性!L$33,AS146,0)*载具属性!M$30+OFFSET(载具属性!M$33,AT146,0)*载具属性!N$30+OFFSET(载具属性!N$33,AU146,0)*载具属性!O$30+OFFSET(载具属性!O$33,AV146,0)*载具属性!P$30</f>
        <v>5145</v>
      </c>
      <c r="Z146" s="40">
        <f ca="1">MATCH(SUM($T$7:T146),载具属性!$I$98:$I$497,1)</f>
        <v>119</v>
      </c>
      <c r="AA146" s="40">
        <f ca="1">OFFSET(载具产出!$F$399,IFERROR(MATCH(OFFSET($D146,0,MATCH($D$5,$E$6:$H$6,0)),载具产出!$E$112:$E$151,1),0),MATCH(AA$6,载具产出!$G$111:$O$111,0))*2</f>
        <v>18</v>
      </c>
      <c r="AB146" s="40">
        <f ca="1">OFFSET(载具产出!$F$399,IFERROR(MATCH(OFFSET($D146,0,MATCH($D$5,$E$6:$H$6,0)),载具产出!$E$112:$E$151,1),0),MATCH(AB$6,载具产出!$G$111:$O$111,0))*2</f>
        <v>20.16</v>
      </c>
      <c r="AC146" s="40">
        <f ca="1">OFFSET(载具产出!$F$399,IFERROR(MATCH(OFFSET($D146,0,MATCH($D$5,$E$6:$H$6,0)),载具产出!$E$112:$E$151,1),0),MATCH(AC$6,载具产出!$G$111:$O$111,0))*2</f>
        <v>7.84</v>
      </c>
      <c r="AD146" s="40">
        <f ca="1">OFFSET(载具产出!$F$399,IFERROR(MATCH(OFFSET($D146,0,MATCH($D$5,$E$6:$H$6,0)),载具产出!$E$112:$E$151,1),0),MATCH(AD$6,载具产出!$G$111:$O$111,0))*2</f>
        <v>0</v>
      </c>
      <c r="AE146" s="44">
        <f ca="1">SUM(AA$36:AA146)/3</f>
        <v>884.8</v>
      </c>
      <c r="AF146" s="44">
        <f ca="1">SUM(AB$36:AB146)/3</f>
        <v>924.266666666664</v>
      </c>
      <c r="AG146" s="44">
        <f ca="1">SUM(AC$36:AC146)/3</f>
        <v>94.9333333333334</v>
      </c>
      <c r="AH146" s="44">
        <f ca="1">SUM(AD$36:AD146)/3</f>
        <v>0</v>
      </c>
      <c r="AI146" s="44">
        <f>_xlfn.XLOOKUP($D$5,载具产出!$D$71:$D$75,载具产出!$E$71:$E$75)*(D146-30+1)</f>
        <v>1305.57142857143</v>
      </c>
      <c r="AJ146" s="44">
        <f>IFERROR(MATCH(_xlfn.XLOOKUP($D$5,载具产出!$D$71:$D$75,载具产出!$E$71:$E$75)*(D146-30+1)*10,载具产出!$E$60:$E$67,1),0)+1</f>
        <v>6</v>
      </c>
      <c r="AK146" s="44">
        <f ca="1">IF($AJ146=1,($AI146)*(10*OFFSET(载具产出!$D$45,MATCH(AK$6,$AK$6:$AN$6,0)-1,$AJ146)+OFFSET(载具产出!$D$49,MATCH(AK$6,$AK$6:$AN$6,0)-1,$AJ146)*OFFSET(载具产出!$N$49,MATCH(AK$6,$AK$6:$AN$6,0)-1,0)),OFFSET(载具产出!F$59,$AJ146-1,0)*10+OFFSET(载具产出!J$59,$AJ146-1,0)+($AI146*10-_xlfn.XLOOKUP($AJ146-1,载具产出!$D$59:$D$67,载具产出!$E$59:$E$67))/10*(10*OFFSET(载具产出!$D$45,MATCH(AK$6,$AK$6:$AN$6,0)-1,$AJ146)+OFFSET(载具产出!$D$49,MATCH(AK$6,$AK$6:$AN$6,0)-1,$AJ146)*OFFSET(载具产出!$N$49,MATCH(AK$6,$AK$6:$AN$6,0)-1,0)))</f>
        <v>2934.25114285715</v>
      </c>
      <c r="AL146" s="44">
        <f ca="1">IF($AJ146=1,($AI146)*(10*OFFSET(载具产出!$D$45,MATCH(AL$6,$AK$6:$AN$6,0)-1,$AJ146)+OFFSET(载具产出!$D$49,MATCH(AL$6,$AK$6:$AN$6,0)-1,$AJ146)*OFFSET(载具产出!$N$49,MATCH(AL$6,$AK$6:$AN$6,0)-1,0)),OFFSET(载具产出!G$59,$AJ146-1,0)*10+OFFSET(载具产出!K$59,$AJ146-1,0)+($AI146*10-_xlfn.XLOOKUP($AJ146-1,载具产出!$D$59:$D$67,载具产出!$E$59:$E$67))/10*(10*OFFSET(载具产出!$D$45,MATCH(AL$6,$AK$6:$AN$6,0)-1,$AJ146)+OFFSET(载具产出!$D$49,MATCH(AL$6,$AK$6:$AN$6,0)-1,$AJ146)*OFFSET(载具产出!$N$49,MATCH(AL$6,$AK$6:$AN$6,0)-1,0)))</f>
        <v>1133.91428571429</v>
      </c>
      <c r="AM146" s="44">
        <f ca="1">IF($AJ146=1,($AI146)*(10*OFFSET(载具产出!$D$45,MATCH(AM$6,$AK$6:$AN$6,0)-1,$AJ146)+OFFSET(载具产出!$D$49,MATCH(AM$6,$AK$6:$AN$6,0)-1,$AJ146)*OFFSET(载具产出!$N$49,MATCH(AM$6,$AK$6:$AN$6,0)-1,0)),OFFSET(载具产出!H$59,$AJ146-1,0)*10+OFFSET(载具产出!L$59,$AJ146-1,0)+($AI146*10-_xlfn.XLOOKUP($AJ146-1,载具产出!$D$59:$D$67,载具产出!$E$59:$E$67))/10*(10*OFFSET(载具产出!$D$45,MATCH(AM$6,$AK$6:$AN$6,0)-1,$AJ146)+OFFSET(载具产出!$D$49,MATCH(AM$6,$AK$6:$AN$6,0)-1,$AJ146)*OFFSET(载具产出!$N$49,MATCH(AM$6,$AK$6:$AN$6,0)-1,0)))</f>
        <v>603.883428571429</v>
      </c>
      <c r="AN146" s="44">
        <f ca="1">IF($AJ146=1,($AI146)*(10*OFFSET(载具产出!$D$45,MATCH(AN$6,$AK$6:$AN$6,0)-1,$AJ146)+OFFSET(载具产出!$D$49,MATCH(AN$6,$AK$6:$AN$6,0)-1,$AJ146)*OFFSET(载具产出!$N$49,MATCH(AN$6,$AK$6:$AN$6,0)-1,0)),OFFSET(载具产出!I$59,$AJ146-1,0)*10+OFFSET(载具产出!M$59,$AJ146-1,0)+($AI146*10-_xlfn.XLOOKUP($AJ146-1,载具产出!$D$59:$D$67,载具产出!$E$59:$E$67))/10*(10*OFFSET(载具产出!$D$45,MATCH(AN$6,$AK$6:$AN$6,0)-1,$AJ146)+OFFSET(载具产出!$D$49,MATCH(AN$6,$AK$6:$AN$6,0)-1,$AJ146)*OFFSET(载具产出!$N$49,MATCH(AN$6,$AK$6:$AN$6,0)-1,0)))</f>
        <v>180.720285714286</v>
      </c>
      <c r="AO146" s="44">
        <f ca="1" t="shared" si="22"/>
        <v>3819.05114285715</v>
      </c>
      <c r="AP146" s="44">
        <f ca="1" t="shared" si="23"/>
        <v>2058.18095238095</v>
      </c>
      <c r="AQ146" s="44">
        <f ca="1" t="shared" si="24"/>
        <v>698.816761904763</v>
      </c>
      <c r="AR146" s="44">
        <f ca="1" t="shared" si="25"/>
        <v>180.720285714286</v>
      </c>
      <c r="AS146" s="45">
        <f ca="1">IFERROR(MATCH(AO146/载具产出!R$58,载具属性!$G$33:$G$92,1),0)</f>
        <v>30</v>
      </c>
      <c r="AT146" s="45">
        <f ca="1">IFERROR(MATCH(AP146/载具产出!S$58,载具属性!$G$33:$G$92,1),0)</f>
        <v>20</v>
      </c>
      <c r="AU146" s="45">
        <f ca="1">IFERROR(MATCH(AQ146/载具产出!T$58,载具属性!$G$33:$G$92,1),0)</f>
        <v>11</v>
      </c>
      <c r="AV146" s="45">
        <f ca="1">IFERROR(MATCH(AR146/载具产出!U$58,载具属性!$G$33:$G$92,1),0)</f>
        <v>3</v>
      </c>
      <c r="AW146" s="46" t="str">
        <f ca="1" t="shared" si="26"/>
        <v>[{62,763},{63,85415},{2,234600},{6030001,2471},{6030002,2632},{6030003,263}]</v>
      </c>
      <c r="AX146" t="str">
        <f ca="1" t="shared" si="27"/>
        <v>{62,763}</v>
      </c>
      <c r="AY146" t="str">
        <f ca="1" t="shared" si="28"/>
        <v>{63,85415}</v>
      </c>
      <c r="AZ146" t="str">
        <f ca="1" t="shared" si="29"/>
        <v>{2,234600}</v>
      </c>
      <c r="BA146" t="str">
        <f ca="1" t="shared" si="30"/>
        <v>{6030001,2471}</v>
      </c>
      <c r="BB146" t="str">
        <f ca="1" t="shared" si="31"/>
        <v>{6030002,2632}</v>
      </c>
      <c r="BC146" t="str">
        <f ca="1" t="shared" si="32"/>
        <v>{6030003,263}</v>
      </c>
      <c r="BD146" t="str">
        <f ca="1" t="shared" si="33"/>
        <v/>
      </c>
    </row>
    <row r="147" spans="3:56">
      <c r="C147">
        <f ca="1" t="shared" si="21"/>
        <v>117.689873417722</v>
      </c>
      <c r="D147" s="40">
        <v>141</v>
      </c>
      <c r="E147" s="40">
        <f t="shared" si="36"/>
        <v>112</v>
      </c>
      <c r="F147" s="40">
        <v>132</v>
      </c>
      <c r="G147" s="41">
        <f t="shared" si="35"/>
        <v>158</v>
      </c>
      <c r="H147" s="40">
        <f>H146+1</f>
        <v>213</v>
      </c>
      <c r="I147" s="40">
        <f t="shared" si="20"/>
        <v>308</v>
      </c>
      <c r="J147" s="40">
        <f t="shared" si="37"/>
        <v>277</v>
      </c>
      <c r="K147" s="40">
        <f ca="1">SUM(U$36:U147)-SUM(OFFSET(载具产出!H$399,0,0,$R147+1,1))</f>
        <v>770</v>
      </c>
      <c r="L147" s="40">
        <f ca="1">SUM(T$36:T147)-SUM(OFFSET(载具产出!G$399,0,0,$R147+1,1))</f>
        <v>86395</v>
      </c>
      <c r="M147" s="40">
        <f ca="1">SUM(V$36:V147)/2-SUM(OFFSET(载具产出!I$399,0,0,$R147+1,1))</f>
        <v>237700</v>
      </c>
      <c r="N147" s="40">
        <f ca="1">SUM(AA$36:AA147)-SUM(OFFSET(载具产出!J$399,0,0,$R147+1,1))</f>
        <v>2489.6</v>
      </c>
      <c r="O147" s="40">
        <f ca="1">SUM(AB$36:AB147)-SUM(OFFSET(载具产出!K$399,0,0,$R147+1,1))</f>
        <v>2652.95999999999</v>
      </c>
      <c r="P147" s="40">
        <f ca="1">SUM(AC$36:AC147)-SUM(OFFSET(载具产出!L$399,0,0,$R147+1,1))</f>
        <v>271.44</v>
      </c>
      <c r="Q147" s="40">
        <f ca="1">SUM(AD$36:AD147)-SUM(OFFSET(载具产出!M$399,0,0,$R147+1,1))</f>
        <v>0</v>
      </c>
      <c r="R147" s="40">
        <v>14</v>
      </c>
      <c r="S147" s="40" t="str">
        <f ca="1">OFFSET(载具产出!$D$111,IFERROR(MATCH(OFFSET($D147,0,MATCH($D$5,$E$6:$H$6,0)),载具产出!$E$112:$E$151,1),0),0)</f>
        <v>珍惜Ⅱ</v>
      </c>
      <c r="T147" s="40">
        <f ca="1">OFFSET(载具产出!$F$399,IFERROR(MATCH(OFFSET($D147,0,MATCH($D$5,$E$6:$H$6,0)),载具产出!$E$400:$E$439,1),0),MATCH(T$6,载具产出!$G$399:$O$399,0))</f>
        <v>980</v>
      </c>
      <c r="U147" s="40">
        <v>7</v>
      </c>
      <c r="V147" s="40">
        <f ca="1">OFFSET(载具产出!$F$399,IFERROR(MATCH(OFFSET($D147,0,MATCH($D$5,$E$6:$H$6,0)),载具产出!$E$400:$E$439,1),0),MATCH(V$6,载具产出!$G$399:$O$399,0))</f>
        <v>6200</v>
      </c>
      <c r="W147" s="43">
        <f ca="1">_xlfn.XLOOKUP(Z147,载具属性!$E$98:$E$497,载具属性!$G$98:$G$497)+6000+OFFSET(载具属性!L$33,AS147,0)*载具属性!M$30+OFFSET(载具属性!M$33,AT147,0)*载具属性!N$30+OFFSET(载具属性!N$33,AU147,0)*载具属性!O$30+OFFSET(载具属性!O$33,AV147,0)*载具属性!P$30</f>
        <v>18595</v>
      </c>
      <c r="X147" s="43">
        <f ca="1">_xlfn.XLOOKUP(Z147,载具属性!$E$98:$E$497,载具属性!$G$98:$G$497)</f>
        <v>7450</v>
      </c>
      <c r="Y147" s="43">
        <f ca="1">OFFSET(载具属性!L$33,AS147,0)*载具属性!M$30+OFFSET(载具属性!M$33,AT147,0)*载具属性!N$30+OFFSET(载具属性!N$33,AU147,0)*载具属性!O$30+OFFSET(载具属性!O$33,AV147,0)*载具属性!P$30</f>
        <v>5145</v>
      </c>
      <c r="Z147" s="40">
        <f ca="1">MATCH(SUM($T$7:T147),载具属性!$I$98:$I$497,1)</f>
        <v>120</v>
      </c>
      <c r="AA147" s="40">
        <f ca="1">OFFSET(载具产出!$F$399,IFERROR(MATCH(OFFSET($D147,0,MATCH($D$5,$E$6:$H$6,0)),载具产出!$E$112:$E$151,1),0),MATCH(AA$6,载具产出!$G$111:$O$111,0))*2</f>
        <v>18</v>
      </c>
      <c r="AB147" s="40">
        <f ca="1">OFFSET(载具产出!$F$399,IFERROR(MATCH(OFFSET($D147,0,MATCH($D$5,$E$6:$H$6,0)),载具产出!$E$112:$E$151,1),0),MATCH(AB$6,载具产出!$G$111:$O$111,0))*2</f>
        <v>20.16</v>
      </c>
      <c r="AC147" s="40">
        <f ca="1">OFFSET(载具产出!$F$399,IFERROR(MATCH(OFFSET($D147,0,MATCH($D$5,$E$6:$H$6,0)),载具产出!$E$112:$E$151,1),0),MATCH(AC$6,载具产出!$G$111:$O$111,0))*2</f>
        <v>7.84</v>
      </c>
      <c r="AD147" s="40">
        <f ca="1">OFFSET(载具产出!$F$399,IFERROR(MATCH(OFFSET($D147,0,MATCH($D$5,$E$6:$H$6,0)),载具产出!$E$112:$E$151,1),0),MATCH(AD$6,载具产出!$G$111:$O$111,0))*2</f>
        <v>0</v>
      </c>
      <c r="AE147" s="44">
        <f ca="1">SUM(AA$36:AA147)/3</f>
        <v>890.8</v>
      </c>
      <c r="AF147" s="44">
        <f ca="1">SUM(AB$36:AB147)/3</f>
        <v>930.986666666664</v>
      </c>
      <c r="AG147" s="44">
        <f ca="1">SUM(AC$36:AC147)/3</f>
        <v>97.5466666666667</v>
      </c>
      <c r="AH147" s="44">
        <f ca="1">SUM(AD$36:AD147)/3</f>
        <v>0</v>
      </c>
      <c r="AI147" s="44">
        <f>_xlfn.XLOOKUP($D$5,载具产出!$D$71:$D$75,载具产出!$E$71:$E$75)*(D147-30+1)</f>
        <v>1317.33333333334</v>
      </c>
      <c r="AJ147" s="44">
        <f>IFERROR(MATCH(_xlfn.XLOOKUP($D$5,载具产出!$D$71:$D$75,载具产出!$E$71:$E$75)*(D147-30+1)*10,载具产出!$E$60:$E$67,1),0)+1</f>
        <v>6</v>
      </c>
      <c r="AK147" s="44">
        <f ca="1">IF($AJ147=1,($AI147)*(10*OFFSET(载具产出!$D$45,MATCH(AK$6,$AK$6:$AN$6,0)-1,$AJ147)+OFFSET(载具产出!$D$49,MATCH(AK$6,$AK$6:$AN$6,0)-1,$AJ147)*OFFSET(载具产出!$N$49,MATCH(AK$6,$AK$6:$AN$6,0)-1,0)),OFFSET(载具产出!F$59,$AJ147-1,0)*10+OFFSET(载具产出!J$59,$AJ147-1,0)+($AI147*10-_xlfn.XLOOKUP($AJ147-1,载具产出!$D$59:$D$67,载具产出!$E$59:$E$67))/10*(10*OFFSET(载具产出!$D$45,MATCH(AK$6,$AK$6:$AN$6,0)-1,$AJ147)+OFFSET(载具产出!$D$49,MATCH(AK$6,$AK$6:$AN$6,0)-1,$AJ147)*OFFSET(载具产出!$N$49,MATCH(AK$6,$AK$6:$AN$6,0)-1,0)))</f>
        <v>2959.79800000001</v>
      </c>
      <c r="AL147" s="44">
        <f ca="1">IF($AJ147=1,($AI147)*(10*OFFSET(载具产出!$D$45,MATCH(AL$6,$AK$6:$AN$6,0)-1,$AJ147)+OFFSET(载具产出!$D$49,MATCH(AL$6,$AK$6:$AN$6,0)-1,$AJ147)*OFFSET(载具产出!$N$49,MATCH(AL$6,$AK$6:$AN$6,0)-1,0)),OFFSET(载具产出!G$59,$AJ147-1,0)*10+OFFSET(载具产出!K$59,$AJ147-1,0)+($AI147*10-_xlfn.XLOOKUP($AJ147-1,载具产出!$D$59:$D$67,载具产出!$E$59:$E$67))/10*(10*OFFSET(载具产出!$D$45,MATCH(AL$6,$AK$6:$AN$6,0)-1,$AJ147)+OFFSET(载具产出!$D$49,MATCH(AL$6,$AK$6:$AN$6,0)-1,$AJ147)*OFFSET(载具产出!$N$49,MATCH(AL$6,$AK$6:$AN$6,0)-1,0)))</f>
        <v>1144.50000000001</v>
      </c>
      <c r="AM147" s="44">
        <f ca="1">IF($AJ147=1,($AI147)*(10*OFFSET(载具产出!$D$45,MATCH(AM$6,$AK$6:$AN$6,0)-1,$AJ147)+OFFSET(载具产出!$D$49,MATCH(AM$6,$AK$6:$AN$6,0)-1,$AJ147)*OFFSET(载具产出!$N$49,MATCH(AM$6,$AK$6:$AN$6,0)-1,0)),OFFSET(载具产出!H$59,$AJ147-1,0)*10+OFFSET(载具产出!L$59,$AJ147-1,0)+($AI147*10-_xlfn.XLOOKUP($AJ147-1,载具产出!$D$59:$D$67,载具产出!$E$59:$E$67))/10*(10*OFFSET(载具产出!$D$45,MATCH(AM$6,$AK$6:$AN$6,0)-1,$AJ147)+OFFSET(载具产出!$D$49,MATCH(AM$6,$AK$6:$AN$6,0)-1,$AJ147)*OFFSET(载具产出!$N$49,MATCH(AM$6,$AK$6:$AN$6,0)-1,0)))</f>
        <v>609.717333333337</v>
      </c>
      <c r="AN147" s="44">
        <f ca="1">IF($AJ147=1,($AI147)*(10*OFFSET(载具产出!$D$45,MATCH(AN$6,$AK$6:$AN$6,0)-1,$AJ147)+OFFSET(载具产出!$D$49,MATCH(AN$6,$AK$6:$AN$6,0)-1,$AJ147)*OFFSET(载具产出!$N$49,MATCH(AN$6,$AK$6:$AN$6,0)-1,0)),OFFSET(载具产出!I$59,$AJ147-1,0)*10+OFFSET(载具产出!M$59,$AJ147-1,0)+($AI147*10-_xlfn.XLOOKUP($AJ147-1,载具产出!$D$59:$D$67,载具产出!$E$59:$E$67))/10*(10*OFFSET(载具产出!$D$45,MATCH(AN$6,$AK$6:$AN$6,0)-1,$AJ147)+OFFSET(载具产出!$D$49,MATCH(AN$6,$AK$6:$AN$6,0)-1,$AJ147)*OFFSET(载具产出!$N$49,MATCH(AN$6,$AK$6:$AN$6,0)-1,0)))</f>
        <v>182.578666666668</v>
      </c>
      <c r="AO147" s="44">
        <f ca="1" t="shared" si="22"/>
        <v>3850.59800000001</v>
      </c>
      <c r="AP147" s="44">
        <f ca="1" t="shared" si="23"/>
        <v>2075.48666666667</v>
      </c>
      <c r="AQ147" s="44">
        <f ca="1" t="shared" si="24"/>
        <v>707.264000000003</v>
      </c>
      <c r="AR147" s="44">
        <f ca="1" t="shared" si="25"/>
        <v>182.578666666668</v>
      </c>
      <c r="AS147" s="45">
        <f ca="1">IFERROR(MATCH(AO147/载具产出!R$58,载具属性!$G$33:$G$92,1),0)</f>
        <v>30</v>
      </c>
      <c r="AT147" s="45">
        <f ca="1">IFERROR(MATCH(AP147/载具产出!S$58,载具属性!$G$33:$G$92,1),0)</f>
        <v>20</v>
      </c>
      <c r="AU147" s="45">
        <f ca="1">IFERROR(MATCH(AQ147/载具产出!T$58,载具属性!$G$33:$G$92,1),0)</f>
        <v>11</v>
      </c>
      <c r="AV147" s="45">
        <f ca="1">IFERROR(MATCH(AR147/载具产出!U$58,载具属性!$G$33:$G$92,1),0)</f>
        <v>3</v>
      </c>
      <c r="AW147" s="46" t="str">
        <f ca="1" t="shared" si="26"/>
        <v>[{62,770},{63,86395},{2,237700},{6030001,2489},{6030002,2652},{6030003,271}]</v>
      </c>
      <c r="AX147" t="str">
        <f ca="1" t="shared" si="27"/>
        <v>{62,770}</v>
      </c>
      <c r="AY147" t="str">
        <f ca="1" t="shared" si="28"/>
        <v>{63,86395}</v>
      </c>
      <c r="AZ147" t="str">
        <f ca="1" t="shared" si="29"/>
        <v>{2,237700}</v>
      </c>
      <c r="BA147" t="str">
        <f ca="1" t="shared" si="30"/>
        <v>{6030001,2489}</v>
      </c>
      <c r="BB147" t="str">
        <f ca="1" t="shared" si="31"/>
        <v>{6030002,2652}</v>
      </c>
      <c r="BC147" t="str">
        <f ca="1" t="shared" si="32"/>
        <v>{6030003,271}</v>
      </c>
      <c r="BD147" t="str">
        <f ca="1" t="shared" si="33"/>
        <v/>
      </c>
    </row>
    <row r="148" spans="3:56">
      <c r="C148">
        <f ca="1" t="shared" si="21"/>
        <v>117.452830188679</v>
      </c>
      <c r="D148" s="40">
        <v>142</v>
      </c>
      <c r="E148" s="40">
        <f t="shared" si="36"/>
        <v>112</v>
      </c>
      <c r="F148" s="40">
        <v>132</v>
      </c>
      <c r="G148" s="41">
        <f t="shared" si="35"/>
        <v>159</v>
      </c>
      <c r="H148" s="40">
        <f>H147</f>
        <v>213</v>
      </c>
      <c r="I148" s="40">
        <f t="shared" si="20"/>
        <v>310</v>
      </c>
      <c r="J148" s="40">
        <f t="shared" si="37"/>
        <v>279</v>
      </c>
      <c r="K148" s="40">
        <f ca="1">SUM(U$36:U148)-SUM(OFFSET(载具产出!H$399,0,0,$R148+1,1))</f>
        <v>777</v>
      </c>
      <c r="L148" s="40">
        <f ca="1">SUM(T$36:T148)-SUM(OFFSET(载具产出!G$399,0,0,$R148+1,1))</f>
        <v>87375</v>
      </c>
      <c r="M148" s="40">
        <f ca="1">SUM(V$36:V148)/2-SUM(OFFSET(载具产出!I$399,0,0,$R148+1,1))</f>
        <v>240800</v>
      </c>
      <c r="N148" s="40">
        <f ca="1">SUM(AA$36:AA148)-SUM(OFFSET(载具产出!J$399,0,0,$R148+1,1))</f>
        <v>2507.6</v>
      </c>
      <c r="O148" s="40">
        <f ca="1">SUM(AB$36:AB148)-SUM(OFFSET(载具产出!K$399,0,0,$R148+1,1))</f>
        <v>2673.11999999999</v>
      </c>
      <c r="P148" s="40">
        <f ca="1">SUM(AC$36:AC148)-SUM(OFFSET(载具产出!L$399,0,0,$R148+1,1))</f>
        <v>279.28</v>
      </c>
      <c r="Q148" s="40">
        <f ca="1">SUM(AD$36:AD148)-SUM(OFFSET(载具产出!M$399,0,0,$R148+1,1))</f>
        <v>0</v>
      </c>
      <c r="R148" s="40">
        <v>14</v>
      </c>
      <c r="S148" s="40" t="str">
        <f ca="1">OFFSET(载具产出!$D$111,IFERROR(MATCH(OFFSET($D148,0,MATCH($D$5,$E$6:$H$6,0)),载具产出!$E$112:$E$151,1),0),0)</f>
        <v>珍惜Ⅱ</v>
      </c>
      <c r="T148" s="40">
        <f ca="1">OFFSET(载具产出!$F$399,IFERROR(MATCH(OFFSET($D148,0,MATCH($D$5,$E$6:$H$6,0)),载具产出!$E$400:$E$439,1),0),MATCH(T$6,载具产出!$G$399:$O$399,0))</f>
        <v>980</v>
      </c>
      <c r="U148" s="40">
        <v>7</v>
      </c>
      <c r="V148" s="40">
        <f ca="1">OFFSET(载具产出!$F$399,IFERROR(MATCH(OFFSET($D148,0,MATCH($D$5,$E$6:$H$6,0)),载具产出!$E$400:$E$439,1),0),MATCH(V$6,载具产出!$G$399:$O$399,0))</f>
        <v>6200</v>
      </c>
      <c r="W148" s="43">
        <f ca="1">_xlfn.XLOOKUP(Z148,载具属性!$E$98:$E$497,载具属性!$G$98:$G$497)+6000+OFFSET(载具属性!L$33,AS148,0)*载具属性!M$30+OFFSET(载具属性!M$33,AT148,0)*载具属性!N$30+OFFSET(载具属性!N$33,AU148,0)*载具属性!O$30+OFFSET(载具属性!O$33,AV148,0)*载具属性!P$30</f>
        <v>18675</v>
      </c>
      <c r="X148" s="43">
        <f ca="1">_xlfn.XLOOKUP(Z148,载具属性!$E$98:$E$497,载具属性!$G$98:$G$497)</f>
        <v>7530</v>
      </c>
      <c r="Y148" s="43">
        <f ca="1">OFFSET(载具属性!L$33,AS148,0)*载具属性!M$30+OFFSET(载具属性!M$33,AT148,0)*载具属性!N$30+OFFSET(载具属性!N$33,AU148,0)*载具属性!O$30+OFFSET(载具属性!O$33,AV148,0)*载具属性!P$30</f>
        <v>5145</v>
      </c>
      <c r="Z148" s="40">
        <f ca="1">MATCH(SUM($T$7:T148),载具属性!$I$98:$I$497,1)</f>
        <v>121</v>
      </c>
      <c r="AA148" s="40">
        <f ca="1">OFFSET(载具产出!$F$399,IFERROR(MATCH(OFFSET($D148,0,MATCH($D$5,$E$6:$H$6,0)),载具产出!$E$112:$E$151,1),0),MATCH(AA$6,载具产出!$G$111:$O$111,0))*2</f>
        <v>18</v>
      </c>
      <c r="AB148" s="40">
        <f ca="1">OFFSET(载具产出!$F$399,IFERROR(MATCH(OFFSET($D148,0,MATCH($D$5,$E$6:$H$6,0)),载具产出!$E$112:$E$151,1),0),MATCH(AB$6,载具产出!$G$111:$O$111,0))*2</f>
        <v>20.16</v>
      </c>
      <c r="AC148" s="40">
        <f ca="1">OFFSET(载具产出!$F$399,IFERROR(MATCH(OFFSET($D148,0,MATCH($D$5,$E$6:$H$6,0)),载具产出!$E$112:$E$151,1),0),MATCH(AC$6,载具产出!$G$111:$O$111,0))*2</f>
        <v>7.84</v>
      </c>
      <c r="AD148" s="40">
        <f ca="1">OFFSET(载具产出!$F$399,IFERROR(MATCH(OFFSET($D148,0,MATCH($D$5,$E$6:$H$6,0)),载具产出!$E$112:$E$151,1),0),MATCH(AD$6,载具产出!$G$111:$O$111,0))*2</f>
        <v>0</v>
      </c>
      <c r="AE148" s="44">
        <f ca="1">SUM(AA$36:AA148)/3</f>
        <v>896.8</v>
      </c>
      <c r="AF148" s="44">
        <f ca="1">SUM(AB$36:AB148)/3</f>
        <v>937.706666666664</v>
      </c>
      <c r="AG148" s="44">
        <f ca="1">SUM(AC$36:AC148)/3</f>
        <v>100.16</v>
      </c>
      <c r="AH148" s="44">
        <f ca="1">SUM(AD$36:AD148)/3</f>
        <v>0</v>
      </c>
      <c r="AI148" s="44">
        <f>_xlfn.XLOOKUP($D$5,载具产出!$D$71:$D$75,载具产出!$E$71:$E$75)*(D148-30+1)</f>
        <v>1329.09523809524</v>
      </c>
      <c r="AJ148" s="44">
        <f>IFERROR(MATCH(_xlfn.XLOOKUP($D$5,载具产出!$D$71:$D$75,载具产出!$E$71:$E$75)*(D148-30+1)*10,载具产出!$E$60:$E$67,1),0)+1</f>
        <v>6</v>
      </c>
      <c r="AK148" s="44">
        <f ca="1">IF($AJ148=1,($AI148)*(10*OFFSET(载具产出!$D$45,MATCH(AK$6,$AK$6:$AN$6,0)-1,$AJ148)+OFFSET(载具产出!$D$49,MATCH(AK$6,$AK$6:$AN$6,0)-1,$AJ148)*OFFSET(载具产出!$N$49,MATCH(AK$6,$AK$6:$AN$6,0)-1,0)),OFFSET(载具产出!F$59,$AJ148-1,0)*10+OFFSET(载具产出!J$59,$AJ148-1,0)+($AI148*10-_xlfn.XLOOKUP($AJ148-1,载具产出!$D$59:$D$67,载具产出!$E$59:$E$67))/10*(10*OFFSET(载具产出!$D$45,MATCH(AK$6,$AK$6:$AN$6,0)-1,$AJ148)+OFFSET(载具产出!$D$49,MATCH(AK$6,$AK$6:$AN$6,0)-1,$AJ148)*OFFSET(载具产出!$N$49,MATCH(AK$6,$AK$6:$AN$6,0)-1,0)))</f>
        <v>2985.34485714286</v>
      </c>
      <c r="AL148" s="44">
        <f ca="1">IF($AJ148=1,($AI148)*(10*OFFSET(载具产出!$D$45,MATCH(AL$6,$AK$6:$AN$6,0)-1,$AJ148)+OFFSET(载具产出!$D$49,MATCH(AL$6,$AK$6:$AN$6,0)-1,$AJ148)*OFFSET(载具产出!$N$49,MATCH(AL$6,$AK$6:$AN$6,0)-1,0)),OFFSET(载具产出!G$59,$AJ148-1,0)*10+OFFSET(载具产出!K$59,$AJ148-1,0)+($AI148*10-_xlfn.XLOOKUP($AJ148-1,载具产出!$D$59:$D$67,载具产出!$E$59:$E$67))/10*(10*OFFSET(载具产出!$D$45,MATCH(AL$6,$AK$6:$AN$6,0)-1,$AJ148)+OFFSET(载具产出!$D$49,MATCH(AL$6,$AK$6:$AN$6,0)-1,$AJ148)*OFFSET(载具产出!$N$49,MATCH(AL$6,$AK$6:$AN$6,0)-1,0)))</f>
        <v>1155.08571428572</v>
      </c>
      <c r="AM148" s="44">
        <f ca="1">IF($AJ148=1,($AI148)*(10*OFFSET(载具产出!$D$45,MATCH(AM$6,$AK$6:$AN$6,0)-1,$AJ148)+OFFSET(载具产出!$D$49,MATCH(AM$6,$AK$6:$AN$6,0)-1,$AJ148)*OFFSET(载具产出!$N$49,MATCH(AM$6,$AK$6:$AN$6,0)-1,0)),OFFSET(载具产出!H$59,$AJ148-1,0)*10+OFFSET(载具产出!L$59,$AJ148-1,0)+($AI148*10-_xlfn.XLOOKUP($AJ148-1,载具产出!$D$59:$D$67,载具产出!$E$59:$E$67))/10*(10*OFFSET(载具产出!$D$45,MATCH(AM$6,$AK$6:$AN$6,0)-1,$AJ148)+OFFSET(载具产出!$D$49,MATCH(AM$6,$AK$6:$AN$6,0)-1,$AJ148)*OFFSET(载具产出!$N$49,MATCH(AM$6,$AK$6:$AN$6,0)-1,0)))</f>
        <v>615.551238095239</v>
      </c>
      <c r="AN148" s="44">
        <f ca="1">IF($AJ148=1,($AI148)*(10*OFFSET(载具产出!$D$45,MATCH(AN$6,$AK$6:$AN$6,0)-1,$AJ148)+OFFSET(载具产出!$D$49,MATCH(AN$6,$AK$6:$AN$6,0)-1,$AJ148)*OFFSET(载具产出!$N$49,MATCH(AN$6,$AK$6:$AN$6,0)-1,0)),OFFSET(载具产出!I$59,$AJ148-1,0)*10+OFFSET(载具产出!M$59,$AJ148-1,0)+($AI148*10-_xlfn.XLOOKUP($AJ148-1,载具产出!$D$59:$D$67,载具产出!$E$59:$E$67))/10*(10*OFFSET(载具产出!$D$45,MATCH(AN$6,$AK$6:$AN$6,0)-1,$AJ148)+OFFSET(载具产出!$D$49,MATCH(AN$6,$AK$6:$AN$6,0)-1,$AJ148)*OFFSET(载具产出!$N$49,MATCH(AN$6,$AK$6:$AN$6,0)-1,0)))</f>
        <v>184.437047619048</v>
      </c>
      <c r="AO148" s="44">
        <f ca="1" t="shared" si="22"/>
        <v>3882.14485714286</v>
      </c>
      <c r="AP148" s="44">
        <f ca="1" t="shared" si="23"/>
        <v>2092.79238095238</v>
      </c>
      <c r="AQ148" s="44">
        <f ca="1" t="shared" si="24"/>
        <v>715.711238095239</v>
      </c>
      <c r="AR148" s="44">
        <f ca="1" t="shared" si="25"/>
        <v>184.437047619048</v>
      </c>
      <c r="AS148" s="45">
        <f ca="1">IFERROR(MATCH(AO148/载具产出!R$58,载具属性!$G$33:$G$92,1),0)</f>
        <v>30</v>
      </c>
      <c r="AT148" s="45">
        <f ca="1">IFERROR(MATCH(AP148/载具产出!S$58,载具属性!$G$33:$G$92,1),0)</f>
        <v>20</v>
      </c>
      <c r="AU148" s="45">
        <f ca="1">IFERROR(MATCH(AQ148/载具产出!T$58,载具属性!$G$33:$G$92,1),0)</f>
        <v>11</v>
      </c>
      <c r="AV148" s="45">
        <f ca="1">IFERROR(MATCH(AR148/载具产出!U$58,载具属性!$G$33:$G$92,1),0)</f>
        <v>3</v>
      </c>
      <c r="AW148" s="46" t="str">
        <f ca="1" t="shared" si="26"/>
        <v>[{62,777},{63,87375},{2,240800},{6030001,2507},{6030002,2673},{6030003,279}]</v>
      </c>
      <c r="AX148" t="str">
        <f ca="1" t="shared" si="27"/>
        <v>{62,777}</v>
      </c>
      <c r="AY148" t="str">
        <f ca="1" t="shared" si="28"/>
        <v>{63,87375}</v>
      </c>
      <c r="AZ148" t="str">
        <f ca="1" t="shared" si="29"/>
        <v>{2,240800}</v>
      </c>
      <c r="BA148" t="str">
        <f ca="1" t="shared" si="30"/>
        <v>{6030001,2507}</v>
      </c>
      <c r="BB148" t="str">
        <f ca="1" t="shared" si="31"/>
        <v>{6030002,2673}</v>
      </c>
      <c r="BC148" t="str">
        <f ca="1" t="shared" si="32"/>
        <v>{6030003,279}</v>
      </c>
      <c r="BD148" t="str">
        <f ca="1" t="shared" si="33"/>
        <v/>
      </c>
    </row>
    <row r="149" spans="3:56">
      <c r="C149">
        <f ca="1" t="shared" si="21"/>
        <v>118.018867924528</v>
      </c>
      <c r="D149" s="40">
        <v>143</v>
      </c>
      <c r="E149" s="40">
        <f t="shared" si="36"/>
        <v>112</v>
      </c>
      <c r="F149" s="40">
        <v>132</v>
      </c>
      <c r="G149" s="41">
        <f t="shared" si="35"/>
        <v>159</v>
      </c>
      <c r="H149" s="40">
        <f>H148+1</f>
        <v>214</v>
      </c>
      <c r="I149" s="40">
        <f t="shared" si="20"/>
        <v>312</v>
      </c>
      <c r="J149" s="40">
        <f t="shared" si="37"/>
        <v>281</v>
      </c>
      <c r="K149" s="40">
        <f ca="1">SUM(U$36:U149)-SUM(OFFSET(载具产出!H$399,0,0,$R149+1,1))</f>
        <v>784</v>
      </c>
      <c r="L149" s="40">
        <f ca="1">SUM(T$36:T149)-SUM(OFFSET(载具产出!G$399,0,0,$R149+1,1))</f>
        <v>88355</v>
      </c>
      <c r="M149" s="40">
        <f ca="1">SUM(V$36:V149)/2-SUM(OFFSET(载具产出!I$399,0,0,$R149+1,1))</f>
        <v>243900</v>
      </c>
      <c r="N149" s="40">
        <f ca="1">SUM(AA$36:AA149)-SUM(OFFSET(载具产出!J$399,0,0,$R149+1,1))</f>
        <v>2525.6</v>
      </c>
      <c r="O149" s="40">
        <f ca="1">SUM(AB$36:AB149)-SUM(OFFSET(载具产出!K$399,0,0,$R149+1,1))</f>
        <v>2693.27999999999</v>
      </c>
      <c r="P149" s="40">
        <f ca="1">SUM(AC$36:AC149)-SUM(OFFSET(载具产出!L$399,0,0,$R149+1,1))</f>
        <v>287.12</v>
      </c>
      <c r="Q149" s="40">
        <f ca="1">SUM(AD$36:AD149)-SUM(OFFSET(载具产出!M$399,0,0,$R149+1,1))</f>
        <v>0</v>
      </c>
      <c r="R149" s="40">
        <v>14</v>
      </c>
      <c r="S149" s="40" t="str">
        <f ca="1">OFFSET(载具产出!$D$111,IFERROR(MATCH(OFFSET($D149,0,MATCH($D$5,$E$6:$H$6,0)),载具产出!$E$112:$E$151,1),0),0)</f>
        <v>珍惜Ⅱ</v>
      </c>
      <c r="T149" s="40">
        <f ca="1">OFFSET(载具产出!$F$399,IFERROR(MATCH(OFFSET($D149,0,MATCH($D$5,$E$6:$H$6,0)),载具产出!$E$400:$E$439,1),0),MATCH(T$6,载具产出!$G$399:$O$399,0))</f>
        <v>980</v>
      </c>
      <c r="U149" s="40">
        <v>7</v>
      </c>
      <c r="V149" s="40">
        <f ca="1">OFFSET(载具产出!$F$399,IFERROR(MATCH(OFFSET($D149,0,MATCH($D$5,$E$6:$H$6,0)),载具产出!$E$400:$E$439,1),0),MATCH(V$6,载具产出!$G$399:$O$399,0))</f>
        <v>6200</v>
      </c>
      <c r="W149" s="43">
        <f ca="1">_xlfn.XLOOKUP(Z149,载具属性!$E$98:$E$497,载具属性!$G$98:$G$497)+6000+OFFSET(载具属性!L$33,AS149,0)*载具属性!M$30+OFFSET(载具属性!M$33,AT149,0)*载具属性!N$30+OFFSET(载具属性!N$33,AU149,0)*载具属性!O$30+OFFSET(载具属性!O$33,AV149,0)*载具属性!P$30</f>
        <v>18765</v>
      </c>
      <c r="X149" s="43">
        <f ca="1">_xlfn.XLOOKUP(Z149,载具属性!$E$98:$E$497,载具属性!$G$98:$G$497)</f>
        <v>7530</v>
      </c>
      <c r="Y149" s="43">
        <f ca="1">OFFSET(载具属性!L$33,AS149,0)*载具属性!M$30+OFFSET(载具属性!M$33,AT149,0)*载具属性!N$30+OFFSET(载具属性!N$33,AU149,0)*载具属性!O$30+OFFSET(载具属性!O$33,AV149,0)*载具属性!P$30</f>
        <v>5235</v>
      </c>
      <c r="Z149" s="40">
        <f ca="1">MATCH(SUM($T$7:T149),载具属性!$I$98:$I$497,1)</f>
        <v>121</v>
      </c>
      <c r="AA149" s="40">
        <f ca="1">OFFSET(载具产出!$F$399,IFERROR(MATCH(OFFSET($D149,0,MATCH($D$5,$E$6:$H$6,0)),载具产出!$E$112:$E$151,1),0),MATCH(AA$6,载具产出!$G$111:$O$111,0))*2</f>
        <v>18</v>
      </c>
      <c r="AB149" s="40">
        <f ca="1">OFFSET(载具产出!$F$399,IFERROR(MATCH(OFFSET($D149,0,MATCH($D$5,$E$6:$H$6,0)),载具产出!$E$112:$E$151,1),0),MATCH(AB$6,载具产出!$G$111:$O$111,0))*2</f>
        <v>20.16</v>
      </c>
      <c r="AC149" s="40">
        <f ca="1">OFFSET(载具产出!$F$399,IFERROR(MATCH(OFFSET($D149,0,MATCH($D$5,$E$6:$H$6,0)),载具产出!$E$112:$E$151,1),0),MATCH(AC$6,载具产出!$G$111:$O$111,0))*2</f>
        <v>7.84</v>
      </c>
      <c r="AD149" s="40">
        <f ca="1">OFFSET(载具产出!$F$399,IFERROR(MATCH(OFFSET($D149,0,MATCH($D$5,$E$6:$H$6,0)),载具产出!$E$112:$E$151,1),0),MATCH(AD$6,载具产出!$G$111:$O$111,0))*2</f>
        <v>0</v>
      </c>
      <c r="AE149" s="44">
        <f ca="1">SUM(AA$36:AA149)/3</f>
        <v>902.8</v>
      </c>
      <c r="AF149" s="44">
        <f ca="1">SUM(AB$36:AB149)/3</f>
        <v>944.426666666664</v>
      </c>
      <c r="AG149" s="44">
        <f ca="1">SUM(AC$36:AC149)/3</f>
        <v>102.773333333333</v>
      </c>
      <c r="AH149" s="44">
        <f ca="1">SUM(AD$36:AD149)/3</f>
        <v>0</v>
      </c>
      <c r="AI149" s="44">
        <f>_xlfn.XLOOKUP($D$5,载具产出!$D$71:$D$75,载具产出!$E$71:$E$75)*(D149-30+1)</f>
        <v>1340.85714285715</v>
      </c>
      <c r="AJ149" s="44">
        <f>IFERROR(MATCH(_xlfn.XLOOKUP($D$5,载具产出!$D$71:$D$75,载具产出!$E$71:$E$75)*(D149-30+1)*10,载具产出!$E$60:$E$67,1),0)+1</f>
        <v>6</v>
      </c>
      <c r="AK149" s="44">
        <f ca="1">IF($AJ149=1,($AI149)*(10*OFFSET(载具产出!$D$45,MATCH(AK$6,$AK$6:$AN$6,0)-1,$AJ149)+OFFSET(载具产出!$D$49,MATCH(AK$6,$AK$6:$AN$6,0)-1,$AJ149)*OFFSET(载具产出!$N$49,MATCH(AK$6,$AK$6:$AN$6,0)-1,0)),OFFSET(载具产出!F$59,$AJ149-1,0)*10+OFFSET(载具产出!J$59,$AJ149-1,0)+($AI149*10-_xlfn.XLOOKUP($AJ149-1,载具产出!$D$59:$D$67,载具产出!$E$59:$E$67))/10*(10*OFFSET(载具产出!$D$45,MATCH(AK$6,$AK$6:$AN$6,0)-1,$AJ149)+OFFSET(载具产出!$D$49,MATCH(AK$6,$AK$6:$AN$6,0)-1,$AJ149)*OFFSET(载具产出!$N$49,MATCH(AK$6,$AK$6:$AN$6,0)-1,0)))</f>
        <v>3010.89171428573</v>
      </c>
      <c r="AL149" s="44">
        <f ca="1">IF($AJ149=1,($AI149)*(10*OFFSET(载具产出!$D$45,MATCH(AL$6,$AK$6:$AN$6,0)-1,$AJ149)+OFFSET(载具产出!$D$49,MATCH(AL$6,$AK$6:$AN$6,0)-1,$AJ149)*OFFSET(载具产出!$N$49,MATCH(AL$6,$AK$6:$AN$6,0)-1,0)),OFFSET(载具产出!G$59,$AJ149-1,0)*10+OFFSET(载具产出!K$59,$AJ149-1,0)+($AI149*10-_xlfn.XLOOKUP($AJ149-1,载具产出!$D$59:$D$67,载具产出!$E$59:$E$67))/10*(10*OFFSET(载具产出!$D$45,MATCH(AL$6,$AK$6:$AN$6,0)-1,$AJ149)+OFFSET(载具产出!$D$49,MATCH(AL$6,$AK$6:$AN$6,0)-1,$AJ149)*OFFSET(载具产出!$N$49,MATCH(AL$6,$AK$6:$AN$6,0)-1,0)))</f>
        <v>1165.67142857144</v>
      </c>
      <c r="AM149" s="44">
        <f ca="1">IF($AJ149=1,($AI149)*(10*OFFSET(载具产出!$D$45,MATCH(AM$6,$AK$6:$AN$6,0)-1,$AJ149)+OFFSET(载具产出!$D$49,MATCH(AM$6,$AK$6:$AN$6,0)-1,$AJ149)*OFFSET(载具产出!$N$49,MATCH(AM$6,$AK$6:$AN$6,0)-1,0)),OFFSET(载具产出!H$59,$AJ149-1,0)*10+OFFSET(载具产出!L$59,$AJ149-1,0)+($AI149*10-_xlfn.XLOOKUP($AJ149-1,载具产出!$D$59:$D$67,载具产出!$E$59:$E$67))/10*(10*OFFSET(载具产出!$D$45,MATCH(AM$6,$AK$6:$AN$6,0)-1,$AJ149)+OFFSET(载具产出!$D$49,MATCH(AM$6,$AK$6:$AN$6,0)-1,$AJ149)*OFFSET(载具产出!$N$49,MATCH(AM$6,$AK$6:$AN$6,0)-1,0)))</f>
        <v>621.385142857146</v>
      </c>
      <c r="AN149" s="44">
        <f ca="1">IF($AJ149=1,($AI149)*(10*OFFSET(载具产出!$D$45,MATCH(AN$6,$AK$6:$AN$6,0)-1,$AJ149)+OFFSET(载具产出!$D$49,MATCH(AN$6,$AK$6:$AN$6,0)-1,$AJ149)*OFFSET(载具产出!$N$49,MATCH(AN$6,$AK$6:$AN$6,0)-1,0)),OFFSET(载具产出!I$59,$AJ149-1,0)*10+OFFSET(载具产出!M$59,$AJ149-1,0)+($AI149*10-_xlfn.XLOOKUP($AJ149-1,载具产出!$D$59:$D$67,载具产出!$E$59:$E$67))/10*(10*OFFSET(载具产出!$D$45,MATCH(AN$6,$AK$6:$AN$6,0)-1,$AJ149)+OFFSET(载具产出!$D$49,MATCH(AN$6,$AK$6:$AN$6,0)-1,$AJ149)*OFFSET(载具产出!$N$49,MATCH(AN$6,$AK$6:$AN$6,0)-1,0)))</f>
        <v>186.29542857143</v>
      </c>
      <c r="AO149" s="44">
        <f ca="1" t="shared" si="22"/>
        <v>3913.69171428573</v>
      </c>
      <c r="AP149" s="44">
        <f ca="1" t="shared" si="23"/>
        <v>2110.0980952381</v>
      </c>
      <c r="AQ149" s="44">
        <f ca="1" t="shared" si="24"/>
        <v>724.15847619048</v>
      </c>
      <c r="AR149" s="44">
        <f ca="1" t="shared" si="25"/>
        <v>186.29542857143</v>
      </c>
      <c r="AS149" s="45">
        <f ca="1">IFERROR(MATCH(AO149/载具产出!R$58,载具属性!$G$33:$G$92,1),0)</f>
        <v>30</v>
      </c>
      <c r="AT149" s="45">
        <f ca="1">IFERROR(MATCH(AP149/载具产出!S$58,载具属性!$G$33:$G$92,1),0)</f>
        <v>21</v>
      </c>
      <c r="AU149" s="45">
        <f ca="1">IFERROR(MATCH(AQ149/载具产出!T$58,载具属性!$G$33:$G$92,1),0)</f>
        <v>11</v>
      </c>
      <c r="AV149" s="45">
        <f ca="1">IFERROR(MATCH(AR149/载具产出!U$58,载具属性!$G$33:$G$92,1),0)</f>
        <v>3</v>
      </c>
      <c r="AW149" s="46" t="str">
        <f ca="1" t="shared" si="26"/>
        <v>[{62,784},{63,88355},{2,243900},{6030001,2525},{6030002,2693},{6030003,287}]</v>
      </c>
      <c r="AX149" t="str">
        <f ca="1" t="shared" si="27"/>
        <v>{62,784}</v>
      </c>
      <c r="AY149" t="str">
        <f ca="1" t="shared" si="28"/>
        <v>{63,88355}</v>
      </c>
      <c r="AZ149" t="str">
        <f ca="1" t="shared" si="29"/>
        <v>{2,243900}</v>
      </c>
      <c r="BA149" t="str">
        <f ca="1" t="shared" si="30"/>
        <v>{6030001,2525}</v>
      </c>
      <c r="BB149" t="str">
        <f ca="1" t="shared" si="31"/>
        <v>{6030002,2693}</v>
      </c>
      <c r="BC149" t="str">
        <f ca="1" t="shared" si="32"/>
        <v>{6030003,287}</v>
      </c>
      <c r="BD149" t="str">
        <f ca="1" t="shared" si="33"/>
        <v/>
      </c>
    </row>
    <row r="150" spans="3:56">
      <c r="C150">
        <f ca="1" t="shared" si="21"/>
        <v>117.78125</v>
      </c>
      <c r="D150" s="40">
        <v>144</v>
      </c>
      <c r="E150" s="40">
        <f t="shared" si="36"/>
        <v>112</v>
      </c>
      <c r="F150" s="40">
        <v>133</v>
      </c>
      <c r="G150" s="41">
        <f t="shared" si="35"/>
        <v>160</v>
      </c>
      <c r="H150" s="40">
        <f>H149</f>
        <v>214</v>
      </c>
      <c r="I150" s="40">
        <f t="shared" si="20"/>
        <v>314</v>
      </c>
      <c r="J150" s="40">
        <f t="shared" si="37"/>
        <v>284</v>
      </c>
      <c r="K150" s="40">
        <f ca="1">SUM(U$36:U150)-SUM(OFFSET(载具产出!H$399,0,0,$R150+1,1))</f>
        <v>791</v>
      </c>
      <c r="L150" s="40">
        <f ca="1">SUM(T$36:T150)-SUM(OFFSET(载具产出!G$399,0,0,$R150+1,1))</f>
        <v>89335</v>
      </c>
      <c r="M150" s="40">
        <f ca="1">SUM(V$36:V150)/2-SUM(OFFSET(载具产出!I$399,0,0,$R150+1,1))</f>
        <v>247000</v>
      </c>
      <c r="N150" s="40">
        <f ca="1">SUM(AA$36:AA150)-SUM(OFFSET(载具产出!J$399,0,0,$R150+1,1))</f>
        <v>2543.6</v>
      </c>
      <c r="O150" s="40">
        <f ca="1">SUM(AB$36:AB150)-SUM(OFFSET(载具产出!K$399,0,0,$R150+1,1))</f>
        <v>2713.43999999999</v>
      </c>
      <c r="P150" s="40">
        <f ca="1">SUM(AC$36:AC150)-SUM(OFFSET(载具产出!L$399,0,0,$R150+1,1))</f>
        <v>294.96</v>
      </c>
      <c r="Q150" s="40">
        <f ca="1">SUM(AD$36:AD150)-SUM(OFFSET(载具产出!M$399,0,0,$R150+1,1))</f>
        <v>0</v>
      </c>
      <c r="R150" s="40">
        <v>14</v>
      </c>
      <c r="S150" s="40" t="str">
        <f ca="1">OFFSET(载具产出!$D$111,IFERROR(MATCH(OFFSET($D150,0,MATCH($D$5,$E$6:$H$6,0)),载具产出!$E$112:$E$151,1),0),0)</f>
        <v>珍惜Ⅱ</v>
      </c>
      <c r="T150" s="40">
        <f ca="1">OFFSET(载具产出!$F$399,IFERROR(MATCH(OFFSET($D150,0,MATCH($D$5,$E$6:$H$6,0)),载具产出!$E$400:$E$439,1),0),MATCH(T$6,载具产出!$G$399:$O$399,0))</f>
        <v>980</v>
      </c>
      <c r="U150" s="40">
        <v>7</v>
      </c>
      <c r="V150" s="40">
        <f ca="1">OFFSET(载具产出!$F$399,IFERROR(MATCH(OFFSET($D150,0,MATCH($D$5,$E$6:$H$6,0)),载具产出!$E$400:$E$439,1),0),MATCH(V$6,载具产出!$G$399:$O$399,0))</f>
        <v>6200</v>
      </c>
      <c r="W150" s="43">
        <f ca="1">_xlfn.XLOOKUP(Z150,载具属性!$E$98:$E$497,载具属性!$G$98:$G$497)+6000+OFFSET(载具属性!L$33,AS150,0)*载具属性!M$30+OFFSET(载具属性!M$33,AT150,0)*载具属性!N$30+OFFSET(载具属性!N$33,AU150,0)*载具属性!O$30+OFFSET(载具属性!O$33,AV150,0)*载具属性!P$30</f>
        <v>18845</v>
      </c>
      <c r="X150" s="43">
        <f ca="1">_xlfn.XLOOKUP(Z150,载具属性!$E$98:$E$497,载具属性!$G$98:$G$497)</f>
        <v>7610</v>
      </c>
      <c r="Y150" s="43">
        <f ca="1">OFFSET(载具属性!L$33,AS150,0)*载具属性!M$30+OFFSET(载具属性!M$33,AT150,0)*载具属性!N$30+OFFSET(载具属性!N$33,AU150,0)*载具属性!O$30+OFFSET(载具属性!O$33,AV150,0)*载具属性!P$30</f>
        <v>5235</v>
      </c>
      <c r="Z150" s="40">
        <f ca="1">MATCH(SUM($T$7:T150),载具属性!$I$98:$I$497,1)</f>
        <v>122</v>
      </c>
      <c r="AA150" s="40">
        <f ca="1">OFFSET(载具产出!$F$399,IFERROR(MATCH(OFFSET($D150,0,MATCH($D$5,$E$6:$H$6,0)),载具产出!$E$112:$E$151,1),0),MATCH(AA$6,载具产出!$G$111:$O$111,0))*2</f>
        <v>18</v>
      </c>
      <c r="AB150" s="40">
        <f ca="1">OFFSET(载具产出!$F$399,IFERROR(MATCH(OFFSET($D150,0,MATCH($D$5,$E$6:$H$6,0)),载具产出!$E$112:$E$151,1),0),MATCH(AB$6,载具产出!$G$111:$O$111,0))*2</f>
        <v>20.16</v>
      </c>
      <c r="AC150" s="40">
        <f ca="1">OFFSET(载具产出!$F$399,IFERROR(MATCH(OFFSET($D150,0,MATCH($D$5,$E$6:$H$6,0)),载具产出!$E$112:$E$151,1),0),MATCH(AC$6,载具产出!$G$111:$O$111,0))*2</f>
        <v>7.84</v>
      </c>
      <c r="AD150" s="40">
        <f ca="1">OFFSET(载具产出!$F$399,IFERROR(MATCH(OFFSET($D150,0,MATCH($D$5,$E$6:$H$6,0)),载具产出!$E$112:$E$151,1),0),MATCH(AD$6,载具产出!$G$111:$O$111,0))*2</f>
        <v>0</v>
      </c>
      <c r="AE150" s="44">
        <f ca="1">SUM(AA$36:AA150)/3</f>
        <v>908.8</v>
      </c>
      <c r="AF150" s="44">
        <f ca="1">SUM(AB$36:AB150)/3</f>
        <v>951.146666666664</v>
      </c>
      <c r="AG150" s="44">
        <f ca="1">SUM(AC$36:AC150)/3</f>
        <v>105.386666666667</v>
      </c>
      <c r="AH150" s="44">
        <f ca="1">SUM(AD$36:AD150)/3</f>
        <v>0</v>
      </c>
      <c r="AI150" s="44">
        <f>_xlfn.XLOOKUP($D$5,载具产出!$D$71:$D$75,载具产出!$E$71:$E$75)*(D150-30+1)</f>
        <v>1352.61904761905</v>
      </c>
      <c r="AJ150" s="44">
        <f>IFERROR(MATCH(_xlfn.XLOOKUP($D$5,载具产出!$D$71:$D$75,载具产出!$E$71:$E$75)*(D150-30+1)*10,载具产出!$E$60:$E$67,1),0)+1</f>
        <v>6</v>
      </c>
      <c r="AK150" s="44">
        <f ca="1">IF($AJ150=1,($AI150)*(10*OFFSET(载具产出!$D$45,MATCH(AK$6,$AK$6:$AN$6,0)-1,$AJ150)+OFFSET(载具产出!$D$49,MATCH(AK$6,$AK$6:$AN$6,0)-1,$AJ150)*OFFSET(载具产出!$N$49,MATCH(AK$6,$AK$6:$AN$6,0)-1,0)),OFFSET(载具产出!F$59,$AJ150-1,0)*10+OFFSET(载具产出!J$59,$AJ150-1,0)+($AI150*10-_xlfn.XLOOKUP($AJ150-1,载具产出!$D$59:$D$67,载具产出!$E$59:$E$67))/10*(10*OFFSET(载具产出!$D$45,MATCH(AK$6,$AK$6:$AN$6,0)-1,$AJ150)+OFFSET(载具产出!$D$49,MATCH(AK$6,$AK$6:$AN$6,0)-1,$AJ150)*OFFSET(载具产出!$N$49,MATCH(AK$6,$AK$6:$AN$6,0)-1,0)))</f>
        <v>3036.43857142858</v>
      </c>
      <c r="AL150" s="44">
        <f ca="1">IF($AJ150=1,($AI150)*(10*OFFSET(载具产出!$D$45,MATCH(AL$6,$AK$6:$AN$6,0)-1,$AJ150)+OFFSET(载具产出!$D$49,MATCH(AL$6,$AK$6:$AN$6,0)-1,$AJ150)*OFFSET(载具产出!$N$49,MATCH(AL$6,$AK$6:$AN$6,0)-1,0)),OFFSET(载具产出!G$59,$AJ150-1,0)*10+OFFSET(载具产出!K$59,$AJ150-1,0)+($AI150*10-_xlfn.XLOOKUP($AJ150-1,载具产出!$D$59:$D$67,载具产出!$E$59:$E$67))/10*(10*OFFSET(载具产出!$D$45,MATCH(AL$6,$AK$6:$AN$6,0)-1,$AJ150)+OFFSET(载具产出!$D$49,MATCH(AL$6,$AK$6:$AN$6,0)-1,$AJ150)*OFFSET(载具产出!$N$49,MATCH(AL$6,$AK$6:$AN$6,0)-1,0)))</f>
        <v>1176.25714285715</v>
      </c>
      <c r="AM150" s="44">
        <f ca="1">IF($AJ150=1,($AI150)*(10*OFFSET(载具产出!$D$45,MATCH(AM$6,$AK$6:$AN$6,0)-1,$AJ150)+OFFSET(载具产出!$D$49,MATCH(AM$6,$AK$6:$AN$6,0)-1,$AJ150)*OFFSET(载具产出!$N$49,MATCH(AM$6,$AK$6:$AN$6,0)-1,0)),OFFSET(载具产出!H$59,$AJ150-1,0)*10+OFFSET(载具产出!L$59,$AJ150-1,0)+($AI150*10-_xlfn.XLOOKUP($AJ150-1,载具产出!$D$59:$D$67,载具产出!$E$59:$E$67))/10*(10*OFFSET(载具产出!$D$45,MATCH(AM$6,$AK$6:$AN$6,0)-1,$AJ150)+OFFSET(载具产出!$D$49,MATCH(AM$6,$AK$6:$AN$6,0)-1,$AJ150)*OFFSET(载具产出!$N$49,MATCH(AM$6,$AK$6:$AN$6,0)-1,0)))</f>
        <v>627.219047619049</v>
      </c>
      <c r="AN150" s="44">
        <f ca="1">IF($AJ150=1,($AI150)*(10*OFFSET(载具产出!$D$45,MATCH(AN$6,$AK$6:$AN$6,0)-1,$AJ150)+OFFSET(载具产出!$D$49,MATCH(AN$6,$AK$6:$AN$6,0)-1,$AJ150)*OFFSET(载具产出!$N$49,MATCH(AN$6,$AK$6:$AN$6,0)-1,0)),OFFSET(载具产出!I$59,$AJ150-1,0)*10+OFFSET(载具产出!M$59,$AJ150-1,0)+($AI150*10-_xlfn.XLOOKUP($AJ150-1,载具产出!$D$59:$D$67,载具产出!$E$59:$E$67))/10*(10*OFFSET(载具产出!$D$45,MATCH(AN$6,$AK$6:$AN$6,0)-1,$AJ150)+OFFSET(载具产出!$D$49,MATCH(AN$6,$AK$6:$AN$6,0)-1,$AJ150)*OFFSET(载具产出!$N$49,MATCH(AN$6,$AK$6:$AN$6,0)-1,0)))</f>
        <v>188.15380952381</v>
      </c>
      <c r="AO150" s="44">
        <f ca="1" t="shared" si="22"/>
        <v>3945.23857142858</v>
      </c>
      <c r="AP150" s="44">
        <f ca="1" t="shared" si="23"/>
        <v>2127.40380952381</v>
      </c>
      <c r="AQ150" s="44">
        <f ca="1" t="shared" si="24"/>
        <v>732.605714285716</v>
      </c>
      <c r="AR150" s="44">
        <f ca="1" t="shared" si="25"/>
        <v>188.15380952381</v>
      </c>
      <c r="AS150" s="45">
        <f ca="1">IFERROR(MATCH(AO150/载具产出!R$58,载具属性!$G$33:$G$92,1),0)</f>
        <v>30</v>
      </c>
      <c r="AT150" s="45">
        <f ca="1">IFERROR(MATCH(AP150/载具产出!S$58,载具属性!$G$33:$G$92,1),0)</f>
        <v>21</v>
      </c>
      <c r="AU150" s="45">
        <f ca="1">IFERROR(MATCH(AQ150/载具产出!T$58,载具属性!$G$33:$G$92,1),0)</f>
        <v>11</v>
      </c>
      <c r="AV150" s="45">
        <f ca="1">IFERROR(MATCH(AR150/载具产出!U$58,载具属性!$G$33:$G$92,1),0)</f>
        <v>3</v>
      </c>
      <c r="AW150" s="46" t="str">
        <f ca="1" t="shared" si="26"/>
        <v>[{62,791},{63,89335},{2,247000},{6030001,2543},{6030002,2713},{6030003,294}]</v>
      </c>
      <c r="AX150" t="str">
        <f ca="1" t="shared" si="27"/>
        <v>{62,791}</v>
      </c>
      <c r="AY150" t="str">
        <f ca="1" t="shared" si="28"/>
        <v>{63,89335}</v>
      </c>
      <c r="AZ150" t="str">
        <f ca="1" t="shared" si="29"/>
        <v>{2,247000}</v>
      </c>
      <c r="BA150" t="str">
        <f ca="1" t="shared" si="30"/>
        <v>{6030001,2543}</v>
      </c>
      <c r="BB150" t="str">
        <f ca="1" t="shared" si="31"/>
        <v>{6030002,2713}</v>
      </c>
      <c r="BC150" t="str">
        <f ca="1" t="shared" si="32"/>
        <v>{6030003,294}</v>
      </c>
      <c r="BD150" t="str">
        <f ca="1" t="shared" si="33"/>
        <v/>
      </c>
    </row>
    <row r="151" spans="3:56">
      <c r="C151">
        <f ca="1" t="shared" si="21"/>
        <v>117.78125</v>
      </c>
      <c r="D151" s="40">
        <v>145</v>
      </c>
      <c r="E151" s="40">
        <f t="shared" si="36"/>
        <v>113</v>
      </c>
      <c r="F151" s="40">
        <v>133</v>
      </c>
      <c r="G151" s="41">
        <f t="shared" si="35"/>
        <v>160</v>
      </c>
      <c r="H151" s="40">
        <f>H150+1</f>
        <v>215</v>
      </c>
      <c r="I151" s="40">
        <f t="shared" si="20"/>
        <v>316</v>
      </c>
      <c r="J151" s="40">
        <f t="shared" si="37"/>
        <v>286</v>
      </c>
      <c r="K151" s="40">
        <f ca="1">SUM(U$36:U151)-SUM(OFFSET(载具产出!H$399,0,0,$R151+1,1))</f>
        <v>798</v>
      </c>
      <c r="L151" s="40">
        <f ca="1">SUM(T$36:T151)-SUM(OFFSET(载具产出!G$399,0,0,$R151+1,1))</f>
        <v>90315</v>
      </c>
      <c r="M151" s="40">
        <f ca="1">SUM(V$36:V151)/2-SUM(OFFSET(载具产出!I$399,0,0,$R151+1,1))</f>
        <v>250100</v>
      </c>
      <c r="N151" s="40">
        <f ca="1">SUM(AA$36:AA151)-SUM(OFFSET(载具产出!J$399,0,0,$R151+1,1))</f>
        <v>2561.6</v>
      </c>
      <c r="O151" s="40">
        <f ca="1">SUM(AB$36:AB151)-SUM(OFFSET(载具产出!K$399,0,0,$R151+1,1))</f>
        <v>2733.59999999999</v>
      </c>
      <c r="P151" s="40">
        <f ca="1">SUM(AC$36:AC151)-SUM(OFFSET(载具产出!L$399,0,0,$R151+1,1))</f>
        <v>302.8</v>
      </c>
      <c r="Q151" s="40">
        <f ca="1">SUM(AD$36:AD151)-SUM(OFFSET(载具产出!M$399,0,0,$R151+1,1))</f>
        <v>0</v>
      </c>
      <c r="R151" s="40">
        <v>14</v>
      </c>
      <c r="S151" s="40" t="str">
        <f ca="1">OFFSET(载具产出!$D$111,IFERROR(MATCH(OFFSET($D151,0,MATCH($D$5,$E$6:$H$6,0)),载具产出!$E$112:$E$151,1),0),0)</f>
        <v>珍惜Ⅱ</v>
      </c>
      <c r="T151" s="40">
        <f ca="1">OFFSET(载具产出!$F$399,IFERROR(MATCH(OFFSET($D151,0,MATCH($D$5,$E$6:$H$6,0)),载具产出!$E$400:$E$439,1),0),MATCH(T$6,载具产出!$G$399:$O$399,0))</f>
        <v>980</v>
      </c>
      <c r="U151" s="40">
        <v>7</v>
      </c>
      <c r="V151" s="40">
        <f ca="1">OFFSET(载具产出!$F$399,IFERROR(MATCH(OFFSET($D151,0,MATCH($D$5,$E$6:$H$6,0)),载具产出!$E$400:$E$439,1),0),MATCH(V$6,载具产出!$G$399:$O$399,0))</f>
        <v>6200</v>
      </c>
      <c r="W151" s="43">
        <f ca="1">_xlfn.XLOOKUP(Z151,载具属性!$E$98:$E$497,载具属性!$G$98:$G$497)+6000+OFFSET(载具属性!L$33,AS151,0)*载具属性!M$30+OFFSET(载具属性!M$33,AT151,0)*载具属性!N$30+OFFSET(载具属性!N$33,AU151,0)*载具属性!O$30+OFFSET(载具属性!O$33,AV151,0)*载具属性!P$30</f>
        <v>18845</v>
      </c>
      <c r="X151" s="43">
        <f ca="1">_xlfn.XLOOKUP(Z151,载具属性!$E$98:$E$497,载具属性!$G$98:$G$497)</f>
        <v>7610</v>
      </c>
      <c r="Y151" s="43">
        <f ca="1">OFFSET(载具属性!L$33,AS151,0)*载具属性!M$30+OFFSET(载具属性!M$33,AT151,0)*载具属性!N$30+OFFSET(载具属性!N$33,AU151,0)*载具属性!O$30+OFFSET(载具属性!O$33,AV151,0)*载具属性!P$30</f>
        <v>5235</v>
      </c>
      <c r="Z151" s="40">
        <f ca="1">MATCH(SUM($T$7:T151),载具属性!$I$98:$I$497,1)</f>
        <v>122</v>
      </c>
      <c r="AA151" s="40">
        <f ca="1">OFFSET(载具产出!$F$399,IFERROR(MATCH(OFFSET($D151,0,MATCH($D$5,$E$6:$H$6,0)),载具产出!$E$112:$E$151,1),0),MATCH(AA$6,载具产出!$G$111:$O$111,0))*2</f>
        <v>18</v>
      </c>
      <c r="AB151" s="40">
        <f ca="1">OFFSET(载具产出!$F$399,IFERROR(MATCH(OFFSET($D151,0,MATCH($D$5,$E$6:$H$6,0)),载具产出!$E$112:$E$151,1),0),MATCH(AB$6,载具产出!$G$111:$O$111,0))*2</f>
        <v>20.16</v>
      </c>
      <c r="AC151" s="40">
        <f ca="1">OFFSET(载具产出!$F$399,IFERROR(MATCH(OFFSET($D151,0,MATCH($D$5,$E$6:$H$6,0)),载具产出!$E$112:$E$151,1),0),MATCH(AC$6,载具产出!$G$111:$O$111,0))*2</f>
        <v>7.84</v>
      </c>
      <c r="AD151" s="40">
        <f ca="1">OFFSET(载具产出!$F$399,IFERROR(MATCH(OFFSET($D151,0,MATCH($D$5,$E$6:$H$6,0)),载具产出!$E$112:$E$151,1),0),MATCH(AD$6,载具产出!$G$111:$O$111,0))*2</f>
        <v>0</v>
      </c>
      <c r="AE151" s="44">
        <f ca="1">SUM(AA$36:AA151)/3</f>
        <v>914.8</v>
      </c>
      <c r="AF151" s="44">
        <f ca="1">SUM(AB$36:AB151)/3</f>
        <v>957.866666666664</v>
      </c>
      <c r="AG151" s="44">
        <f ca="1">SUM(AC$36:AC151)/3</f>
        <v>108</v>
      </c>
      <c r="AH151" s="44">
        <f ca="1">SUM(AD$36:AD151)/3</f>
        <v>0</v>
      </c>
      <c r="AI151" s="44">
        <f>_xlfn.XLOOKUP($D$5,载具产出!$D$71:$D$75,载具产出!$E$71:$E$75)*(D151-30+1)</f>
        <v>1364.38095238096</v>
      </c>
      <c r="AJ151" s="44">
        <f>IFERROR(MATCH(_xlfn.XLOOKUP($D$5,载具产出!$D$71:$D$75,载具产出!$E$71:$E$75)*(D151-30+1)*10,载具产出!$E$60:$E$67,1),0)+1</f>
        <v>6</v>
      </c>
      <c r="AK151" s="44">
        <f ca="1">IF($AJ151=1,($AI151)*(10*OFFSET(载具产出!$D$45,MATCH(AK$6,$AK$6:$AN$6,0)-1,$AJ151)+OFFSET(载具产出!$D$49,MATCH(AK$6,$AK$6:$AN$6,0)-1,$AJ151)*OFFSET(载具产出!$N$49,MATCH(AK$6,$AK$6:$AN$6,0)-1,0)),OFFSET(载具产出!F$59,$AJ151-1,0)*10+OFFSET(载具产出!J$59,$AJ151-1,0)+($AI151*10-_xlfn.XLOOKUP($AJ151-1,载具产出!$D$59:$D$67,载具产出!$E$59:$E$67))/10*(10*OFFSET(载具产出!$D$45,MATCH(AK$6,$AK$6:$AN$6,0)-1,$AJ151)+OFFSET(载具产出!$D$49,MATCH(AK$6,$AK$6:$AN$6,0)-1,$AJ151)*OFFSET(载具产出!$N$49,MATCH(AK$6,$AK$6:$AN$6,0)-1,0)))</f>
        <v>3061.98542857145</v>
      </c>
      <c r="AL151" s="44">
        <f ca="1">IF($AJ151=1,($AI151)*(10*OFFSET(载具产出!$D$45,MATCH(AL$6,$AK$6:$AN$6,0)-1,$AJ151)+OFFSET(载具产出!$D$49,MATCH(AL$6,$AK$6:$AN$6,0)-1,$AJ151)*OFFSET(载具产出!$N$49,MATCH(AL$6,$AK$6:$AN$6,0)-1,0)),OFFSET(载具产出!G$59,$AJ151-1,0)*10+OFFSET(载具产出!K$59,$AJ151-1,0)+($AI151*10-_xlfn.XLOOKUP($AJ151-1,载具产出!$D$59:$D$67,载具产出!$E$59:$E$67))/10*(10*OFFSET(载具产出!$D$45,MATCH(AL$6,$AK$6:$AN$6,0)-1,$AJ151)+OFFSET(载具产出!$D$49,MATCH(AL$6,$AK$6:$AN$6,0)-1,$AJ151)*OFFSET(载具产出!$N$49,MATCH(AL$6,$AK$6:$AN$6,0)-1,0)))</f>
        <v>1186.84285714286</v>
      </c>
      <c r="AM151" s="44">
        <f ca="1">IF($AJ151=1,($AI151)*(10*OFFSET(载具产出!$D$45,MATCH(AM$6,$AK$6:$AN$6,0)-1,$AJ151)+OFFSET(载具产出!$D$49,MATCH(AM$6,$AK$6:$AN$6,0)-1,$AJ151)*OFFSET(载具产出!$N$49,MATCH(AM$6,$AK$6:$AN$6,0)-1,0)),OFFSET(载具产出!H$59,$AJ151-1,0)*10+OFFSET(载具产出!L$59,$AJ151-1,0)+($AI151*10-_xlfn.XLOOKUP($AJ151-1,载具产出!$D$59:$D$67,载具产出!$E$59:$E$67))/10*(10*OFFSET(载具产出!$D$45,MATCH(AM$6,$AK$6:$AN$6,0)-1,$AJ151)+OFFSET(载具产出!$D$49,MATCH(AM$6,$AK$6:$AN$6,0)-1,$AJ151)*OFFSET(载具产出!$N$49,MATCH(AM$6,$AK$6:$AN$6,0)-1,0)))</f>
        <v>633.052952380956</v>
      </c>
      <c r="AN151" s="44">
        <f ca="1">IF($AJ151=1,($AI151)*(10*OFFSET(载具产出!$D$45,MATCH(AN$6,$AK$6:$AN$6,0)-1,$AJ151)+OFFSET(载具产出!$D$49,MATCH(AN$6,$AK$6:$AN$6,0)-1,$AJ151)*OFFSET(载具产出!$N$49,MATCH(AN$6,$AK$6:$AN$6,0)-1,0)),OFFSET(载具产出!I$59,$AJ151-1,0)*10+OFFSET(载具产出!M$59,$AJ151-1,0)+($AI151*10-_xlfn.XLOOKUP($AJ151-1,载具产出!$D$59:$D$67,载具产出!$E$59:$E$67))/10*(10*OFFSET(载具产出!$D$45,MATCH(AN$6,$AK$6:$AN$6,0)-1,$AJ151)+OFFSET(载具产出!$D$49,MATCH(AN$6,$AK$6:$AN$6,0)-1,$AJ151)*OFFSET(载具产出!$N$49,MATCH(AN$6,$AK$6:$AN$6,0)-1,0)))</f>
        <v>190.012190476192</v>
      </c>
      <c r="AO151" s="44">
        <f ca="1" t="shared" si="22"/>
        <v>3976.78542857145</v>
      </c>
      <c r="AP151" s="44">
        <f ca="1" t="shared" si="23"/>
        <v>2144.70952380953</v>
      </c>
      <c r="AQ151" s="44">
        <f ca="1" t="shared" si="24"/>
        <v>741.052952380956</v>
      </c>
      <c r="AR151" s="44">
        <f ca="1" t="shared" si="25"/>
        <v>190.012190476192</v>
      </c>
      <c r="AS151" s="45">
        <f ca="1">IFERROR(MATCH(AO151/载具产出!R$58,载具属性!$G$33:$G$92,1),0)</f>
        <v>30</v>
      </c>
      <c r="AT151" s="45">
        <f ca="1">IFERROR(MATCH(AP151/载具产出!S$58,载具属性!$G$33:$G$92,1),0)</f>
        <v>21</v>
      </c>
      <c r="AU151" s="45">
        <f ca="1">IFERROR(MATCH(AQ151/载具产出!T$58,载具属性!$G$33:$G$92,1),0)</f>
        <v>11</v>
      </c>
      <c r="AV151" s="45">
        <f ca="1">IFERROR(MATCH(AR151/载具产出!U$58,载具属性!$G$33:$G$92,1),0)</f>
        <v>3</v>
      </c>
      <c r="AW151" s="46" t="str">
        <f ca="1" t="shared" si="26"/>
        <v>[{62,798},{63,90315},{2,250100},{6030001,2561},{6030002,2733},{6030003,302}]</v>
      </c>
      <c r="AX151" t="str">
        <f ca="1" t="shared" si="27"/>
        <v>{62,798}</v>
      </c>
      <c r="AY151" t="str">
        <f ca="1" t="shared" si="28"/>
        <v>{63,90315}</v>
      </c>
      <c r="AZ151" t="str">
        <f ca="1" t="shared" si="29"/>
        <v>{2,250100}</v>
      </c>
      <c r="BA151" t="str">
        <f ca="1" t="shared" si="30"/>
        <v>{6030001,2561}</v>
      </c>
      <c r="BB151" t="str">
        <f ca="1" t="shared" si="31"/>
        <v>{6030002,2733}</v>
      </c>
      <c r="BC151" t="str">
        <f ca="1" t="shared" si="32"/>
        <v>{6030003,302}</v>
      </c>
      <c r="BD151" t="str">
        <f ca="1" t="shared" si="33"/>
        <v/>
      </c>
    </row>
    <row r="152" spans="3:56">
      <c r="C152">
        <f ca="1" t="shared" si="21"/>
        <v>117.546583850932</v>
      </c>
      <c r="D152" s="40">
        <v>146</v>
      </c>
      <c r="E152" s="40">
        <f t="shared" si="36"/>
        <v>113</v>
      </c>
      <c r="F152" s="40">
        <v>133</v>
      </c>
      <c r="G152" s="41">
        <f t="shared" si="35"/>
        <v>161</v>
      </c>
      <c r="H152" s="40">
        <f>H151</f>
        <v>215</v>
      </c>
      <c r="I152" s="40">
        <f t="shared" si="20"/>
        <v>318</v>
      </c>
      <c r="J152" s="40">
        <f t="shared" si="37"/>
        <v>288</v>
      </c>
      <c r="K152" s="40">
        <f ca="1">SUM(U$36:U152)-SUM(OFFSET(载具产出!H$399,0,0,$R152+1,1))</f>
        <v>805</v>
      </c>
      <c r="L152" s="40">
        <f ca="1">SUM(T$36:T152)-SUM(OFFSET(载具产出!G$399,0,0,$R152+1,1))</f>
        <v>91295</v>
      </c>
      <c r="M152" s="40">
        <f ca="1">SUM(V$36:V152)/2-SUM(OFFSET(载具产出!I$399,0,0,$R152+1,1))</f>
        <v>253200</v>
      </c>
      <c r="N152" s="40">
        <f ca="1">SUM(AA$36:AA152)-SUM(OFFSET(载具产出!J$399,0,0,$R152+1,1))</f>
        <v>2579.6</v>
      </c>
      <c r="O152" s="40">
        <f ca="1">SUM(AB$36:AB152)-SUM(OFFSET(载具产出!K$399,0,0,$R152+1,1))</f>
        <v>2753.75999999999</v>
      </c>
      <c r="P152" s="40">
        <f ca="1">SUM(AC$36:AC152)-SUM(OFFSET(载具产出!L$399,0,0,$R152+1,1))</f>
        <v>310.64</v>
      </c>
      <c r="Q152" s="40">
        <f ca="1">SUM(AD$36:AD152)-SUM(OFFSET(载具产出!M$399,0,0,$R152+1,1))</f>
        <v>0</v>
      </c>
      <c r="R152" s="40">
        <v>14</v>
      </c>
      <c r="S152" s="40" t="str">
        <f ca="1">OFFSET(载具产出!$D$111,IFERROR(MATCH(OFFSET($D152,0,MATCH($D$5,$E$6:$H$6,0)),载具产出!$E$112:$E$151,1),0),0)</f>
        <v>珍惜Ⅱ</v>
      </c>
      <c r="T152" s="40">
        <f ca="1">OFFSET(载具产出!$F$399,IFERROR(MATCH(OFFSET($D152,0,MATCH($D$5,$E$6:$H$6,0)),载具产出!$E$400:$E$439,1),0),MATCH(T$6,载具产出!$G$399:$O$399,0))</f>
        <v>980</v>
      </c>
      <c r="U152" s="40">
        <v>7</v>
      </c>
      <c r="V152" s="40">
        <f ca="1">OFFSET(载具产出!$F$399,IFERROR(MATCH(OFFSET($D152,0,MATCH($D$5,$E$6:$H$6,0)),载具产出!$E$400:$E$439,1),0),MATCH(V$6,载具产出!$G$399:$O$399,0))</f>
        <v>6200</v>
      </c>
      <c r="W152" s="43">
        <f ca="1">_xlfn.XLOOKUP(Z152,载具属性!$E$98:$E$497,载具属性!$G$98:$G$497)+6000+OFFSET(载具属性!L$33,AS152,0)*载具属性!M$30+OFFSET(载具属性!M$33,AT152,0)*载具属性!N$30+OFFSET(载具属性!N$33,AU152,0)*载具属性!O$30+OFFSET(载具属性!O$33,AV152,0)*载具属性!P$30</f>
        <v>18925</v>
      </c>
      <c r="X152" s="43">
        <f ca="1">_xlfn.XLOOKUP(Z152,载具属性!$E$98:$E$497,载具属性!$G$98:$G$497)</f>
        <v>7690</v>
      </c>
      <c r="Y152" s="43">
        <f ca="1">OFFSET(载具属性!L$33,AS152,0)*载具属性!M$30+OFFSET(载具属性!M$33,AT152,0)*载具属性!N$30+OFFSET(载具属性!N$33,AU152,0)*载具属性!O$30+OFFSET(载具属性!O$33,AV152,0)*载具属性!P$30</f>
        <v>5235</v>
      </c>
      <c r="Z152" s="40">
        <f ca="1">MATCH(SUM($T$7:T152),载具属性!$I$98:$I$497,1)</f>
        <v>123</v>
      </c>
      <c r="AA152" s="40">
        <f ca="1">OFFSET(载具产出!$F$399,IFERROR(MATCH(OFFSET($D152,0,MATCH($D$5,$E$6:$H$6,0)),载具产出!$E$112:$E$151,1),0),MATCH(AA$6,载具产出!$G$111:$O$111,0))*2</f>
        <v>18</v>
      </c>
      <c r="AB152" s="40">
        <f ca="1">OFFSET(载具产出!$F$399,IFERROR(MATCH(OFFSET($D152,0,MATCH($D$5,$E$6:$H$6,0)),载具产出!$E$112:$E$151,1),0),MATCH(AB$6,载具产出!$G$111:$O$111,0))*2</f>
        <v>20.16</v>
      </c>
      <c r="AC152" s="40">
        <f ca="1">OFFSET(载具产出!$F$399,IFERROR(MATCH(OFFSET($D152,0,MATCH($D$5,$E$6:$H$6,0)),载具产出!$E$112:$E$151,1),0),MATCH(AC$6,载具产出!$G$111:$O$111,0))*2</f>
        <v>7.84</v>
      </c>
      <c r="AD152" s="40">
        <f ca="1">OFFSET(载具产出!$F$399,IFERROR(MATCH(OFFSET($D152,0,MATCH($D$5,$E$6:$H$6,0)),载具产出!$E$112:$E$151,1),0),MATCH(AD$6,载具产出!$G$111:$O$111,0))*2</f>
        <v>0</v>
      </c>
      <c r="AE152" s="44">
        <f ca="1">SUM(AA$36:AA152)/3</f>
        <v>920.8</v>
      </c>
      <c r="AF152" s="44">
        <f ca="1">SUM(AB$36:AB152)/3</f>
        <v>964.586666666664</v>
      </c>
      <c r="AG152" s="44">
        <f ca="1">SUM(AC$36:AC152)/3</f>
        <v>110.613333333333</v>
      </c>
      <c r="AH152" s="44">
        <f ca="1">SUM(AD$36:AD152)/3</f>
        <v>0</v>
      </c>
      <c r="AI152" s="44">
        <f>_xlfn.XLOOKUP($D$5,载具产出!$D$71:$D$75,载具产出!$E$71:$E$75)*(D152-30+1)</f>
        <v>1376.14285714286</v>
      </c>
      <c r="AJ152" s="44">
        <f>IFERROR(MATCH(_xlfn.XLOOKUP($D$5,载具产出!$D$71:$D$75,载具产出!$E$71:$E$75)*(D152-30+1)*10,载具产出!$E$60:$E$67,1),0)+1</f>
        <v>6</v>
      </c>
      <c r="AK152" s="44">
        <f ca="1">IF($AJ152=1,($AI152)*(10*OFFSET(载具产出!$D$45,MATCH(AK$6,$AK$6:$AN$6,0)-1,$AJ152)+OFFSET(载具产出!$D$49,MATCH(AK$6,$AK$6:$AN$6,0)-1,$AJ152)*OFFSET(载具产出!$N$49,MATCH(AK$6,$AK$6:$AN$6,0)-1,0)),OFFSET(载具产出!F$59,$AJ152-1,0)*10+OFFSET(载具产出!J$59,$AJ152-1,0)+($AI152*10-_xlfn.XLOOKUP($AJ152-1,载具产出!$D$59:$D$67,载具产出!$E$59:$E$67))/10*(10*OFFSET(载具产出!$D$45,MATCH(AK$6,$AK$6:$AN$6,0)-1,$AJ152)+OFFSET(载具产出!$D$49,MATCH(AK$6,$AK$6:$AN$6,0)-1,$AJ152)*OFFSET(载具产出!$N$49,MATCH(AK$6,$AK$6:$AN$6,0)-1,0)))</f>
        <v>3087.53228571429</v>
      </c>
      <c r="AL152" s="44">
        <f ca="1">IF($AJ152=1,($AI152)*(10*OFFSET(载具产出!$D$45,MATCH(AL$6,$AK$6:$AN$6,0)-1,$AJ152)+OFFSET(载具产出!$D$49,MATCH(AL$6,$AK$6:$AN$6,0)-1,$AJ152)*OFFSET(载具产出!$N$49,MATCH(AL$6,$AK$6:$AN$6,0)-1,0)),OFFSET(载具产出!G$59,$AJ152-1,0)*10+OFFSET(载具产出!K$59,$AJ152-1,0)+($AI152*10-_xlfn.XLOOKUP($AJ152-1,载具产出!$D$59:$D$67,载具产出!$E$59:$E$67))/10*(10*OFFSET(载具产出!$D$45,MATCH(AL$6,$AK$6:$AN$6,0)-1,$AJ152)+OFFSET(载具产出!$D$49,MATCH(AL$6,$AK$6:$AN$6,0)-1,$AJ152)*OFFSET(载具产出!$N$49,MATCH(AL$6,$AK$6:$AN$6,0)-1,0)))</f>
        <v>1197.42857142857</v>
      </c>
      <c r="AM152" s="44">
        <f ca="1">IF($AJ152=1,($AI152)*(10*OFFSET(载具产出!$D$45,MATCH(AM$6,$AK$6:$AN$6,0)-1,$AJ152)+OFFSET(载具产出!$D$49,MATCH(AM$6,$AK$6:$AN$6,0)-1,$AJ152)*OFFSET(载具产出!$N$49,MATCH(AM$6,$AK$6:$AN$6,0)-1,0)),OFFSET(载具产出!H$59,$AJ152-1,0)*10+OFFSET(载具产出!L$59,$AJ152-1,0)+($AI152*10-_xlfn.XLOOKUP($AJ152-1,载具产出!$D$59:$D$67,载具产出!$E$59:$E$67))/10*(10*OFFSET(载具产出!$D$45,MATCH(AM$6,$AK$6:$AN$6,0)-1,$AJ152)+OFFSET(载具产出!$D$49,MATCH(AM$6,$AK$6:$AN$6,0)-1,$AJ152)*OFFSET(载具产出!$N$49,MATCH(AM$6,$AK$6:$AN$6,0)-1,0)))</f>
        <v>638.886857142859</v>
      </c>
      <c r="AN152" s="44">
        <f ca="1">IF($AJ152=1,($AI152)*(10*OFFSET(载具产出!$D$45,MATCH(AN$6,$AK$6:$AN$6,0)-1,$AJ152)+OFFSET(载具产出!$D$49,MATCH(AN$6,$AK$6:$AN$6,0)-1,$AJ152)*OFFSET(载具产出!$N$49,MATCH(AN$6,$AK$6:$AN$6,0)-1,0)),OFFSET(载具产出!I$59,$AJ152-1,0)*10+OFFSET(载具产出!M$59,$AJ152-1,0)+($AI152*10-_xlfn.XLOOKUP($AJ152-1,载具产出!$D$59:$D$67,载具产出!$E$59:$E$67))/10*(10*OFFSET(载具产出!$D$45,MATCH(AN$6,$AK$6:$AN$6,0)-1,$AJ152)+OFFSET(载具产出!$D$49,MATCH(AN$6,$AK$6:$AN$6,0)-1,$AJ152)*OFFSET(载具产出!$N$49,MATCH(AN$6,$AK$6:$AN$6,0)-1,0)))</f>
        <v>191.870571428572</v>
      </c>
      <c r="AO152" s="44">
        <f ca="1" t="shared" si="22"/>
        <v>4008.33228571429</v>
      </c>
      <c r="AP152" s="44">
        <f ca="1" t="shared" si="23"/>
        <v>2162.01523809524</v>
      </c>
      <c r="AQ152" s="44">
        <f ca="1" t="shared" si="24"/>
        <v>749.500190476192</v>
      </c>
      <c r="AR152" s="44">
        <f ca="1" t="shared" si="25"/>
        <v>191.870571428572</v>
      </c>
      <c r="AS152" s="45">
        <f ca="1">IFERROR(MATCH(AO152/载具产出!R$58,载具属性!$G$33:$G$92,1),0)</f>
        <v>30</v>
      </c>
      <c r="AT152" s="45">
        <f ca="1">IFERROR(MATCH(AP152/载具产出!S$58,载具属性!$G$33:$G$92,1),0)</f>
        <v>21</v>
      </c>
      <c r="AU152" s="45">
        <f ca="1">IFERROR(MATCH(AQ152/载具产出!T$58,载具属性!$G$33:$G$92,1),0)</f>
        <v>11</v>
      </c>
      <c r="AV152" s="45">
        <f ca="1">IFERROR(MATCH(AR152/载具产出!U$58,载具属性!$G$33:$G$92,1),0)</f>
        <v>3</v>
      </c>
      <c r="AW152" s="46" t="str">
        <f ca="1" t="shared" si="26"/>
        <v>[{62,805},{63,91295},{2,253200},{6030001,2579},{6030002,2753},{6030003,310}]</v>
      </c>
      <c r="AX152" t="str">
        <f ca="1" t="shared" si="27"/>
        <v>{62,805}</v>
      </c>
      <c r="AY152" t="str">
        <f ca="1" t="shared" si="28"/>
        <v>{63,91295}</v>
      </c>
      <c r="AZ152" t="str">
        <f ca="1" t="shared" si="29"/>
        <v>{2,253200}</v>
      </c>
      <c r="BA152" t="str">
        <f ca="1" t="shared" si="30"/>
        <v>{6030001,2579}</v>
      </c>
      <c r="BB152" t="str">
        <f ca="1" t="shared" si="31"/>
        <v>{6030002,2753}</v>
      </c>
      <c r="BC152" t="str">
        <f ca="1" t="shared" si="32"/>
        <v>{6030003,310}</v>
      </c>
      <c r="BD152" t="str">
        <f ca="1" t="shared" si="33"/>
        <v/>
      </c>
    </row>
    <row r="153" spans="3:56">
      <c r="C153">
        <f ca="1" t="shared" si="21"/>
        <v>118.04347826087</v>
      </c>
      <c r="D153" s="40">
        <v>147</v>
      </c>
      <c r="E153" s="40">
        <f t="shared" si="36"/>
        <v>113</v>
      </c>
      <c r="F153" s="40">
        <v>133</v>
      </c>
      <c r="G153" s="41">
        <f t="shared" si="35"/>
        <v>161</v>
      </c>
      <c r="H153" s="40">
        <f>H152+1</f>
        <v>216</v>
      </c>
      <c r="I153" s="40">
        <f t="shared" si="20"/>
        <v>320</v>
      </c>
      <c r="J153" s="40">
        <f t="shared" si="37"/>
        <v>291</v>
      </c>
      <c r="K153" s="40">
        <f ca="1">SUM(U$36:U153)-SUM(OFFSET(载具产出!H$399,0,0,$R153+1,1))</f>
        <v>812</v>
      </c>
      <c r="L153" s="40">
        <f ca="1">SUM(T$36:T153)-SUM(OFFSET(载具产出!G$399,0,0,$R153+1,1))</f>
        <v>92275</v>
      </c>
      <c r="M153" s="40">
        <f ca="1">SUM(V$36:V153)/2-SUM(OFFSET(载具产出!I$399,0,0,$R153+1,1))</f>
        <v>256300</v>
      </c>
      <c r="N153" s="40">
        <f ca="1">SUM(AA$36:AA153)-SUM(OFFSET(载具产出!J$399,0,0,$R153+1,1))</f>
        <v>2597.6</v>
      </c>
      <c r="O153" s="40">
        <f ca="1">SUM(AB$36:AB153)-SUM(OFFSET(载具产出!K$399,0,0,$R153+1,1))</f>
        <v>2773.91999999999</v>
      </c>
      <c r="P153" s="40">
        <f ca="1">SUM(AC$36:AC153)-SUM(OFFSET(载具产出!L$399,0,0,$R153+1,1))</f>
        <v>318.48</v>
      </c>
      <c r="Q153" s="40">
        <f ca="1">SUM(AD$36:AD153)-SUM(OFFSET(载具产出!M$399,0,0,$R153+1,1))</f>
        <v>0</v>
      </c>
      <c r="R153" s="40">
        <v>14</v>
      </c>
      <c r="S153" s="40" t="str">
        <f ca="1">OFFSET(载具产出!$D$111,IFERROR(MATCH(OFFSET($D153,0,MATCH($D$5,$E$6:$H$6,0)),载具产出!$E$112:$E$151,1),0),0)</f>
        <v>珍惜Ⅱ</v>
      </c>
      <c r="T153" s="40">
        <f ca="1">OFFSET(载具产出!$F$399,IFERROR(MATCH(OFFSET($D153,0,MATCH($D$5,$E$6:$H$6,0)),载具产出!$E$400:$E$439,1),0),MATCH(T$6,载具产出!$G$399:$O$399,0))</f>
        <v>980</v>
      </c>
      <c r="U153" s="40">
        <v>7</v>
      </c>
      <c r="V153" s="40">
        <f ca="1">OFFSET(载具产出!$F$399,IFERROR(MATCH(OFFSET($D153,0,MATCH($D$5,$E$6:$H$6,0)),载具产出!$E$400:$E$439,1),0),MATCH(V$6,载具产出!$G$399:$O$399,0))</f>
        <v>6200</v>
      </c>
      <c r="W153" s="43">
        <f ca="1">_xlfn.XLOOKUP(Z153,载具属性!$E$98:$E$497,载具属性!$G$98:$G$497)+6000+OFFSET(载具属性!L$33,AS153,0)*载具属性!M$30+OFFSET(载具属性!M$33,AT153,0)*载具属性!N$30+OFFSET(载具属性!N$33,AU153,0)*载具属性!O$30+OFFSET(载具属性!O$33,AV153,0)*载具属性!P$30</f>
        <v>19005</v>
      </c>
      <c r="X153" s="43">
        <f ca="1">_xlfn.XLOOKUP(Z153,载具属性!$E$98:$E$497,载具属性!$G$98:$G$497)</f>
        <v>7770</v>
      </c>
      <c r="Y153" s="43">
        <f ca="1">OFFSET(载具属性!L$33,AS153,0)*载具属性!M$30+OFFSET(载具属性!M$33,AT153,0)*载具属性!N$30+OFFSET(载具属性!N$33,AU153,0)*载具属性!O$30+OFFSET(载具属性!O$33,AV153,0)*载具属性!P$30</f>
        <v>5235</v>
      </c>
      <c r="Z153" s="40">
        <f ca="1">MATCH(SUM($T$7:T153),载具属性!$I$98:$I$497,1)</f>
        <v>124</v>
      </c>
      <c r="AA153" s="40">
        <f ca="1">OFFSET(载具产出!$F$399,IFERROR(MATCH(OFFSET($D153,0,MATCH($D$5,$E$6:$H$6,0)),载具产出!$E$112:$E$151,1),0),MATCH(AA$6,载具产出!$G$111:$O$111,0))*2</f>
        <v>18</v>
      </c>
      <c r="AB153" s="40">
        <f ca="1">OFFSET(载具产出!$F$399,IFERROR(MATCH(OFFSET($D153,0,MATCH($D$5,$E$6:$H$6,0)),载具产出!$E$112:$E$151,1),0),MATCH(AB$6,载具产出!$G$111:$O$111,0))*2</f>
        <v>20.16</v>
      </c>
      <c r="AC153" s="40">
        <f ca="1">OFFSET(载具产出!$F$399,IFERROR(MATCH(OFFSET($D153,0,MATCH($D$5,$E$6:$H$6,0)),载具产出!$E$112:$E$151,1),0),MATCH(AC$6,载具产出!$G$111:$O$111,0))*2</f>
        <v>7.84</v>
      </c>
      <c r="AD153" s="40">
        <f ca="1">OFFSET(载具产出!$F$399,IFERROR(MATCH(OFFSET($D153,0,MATCH($D$5,$E$6:$H$6,0)),载具产出!$E$112:$E$151,1),0),MATCH(AD$6,载具产出!$G$111:$O$111,0))*2</f>
        <v>0</v>
      </c>
      <c r="AE153" s="44">
        <f ca="1">SUM(AA$36:AA153)/3</f>
        <v>926.8</v>
      </c>
      <c r="AF153" s="44">
        <f ca="1">SUM(AB$36:AB153)/3</f>
        <v>971.306666666664</v>
      </c>
      <c r="AG153" s="44">
        <f ca="1">SUM(AC$36:AC153)/3</f>
        <v>113.226666666667</v>
      </c>
      <c r="AH153" s="44">
        <f ca="1">SUM(AD$36:AD153)/3</f>
        <v>0</v>
      </c>
      <c r="AI153" s="44">
        <f>_xlfn.XLOOKUP($D$5,载具产出!$D$71:$D$75,载具产出!$E$71:$E$75)*(D153-30+1)</f>
        <v>1387.90476190477</v>
      </c>
      <c r="AJ153" s="44">
        <f>IFERROR(MATCH(_xlfn.XLOOKUP($D$5,载具产出!$D$71:$D$75,载具产出!$E$71:$E$75)*(D153-30+1)*10,载具产出!$E$60:$E$67,1),0)+1</f>
        <v>6</v>
      </c>
      <c r="AK153" s="44">
        <f ca="1">IF($AJ153=1,($AI153)*(10*OFFSET(载具产出!$D$45,MATCH(AK$6,$AK$6:$AN$6,0)-1,$AJ153)+OFFSET(载具产出!$D$49,MATCH(AK$6,$AK$6:$AN$6,0)-1,$AJ153)*OFFSET(载具产出!$N$49,MATCH(AK$6,$AK$6:$AN$6,0)-1,0)),OFFSET(载具产出!F$59,$AJ153-1,0)*10+OFFSET(载具产出!J$59,$AJ153-1,0)+($AI153*10-_xlfn.XLOOKUP($AJ153-1,载具产出!$D$59:$D$67,载具产出!$E$59:$E$67))/10*(10*OFFSET(载具产出!$D$45,MATCH(AK$6,$AK$6:$AN$6,0)-1,$AJ153)+OFFSET(载具产出!$D$49,MATCH(AK$6,$AK$6:$AN$6,0)-1,$AJ153)*OFFSET(载具产出!$N$49,MATCH(AK$6,$AK$6:$AN$6,0)-1,0)))</f>
        <v>3113.07914285716</v>
      </c>
      <c r="AL153" s="44">
        <f ca="1">IF($AJ153=1,($AI153)*(10*OFFSET(载具产出!$D$45,MATCH(AL$6,$AK$6:$AN$6,0)-1,$AJ153)+OFFSET(载具产出!$D$49,MATCH(AL$6,$AK$6:$AN$6,0)-1,$AJ153)*OFFSET(载具产出!$N$49,MATCH(AL$6,$AK$6:$AN$6,0)-1,0)),OFFSET(载具产出!G$59,$AJ153-1,0)*10+OFFSET(载具产出!K$59,$AJ153-1,0)+($AI153*10-_xlfn.XLOOKUP($AJ153-1,载具产出!$D$59:$D$67,载具产出!$E$59:$E$67))/10*(10*OFFSET(载具产出!$D$45,MATCH(AL$6,$AK$6:$AN$6,0)-1,$AJ153)+OFFSET(载具产出!$D$49,MATCH(AL$6,$AK$6:$AN$6,0)-1,$AJ153)*OFFSET(载具产出!$N$49,MATCH(AL$6,$AK$6:$AN$6,0)-1,0)))</f>
        <v>1208.01428571429</v>
      </c>
      <c r="AM153" s="44">
        <f ca="1">IF($AJ153=1,($AI153)*(10*OFFSET(载具产出!$D$45,MATCH(AM$6,$AK$6:$AN$6,0)-1,$AJ153)+OFFSET(载具产出!$D$49,MATCH(AM$6,$AK$6:$AN$6,0)-1,$AJ153)*OFFSET(载具产出!$N$49,MATCH(AM$6,$AK$6:$AN$6,0)-1,0)),OFFSET(载具产出!H$59,$AJ153-1,0)*10+OFFSET(载具产出!L$59,$AJ153-1,0)+($AI153*10-_xlfn.XLOOKUP($AJ153-1,载具产出!$D$59:$D$67,载具产出!$E$59:$E$67))/10*(10*OFFSET(载具产出!$D$45,MATCH(AM$6,$AK$6:$AN$6,0)-1,$AJ153)+OFFSET(载具产出!$D$49,MATCH(AM$6,$AK$6:$AN$6,0)-1,$AJ153)*OFFSET(载具产出!$N$49,MATCH(AM$6,$AK$6:$AN$6,0)-1,0)))</f>
        <v>644.720761904766</v>
      </c>
      <c r="AN153" s="44">
        <f ca="1">IF($AJ153=1,($AI153)*(10*OFFSET(载具产出!$D$45,MATCH(AN$6,$AK$6:$AN$6,0)-1,$AJ153)+OFFSET(载具产出!$D$49,MATCH(AN$6,$AK$6:$AN$6,0)-1,$AJ153)*OFFSET(载具产出!$N$49,MATCH(AN$6,$AK$6:$AN$6,0)-1,0)),OFFSET(载具产出!I$59,$AJ153-1,0)*10+OFFSET(载具产出!M$59,$AJ153-1,0)+($AI153*10-_xlfn.XLOOKUP($AJ153-1,载具产出!$D$59:$D$67,载具产出!$E$59:$E$67))/10*(10*OFFSET(载具产出!$D$45,MATCH(AN$6,$AK$6:$AN$6,0)-1,$AJ153)+OFFSET(载具产出!$D$49,MATCH(AN$6,$AK$6:$AN$6,0)-1,$AJ153)*OFFSET(载具产出!$N$49,MATCH(AN$6,$AK$6:$AN$6,0)-1,0)))</f>
        <v>193.728952380954</v>
      </c>
      <c r="AO153" s="44">
        <f ca="1" t="shared" si="22"/>
        <v>4039.87914285716</v>
      </c>
      <c r="AP153" s="44">
        <f ca="1" t="shared" si="23"/>
        <v>2179.32095238096</v>
      </c>
      <c r="AQ153" s="44">
        <f ca="1" t="shared" si="24"/>
        <v>757.947428571433</v>
      </c>
      <c r="AR153" s="44">
        <f ca="1" t="shared" si="25"/>
        <v>193.728952380954</v>
      </c>
      <c r="AS153" s="45">
        <f ca="1">IFERROR(MATCH(AO153/载具产出!R$58,载具属性!$G$33:$G$92,1),0)</f>
        <v>30</v>
      </c>
      <c r="AT153" s="45">
        <f ca="1">IFERROR(MATCH(AP153/载具产出!S$58,载具属性!$G$33:$G$92,1),0)</f>
        <v>21</v>
      </c>
      <c r="AU153" s="45">
        <f ca="1">IFERROR(MATCH(AQ153/载具产出!T$58,载具属性!$G$33:$G$92,1),0)</f>
        <v>11</v>
      </c>
      <c r="AV153" s="45">
        <f ca="1">IFERROR(MATCH(AR153/载具产出!U$58,载具属性!$G$33:$G$92,1),0)</f>
        <v>3</v>
      </c>
      <c r="AW153" s="46" t="str">
        <f ca="1" t="shared" si="26"/>
        <v>[{62,812},{63,92275},{2,256300},{6030001,2597},{6030002,2773},{6030003,318}]</v>
      </c>
      <c r="AX153" t="str">
        <f ca="1" t="shared" si="27"/>
        <v>{62,812}</v>
      </c>
      <c r="AY153" t="str">
        <f ca="1" t="shared" si="28"/>
        <v>{63,92275}</v>
      </c>
      <c r="AZ153" t="str">
        <f ca="1" t="shared" si="29"/>
        <v>{2,256300}</v>
      </c>
      <c r="BA153" t="str">
        <f ca="1" t="shared" si="30"/>
        <v>{6030001,2597}</v>
      </c>
      <c r="BB153" t="str">
        <f ca="1" t="shared" si="31"/>
        <v>{6030002,2773}</v>
      </c>
      <c r="BC153" t="str">
        <f ca="1" t="shared" si="32"/>
        <v>{6030003,318}</v>
      </c>
      <c r="BD153" t="str">
        <f ca="1" t="shared" si="33"/>
        <v/>
      </c>
    </row>
    <row r="154" spans="3:56">
      <c r="C154">
        <f ca="1" t="shared" si="21"/>
        <v>117.314814814815</v>
      </c>
      <c r="D154" s="40">
        <v>148</v>
      </c>
      <c r="E154" s="40">
        <f t="shared" si="36"/>
        <v>113</v>
      </c>
      <c r="F154" s="40">
        <v>133</v>
      </c>
      <c r="G154" s="41">
        <f t="shared" si="35"/>
        <v>162</v>
      </c>
      <c r="H154" s="40">
        <f>H153</f>
        <v>216</v>
      </c>
      <c r="I154" s="40">
        <f t="shared" si="20"/>
        <v>322</v>
      </c>
      <c r="J154" s="40">
        <f t="shared" si="37"/>
        <v>293</v>
      </c>
      <c r="K154" s="40">
        <f ca="1">SUM(U$36:U154)-SUM(OFFSET(载具产出!H$399,0,0,$R154+1,1))</f>
        <v>819</v>
      </c>
      <c r="L154" s="40">
        <f ca="1">SUM(T$36:T154)-SUM(OFFSET(载具产出!G$399,0,0,$R154+1,1))</f>
        <v>93255</v>
      </c>
      <c r="M154" s="40">
        <f ca="1">SUM(V$36:V154)/2-SUM(OFFSET(载具产出!I$399,0,0,$R154+1,1))</f>
        <v>259400</v>
      </c>
      <c r="N154" s="40">
        <f ca="1">SUM(AA$36:AA154)-SUM(OFFSET(载具产出!J$399,0,0,$R154+1,1))</f>
        <v>2615.6</v>
      </c>
      <c r="O154" s="40">
        <f ca="1">SUM(AB$36:AB154)-SUM(OFFSET(载具产出!K$399,0,0,$R154+1,1))</f>
        <v>2794.07999999999</v>
      </c>
      <c r="P154" s="40">
        <f ca="1">SUM(AC$36:AC154)-SUM(OFFSET(载具产出!L$399,0,0,$R154+1,1))</f>
        <v>326.32</v>
      </c>
      <c r="Q154" s="40">
        <f ca="1">SUM(AD$36:AD154)-SUM(OFFSET(载具产出!M$399,0,0,$R154+1,1))</f>
        <v>0</v>
      </c>
      <c r="R154" s="40">
        <v>14</v>
      </c>
      <c r="S154" s="40" t="str">
        <f ca="1">OFFSET(载具产出!$D$111,IFERROR(MATCH(OFFSET($D154,0,MATCH($D$5,$E$6:$H$6,0)),载具产出!$E$112:$E$151,1),0),0)</f>
        <v>珍惜Ⅱ</v>
      </c>
      <c r="T154" s="40">
        <f ca="1">OFFSET(载具产出!$F$399,IFERROR(MATCH(OFFSET($D154,0,MATCH($D$5,$E$6:$H$6,0)),载具产出!$E$400:$E$439,1),0),MATCH(T$6,载具产出!$G$399:$O$399,0))</f>
        <v>980</v>
      </c>
      <c r="U154" s="40">
        <v>7</v>
      </c>
      <c r="V154" s="40">
        <f ca="1">OFFSET(载具产出!$F$399,IFERROR(MATCH(OFFSET($D154,0,MATCH($D$5,$E$6:$H$6,0)),载具产出!$E$400:$E$439,1),0),MATCH(V$6,载具产出!$G$399:$O$399,0))</f>
        <v>6200</v>
      </c>
      <c r="W154" s="43">
        <f ca="1">_xlfn.XLOOKUP(Z154,载具属性!$E$98:$E$497,载具属性!$G$98:$G$497)+6000+OFFSET(载具属性!L$33,AS154,0)*载具属性!M$30+OFFSET(载具属性!M$33,AT154,0)*载具属性!N$30+OFFSET(载具属性!N$33,AU154,0)*载具属性!O$30+OFFSET(载具属性!O$33,AV154,0)*载具属性!P$30</f>
        <v>19005</v>
      </c>
      <c r="X154" s="43">
        <f ca="1">_xlfn.XLOOKUP(Z154,载具属性!$E$98:$E$497,载具属性!$G$98:$G$497)</f>
        <v>7770</v>
      </c>
      <c r="Y154" s="43">
        <f ca="1">OFFSET(载具属性!L$33,AS154,0)*载具属性!M$30+OFFSET(载具属性!M$33,AT154,0)*载具属性!N$30+OFFSET(载具属性!N$33,AU154,0)*载具属性!O$30+OFFSET(载具属性!O$33,AV154,0)*载具属性!P$30</f>
        <v>5235</v>
      </c>
      <c r="Z154" s="40">
        <f ca="1">MATCH(SUM($T$7:T154),载具属性!$I$98:$I$497,1)</f>
        <v>124</v>
      </c>
      <c r="AA154" s="40">
        <f ca="1">OFFSET(载具产出!$F$399,IFERROR(MATCH(OFFSET($D154,0,MATCH($D$5,$E$6:$H$6,0)),载具产出!$E$112:$E$151,1),0),MATCH(AA$6,载具产出!$G$111:$O$111,0))*2</f>
        <v>18</v>
      </c>
      <c r="AB154" s="40">
        <f ca="1">OFFSET(载具产出!$F$399,IFERROR(MATCH(OFFSET($D154,0,MATCH($D$5,$E$6:$H$6,0)),载具产出!$E$112:$E$151,1),0),MATCH(AB$6,载具产出!$G$111:$O$111,0))*2</f>
        <v>20.16</v>
      </c>
      <c r="AC154" s="40">
        <f ca="1">OFFSET(载具产出!$F$399,IFERROR(MATCH(OFFSET($D154,0,MATCH($D$5,$E$6:$H$6,0)),载具产出!$E$112:$E$151,1),0),MATCH(AC$6,载具产出!$G$111:$O$111,0))*2</f>
        <v>7.84</v>
      </c>
      <c r="AD154" s="40">
        <f ca="1">OFFSET(载具产出!$F$399,IFERROR(MATCH(OFFSET($D154,0,MATCH($D$5,$E$6:$H$6,0)),载具产出!$E$112:$E$151,1),0),MATCH(AD$6,载具产出!$G$111:$O$111,0))*2</f>
        <v>0</v>
      </c>
      <c r="AE154" s="44">
        <f ca="1">SUM(AA$36:AA154)/3</f>
        <v>932.8</v>
      </c>
      <c r="AF154" s="44">
        <f ca="1">SUM(AB$36:AB154)/3</f>
        <v>978.026666666664</v>
      </c>
      <c r="AG154" s="44">
        <f ca="1">SUM(AC$36:AC154)/3</f>
        <v>115.84</v>
      </c>
      <c r="AH154" s="44">
        <f ca="1">SUM(AD$36:AD154)/3</f>
        <v>0</v>
      </c>
      <c r="AI154" s="44">
        <f>_xlfn.XLOOKUP($D$5,载具产出!$D$71:$D$75,载具产出!$E$71:$E$75)*(D154-30+1)</f>
        <v>1399.66666666667</v>
      </c>
      <c r="AJ154" s="44">
        <f>IFERROR(MATCH(_xlfn.XLOOKUP($D$5,载具产出!$D$71:$D$75,载具产出!$E$71:$E$75)*(D154-30+1)*10,载具产出!$E$60:$E$67,1),0)+1</f>
        <v>6</v>
      </c>
      <c r="AK154" s="44">
        <f ca="1">IF($AJ154=1,($AI154)*(10*OFFSET(载具产出!$D$45,MATCH(AK$6,$AK$6:$AN$6,0)-1,$AJ154)+OFFSET(载具产出!$D$49,MATCH(AK$6,$AK$6:$AN$6,0)-1,$AJ154)*OFFSET(载具产出!$N$49,MATCH(AK$6,$AK$6:$AN$6,0)-1,0)),OFFSET(载具产出!F$59,$AJ154-1,0)*10+OFFSET(载具产出!J$59,$AJ154-1,0)+($AI154*10-_xlfn.XLOOKUP($AJ154-1,载具产出!$D$59:$D$67,载具产出!$E$59:$E$67))/10*(10*OFFSET(载具产出!$D$45,MATCH(AK$6,$AK$6:$AN$6,0)-1,$AJ154)+OFFSET(载具产出!$D$49,MATCH(AK$6,$AK$6:$AN$6,0)-1,$AJ154)*OFFSET(载具产出!$N$49,MATCH(AK$6,$AK$6:$AN$6,0)-1,0)))</f>
        <v>3138.62600000001</v>
      </c>
      <c r="AL154" s="44">
        <f ca="1">IF($AJ154=1,($AI154)*(10*OFFSET(载具产出!$D$45,MATCH(AL$6,$AK$6:$AN$6,0)-1,$AJ154)+OFFSET(载具产出!$D$49,MATCH(AL$6,$AK$6:$AN$6,0)-1,$AJ154)*OFFSET(载具产出!$N$49,MATCH(AL$6,$AK$6:$AN$6,0)-1,0)),OFFSET(载具产出!G$59,$AJ154-1,0)*10+OFFSET(载具产出!K$59,$AJ154-1,0)+($AI154*10-_xlfn.XLOOKUP($AJ154-1,载具产出!$D$59:$D$67,载具产出!$E$59:$E$67))/10*(10*OFFSET(载具产出!$D$45,MATCH(AL$6,$AK$6:$AN$6,0)-1,$AJ154)+OFFSET(载具产出!$D$49,MATCH(AL$6,$AK$6:$AN$6,0)-1,$AJ154)*OFFSET(载具产出!$N$49,MATCH(AL$6,$AK$6:$AN$6,0)-1,0)))</f>
        <v>1218.6</v>
      </c>
      <c r="AM154" s="44">
        <f ca="1">IF($AJ154=1,($AI154)*(10*OFFSET(载具产出!$D$45,MATCH(AM$6,$AK$6:$AN$6,0)-1,$AJ154)+OFFSET(载具产出!$D$49,MATCH(AM$6,$AK$6:$AN$6,0)-1,$AJ154)*OFFSET(载具产出!$N$49,MATCH(AM$6,$AK$6:$AN$6,0)-1,0)),OFFSET(载具产出!H$59,$AJ154-1,0)*10+OFFSET(载具产出!L$59,$AJ154-1,0)+($AI154*10-_xlfn.XLOOKUP($AJ154-1,载具产出!$D$59:$D$67,载具产出!$E$59:$E$67))/10*(10*OFFSET(载具产出!$D$45,MATCH(AM$6,$AK$6:$AN$6,0)-1,$AJ154)+OFFSET(载具产出!$D$49,MATCH(AM$6,$AK$6:$AN$6,0)-1,$AJ154)*OFFSET(载具产出!$N$49,MATCH(AM$6,$AK$6:$AN$6,0)-1,0)))</f>
        <v>650.554666666668</v>
      </c>
      <c r="AN154" s="44">
        <f ca="1">IF($AJ154=1,($AI154)*(10*OFFSET(载具产出!$D$45,MATCH(AN$6,$AK$6:$AN$6,0)-1,$AJ154)+OFFSET(载具产出!$D$49,MATCH(AN$6,$AK$6:$AN$6,0)-1,$AJ154)*OFFSET(载具产出!$N$49,MATCH(AN$6,$AK$6:$AN$6,0)-1,0)),OFFSET(载具产出!I$59,$AJ154-1,0)*10+OFFSET(载具产出!M$59,$AJ154-1,0)+($AI154*10-_xlfn.XLOOKUP($AJ154-1,载具产出!$D$59:$D$67,载具产出!$E$59:$E$67))/10*(10*OFFSET(载具产出!$D$45,MATCH(AN$6,$AK$6:$AN$6,0)-1,$AJ154)+OFFSET(载具产出!$D$49,MATCH(AN$6,$AK$6:$AN$6,0)-1,$AJ154)*OFFSET(载具产出!$N$49,MATCH(AN$6,$AK$6:$AN$6,0)-1,0)))</f>
        <v>195.587333333334</v>
      </c>
      <c r="AO154" s="44">
        <f ca="1" t="shared" si="22"/>
        <v>4071.42600000001</v>
      </c>
      <c r="AP154" s="44">
        <f ca="1" t="shared" si="23"/>
        <v>2196.62666666667</v>
      </c>
      <c r="AQ154" s="44">
        <f ca="1" t="shared" si="24"/>
        <v>766.394666666668</v>
      </c>
      <c r="AR154" s="44">
        <f ca="1" t="shared" si="25"/>
        <v>195.587333333334</v>
      </c>
      <c r="AS154" s="45">
        <f ca="1">IFERROR(MATCH(AO154/载具产出!R$58,载具属性!$G$33:$G$92,1),0)</f>
        <v>30</v>
      </c>
      <c r="AT154" s="45">
        <f ca="1">IFERROR(MATCH(AP154/载具产出!S$58,载具属性!$G$33:$G$92,1),0)</f>
        <v>21</v>
      </c>
      <c r="AU154" s="45">
        <f ca="1">IFERROR(MATCH(AQ154/载具产出!T$58,载具属性!$G$33:$G$92,1),0)</f>
        <v>11</v>
      </c>
      <c r="AV154" s="45">
        <f ca="1">IFERROR(MATCH(AR154/载具产出!U$58,载具属性!$G$33:$G$92,1),0)</f>
        <v>3</v>
      </c>
      <c r="AW154" s="46" t="str">
        <f ca="1" t="shared" si="26"/>
        <v>[{62,819},{63,93255},{2,259400},{6030001,2615},{6030002,2794},{6030003,326}]</v>
      </c>
      <c r="AX154" t="str">
        <f ca="1" t="shared" si="27"/>
        <v>{62,819}</v>
      </c>
      <c r="AY154" t="str">
        <f ca="1" t="shared" si="28"/>
        <v>{63,93255}</v>
      </c>
      <c r="AZ154" t="str">
        <f ca="1" t="shared" si="29"/>
        <v>{2,259400}</v>
      </c>
      <c r="BA154" t="str">
        <f ca="1" t="shared" si="30"/>
        <v>{6030001,2615}</v>
      </c>
      <c r="BB154" t="str">
        <f ca="1" t="shared" si="31"/>
        <v>{6030002,2794}</v>
      </c>
      <c r="BC154" t="str">
        <f ca="1" t="shared" si="32"/>
        <v>{6030003,326}</v>
      </c>
      <c r="BD154" t="str">
        <f ca="1" t="shared" si="33"/>
        <v/>
      </c>
    </row>
    <row r="155" spans="3:56">
      <c r="C155">
        <f ca="1" t="shared" si="21"/>
        <v>118.179012345679</v>
      </c>
      <c r="D155" s="40">
        <v>149</v>
      </c>
      <c r="E155" s="40">
        <f t="shared" si="36"/>
        <v>113</v>
      </c>
      <c r="F155" s="40">
        <v>133</v>
      </c>
      <c r="G155" s="41">
        <f t="shared" si="35"/>
        <v>162</v>
      </c>
      <c r="H155" s="40">
        <f>H154+1</f>
        <v>217</v>
      </c>
      <c r="I155" s="40">
        <f t="shared" si="20"/>
        <v>324</v>
      </c>
      <c r="J155" s="40">
        <f t="shared" si="37"/>
        <v>296</v>
      </c>
      <c r="K155" s="40">
        <f ca="1">SUM(U$36:U155)-SUM(OFFSET(载具产出!H$399,0,0,$R155+1,1))</f>
        <v>826</v>
      </c>
      <c r="L155" s="40">
        <f ca="1">SUM(T$36:T155)-SUM(OFFSET(载具产出!G$399,0,0,$R155+1,1))</f>
        <v>94235</v>
      </c>
      <c r="M155" s="40">
        <f ca="1">SUM(V$36:V155)/2-SUM(OFFSET(载具产出!I$399,0,0,$R155+1,1))</f>
        <v>262500</v>
      </c>
      <c r="N155" s="40">
        <f ca="1">SUM(AA$36:AA155)-SUM(OFFSET(载具产出!J$399,0,0,$R155+1,1))</f>
        <v>2633.6</v>
      </c>
      <c r="O155" s="40">
        <f ca="1">SUM(AB$36:AB155)-SUM(OFFSET(载具产出!K$399,0,0,$R155+1,1))</f>
        <v>2814.23999999999</v>
      </c>
      <c r="P155" s="40">
        <f ca="1">SUM(AC$36:AC155)-SUM(OFFSET(载具产出!L$399,0,0,$R155+1,1))</f>
        <v>334.16</v>
      </c>
      <c r="Q155" s="40">
        <f ca="1">SUM(AD$36:AD155)-SUM(OFFSET(载具产出!M$399,0,0,$R155+1,1))</f>
        <v>0</v>
      </c>
      <c r="R155" s="40">
        <v>14</v>
      </c>
      <c r="S155" s="40" t="str">
        <f ca="1">OFFSET(载具产出!$D$111,IFERROR(MATCH(OFFSET($D155,0,MATCH($D$5,$E$6:$H$6,0)),载具产出!$E$112:$E$151,1),0),0)</f>
        <v>珍惜Ⅱ</v>
      </c>
      <c r="T155" s="40">
        <f ca="1">OFFSET(载具产出!$F$399,IFERROR(MATCH(OFFSET($D155,0,MATCH($D$5,$E$6:$H$6,0)),载具产出!$E$400:$E$439,1),0),MATCH(T$6,载具产出!$G$399:$O$399,0))</f>
        <v>980</v>
      </c>
      <c r="U155" s="40">
        <v>7</v>
      </c>
      <c r="V155" s="40">
        <f ca="1">OFFSET(载具产出!$F$399,IFERROR(MATCH(OFFSET($D155,0,MATCH($D$5,$E$6:$H$6,0)),载具产出!$E$400:$E$439,1),0),MATCH(V$6,载具产出!$G$399:$O$399,0))</f>
        <v>6200</v>
      </c>
      <c r="W155" s="43">
        <f ca="1">_xlfn.XLOOKUP(Z155,载具属性!$E$98:$E$497,载具属性!$G$98:$G$497)+6000+OFFSET(载具属性!L$33,AS155,0)*载具属性!M$30+OFFSET(载具属性!M$33,AT155,0)*载具属性!N$30+OFFSET(载具属性!N$33,AU155,0)*载具属性!O$30+OFFSET(载具属性!O$33,AV155,0)*载具属性!P$30</f>
        <v>19145</v>
      </c>
      <c r="X155" s="43">
        <f ca="1">_xlfn.XLOOKUP(Z155,载具属性!$E$98:$E$497,载具属性!$G$98:$G$497)</f>
        <v>7850</v>
      </c>
      <c r="Y155" s="43">
        <f ca="1">OFFSET(载具属性!L$33,AS155,0)*载具属性!M$30+OFFSET(载具属性!M$33,AT155,0)*载具属性!N$30+OFFSET(载具属性!N$33,AU155,0)*载具属性!O$30+OFFSET(载具属性!O$33,AV155,0)*载具属性!P$30</f>
        <v>5295</v>
      </c>
      <c r="Z155" s="40">
        <f ca="1">MATCH(SUM($T$7:T155),载具属性!$I$98:$I$497,1)</f>
        <v>125</v>
      </c>
      <c r="AA155" s="40">
        <f ca="1">OFFSET(载具产出!$F$399,IFERROR(MATCH(OFFSET($D155,0,MATCH($D$5,$E$6:$H$6,0)),载具产出!$E$112:$E$151,1),0),MATCH(AA$6,载具产出!$G$111:$O$111,0))*2</f>
        <v>18</v>
      </c>
      <c r="AB155" s="40">
        <f ca="1">OFFSET(载具产出!$F$399,IFERROR(MATCH(OFFSET($D155,0,MATCH($D$5,$E$6:$H$6,0)),载具产出!$E$112:$E$151,1),0),MATCH(AB$6,载具产出!$G$111:$O$111,0))*2</f>
        <v>20.16</v>
      </c>
      <c r="AC155" s="40">
        <f ca="1">OFFSET(载具产出!$F$399,IFERROR(MATCH(OFFSET($D155,0,MATCH($D$5,$E$6:$H$6,0)),载具产出!$E$112:$E$151,1),0),MATCH(AC$6,载具产出!$G$111:$O$111,0))*2</f>
        <v>7.84</v>
      </c>
      <c r="AD155" s="40">
        <f ca="1">OFFSET(载具产出!$F$399,IFERROR(MATCH(OFFSET($D155,0,MATCH($D$5,$E$6:$H$6,0)),载具产出!$E$112:$E$151,1),0),MATCH(AD$6,载具产出!$G$111:$O$111,0))*2</f>
        <v>0</v>
      </c>
      <c r="AE155" s="44">
        <f ca="1">SUM(AA$36:AA155)/3</f>
        <v>938.8</v>
      </c>
      <c r="AF155" s="44">
        <f ca="1">SUM(AB$36:AB155)/3</f>
        <v>984.746666666664</v>
      </c>
      <c r="AG155" s="44">
        <f ca="1">SUM(AC$36:AC155)/3</f>
        <v>118.453333333333</v>
      </c>
      <c r="AH155" s="44">
        <f ca="1">SUM(AD$36:AD155)/3</f>
        <v>0</v>
      </c>
      <c r="AI155" s="44">
        <f>_xlfn.XLOOKUP($D$5,载具产出!$D$71:$D$75,载具产出!$E$71:$E$75)*(D155-30+1)</f>
        <v>1411.42857142858</v>
      </c>
      <c r="AJ155" s="44">
        <f>IFERROR(MATCH(_xlfn.XLOOKUP($D$5,载具产出!$D$71:$D$75,载具产出!$E$71:$E$75)*(D155-30+1)*10,载具产出!$E$60:$E$67,1),0)+1</f>
        <v>6</v>
      </c>
      <c r="AK155" s="44">
        <f ca="1">IF($AJ155=1,($AI155)*(10*OFFSET(载具产出!$D$45,MATCH(AK$6,$AK$6:$AN$6,0)-1,$AJ155)+OFFSET(载具产出!$D$49,MATCH(AK$6,$AK$6:$AN$6,0)-1,$AJ155)*OFFSET(载具产出!$N$49,MATCH(AK$6,$AK$6:$AN$6,0)-1,0)),OFFSET(载具产出!F$59,$AJ155-1,0)*10+OFFSET(载具产出!J$59,$AJ155-1,0)+($AI155*10-_xlfn.XLOOKUP($AJ155-1,载具产出!$D$59:$D$67,载具产出!$E$59:$E$67))/10*(10*OFFSET(载具产出!$D$45,MATCH(AK$6,$AK$6:$AN$6,0)-1,$AJ155)+OFFSET(载具产出!$D$49,MATCH(AK$6,$AK$6:$AN$6,0)-1,$AJ155)*OFFSET(载具产出!$N$49,MATCH(AK$6,$AK$6:$AN$6,0)-1,0)))</f>
        <v>3164.17285714288</v>
      </c>
      <c r="AL155" s="44">
        <f ca="1">IF($AJ155=1,($AI155)*(10*OFFSET(载具产出!$D$45,MATCH(AL$6,$AK$6:$AN$6,0)-1,$AJ155)+OFFSET(载具产出!$D$49,MATCH(AL$6,$AK$6:$AN$6,0)-1,$AJ155)*OFFSET(载具产出!$N$49,MATCH(AL$6,$AK$6:$AN$6,0)-1,0)),OFFSET(载具产出!G$59,$AJ155-1,0)*10+OFFSET(载具产出!K$59,$AJ155-1,0)+($AI155*10-_xlfn.XLOOKUP($AJ155-1,载具产出!$D$59:$D$67,载具产出!$E$59:$E$67))/10*(10*OFFSET(载具产出!$D$45,MATCH(AL$6,$AK$6:$AN$6,0)-1,$AJ155)+OFFSET(载具产出!$D$49,MATCH(AL$6,$AK$6:$AN$6,0)-1,$AJ155)*OFFSET(载具产出!$N$49,MATCH(AL$6,$AK$6:$AN$6,0)-1,0)))</f>
        <v>1229.18571428572</v>
      </c>
      <c r="AM155" s="44">
        <f ca="1">IF($AJ155=1,($AI155)*(10*OFFSET(载具产出!$D$45,MATCH(AM$6,$AK$6:$AN$6,0)-1,$AJ155)+OFFSET(载具产出!$D$49,MATCH(AM$6,$AK$6:$AN$6,0)-1,$AJ155)*OFFSET(载具产出!$N$49,MATCH(AM$6,$AK$6:$AN$6,0)-1,0)),OFFSET(载具产出!H$59,$AJ155-1,0)*10+OFFSET(载具产出!L$59,$AJ155-1,0)+($AI155*10-_xlfn.XLOOKUP($AJ155-1,载具产出!$D$59:$D$67,载具产出!$E$59:$E$67))/10*(10*OFFSET(载具产出!$D$45,MATCH(AM$6,$AK$6:$AN$6,0)-1,$AJ155)+OFFSET(载具产出!$D$49,MATCH(AM$6,$AK$6:$AN$6,0)-1,$AJ155)*OFFSET(载具产出!$N$49,MATCH(AM$6,$AK$6:$AN$6,0)-1,0)))</f>
        <v>656.388571428576</v>
      </c>
      <c r="AN155" s="44">
        <f ca="1">IF($AJ155=1,($AI155)*(10*OFFSET(载具产出!$D$45,MATCH(AN$6,$AK$6:$AN$6,0)-1,$AJ155)+OFFSET(载具产出!$D$49,MATCH(AN$6,$AK$6:$AN$6,0)-1,$AJ155)*OFFSET(载具产出!$N$49,MATCH(AN$6,$AK$6:$AN$6,0)-1,0)),OFFSET(载具产出!I$59,$AJ155-1,0)*10+OFFSET(载具产出!M$59,$AJ155-1,0)+($AI155*10-_xlfn.XLOOKUP($AJ155-1,载具产出!$D$59:$D$67,载具产出!$E$59:$E$67))/10*(10*OFFSET(载具产出!$D$45,MATCH(AN$6,$AK$6:$AN$6,0)-1,$AJ155)+OFFSET(载具产出!$D$49,MATCH(AN$6,$AK$6:$AN$6,0)-1,$AJ155)*OFFSET(载具产出!$N$49,MATCH(AN$6,$AK$6:$AN$6,0)-1,0)))</f>
        <v>197.445714285716</v>
      </c>
      <c r="AO155" s="44">
        <f ca="1" t="shared" si="22"/>
        <v>4102.97285714288</v>
      </c>
      <c r="AP155" s="44">
        <f ca="1" t="shared" si="23"/>
        <v>2213.93238095239</v>
      </c>
      <c r="AQ155" s="44">
        <f ca="1" t="shared" si="24"/>
        <v>774.841904761909</v>
      </c>
      <c r="AR155" s="44">
        <f ca="1" t="shared" si="25"/>
        <v>197.445714285716</v>
      </c>
      <c r="AS155" s="45">
        <f ca="1">IFERROR(MATCH(AO155/载具产出!R$58,载具属性!$G$33:$G$92,1),0)</f>
        <v>31</v>
      </c>
      <c r="AT155" s="45">
        <f ca="1">IFERROR(MATCH(AP155/载具产出!S$58,载具属性!$G$33:$G$92,1),0)</f>
        <v>21</v>
      </c>
      <c r="AU155" s="45">
        <f ca="1">IFERROR(MATCH(AQ155/载具产出!T$58,载具属性!$G$33:$G$92,1),0)</f>
        <v>11</v>
      </c>
      <c r="AV155" s="45">
        <f ca="1">IFERROR(MATCH(AR155/载具产出!U$58,载具属性!$G$33:$G$92,1),0)</f>
        <v>3</v>
      </c>
      <c r="AW155" s="46" t="str">
        <f ca="1" t="shared" si="26"/>
        <v>[{62,826},{63,94235},{2,262500},{6030001,2633},{6030002,2814},{6030003,334}]</v>
      </c>
      <c r="AX155" t="str">
        <f ca="1" t="shared" si="27"/>
        <v>{62,826}</v>
      </c>
      <c r="AY155" t="str">
        <f ca="1" t="shared" si="28"/>
        <v>{63,94235}</v>
      </c>
      <c r="AZ155" t="str">
        <f ca="1" t="shared" si="29"/>
        <v>{2,262500}</v>
      </c>
      <c r="BA155" t="str">
        <f ca="1" t="shared" si="30"/>
        <v>{6030001,2633}</v>
      </c>
      <c r="BB155" t="str">
        <f ca="1" t="shared" si="31"/>
        <v>{6030002,2814}</v>
      </c>
      <c r="BC155" t="str">
        <f ca="1" t="shared" si="32"/>
        <v>{6030003,334}</v>
      </c>
      <c r="BD155" t="str">
        <f ca="1" t="shared" si="33"/>
        <v/>
      </c>
    </row>
    <row r="156" spans="3:56">
      <c r="C156">
        <f ca="1" t="shared" si="21"/>
        <v>118.19018404908</v>
      </c>
      <c r="D156" s="40">
        <v>150</v>
      </c>
      <c r="E156" s="40">
        <f t="shared" si="36"/>
        <v>113</v>
      </c>
      <c r="F156" s="40">
        <v>134</v>
      </c>
      <c r="G156" s="41">
        <f t="shared" si="35"/>
        <v>163</v>
      </c>
      <c r="H156" s="40">
        <f>H155</f>
        <v>217</v>
      </c>
      <c r="I156" s="40">
        <f t="shared" si="20"/>
        <v>326</v>
      </c>
      <c r="J156" s="40">
        <f t="shared" si="37"/>
        <v>298</v>
      </c>
      <c r="K156" s="40">
        <f ca="1">SUM(U$36:U156)-SUM(OFFSET(载具产出!H$399,0,0,$R156+1,1))</f>
        <v>833</v>
      </c>
      <c r="L156" s="40">
        <f ca="1">SUM(T$36:T156)-SUM(OFFSET(载具产出!G$399,0,0,$R156+1,1))</f>
        <v>95215</v>
      </c>
      <c r="M156" s="40">
        <f ca="1">SUM(V$36:V156)/2-SUM(OFFSET(载具产出!I$399,0,0,$R156+1,1))</f>
        <v>265600</v>
      </c>
      <c r="N156" s="40">
        <f ca="1">SUM(AA$36:AA156)-SUM(OFFSET(载具产出!J$399,0,0,$R156+1,1))</f>
        <v>2651.6</v>
      </c>
      <c r="O156" s="40">
        <f ca="1">SUM(AB$36:AB156)-SUM(OFFSET(载具产出!K$399,0,0,$R156+1,1))</f>
        <v>2834.39999999999</v>
      </c>
      <c r="P156" s="40">
        <f ca="1">SUM(AC$36:AC156)-SUM(OFFSET(载具产出!L$399,0,0,$R156+1,1))</f>
        <v>342</v>
      </c>
      <c r="Q156" s="40">
        <f ca="1">SUM(AD$36:AD156)-SUM(OFFSET(载具产出!M$399,0,0,$R156+1,1))</f>
        <v>0</v>
      </c>
      <c r="R156" s="40">
        <v>14</v>
      </c>
      <c r="S156" s="40" t="str">
        <f ca="1">OFFSET(载具产出!$D$111,IFERROR(MATCH(OFFSET($D156,0,MATCH($D$5,$E$6:$H$6,0)),载具产出!$E$112:$E$151,1),0),0)</f>
        <v>珍惜Ⅱ</v>
      </c>
      <c r="T156" s="40">
        <f ca="1">OFFSET(载具产出!$F$399,IFERROR(MATCH(OFFSET($D156,0,MATCH($D$5,$E$6:$H$6,0)),载具产出!$E$400:$E$439,1),0),MATCH(T$6,载具产出!$G$399:$O$399,0))</f>
        <v>980</v>
      </c>
      <c r="U156" s="40">
        <v>7</v>
      </c>
      <c r="V156" s="40">
        <f ca="1">OFFSET(载具产出!$F$399,IFERROR(MATCH(OFFSET($D156,0,MATCH($D$5,$E$6:$H$6,0)),载具产出!$E$400:$E$439,1),0),MATCH(V$6,载具产出!$G$399:$O$399,0))</f>
        <v>6200</v>
      </c>
      <c r="W156" s="43">
        <f ca="1">_xlfn.XLOOKUP(Z156,载具属性!$E$98:$E$497,载具属性!$G$98:$G$497)+6000+OFFSET(载具属性!L$33,AS156,0)*载具属性!M$30+OFFSET(载具属性!M$33,AT156,0)*载具属性!N$30+OFFSET(载具属性!N$33,AU156,0)*载具属性!O$30+OFFSET(载具属性!O$33,AV156,0)*载具属性!P$30</f>
        <v>19265</v>
      </c>
      <c r="X156" s="43">
        <f ca="1">_xlfn.XLOOKUP(Z156,载具属性!$E$98:$E$497,载具属性!$G$98:$G$497)</f>
        <v>7850</v>
      </c>
      <c r="Y156" s="43">
        <f ca="1">OFFSET(载具属性!L$33,AS156,0)*载具属性!M$30+OFFSET(载具属性!M$33,AT156,0)*载具属性!N$30+OFFSET(载具属性!N$33,AU156,0)*载具属性!O$30+OFFSET(载具属性!O$33,AV156,0)*载具属性!P$30</f>
        <v>5415</v>
      </c>
      <c r="Z156" s="40">
        <f ca="1">MATCH(SUM($T$7:T156),载具属性!$I$98:$I$497,1)</f>
        <v>125</v>
      </c>
      <c r="AA156" s="40">
        <f ca="1">OFFSET(载具产出!$F$399,IFERROR(MATCH(OFFSET($D156,0,MATCH($D$5,$E$6:$H$6,0)),载具产出!$E$112:$E$151,1),0),MATCH(AA$6,载具产出!$G$111:$O$111,0))*2</f>
        <v>18</v>
      </c>
      <c r="AB156" s="40">
        <f ca="1">OFFSET(载具产出!$F$399,IFERROR(MATCH(OFFSET($D156,0,MATCH($D$5,$E$6:$H$6,0)),载具产出!$E$112:$E$151,1),0),MATCH(AB$6,载具产出!$G$111:$O$111,0))*2</f>
        <v>20.16</v>
      </c>
      <c r="AC156" s="40">
        <f ca="1">OFFSET(载具产出!$F$399,IFERROR(MATCH(OFFSET($D156,0,MATCH($D$5,$E$6:$H$6,0)),载具产出!$E$112:$E$151,1),0),MATCH(AC$6,载具产出!$G$111:$O$111,0))*2</f>
        <v>7.84</v>
      </c>
      <c r="AD156" s="40">
        <f ca="1">OFFSET(载具产出!$F$399,IFERROR(MATCH(OFFSET($D156,0,MATCH($D$5,$E$6:$H$6,0)),载具产出!$E$112:$E$151,1),0),MATCH(AD$6,载具产出!$G$111:$O$111,0))*2</f>
        <v>0</v>
      </c>
      <c r="AE156" s="44">
        <f ca="1">SUM(AA$36:AA156)/3</f>
        <v>944.8</v>
      </c>
      <c r="AF156" s="44">
        <f ca="1">SUM(AB$36:AB156)/3</f>
        <v>991.466666666664</v>
      </c>
      <c r="AG156" s="44">
        <f ca="1">SUM(AC$36:AC156)/3</f>
        <v>121.066666666667</v>
      </c>
      <c r="AH156" s="44">
        <f ca="1">SUM(AD$36:AD156)/3</f>
        <v>0</v>
      </c>
      <c r="AI156" s="44">
        <f>_xlfn.XLOOKUP($D$5,载具产出!$D$71:$D$75,载具产出!$E$71:$E$75)*(D156-30+1)</f>
        <v>1423.19047619048</v>
      </c>
      <c r="AJ156" s="44">
        <f>IFERROR(MATCH(_xlfn.XLOOKUP($D$5,载具产出!$D$71:$D$75,载具产出!$E$71:$E$75)*(D156-30+1)*10,载具产出!$E$60:$E$67,1),0)+1</f>
        <v>6</v>
      </c>
      <c r="AK156" s="44">
        <f ca="1">IF($AJ156=1,($AI156)*(10*OFFSET(载具产出!$D$45,MATCH(AK$6,$AK$6:$AN$6,0)-1,$AJ156)+OFFSET(载具产出!$D$49,MATCH(AK$6,$AK$6:$AN$6,0)-1,$AJ156)*OFFSET(载具产出!$N$49,MATCH(AK$6,$AK$6:$AN$6,0)-1,0)),OFFSET(载具产出!F$59,$AJ156-1,0)*10+OFFSET(载具产出!J$59,$AJ156-1,0)+($AI156*10-_xlfn.XLOOKUP($AJ156-1,载具产出!$D$59:$D$67,载具产出!$E$59:$E$67))/10*(10*OFFSET(载具产出!$D$45,MATCH(AK$6,$AK$6:$AN$6,0)-1,$AJ156)+OFFSET(载具产出!$D$49,MATCH(AK$6,$AK$6:$AN$6,0)-1,$AJ156)*OFFSET(载具产出!$N$49,MATCH(AK$6,$AK$6:$AN$6,0)-1,0)))</f>
        <v>3189.71971428572</v>
      </c>
      <c r="AL156" s="44">
        <f ca="1">IF($AJ156=1,($AI156)*(10*OFFSET(载具产出!$D$45,MATCH(AL$6,$AK$6:$AN$6,0)-1,$AJ156)+OFFSET(载具产出!$D$49,MATCH(AL$6,$AK$6:$AN$6,0)-1,$AJ156)*OFFSET(载具产出!$N$49,MATCH(AL$6,$AK$6:$AN$6,0)-1,0)),OFFSET(载具产出!G$59,$AJ156-1,0)*10+OFFSET(载具产出!K$59,$AJ156-1,0)+($AI156*10-_xlfn.XLOOKUP($AJ156-1,载具产出!$D$59:$D$67,载具产出!$E$59:$E$67))/10*(10*OFFSET(载具产出!$D$45,MATCH(AL$6,$AK$6:$AN$6,0)-1,$AJ156)+OFFSET(载具产出!$D$49,MATCH(AL$6,$AK$6:$AN$6,0)-1,$AJ156)*OFFSET(载具产出!$N$49,MATCH(AL$6,$AK$6:$AN$6,0)-1,0)))</f>
        <v>1239.77142857143</v>
      </c>
      <c r="AM156" s="44">
        <f ca="1">IF($AJ156=1,($AI156)*(10*OFFSET(载具产出!$D$45,MATCH(AM$6,$AK$6:$AN$6,0)-1,$AJ156)+OFFSET(载具产出!$D$49,MATCH(AM$6,$AK$6:$AN$6,0)-1,$AJ156)*OFFSET(载具产出!$N$49,MATCH(AM$6,$AK$6:$AN$6,0)-1,0)),OFFSET(载具产出!H$59,$AJ156-1,0)*10+OFFSET(载具产出!L$59,$AJ156-1,0)+($AI156*10-_xlfn.XLOOKUP($AJ156-1,载具产出!$D$59:$D$67,载具产出!$E$59:$E$67))/10*(10*OFFSET(载具产出!$D$45,MATCH(AM$6,$AK$6:$AN$6,0)-1,$AJ156)+OFFSET(载具产出!$D$49,MATCH(AM$6,$AK$6:$AN$6,0)-1,$AJ156)*OFFSET(载具产出!$N$49,MATCH(AM$6,$AK$6:$AN$6,0)-1,0)))</f>
        <v>662.222476190478</v>
      </c>
      <c r="AN156" s="44">
        <f ca="1">IF($AJ156=1,($AI156)*(10*OFFSET(载具产出!$D$45,MATCH(AN$6,$AK$6:$AN$6,0)-1,$AJ156)+OFFSET(载具产出!$D$49,MATCH(AN$6,$AK$6:$AN$6,0)-1,$AJ156)*OFFSET(载具产出!$N$49,MATCH(AN$6,$AK$6:$AN$6,0)-1,0)),OFFSET(载具产出!I$59,$AJ156-1,0)*10+OFFSET(载具产出!M$59,$AJ156-1,0)+($AI156*10-_xlfn.XLOOKUP($AJ156-1,载具产出!$D$59:$D$67,载具产出!$E$59:$E$67))/10*(10*OFFSET(载具产出!$D$45,MATCH(AN$6,$AK$6:$AN$6,0)-1,$AJ156)+OFFSET(载具产出!$D$49,MATCH(AN$6,$AK$6:$AN$6,0)-1,$AJ156)*OFFSET(载具产出!$N$49,MATCH(AN$6,$AK$6:$AN$6,0)-1,0)))</f>
        <v>199.304095238096</v>
      </c>
      <c r="AO156" s="44">
        <f ca="1" t="shared" si="22"/>
        <v>4134.51971428572</v>
      </c>
      <c r="AP156" s="44">
        <f ca="1" t="shared" si="23"/>
        <v>2231.2380952381</v>
      </c>
      <c r="AQ156" s="44">
        <f ca="1" t="shared" si="24"/>
        <v>783.289142857145</v>
      </c>
      <c r="AR156" s="44">
        <f ca="1" t="shared" si="25"/>
        <v>199.304095238096</v>
      </c>
      <c r="AS156" s="45">
        <f ca="1">IFERROR(MATCH(AO156/载具产出!R$58,载具属性!$G$33:$G$92,1),0)</f>
        <v>31</v>
      </c>
      <c r="AT156" s="45">
        <f ca="1">IFERROR(MATCH(AP156/载具产出!S$58,载具属性!$G$33:$G$92,1),0)</f>
        <v>21</v>
      </c>
      <c r="AU156" s="45">
        <f ca="1">IFERROR(MATCH(AQ156/载具产出!T$58,载具属性!$G$33:$G$92,1),0)</f>
        <v>12</v>
      </c>
      <c r="AV156" s="45">
        <f ca="1">IFERROR(MATCH(AR156/载具产出!U$58,载具属性!$G$33:$G$92,1),0)</f>
        <v>3</v>
      </c>
      <c r="AW156" s="46" t="str">
        <f ca="1" t="shared" si="26"/>
        <v>[{62,833},{63,95215},{2,265600},{6030001,2651},{6030002,2834},{6030003,342}]</v>
      </c>
      <c r="AX156" t="str">
        <f ca="1" t="shared" si="27"/>
        <v>{62,833}</v>
      </c>
      <c r="AY156" t="str">
        <f ca="1" t="shared" si="28"/>
        <v>{63,95215}</v>
      </c>
      <c r="AZ156" t="str">
        <f ca="1" t="shared" si="29"/>
        <v>{2,265600}</v>
      </c>
      <c r="BA156" t="str">
        <f ca="1" t="shared" si="30"/>
        <v>{6030001,2651}</v>
      </c>
      <c r="BB156" t="str">
        <f ca="1" t="shared" si="31"/>
        <v>{6030002,2834}</v>
      </c>
      <c r="BC156" t="str">
        <f ca="1" t="shared" si="32"/>
        <v>{6030003,342}</v>
      </c>
      <c r="BD156" t="str">
        <f ca="1" t="shared" si="33"/>
        <v/>
      </c>
    </row>
    <row r="157" spans="3:56">
      <c r="C157">
        <f ca="1" t="shared" si="21"/>
        <v>119.141104294479</v>
      </c>
      <c r="D157" s="40">
        <v>151</v>
      </c>
      <c r="E157" s="40">
        <f t="shared" si="36"/>
        <v>114</v>
      </c>
      <c r="F157" s="40">
        <v>134</v>
      </c>
      <c r="G157" s="41">
        <f t="shared" si="35"/>
        <v>163</v>
      </c>
      <c r="H157" s="40">
        <f>H156+1</f>
        <v>218</v>
      </c>
      <c r="I157" s="40">
        <f t="shared" si="20"/>
        <v>328</v>
      </c>
      <c r="J157" s="40">
        <f t="shared" si="37"/>
        <v>301</v>
      </c>
      <c r="K157" s="40">
        <f ca="1">SUM(U$36:U157)-SUM(OFFSET(载具产出!H$399,0,0,$R157+1,1))</f>
        <v>840</v>
      </c>
      <c r="L157" s="40">
        <f ca="1">SUM(T$36:T157)-SUM(OFFSET(载具产出!G$399,0,0,$R157+1,1))</f>
        <v>96195</v>
      </c>
      <c r="M157" s="40">
        <f ca="1">SUM(V$36:V157)/2-SUM(OFFSET(载具产出!I$399,0,0,$R157+1,1))</f>
        <v>268700</v>
      </c>
      <c r="N157" s="40">
        <f ca="1">SUM(AA$36:AA157)-SUM(OFFSET(载具产出!J$399,0,0,$R157+1,1))</f>
        <v>2669.6</v>
      </c>
      <c r="O157" s="40">
        <f ca="1">SUM(AB$36:AB157)-SUM(OFFSET(载具产出!K$399,0,0,$R157+1,1))</f>
        <v>2854.55999999999</v>
      </c>
      <c r="P157" s="40">
        <f ca="1">SUM(AC$36:AC157)-SUM(OFFSET(载具产出!L$399,0,0,$R157+1,1))</f>
        <v>349.84</v>
      </c>
      <c r="Q157" s="40">
        <f ca="1">SUM(AD$36:AD157)-SUM(OFFSET(载具产出!M$399,0,0,$R157+1,1))</f>
        <v>0</v>
      </c>
      <c r="R157" s="40">
        <v>14</v>
      </c>
      <c r="S157" s="40" t="str">
        <f ca="1">OFFSET(载具产出!$D$111,IFERROR(MATCH(OFFSET($D157,0,MATCH($D$5,$E$6:$H$6,0)),载具产出!$E$112:$E$151,1),0),0)</f>
        <v>珍惜Ⅱ</v>
      </c>
      <c r="T157" s="40">
        <f ca="1">OFFSET(载具产出!$F$399,IFERROR(MATCH(OFFSET($D157,0,MATCH($D$5,$E$6:$H$6,0)),载具产出!$E$400:$E$439,1),0),MATCH(T$6,载具产出!$G$399:$O$399,0))</f>
        <v>980</v>
      </c>
      <c r="U157" s="40">
        <v>7</v>
      </c>
      <c r="V157" s="40">
        <f ca="1">OFFSET(载具产出!$F$399,IFERROR(MATCH(OFFSET($D157,0,MATCH($D$5,$E$6:$H$6,0)),载具产出!$E$400:$E$439,1),0),MATCH(V$6,载具产出!$G$399:$O$399,0))</f>
        <v>6200</v>
      </c>
      <c r="W157" s="43">
        <f ca="1">_xlfn.XLOOKUP(Z157,载具属性!$E$98:$E$497,载具属性!$G$98:$G$497)+6000+OFFSET(载具属性!L$33,AS157,0)*载具属性!M$30+OFFSET(载具属性!M$33,AT157,0)*载具属性!N$30+OFFSET(载具属性!N$33,AU157,0)*载具属性!O$30+OFFSET(载具属性!O$33,AV157,0)*载具属性!P$30</f>
        <v>19420</v>
      </c>
      <c r="X157" s="43">
        <f ca="1">_xlfn.XLOOKUP(Z157,载具属性!$E$98:$E$497,载具属性!$G$98:$G$497)</f>
        <v>7930</v>
      </c>
      <c r="Y157" s="43">
        <f ca="1">OFFSET(载具属性!L$33,AS157,0)*载具属性!M$30+OFFSET(载具属性!M$33,AT157,0)*载具属性!N$30+OFFSET(载具属性!N$33,AU157,0)*载具属性!O$30+OFFSET(载具属性!O$33,AV157,0)*载具属性!P$30</f>
        <v>5490</v>
      </c>
      <c r="Z157" s="40">
        <f ca="1">MATCH(SUM($T$7:T157),载具属性!$I$98:$I$497,1)</f>
        <v>126</v>
      </c>
      <c r="AA157" s="40">
        <f ca="1">OFFSET(载具产出!$F$399,IFERROR(MATCH(OFFSET($D157,0,MATCH($D$5,$E$6:$H$6,0)),载具产出!$E$112:$E$151,1),0),MATCH(AA$6,载具产出!$G$111:$O$111,0))*2</f>
        <v>18</v>
      </c>
      <c r="AB157" s="40">
        <f ca="1">OFFSET(载具产出!$F$399,IFERROR(MATCH(OFFSET($D157,0,MATCH($D$5,$E$6:$H$6,0)),载具产出!$E$112:$E$151,1),0),MATCH(AB$6,载具产出!$G$111:$O$111,0))*2</f>
        <v>20.16</v>
      </c>
      <c r="AC157" s="40">
        <f ca="1">OFFSET(载具产出!$F$399,IFERROR(MATCH(OFFSET($D157,0,MATCH($D$5,$E$6:$H$6,0)),载具产出!$E$112:$E$151,1),0),MATCH(AC$6,载具产出!$G$111:$O$111,0))*2</f>
        <v>7.84</v>
      </c>
      <c r="AD157" s="40">
        <f ca="1">OFFSET(载具产出!$F$399,IFERROR(MATCH(OFFSET($D157,0,MATCH($D$5,$E$6:$H$6,0)),载具产出!$E$112:$E$151,1),0),MATCH(AD$6,载具产出!$G$111:$O$111,0))*2</f>
        <v>0</v>
      </c>
      <c r="AE157" s="44">
        <f ca="1">SUM(AA$36:AA157)/3</f>
        <v>950.8</v>
      </c>
      <c r="AF157" s="44">
        <f ca="1">SUM(AB$36:AB157)/3</f>
        <v>998.186666666664</v>
      </c>
      <c r="AG157" s="44">
        <f ca="1">SUM(AC$36:AC157)/3</f>
        <v>123.68</v>
      </c>
      <c r="AH157" s="44">
        <f ca="1">SUM(AD$36:AD157)/3</f>
        <v>0</v>
      </c>
      <c r="AI157" s="44">
        <f>_xlfn.XLOOKUP($D$5,载具产出!$D$71:$D$75,载具产出!$E$71:$E$75)*(D157-30+1)</f>
        <v>1434.95238095239</v>
      </c>
      <c r="AJ157" s="44">
        <f>IFERROR(MATCH(_xlfn.XLOOKUP($D$5,载具产出!$D$71:$D$75,载具产出!$E$71:$E$75)*(D157-30+1)*10,载具产出!$E$60:$E$67,1),0)+1</f>
        <v>6</v>
      </c>
      <c r="AK157" s="44">
        <f ca="1">IF($AJ157=1,($AI157)*(10*OFFSET(载具产出!$D$45,MATCH(AK$6,$AK$6:$AN$6,0)-1,$AJ157)+OFFSET(载具产出!$D$49,MATCH(AK$6,$AK$6:$AN$6,0)-1,$AJ157)*OFFSET(载具产出!$N$49,MATCH(AK$6,$AK$6:$AN$6,0)-1,0)),OFFSET(载具产出!F$59,$AJ157-1,0)*10+OFFSET(载具产出!J$59,$AJ157-1,0)+($AI157*10-_xlfn.XLOOKUP($AJ157-1,载具产出!$D$59:$D$67,载具产出!$E$59:$E$67))/10*(10*OFFSET(载具产出!$D$45,MATCH(AK$6,$AK$6:$AN$6,0)-1,$AJ157)+OFFSET(载具产出!$D$49,MATCH(AK$6,$AK$6:$AN$6,0)-1,$AJ157)*OFFSET(载具产出!$N$49,MATCH(AK$6,$AK$6:$AN$6,0)-1,0)))</f>
        <v>3215.26657142859</v>
      </c>
      <c r="AL157" s="44">
        <f ca="1">IF($AJ157=1,($AI157)*(10*OFFSET(载具产出!$D$45,MATCH(AL$6,$AK$6:$AN$6,0)-1,$AJ157)+OFFSET(载具产出!$D$49,MATCH(AL$6,$AK$6:$AN$6,0)-1,$AJ157)*OFFSET(载具产出!$N$49,MATCH(AL$6,$AK$6:$AN$6,0)-1,0)),OFFSET(载具产出!G$59,$AJ157-1,0)*10+OFFSET(载具产出!K$59,$AJ157-1,0)+($AI157*10-_xlfn.XLOOKUP($AJ157-1,载具产出!$D$59:$D$67,载具产出!$E$59:$E$67))/10*(10*OFFSET(载具产出!$D$45,MATCH(AL$6,$AK$6:$AN$6,0)-1,$AJ157)+OFFSET(载具产出!$D$49,MATCH(AL$6,$AK$6:$AN$6,0)-1,$AJ157)*OFFSET(载具产出!$N$49,MATCH(AL$6,$AK$6:$AN$6,0)-1,0)))</f>
        <v>1250.35714285715</v>
      </c>
      <c r="AM157" s="44">
        <f ca="1">IF($AJ157=1,($AI157)*(10*OFFSET(载具产出!$D$45,MATCH(AM$6,$AK$6:$AN$6,0)-1,$AJ157)+OFFSET(载具产出!$D$49,MATCH(AM$6,$AK$6:$AN$6,0)-1,$AJ157)*OFFSET(载具产出!$N$49,MATCH(AM$6,$AK$6:$AN$6,0)-1,0)),OFFSET(载具产出!H$59,$AJ157-1,0)*10+OFFSET(载具产出!L$59,$AJ157-1,0)+($AI157*10-_xlfn.XLOOKUP($AJ157-1,载具产出!$D$59:$D$67,载具产出!$E$59:$E$67))/10*(10*OFFSET(载具产出!$D$45,MATCH(AM$6,$AK$6:$AN$6,0)-1,$AJ157)+OFFSET(载具产出!$D$49,MATCH(AM$6,$AK$6:$AN$6,0)-1,$AJ157)*OFFSET(载具产出!$N$49,MATCH(AM$6,$AK$6:$AN$6,0)-1,0)))</f>
        <v>668.056380952385</v>
      </c>
      <c r="AN157" s="44">
        <f ca="1">IF($AJ157=1,($AI157)*(10*OFFSET(载具产出!$D$45,MATCH(AN$6,$AK$6:$AN$6,0)-1,$AJ157)+OFFSET(载具产出!$D$49,MATCH(AN$6,$AK$6:$AN$6,0)-1,$AJ157)*OFFSET(载具产出!$N$49,MATCH(AN$6,$AK$6:$AN$6,0)-1,0)),OFFSET(载具产出!I$59,$AJ157-1,0)*10+OFFSET(载具产出!M$59,$AJ157-1,0)+($AI157*10-_xlfn.XLOOKUP($AJ157-1,载具产出!$D$59:$D$67,载具产出!$E$59:$E$67))/10*(10*OFFSET(载具产出!$D$45,MATCH(AN$6,$AK$6:$AN$6,0)-1,$AJ157)+OFFSET(载具产出!$D$49,MATCH(AN$6,$AK$6:$AN$6,0)-1,$AJ157)*OFFSET(载具产出!$N$49,MATCH(AN$6,$AK$6:$AN$6,0)-1,0)))</f>
        <v>201.162476190478</v>
      </c>
      <c r="AO157" s="44">
        <f ca="1" t="shared" si="22"/>
        <v>4166.06657142859</v>
      </c>
      <c r="AP157" s="44">
        <f ca="1" t="shared" si="23"/>
        <v>2248.54380952381</v>
      </c>
      <c r="AQ157" s="44">
        <f ca="1" t="shared" si="24"/>
        <v>791.736380952385</v>
      </c>
      <c r="AR157" s="44">
        <f ca="1" t="shared" si="25"/>
        <v>201.162476190478</v>
      </c>
      <c r="AS157" s="45">
        <f ca="1">IFERROR(MATCH(AO157/载具产出!R$58,载具属性!$G$33:$G$92,1),0)</f>
        <v>31</v>
      </c>
      <c r="AT157" s="45">
        <f ca="1">IFERROR(MATCH(AP157/载具产出!S$58,载具属性!$G$33:$G$92,1),0)</f>
        <v>21</v>
      </c>
      <c r="AU157" s="45">
        <f ca="1">IFERROR(MATCH(AQ157/载具产出!T$58,载具属性!$G$33:$G$92,1),0)</f>
        <v>12</v>
      </c>
      <c r="AV157" s="45">
        <f ca="1">IFERROR(MATCH(AR157/载具产出!U$58,载具属性!$G$33:$G$92,1),0)</f>
        <v>4</v>
      </c>
      <c r="AW157" s="46" t="str">
        <f ca="1" t="shared" si="26"/>
        <v>[{62,840},{63,96195},{2,268700},{6030001,2669},{6030002,2854},{6030003,349}]</v>
      </c>
      <c r="AX157" t="str">
        <f ca="1" t="shared" si="27"/>
        <v>{62,840}</v>
      </c>
      <c r="AY157" t="str">
        <f ca="1" t="shared" si="28"/>
        <v>{63,96195}</v>
      </c>
      <c r="AZ157" t="str">
        <f ca="1" t="shared" si="29"/>
        <v>{2,268700}</v>
      </c>
      <c r="BA157" t="str">
        <f ca="1" t="shared" si="30"/>
        <v>{6030001,2669}</v>
      </c>
      <c r="BB157" t="str">
        <f ca="1" t="shared" si="31"/>
        <v>{6030002,2854}</v>
      </c>
      <c r="BC157" t="str">
        <f ca="1" t="shared" si="32"/>
        <v>{6030003,349}</v>
      </c>
      <c r="BD157" t="str">
        <f ca="1" t="shared" si="33"/>
        <v/>
      </c>
    </row>
    <row r="158" spans="3:56">
      <c r="C158">
        <f ca="1" t="shared" si="21"/>
        <v>118.90243902439</v>
      </c>
      <c r="D158" s="40">
        <v>152</v>
      </c>
      <c r="E158" s="40">
        <f t="shared" si="36"/>
        <v>114</v>
      </c>
      <c r="F158" s="40">
        <v>134</v>
      </c>
      <c r="G158" s="41">
        <f t="shared" si="35"/>
        <v>164</v>
      </c>
      <c r="H158" s="40">
        <f>H157</f>
        <v>218</v>
      </c>
      <c r="I158" s="40">
        <f t="shared" si="20"/>
        <v>330</v>
      </c>
      <c r="J158" s="40">
        <f t="shared" si="37"/>
        <v>303</v>
      </c>
      <c r="K158" s="40">
        <f ca="1">SUM(U$36:U158)-SUM(OFFSET(载具产出!H$399,0,0,$R158+1,1))</f>
        <v>847</v>
      </c>
      <c r="L158" s="40">
        <f ca="1">SUM(T$36:T158)-SUM(OFFSET(载具产出!G$399,0,0,$R158+1,1))</f>
        <v>97175</v>
      </c>
      <c r="M158" s="40">
        <f ca="1">SUM(V$36:V158)/2-SUM(OFFSET(载具产出!I$399,0,0,$R158+1,1))</f>
        <v>271800</v>
      </c>
      <c r="N158" s="40">
        <f ca="1">SUM(AA$36:AA158)-SUM(OFFSET(载具产出!J$399,0,0,$R158+1,1))</f>
        <v>2687.6</v>
      </c>
      <c r="O158" s="40">
        <f ca="1">SUM(AB$36:AB158)-SUM(OFFSET(载具产出!K$399,0,0,$R158+1,1))</f>
        <v>2874.71999999999</v>
      </c>
      <c r="P158" s="40">
        <f ca="1">SUM(AC$36:AC158)-SUM(OFFSET(载具产出!L$399,0,0,$R158+1,1))</f>
        <v>357.68</v>
      </c>
      <c r="Q158" s="40">
        <f ca="1">SUM(AD$36:AD158)-SUM(OFFSET(载具产出!M$399,0,0,$R158+1,1))</f>
        <v>0</v>
      </c>
      <c r="R158" s="40">
        <v>14</v>
      </c>
      <c r="S158" s="40" t="str">
        <f ca="1">OFFSET(载具产出!$D$111,IFERROR(MATCH(OFFSET($D158,0,MATCH($D$5,$E$6:$H$6,0)),载具产出!$E$112:$E$151,1),0),0)</f>
        <v>珍惜Ⅱ</v>
      </c>
      <c r="T158" s="40">
        <f ca="1">OFFSET(载具产出!$F$399,IFERROR(MATCH(OFFSET($D158,0,MATCH($D$5,$E$6:$H$6,0)),载具产出!$E$400:$E$439,1),0),MATCH(T$6,载具产出!$G$399:$O$399,0))</f>
        <v>980</v>
      </c>
      <c r="U158" s="40">
        <v>7</v>
      </c>
      <c r="V158" s="40">
        <f ca="1">OFFSET(载具产出!$F$399,IFERROR(MATCH(OFFSET($D158,0,MATCH($D$5,$E$6:$H$6,0)),载具产出!$E$400:$E$439,1),0),MATCH(V$6,载具产出!$G$399:$O$399,0))</f>
        <v>6200</v>
      </c>
      <c r="W158" s="43">
        <f ca="1">_xlfn.XLOOKUP(Z158,载具属性!$E$98:$E$497,载具属性!$G$98:$G$497)+6000+OFFSET(载具属性!L$33,AS158,0)*载具属性!M$30+OFFSET(载具属性!M$33,AT158,0)*载具属性!N$30+OFFSET(载具属性!N$33,AU158,0)*载具属性!O$30+OFFSET(载具属性!O$33,AV158,0)*载具属性!P$30</f>
        <v>19500</v>
      </c>
      <c r="X158" s="43">
        <f ca="1">_xlfn.XLOOKUP(Z158,载具属性!$E$98:$E$497,载具属性!$G$98:$G$497)</f>
        <v>8010</v>
      </c>
      <c r="Y158" s="43">
        <f ca="1">OFFSET(载具属性!L$33,AS158,0)*载具属性!M$30+OFFSET(载具属性!M$33,AT158,0)*载具属性!N$30+OFFSET(载具属性!N$33,AU158,0)*载具属性!O$30+OFFSET(载具属性!O$33,AV158,0)*载具属性!P$30</f>
        <v>5490</v>
      </c>
      <c r="Z158" s="40">
        <f ca="1">MATCH(SUM($T$7:T158),载具属性!$I$98:$I$497,1)</f>
        <v>127</v>
      </c>
      <c r="AA158" s="40">
        <f ca="1">OFFSET(载具产出!$F$399,IFERROR(MATCH(OFFSET($D158,0,MATCH($D$5,$E$6:$H$6,0)),载具产出!$E$112:$E$151,1),0),MATCH(AA$6,载具产出!$G$111:$O$111,0))*2</f>
        <v>18</v>
      </c>
      <c r="AB158" s="40">
        <f ca="1">OFFSET(载具产出!$F$399,IFERROR(MATCH(OFFSET($D158,0,MATCH($D$5,$E$6:$H$6,0)),载具产出!$E$112:$E$151,1),0),MATCH(AB$6,载具产出!$G$111:$O$111,0))*2</f>
        <v>20.16</v>
      </c>
      <c r="AC158" s="40">
        <f ca="1">OFFSET(载具产出!$F$399,IFERROR(MATCH(OFFSET($D158,0,MATCH($D$5,$E$6:$H$6,0)),载具产出!$E$112:$E$151,1),0),MATCH(AC$6,载具产出!$G$111:$O$111,0))*2</f>
        <v>7.84</v>
      </c>
      <c r="AD158" s="40">
        <f ca="1">OFFSET(载具产出!$F$399,IFERROR(MATCH(OFFSET($D158,0,MATCH($D$5,$E$6:$H$6,0)),载具产出!$E$112:$E$151,1),0),MATCH(AD$6,载具产出!$G$111:$O$111,0))*2</f>
        <v>0</v>
      </c>
      <c r="AE158" s="44">
        <f ca="1">SUM(AA$36:AA158)/3</f>
        <v>956.8</v>
      </c>
      <c r="AF158" s="44">
        <f ca="1">SUM(AB$36:AB158)/3</f>
        <v>1004.90666666666</v>
      </c>
      <c r="AG158" s="44">
        <f ca="1">SUM(AC$36:AC158)/3</f>
        <v>126.293333333333</v>
      </c>
      <c r="AH158" s="44">
        <f ca="1">SUM(AD$36:AD158)/3</f>
        <v>0</v>
      </c>
      <c r="AI158" s="44">
        <f>_xlfn.XLOOKUP($D$5,载具产出!$D$71:$D$75,载具产出!$E$71:$E$75)*(D158-30+1)</f>
        <v>1446.71428571429</v>
      </c>
      <c r="AJ158" s="44">
        <f>IFERROR(MATCH(_xlfn.XLOOKUP($D$5,载具产出!$D$71:$D$75,载具产出!$E$71:$E$75)*(D158-30+1)*10,载具产出!$E$60:$E$67,1),0)+1</f>
        <v>7</v>
      </c>
      <c r="AK158" s="44">
        <f ca="1">IF($AJ158=1,($AI158)*(10*OFFSET(载具产出!$D$45,MATCH(AK$6,$AK$6:$AN$6,0)-1,$AJ158)+OFFSET(载具产出!$D$49,MATCH(AK$6,$AK$6:$AN$6,0)-1,$AJ158)*OFFSET(载具产出!$N$49,MATCH(AK$6,$AK$6:$AN$6,0)-1,0)),OFFSET(载具产出!F$59,$AJ158-1,0)*10+OFFSET(载具产出!J$59,$AJ158-1,0)+($AI158*10-_xlfn.XLOOKUP($AJ158-1,载具产出!$D$59:$D$67,载具产出!$E$59:$E$67))/10*(10*OFFSET(载具产出!$D$45,MATCH(AK$6,$AK$6:$AN$6,0)-1,$AJ158)+OFFSET(载具产出!$D$49,MATCH(AK$6,$AK$6:$AN$6,0)-1,$AJ158)*OFFSET(载具产出!$N$49,MATCH(AK$6,$AK$6:$AN$6,0)-1,0)))</f>
        <v>3240.41057142858</v>
      </c>
      <c r="AL158" s="44">
        <f ca="1">IF($AJ158=1,($AI158)*(10*OFFSET(载具产出!$D$45,MATCH(AL$6,$AK$6:$AN$6,0)-1,$AJ158)+OFFSET(载具产出!$D$49,MATCH(AL$6,$AK$6:$AN$6,0)-1,$AJ158)*OFFSET(载具产出!$N$49,MATCH(AL$6,$AK$6:$AN$6,0)-1,0)),OFFSET(载具产出!G$59,$AJ158-1,0)*10+OFFSET(载具产出!K$59,$AJ158-1,0)+($AI158*10-_xlfn.XLOOKUP($AJ158-1,载具产出!$D$59:$D$67,载具产出!$E$59:$E$67))/10*(10*OFFSET(载具产出!$D$45,MATCH(AL$6,$AK$6:$AN$6,0)-1,$AJ158)+OFFSET(载具产出!$D$49,MATCH(AL$6,$AK$6:$AN$6,0)-1,$AJ158)*OFFSET(载具产出!$N$49,MATCH(AL$6,$AK$6:$AN$6,0)-1,0)))</f>
        <v>1261.21142857143</v>
      </c>
      <c r="AM158" s="44">
        <f ca="1">IF($AJ158=1,($AI158)*(10*OFFSET(载具产出!$D$45,MATCH(AM$6,$AK$6:$AN$6,0)-1,$AJ158)+OFFSET(载具产出!$D$49,MATCH(AM$6,$AK$6:$AN$6,0)-1,$AJ158)*OFFSET(载具产出!$N$49,MATCH(AM$6,$AK$6:$AN$6,0)-1,0)),OFFSET(载具产出!H$59,$AJ158-1,0)*10+OFFSET(载具产出!L$59,$AJ158-1,0)+($AI158*10-_xlfn.XLOOKUP($AJ158-1,载具产出!$D$59:$D$67,载具产出!$E$59:$E$67))/10*(10*OFFSET(载具产出!$D$45,MATCH(AM$6,$AK$6:$AN$6,0)-1,$AJ158)+OFFSET(载具产出!$D$49,MATCH(AM$6,$AK$6:$AN$6,0)-1,$AJ158)*OFFSET(载具产出!$N$49,MATCH(AM$6,$AK$6:$AN$6,0)-1,0)))</f>
        <v>674.105142857145</v>
      </c>
      <c r="AN158" s="44">
        <f ca="1">IF($AJ158=1,($AI158)*(10*OFFSET(载具产出!$D$45,MATCH(AN$6,$AK$6:$AN$6,0)-1,$AJ158)+OFFSET(载具产出!$D$49,MATCH(AN$6,$AK$6:$AN$6,0)-1,$AJ158)*OFFSET(载具产出!$N$49,MATCH(AN$6,$AK$6:$AN$6,0)-1,0)),OFFSET(载具产出!I$59,$AJ158-1,0)*10+OFFSET(载具产出!M$59,$AJ158-1,0)+($AI158*10-_xlfn.XLOOKUP($AJ158-1,载具产出!$D$59:$D$67,载具产出!$E$59:$E$67))/10*(10*OFFSET(载具产出!$D$45,MATCH(AN$6,$AK$6:$AN$6,0)-1,$AJ158)+OFFSET(载具产出!$D$49,MATCH(AN$6,$AK$6:$AN$6,0)-1,$AJ158)*OFFSET(载具产出!$N$49,MATCH(AN$6,$AK$6:$AN$6,0)-1,0)))</f>
        <v>203.094714285715</v>
      </c>
      <c r="AO158" s="44">
        <f ca="1" t="shared" si="22"/>
        <v>4197.21057142858</v>
      </c>
      <c r="AP158" s="44">
        <f ca="1" t="shared" si="23"/>
        <v>2266.1180952381</v>
      </c>
      <c r="AQ158" s="44">
        <f ca="1" t="shared" si="24"/>
        <v>800.398476190478</v>
      </c>
      <c r="AR158" s="44">
        <f ca="1" t="shared" si="25"/>
        <v>203.094714285715</v>
      </c>
      <c r="AS158" s="45">
        <f ca="1">IFERROR(MATCH(AO158/载具产出!R$58,载具属性!$G$33:$G$92,1),0)</f>
        <v>31</v>
      </c>
      <c r="AT158" s="45">
        <f ca="1">IFERROR(MATCH(AP158/载具产出!S$58,载具属性!$G$33:$G$92,1),0)</f>
        <v>21</v>
      </c>
      <c r="AU158" s="45">
        <f ca="1">IFERROR(MATCH(AQ158/载具产出!T$58,载具属性!$G$33:$G$92,1),0)</f>
        <v>12</v>
      </c>
      <c r="AV158" s="45">
        <f ca="1">IFERROR(MATCH(AR158/载具产出!U$58,载具属性!$G$33:$G$92,1),0)</f>
        <v>4</v>
      </c>
      <c r="AW158" s="46" t="str">
        <f ca="1" t="shared" si="26"/>
        <v>[{62,847},{63,97175},{2,271800},{6030001,2687},{6030002,2874},{6030003,357}]</v>
      </c>
      <c r="AX158" t="str">
        <f ca="1" t="shared" si="27"/>
        <v>{62,847}</v>
      </c>
      <c r="AY158" t="str">
        <f ca="1" t="shared" si="28"/>
        <v>{63,97175}</v>
      </c>
      <c r="AZ158" t="str">
        <f ca="1" t="shared" si="29"/>
        <v>{2,271800}</v>
      </c>
      <c r="BA158" t="str">
        <f ca="1" t="shared" si="30"/>
        <v>{6030001,2687}</v>
      </c>
      <c r="BB158" t="str">
        <f ca="1" t="shared" si="31"/>
        <v>{6030002,2874}</v>
      </c>
      <c r="BC158" t="str">
        <f ca="1" t="shared" si="32"/>
        <v>{6030003,357}</v>
      </c>
      <c r="BD158" t="str">
        <f ca="1" t="shared" si="33"/>
        <v/>
      </c>
    </row>
    <row r="159" spans="3:56">
      <c r="C159">
        <f ca="1" t="shared" si="21"/>
        <v>118.90243902439</v>
      </c>
      <c r="D159" s="40">
        <v>153</v>
      </c>
      <c r="E159" s="40">
        <f t="shared" si="36"/>
        <v>114</v>
      </c>
      <c r="F159" s="40">
        <v>134</v>
      </c>
      <c r="G159" s="41">
        <f t="shared" si="35"/>
        <v>164</v>
      </c>
      <c r="H159" s="40">
        <f>H158+1</f>
        <v>219</v>
      </c>
      <c r="I159" s="40">
        <f t="shared" si="20"/>
        <v>332</v>
      </c>
      <c r="J159" s="40">
        <f t="shared" si="37"/>
        <v>306</v>
      </c>
      <c r="K159" s="40">
        <f ca="1">SUM(U$36:U159)-SUM(OFFSET(载具产出!H$399,0,0,$R159+1,1))</f>
        <v>854</v>
      </c>
      <c r="L159" s="40">
        <f ca="1">SUM(T$36:T159)-SUM(OFFSET(载具产出!G$399,0,0,$R159+1,1))</f>
        <v>98155</v>
      </c>
      <c r="M159" s="40">
        <f ca="1">SUM(V$36:V159)/2-SUM(OFFSET(载具产出!I$399,0,0,$R159+1,1))</f>
        <v>274900</v>
      </c>
      <c r="N159" s="40">
        <f ca="1">SUM(AA$36:AA159)-SUM(OFFSET(载具产出!J$399,0,0,$R159+1,1))</f>
        <v>2705.6</v>
      </c>
      <c r="O159" s="40">
        <f ca="1">SUM(AB$36:AB159)-SUM(OFFSET(载具产出!K$399,0,0,$R159+1,1))</f>
        <v>2894.87999999999</v>
      </c>
      <c r="P159" s="40">
        <f ca="1">SUM(AC$36:AC159)-SUM(OFFSET(载具产出!L$399,0,0,$R159+1,1))</f>
        <v>365.52</v>
      </c>
      <c r="Q159" s="40">
        <f ca="1">SUM(AD$36:AD159)-SUM(OFFSET(载具产出!M$399,0,0,$R159+1,1))</f>
        <v>0</v>
      </c>
      <c r="R159" s="40">
        <v>14</v>
      </c>
      <c r="S159" s="40" t="str">
        <f ca="1">OFFSET(载具产出!$D$111,IFERROR(MATCH(OFFSET($D159,0,MATCH($D$5,$E$6:$H$6,0)),载具产出!$E$112:$E$151,1),0),0)</f>
        <v>珍惜Ⅱ</v>
      </c>
      <c r="T159" s="40">
        <f ca="1">OFFSET(载具产出!$F$399,IFERROR(MATCH(OFFSET($D159,0,MATCH($D$5,$E$6:$H$6,0)),载具产出!$E$400:$E$439,1),0),MATCH(T$6,载具产出!$G$399:$O$399,0))</f>
        <v>980</v>
      </c>
      <c r="U159" s="40">
        <v>7</v>
      </c>
      <c r="V159" s="40">
        <f ca="1">OFFSET(载具产出!$F$399,IFERROR(MATCH(OFFSET($D159,0,MATCH($D$5,$E$6:$H$6,0)),载具产出!$E$400:$E$439,1),0),MATCH(V$6,载具产出!$G$399:$O$399,0))</f>
        <v>6200</v>
      </c>
      <c r="W159" s="43">
        <f ca="1">_xlfn.XLOOKUP(Z159,载具属性!$E$98:$E$497,载具属性!$G$98:$G$497)+6000+OFFSET(载具属性!L$33,AS159,0)*载具属性!M$30+OFFSET(载具属性!M$33,AT159,0)*载具属性!N$30+OFFSET(载具属性!N$33,AU159,0)*载具属性!O$30+OFFSET(载具属性!O$33,AV159,0)*载具属性!P$30</f>
        <v>19500</v>
      </c>
      <c r="X159" s="43">
        <f ca="1">_xlfn.XLOOKUP(Z159,载具属性!$E$98:$E$497,载具属性!$G$98:$G$497)</f>
        <v>8010</v>
      </c>
      <c r="Y159" s="43">
        <f ca="1">OFFSET(载具属性!L$33,AS159,0)*载具属性!M$30+OFFSET(载具属性!M$33,AT159,0)*载具属性!N$30+OFFSET(载具属性!N$33,AU159,0)*载具属性!O$30+OFFSET(载具属性!O$33,AV159,0)*载具属性!P$30</f>
        <v>5490</v>
      </c>
      <c r="Z159" s="40">
        <f ca="1">MATCH(SUM($T$7:T159),载具属性!$I$98:$I$497,1)</f>
        <v>127</v>
      </c>
      <c r="AA159" s="40">
        <f ca="1">OFFSET(载具产出!$F$399,IFERROR(MATCH(OFFSET($D159,0,MATCH($D$5,$E$6:$H$6,0)),载具产出!$E$112:$E$151,1),0),MATCH(AA$6,载具产出!$G$111:$O$111,0))*2</f>
        <v>18</v>
      </c>
      <c r="AB159" s="40">
        <f ca="1">OFFSET(载具产出!$F$399,IFERROR(MATCH(OFFSET($D159,0,MATCH($D$5,$E$6:$H$6,0)),载具产出!$E$112:$E$151,1),0),MATCH(AB$6,载具产出!$G$111:$O$111,0))*2</f>
        <v>20.16</v>
      </c>
      <c r="AC159" s="40">
        <f ca="1">OFFSET(载具产出!$F$399,IFERROR(MATCH(OFFSET($D159,0,MATCH($D$5,$E$6:$H$6,0)),载具产出!$E$112:$E$151,1),0),MATCH(AC$6,载具产出!$G$111:$O$111,0))*2</f>
        <v>7.84</v>
      </c>
      <c r="AD159" s="40">
        <f ca="1">OFFSET(载具产出!$F$399,IFERROR(MATCH(OFFSET($D159,0,MATCH($D$5,$E$6:$H$6,0)),载具产出!$E$112:$E$151,1),0),MATCH(AD$6,载具产出!$G$111:$O$111,0))*2</f>
        <v>0</v>
      </c>
      <c r="AE159" s="44">
        <f ca="1">SUM(AA$36:AA159)/3</f>
        <v>962.8</v>
      </c>
      <c r="AF159" s="44">
        <f ca="1">SUM(AB$36:AB159)/3</f>
        <v>1011.62666666666</v>
      </c>
      <c r="AG159" s="44">
        <f ca="1">SUM(AC$36:AC159)/3</f>
        <v>128.906666666667</v>
      </c>
      <c r="AH159" s="44">
        <f ca="1">SUM(AD$36:AD159)/3</f>
        <v>0</v>
      </c>
      <c r="AI159" s="44">
        <f>_xlfn.XLOOKUP($D$5,载具产出!$D$71:$D$75,载具产出!$E$71:$E$75)*(D159-30+1)</f>
        <v>1458.4761904762</v>
      </c>
      <c r="AJ159" s="44">
        <f>IFERROR(MATCH(_xlfn.XLOOKUP($D$5,载具产出!$D$71:$D$75,载具产出!$E$71:$E$75)*(D159-30+1)*10,载具产出!$E$60:$E$67,1),0)+1</f>
        <v>7</v>
      </c>
      <c r="AK159" s="44">
        <f ca="1">IF($AJ159=1,($AI159)*(10*OFFSET(载具产出!$D$45,MATCH(AK$6,$AK$6:$AN$6,0)-1,$AJ159)+OFFSET(载具产出!$D$49,MATCH(AK$6,$AK$6:$AN$6,0)-1,$AJ159)*OFFSET(载具产出!$N$49,MATCH(AK$6,$AK$6:$AN$6,0)-1,0)),OFFSET(载具产出!F$59,$AJ159-1,0)*10+OFFSET(载具产出!J$59,$AJ159-1,0)+($AI159*10-_xlfn.XLOOKUP($AJ159-1,载具产出!$D$59:$D$67,载具产出!$E$59:$E$67))/10*(10*OFFSET(载具产出!$D$45,MATCH(AK$6,$AK$6:$AN$6,0)-1,$AJ159)+OFFSET(载具产出!$D$49,MATCH(AK$6,$AK$6:$AN$6,0)-1,$AJ159)*OFFSET(载具产出!$N$49,MATCH(AK$6,$AK$6:$AN$6,0)-1,0)))</f>
        <v>3265.25171428573</v>
      </c>
      <c r="AL159" s="44">
        <f ca="1">IF($AJ159=1,($AI159)*(10*OFFSET(载具产出!$D$45,MATCH(AL$6,$AK$6:$AN$6,0)-1,$AJ159)+OFFSET(载具产出!$D$49,MATCH(AL$6,$AK$6:$AN$6,0)-1,$AJ159)*OFFSET(载具产出!$N$49,MATCH(AL$6,$AK$6:$AN$6,0)-1,0)),OFFSET(载具产出!G$59,$AJ159-1,0)*10+OFFSET(载具产出!K$59,$AJ159-1,0)+($AI159*10-_xlfn.XLOOKUP($AJ159-1,载具产出!$D$59:$D$67,载具产出!$E$59:$E$67))/10*(10*OFFSET(载具产出!$D$45,MATCH(AL$6,$AK$6:$AN$6,0)-1,$AJ159)+OFFSET(载具产出!$D$49,MATCH(AL$6,$AK$6:$AN$6,0)-1,$AJ159)*OFFSET(载具产出!$N$49,MATCH(AL$6,$AK$6:$AN$6,0)-1,0)))</f>
        <v>1272.26761904763</v>
      </c>
      <c r="AM159" s="44">
        <f ca="1">IF($AJ159=1,($AI159)*(10*OFFSET(载具产出!$D$45,MATCH(AM$6,$AK$6:$AN$6,0)-1,$AJ159)+OFFSET(载具产出!$D$49,MATCH(AM$6,$AK$6:$AN$6,0)-1,$AJ159)*OFFSET(载具产出!$N$49,MATCH(AM$6,$AK$6:$AN$6,0)-1,0)),OFFSET(载具产出!H$59,$AJ159-1,0)*10+OFFSET(载具产出!L$59,$AJ159-1,0)+($AI159*10-_xlfn.XLOOKUP($AJ159-1,载具产出!$D$59:$D$67,载具产出!$E$59:$E$67))/10*(10*OFFSET(载具产出!$D$45,MATCH(AM$6,$AK$6:$AN$6,0)-1,$AJ159)+OFFSET(载具产出!$D$49,MATCH(AM$6,$AK$6:$AN$6,0)-1,$AJ159)*OFFSET(载具产出!$N$49,MATCH(AM$6,$AK$6:$AN$6,0)-1,0)))</f>
        <v>680.315428571433</v>
      </c>
      <c r="AN159" s="44">
        <f ca="1">IF($AJ159=1,($AI159)*(10*OFFSET(载具产出!$D$45,MATCH(AN$6,$AK$6:$AN$6,0)-1,$AJ159)+OFFSET(载具产出!$D$49,MATCH(AN$6,$AK$6:$AN$6,0)-1,$AJ159)*OFFSET(载具产出!$N$49,MATCH(AN$6,$AK$6:$AN$6,0)-1,0)),OFFSET(载具产出!I$59,$AJ159-1,0)*10+OFFSET(载具产出!M$59,$AJ159-1,0)+($AI159*10-_xlfn.XLOOKUP($AJ159-1,载具产出!$D$59:$D$67,载具产出!$E$59:$E$67))/10*(10*OFFSET(载具产出!$D$45,MATCH(AN$6,$AK$6:$AN$6,0)-1,$AJ159)+OFFSET(载具产出!$D$49,MATCH(AN$6,$AK$6:$AN$6,0)-1,$AJ159)*OFFSET(载具产出!$N$49,MATCH(AN$6,$AK$6:$AN$6,0)-1,0)))</f>
        <v>205.082476190478</v>
      </c>
      <c r="AO159" s="44">
        <f ca="1" t="shared" si="22"/>
        <v>4228.05171428573</v>
      </c>
      <c r="AP159" s="44">
        <f ca="1" t="shared" si="23"/>
        <v>2283.89428571429</v>
      </c>
      <c r="AQ159" s="44">
        <f ca="1" t="shared" si="24"/>
        <v>809.2220952381</v>
      </c>
      <c r="AR159" s="44">
        <f ca="1" t="shared" si="25"/>
        <v>205.082476190478</v>
      </c>
      <c r="AS159" s="45">
        <f ca="1">IFERROR(MATCH(AO159/载具产出!R$58,载具属性!$G$33:$G$92,1),0)</f>
        <v>31</v>
      </c>
      <c r="AT159" s="45">
        <f ca="1">IFERROR(MATCH(AP159/载具产出!S$58,载具属性!$G$33:$G$92,1),0)</f>
        <v>21</v>
      </c>
      <c r="AU159" s="45">
        <f ca="1">IFERROR(MATCH(AQ159/载具产出!T$58,载具属性!$G$33:$G$92,1),0)</f>
        <v>12</v>
      </c>
      <c r="AV159" s="45">
        <f ca="1">IFERROR(MATCH(AR159/载具产出!U$58,载具属性!$G$33:$G$92,1),0)</f>
        <v>4</v>
      </c>
      <c r="AW159" s="46" t="str">
        <f ca="1" t="shared" si="26"/>
        <v>[{62,854},{63,98155},{2,274900},{6030001,2705},{6030002,2894},{6030003,365}]</v>
      </c>
      <c r="AX159" t="str">
        <f ca="1" t="shared" si="27"/>
        <v>{62,854}</v>
      </c>
      <c r="AY159" t="str">
        <f ca="1" t="shared" si="28"/>
        <v>{63,98155}</v>
      </c>
      <c r="AZ159" t="str">
        <f ca="1" t="shared" si="29"/>
        <v>{2,274900}</v>
      </c>
      <c r="BA159" t="str">
        <f ca="1" t="shared" si="30"/>
        <v>{6030001,2705}</v>
      </c>
      <c r="BB159" t="str">
        <f ca="1" t="shared" si="31"/>
        <v>{6030002,2894}</v>
      </c>
      <c r="BC159" t="str">
        <f ca="1" t="shared" si="32"/>
        <v>{6030003,365}</v>
      </c>
      <c r="BD159" t="str">
        <f ca="1" t="shared" si="33"/>
        <v/>
      </c>
    </row>
    <row r="160" spans="3:56">
      <c r="C160">
        <f ca="1" t="shared" si="21"/>
        <v>118.666666666667</v>
      </c>
      <c r="D160" s="40">
        <v>154</v>
      </c>
      <c r="E160" s="40">
        <f t="shared" si="36"/>
        <v>114</v>
      </c>
      <c r="F160" s="40">
        <v>134</v>
      </c>
      <c r="G160" s="41">
        <f t="shared" si="35"/>
        <v>165</v>
      </c>
      <c r="H160" s="40">
        <f>H159</f>
        <v>219</v>
      </c>
      <c r="I160" s="40">
        <f t="shared" si="20"/>
        <v>334</v>
      </c>
      <c r="J160" s="40">
        <f t="shared" si="37"/>
        <v>309</v>
      </c>
      <c r="K160" s="40">
        <f ca="1">SUM(U$36:U160)-SUM(OFFSET(载具产出!H$399,0,0,$R160+1,1))</f>
        <v>861</v>
      </c>
      <c r="L160" s="40">
        <f ca="1">SUM(T$36:T160)-SUM(OFFSET(载具产出!G$399,0,0,$R160+1,1))</f>
        <v>99155</v>
      </c>
      <c r="M160" s="40">
        <f ca="1">SUM(V$36:V160)/2-SUM(OFFSET(载具产出!I$399,0,0,$R160+1,1))</f>
        <v>278100</v>
      </c>
      <c r="N160" s="40">
        <f ca="1">SUM(AA$36:AA160)-SUM(OFFSET(载具产出!J$399,0,0,$R160+1,1))</f>
        <v>2723.6</v>
      </c>
      <c r="O160" s="40">
        <f ca="1">SUM(AB$36:AB160)-SUM(OFFSET(载具产出!K$399,0,0,$R160+1,1))</f>
        <v>2914.55999999999</v>
      </c>
      <c r="P160" s="40">
        <f ca="1">SUM(AC$36:AC160)-SUM(OFFSET(载具产出!L$399,0,0,$R160+1,1))</f>
        <v>375.84</v>
      </c>
      <c r="Q160" s="40">
        <f ca="1">SUM(AD$36:AD160)-SUM(OFFSET(载具产出!M$399,0,0,$R160+1,1))</f>
        <v>0</v>
      </c>
      <c r="R160" s="40">
        <v>14</v>
      </c>
      <c r="S160" s="40" t="str">
        <f ca="1">OFFSET(载具产出!$D$111,IFERROR(MATCH(OFFSET($D160,0,MATCH($D$5,$E$6:$H$6,0)),载具产出!$E$112:$E$151,1),0),0)</f>
        <v>珍惜Ⅲ</v>
      </c>
      <c r="T160" s="40">
        <f ca="1">OFFSET(载具产出!$F$399,IFERROR(MATCH(OFFSET($D160,0,MATCH($D$5,$E$6:$H$6,0)),载具产出!$E$400:$E$439,1),0),MATCH(T$6,载具产出!$G$399:$O$399,0))</f>
        <v>1000</v>
      </c>
      <c r="U160" s="40">
        <v>7</v>
      </c>
      <c r="V160" s="40">
        <f ca="1">OFFSET(载具产出!$F$399,IFERROR(MATCH(OFFSET($D160,0,MATCH($D$5,$E$6:$H$6,0)),载具产出!$E$400:$E$439,1),0),MATCH(V$6,载具产出!$G$399:$O$399,0))</f>
        <v>6400</v>
      </c>
      <c r="W160" s="43">
        <f ca="1">_xlfn.XLOOKUP(Z160,载具属性!$E$98:$E$497,载具属性!$G$98:$G$497)+6000+OFFSET(载具属性!L$33,AS160,0)*载具属性!M$30+OFFSET(载具属性!M$33,AT160,0)*载具属性!N$30+OFFSET(载具属性!N$33,AU160,0)*载具属性!O$30+OFFSET(载具属性!O$33,AV160,0)*载具属性!P$30</f>
        <v>19580</v>
      </c>
      <c r="X160" s="43">
        <f ca="1">_xlfn.XLOOKUP(Z160,载具属性!$E$98:$E$497,载具属性!$G$98:$G$497)</f>
        <v>8090</v>
      </c>
      <c r="Y160" s="43">
        <f ca="1">OFFSET(载具属性!L$33,AS160,0)*载具属性!M$30+OFFSET(载具属性!M$33,AT160,0)*载具属性!N$30+OFFSET(载具属性!N$33,AU160,0)*载具属性!O$30+OFFSET(载具属性!O$33,AV160,0)*载具属性!P$30</f>
        <v>5490</v>
      </c>
      <c r="Z160" s="40">
        <f ca="1">MATCH(SUM($T$7:T160),载具属性!$I$98:$I$497,1)</f>
        <v>128</v>
      </c>
      <c r="AA160" s="40">
        <f ca="1">OFFSET(载具产出!$F$399,IFERROR(MATCH(OFFSET($D160,0,MATCH($D$5,$E$6:$H$6,0)),载具产出!$E$112:$E$151,1),0),MATCH(AA$6,载具产出!$G$111:$O$111,0))*2</f>
        <v>18</v>
      </c>
      <c r="AB160" s="40">
        <f ca="1">OFFSET(载具产出!$F$399,IFERROR(MATCH(OFFSET($D160,0,MATCH($D$5,$E$6:$H$6,0)),载具产出!$E$112:$E$151,1),0),MATCH(AB$6,载具产出!$G$111:$O$111,0))*2</f>
        <v>19.68</v>
      </c>
      <c r="AC160" s="40">
        <f ca="1">OFFSET(载具产出!$F$399,IFERROR(MATCH(OFFSET($D160,0,MATCH($D$5,$E$6:$H$6,0)),载具产出!$E$112:$E$151,1),0),MATCH(AC$6,载具产出!$G$111:$O$111,0))*2</f>
        <v>10.32</v>
      </c>
      <c r="AD160" s="40">
        <f ca="1">OFFSET(载具产出!$F$399,IFERROR(MATCH(OFFSET($D160,0,MATCH($D$5,$E$6:$H$6,0)),载具产出!$E$112:$E$151,1),0),MATCH(AD$6,载具产出!$G$111:$O$111,0))*2</f>
        <v>0</v>
      </c>
      <c r="AE160" s="44">
        <f ca="1">SUM(AA$36:AA160)/3</f>
        <v>968.8</v>
      </c>
      <c r="AF160" s="44">
        <f ca="1">SUM(AB$36:AB160)/3</f>
        <v>1018.18666666666</v>
      </c>
      <c r="AG160" s="44">
        <f ca="1">SUM(AC$36:AC160)/3</f>
        <v>132.346666666667</v>
      </c>
      <c r="AH160" s="44">
        <f ca="1">SUM(AD$36:AD160)/3</f>
        <v>0</v>
      </c>
      <c r="AI160" s="44">
        <f>_xlfn.XLOOKUP($D$5,载具产出!$D$71:$D$75,载具产出!$E$71:$E$75)*(D160-30+1)</f>
        <v>1470.2380952381</v>
      </c>
      <c r="AJ160" s="44">
        <f>IFERROR(MATCH(_xlfn.XLOOKUP($D$5,载具产出!$D$71:$D$75,载具产出!$E$71:$E$75)*(D160-30+1)*10,载具产出!$E$60:$E$67,1),0)+1</f>
        <v>7</v>
      </c>
      <c r="AK160" s="44">
        <f ca="1">IF($AJ160=1,($AI160)*(10*OFFSET(载具产出!$D$45,MATCH(AK$6,$AK$6:$AN$6,0)-1,$AJ160)+OFFSET(载具产出!$D$49,MATCH(AK$6,$AK$6:$AN$6,0)-1,$AJ160)*OFFSET(载具产出!$N$49,MATCH(AK$6,$AK$6:$AN$6,0)-1,0)),OFFSET(载具产出!F$59,$AJ160-1,0)*10+OFFSET(载具产出!J$59,$AJ160-1,0)+($AI160*10-_xlfn.XLOOKUP($AJ160-1,载具产出!$D$59:$D$67,载具产出!$E$59:$E$67))/10*(10*OFFSET(载具产出!$D$45,MATCH(AK$6,$AK$6:$AN$6,0)-1,$AJ160)+OFFSET(载具产出!$D$49,MATCH(AK$6,$AK$6:$AN$6,0)-1,$AJ160)*OFFSET(载具产出!$N$49,MATCH(AK$6,$AK$6:$AN$6,0)-1,0)))</f>
        <v>3290.09285714287</v>
      </c>
      <c r="AL160" s="44">
        <f ca="1">IF($AJ160=1,($AI160)*(10*OFFSET(载具产出!$D$45,MATCH(AL$6,$AK$6:$AN$6,0)-1,$AJ160)+OFFSET(载具产出!$D$49,MATCH(AL$6,$AK$6:$AN$6,0)-1,$AJ160)*OFFSET(载具产出!$N$49,MATCH(AL$6,$AK$6:$AN$6,0)-1,0)),OFFSET(载具产出!G$59,$AJ160-1,0)*10+OFFSET(载具产出!K$59,$AJ160-1,0)+($AI160*10-_xlfn.XLOOKUP($AJ160-1,载具产出!$D$59:$D$67,载具产出!$E$59:$E$67))/10*(10*OFFSET(载具产出!$D$45,MATCH(AL$6,$AK$6:$AN$6,0)-1,$AJ160)+OFFSET(载具产出!$D$49,MATCH(AL$6,$AK$6:$AN$6,0)-1,$AJ160)*OFFSET(载具产出!$N$49,MATCH(AL$6,$AK$6:$AN$6,0)-1,0)))</f>
        <v>1283.32380952381</v>
      </c>
      <c r="AM160" s="44">
        <f ca="1">IF($AJ160=1,($AI160)*(10*OFFSET(载具产出!$D$45,MATCH(AM$6,$AK$6:$AN$6,0)-1,$AJ160)+OFFSET(载具产出!$D$49,MATCH(AM$6,$AK$6:$AN$6,0)-1,$AJ160)*OFFSET(载具产出!$N$49,MATCH(AM$6,$AK$6:$AN$6,0)-1,0)),OFFSET(载具产出!H$59,$AJ160-1,0)*10+OFFSET(载具产出!L$59,$AJ160-1,0)+($AI160*10-_xlfn.XLOOKUP($AJ160-1,载具产出!$D$59:$D$67,载具产出!$E$59:$E$67))/10*(10*OFFSET(载具产出!$D$45,MATCH(AM$6,$AK$6:$AN$6,0)-1,$AJ160)+OFFSET(载具产出!$D$49,MATCH(AM$6,$AK$6:$AN$6,0)-1,$AJ160)*OFFSET(载具产出!$N$49,MATCH(AM$6,$AK$6:$AN$6,0)-1,0)))</f>
        <v>686.525714285717</v>
      </c>
      <c r="AN160" s="44">
        <f ca="1">IF($AJ160=1,($AI160)*(10*OFFSET(载具产出!$D$45,MATCH(AN$6,$AK$6:$AN$6,0)-1,$AJ160)+OFFSET(载具产出!$D$49,MATCH(AN$6,$AK$6:$AN$6,0)-1,$AJ160)*OFFSET(载具产出!$N$49,MATCH(AN$6,$AK$6:$AN$6,0)-1,0)),OFFSET(载具产出!I$59,$AJ160-1,0)*10+OFFSET(载具产出!M$59,$AJ160-1,0)+($AI160*10-_xlfn.XLOOKUP($AJ160-1,载具产出!$D$59:$D$67,载具产出!$E$59:$E$67))/10*(10*OFFSET(载具产出!$D$45,MATCH(AN$6,$AK$6:$AN$6,0)-1,$AJ160)+OFFSET(载具产出!$D$49,MATCH(AN$6,$AK$6:$AN$6,0)-1,$AJ160)*OFFSET(载具产出!$N$49,MATCH(AN$6,$AK$6:$AN$6,0)-1,0)))</f>
        <v>207.070238095239</v>
      </c>
      <c r="AO160" s="44">
        <f ca="1" t="shared" si="22"/>
        <v>4258.89285714287</v>
      </c>
      <c r="AP160" s="44">
        <f ca="1" t="shared" si="23"/>
        <v>2301.51047619048</v>
      </c>
      <c r="AQ160" s="44">
        <f ca="1" t="shared" si="24"/>
        <v>818.872380952383</v>
      </c>
      <c r="AR160" s="44">
        <f ca="1" t="shared" si="25"/>
        <v>207.070238095239</v>
      </c>
      <c r="AS160" s="45">
        <f ca="1">IFERROR(MATCH(AO160/载具产出!R$58,载具属性!$G$33:$G$92,1),0)</f>
        <v>31</v>
      </c>
      <c r="AT160" s="45">
        <f ca="1">IFERROR(MATCH(AP160/载具产出!S$58,载具属性!$G$33:$G$92,1),0)</f>
        <v>21</v>
      </c>
      <c r="AU160" s="45">
        <f ca="1">IFERROR(MATCH(AQ160/载具产出!T$58,载具属性!$G$33:$G$92,1),0)</f>
        <v>12</v>
      </c>
      <c r="AV160" s="45">
        <f ca="1">IFERROR(MATCH(AR160/载具产出!U$58,载具属性!$G$33:$G$92,1),0)</f>
        <v>4</v>
      </c>
      <c r="AW160" s="46" t="str">
        <f ca="1" t="shared" si="26"/>
        <v>[{62,861},{63,99155},{2,278100},{6030001,2723},{6030002,2914},{6030003,375}]</v>
      </c>
      <c r="AX160" t="str">
        <f ca="1" t="shared" si="27"/>
        <v>{62,861}</v>
      </c>
      <c r="AY160" t="str">
        <f ca="1" t="shared" si="28"/>
        <v>{63,99155}</v>
      </c>
      <c r="AZ160" t="str">
        <f ca="1" t="shared" si="29"/>
        <v>{2,278100}</v>
      </c>
      <c r="BA160" t="str">
        <f ca="1" t="shared" si="30"/>
        <v>{6030001,2723}</v>
      </c>
      <c r="BB160" t="str">
        <f ca="1" t="shared" si="31"/>
        <v>{6030002,2914}</v>
      </c>
      <c r="BC160" t="str">
        <f ca="1" t="shared" si="32"/>
        <v>{6030003,375}</v>
      </c>
      <c r="BD160" t="str">
        <f ca="1" t="shared" si="33"/>
        <v/>
      </c>
    </row>
    <row r="161" spans="3:56">
      <c r="C161">
        <f ca="1" t="shared" si="21"/>
        <v>118.666666666667</v>
      </c>
      <c r="D161" s="40">
        <v>155</v>
      </c>
      <c r="E161" s="40">
        <f t="shared" si="36"/>
        <v>114</v>
      </c>
      <c r="F161" s="40">
        <v>134</v>
      </c>
      <c r="G161" s="41">
        <f t="shared" si="35"/>
        <v>165</v>
      </c>
      <c r="H161" s="40">
        <f>H160+1</f>
        <v>220</v>
      </c>
      <c r="I161" s="40">
        <f t="shared" si="20"/>
        <v>336</v>
      </c>
      <c r="J161" s="40">
        <f t="shared" si="37"/>
        <v>311</v>
      </c>
      <c r="K161" s="40">
        <f ca="1">SUM(U$36:U161)-SUM(OFFSET(载具产出!H$399,0,0,$R161+1,1))</f>
        <v>868</v>
      </c>
      <c r="L161" s="40">
        <f ca="1">SUM(T$36:T161)-SUM(OFFSET(载具产出!G$399,0,0,$R161+1,1))</f>
        <v>100155</v>
      </c>
      <c r="M161" s="40">
        <f ca="1">SUM(V$36:V161)/2-SUM(OFFSET(载具产出!I$399,0,0,$R161+1,1))</f>
        <v>281300</v>
      </c>
      <c r="N161" s="40">
        <f ca="1">SUM(AA$36:AA161)-SUM(OFFSET(载具产出!J$399,0,0,$R161+1,1))</f>
        <v>2741.6</v>
      </c>
      <c r="O161" s="40">
        <f ca="1">SUM(AB$36:AB161)-SUM(OFFSET(载具产出!K$399,0,0,$R161+1,1))</f>
        <v>2934.23999999999</v>
      </c>
      <c r="P161" s="40">
        <f ca="1">SUM(AC$36:AC161)-SUM(OFFSET(载具产出!L$399,0,0,$R161+1,1))</f>
        <v>386.16</v>
      </c>
      <c r="Q161" s="40">
        <f ca="1">SUM(AD$36:AD161)-SUM(OFFSET(载具产出!M$399,0,0,$R161+1,1))</f>
        <v>0</v>
      </c>
      <c r="R161" s="40">
        <v>14</v>
      </c>
      <c r="S161" s="40" t="str">
        <f ca="1">OFFSET(载具产出!$D$111,IFERROR(MATCH(OFFSET($D161,0,MATCH($D$5,$E$6:$H$6,0)),载具产出!$E$112:$E$151,1),0),0)</f>
        <v>珍惜Ⅲ</v>
      </c>
      <c r="T161" s="40">
        <f ca="1">OFFSET(载具产出!$F$399,IFERROR(MATCH(OFFSET($D161,0,MATCH($D$5,$E$6:$H$6,0)),载具产出!$E$400:$E$439,1),0),MATCH(T$6,载具产出!$G$399:$O$399,0))</f>
        <v>1000</v>
      </c>
      <c r="U161" s="40">
        <v>7</v>
      </c>
      <c r="V161" s="40">
        <f ca="1">OFFSET(载具产出!$F$399,IFERROR(MATCH(OFFSET($D161,0,MATCH($D$5,$E$6:$H$6,0)),载具产出!$E$400:$E$439,1),0),MATCH(V$6,载具产出!$G$399:$O$399,0))</f>
        <v>6400</v>
      </c>
      <c r="W161" s="43">
        <f ca="1">_xlfn.XLOOKUP(Z161,载具属性!$E$98:$E$497,载具属性!$G$98:$G$497)+6000+OFFSET(载具属性!L$33,AS161,0)*载具属性!M$30+OFFSET(载具属性!M$33,AT161,0)*载具属性!N$30+OFFSET(载具属性!N$33,AU161,0)*载具属性!O$30+OFFSET(载具属性!O$33,AV161,0)*载具属性!P$30</f>
        <v>19580</v>
      </c>
      <c r="X161" s="43">
        <f ca="1">_xlfn.XLOOKUP(Z161,载具属性!$E$98:$E$497,载具属性!$G$98:$G$497)</f>
        <v>8090</v>
      </c>
      <c r="Y161" s="43">
        <f ca="1">OFFSET(载具属性!L$33,AS161,0)*载具属性!M$30+OFFSET(载具属性!M$33,AT161,0)*载具属性!N$30+OFFSET(载具属性!N$33,AU161,0)*载具属性!O$30+OFFSET(载具属性!O$33,AV161,0)*载具属性!P$30</f>
        <v>5490</v>
      </c>
      <c r="Z161" s="40">
        <f ca="1">MATCH(SUM($T$7:T161),载具属性!$I$98:$I$497,1)</f>
        <v>128</v>
      </c>
      <c r="AA161" s="40">
        <f ca="1">OFFSET(载具产出!$F$399,IFERROR(MATCH(OFFSET($D161,0,MATCH($D$5,$E$6:$H$6,0)),载具产出!$E$112:$E$151,1),0),MATCH(AA$6,载具产出!$G$111:$O$111,0))*2</f>
        <v>18</v>
      </c>
      <c r="AB161" s="40">
        <f ca="1">OFFSET(载具产出!$F$399,IFERROR(MATCH(OFFSET($D161,0,MATCH($D$5,$E$6:$H$6,0)),载具产出!$E$112:$E$151,1),0),MATCH(AB$6,载具产出!$G$111:$O$111,0))*2</f>
        <v>19.68</v>
      </c>
      <c r="AC161" s="40">
        <f ca="1">OFFSET(载具产出!$F$399,IFERROR(MATCH(OFFSET($D161,0,MATCH($D$5,$E$6:$H$6,0)),载具产出!$E$112:$E$151,1),0),MATCH(AC$6,载具产出!$G$111:$O$111,0))*2</f>
        <v>10.32</v>
      </c>
      <c r="AD161" s="40">
        <f ca="1">OFFSET(载具产出!$F$399,IFERROR(MATCH(OFFSET($D161,0,MATCH($D$5,$E$6:$H$6,0)),载具产出!$E$112:$E$151,1),0),MATCH(AD$6,载具产出!$G$111:$O$111,0))*2</f>
        <v>0</v>
      </c>
      <c r="AE161" s="44">
        <f ca="1">SUM(AA$36:AA161)/3</f>
        <v>974.8</v>
      </c>
      <c r="AF161" s="44">
        <f ca="1">SUM(AB$36:AB161)/3</f>
        <v>1024.74666666666</v>
      </c>
      <c r="AG161" s="44">
        <f ca="1">SUM(AC$36:AC161)/3</f>
        <v>135.786666666667</v>
      </c>
      <c r="AH161" s="44">
        <f ca="1">SUM(AD$36:AD161)/3</f>
        <v>0</v>
      </c>
      <c r="AI161" s="44">
        <f>_xlfn.XLOOKUP($D$5,载具产出!$D$71:$D$75,载具产出!$E$71:$E$75)*(D161-30+1)</f>
        <v>1482</v>
      </c>
      <c r="AJ161" s="44">
        <f>IFERROR(MATCH(_xlfn.XLOOKUP($D$5,载具产出!$D$71:$D$75,载具产出!$E$71:$E$75)*(D161-30+1)*10,载具产出!$E$60:$E$67,1),0)+1</f>
        <v>7</v>
      </c>
      <c r="AK161" s="44">
        <f ca="1">IF($AJ161=1,($AI161)*(10*OFFSET(载具产出!$D$45,MATCH(AK$6,$AK$6:$AN$6,0)-1,$AJ161)+OFFSET(载具产出!$D$49,MATCH(AK$6,$AK$6:$AN$6,0)-1,$AJ161)*OFFSET(载具产出!$N$49,MATCH(AK$6,$AK$6:$AN$6,0)-1,0)),OFFSET(载具产出!F$59,$AJ161-1,0)*10+OFFSET(载具产出!J$59,$AJ161-1,0)+($AI161*10-_xlfn.XLOOKUP($AJ161-1,载具产出!$D$59:$D$67,载具产出!$E$59:$E$67))/10*(10*OFFSET(载具产出!$D$45,MATCH(AK$6,$AK$6:$AN$6,0)-1,$AJ161)+OFFSET(载具产出!$D$49,MATCH(AK$6,$AK$6:$AN$6,0)-1,$AJ161)*OFFSET(载具产出!$N$49,MATCH(AK$6,$AK$6:$AN$6,0)-1,0)))</f>
        <v>3314.934</v>
      </c>
      <c r="AL161" s="44">
        <f ca="1">IF($AJ161=1,($AI161)*(10*OFFSET(载具产出!$D$45,MATCH(AL$6,$AK$6:$AN$6,0)-1,$AJ161)+OFFSET(载具产出!$D$49,MATCH(AL$6,$AK$6:$AN$6,0)-1,$AJ161)*OFFSET(载具产出!$N$49,MATCH(AL$6,$AK$6:$AN$6,0)-1,0)),OFFSET(载具产出!G$59,$AJ161-1,0)*10+OFFSET(载具产出!K$59,$AJ161-1,0)+($AI161*10-_xlfn.XLOOKUP($AJ161-1,载具产出!$D$59:$D$67,载具产出!$E$59:$E$67))/10*(10*OFFSET(载具产出!$D$45,MATCH(AL$6,$AK$6:$AN$6,0)-1,$AJ161)+OFFSET(载具产出!$D$49,MATCH(AL$6,$AK$6:$AN$6,0)-1,$AJ161)*OFFSET(载具产出!$N$49,MATCH(AL$6,$AK$6:$AN$6,0)-1,0)))</f>
        <v>1294.38</v>
      </c>
      <c r="AM161" s="44">
        <f ca="1">IF($AJ161=1,($AI161)*(10*OFFSET(载具产出!$D$45,MATCH(AM$6,$AK$6:$AN$6,0)-1,$AJ161)+OFFSET(载具产出!$D$49,MATCH(AM$6,$AK$6:$AN$6,0)-1,$AJ161)*OFFSET(载具产出!$N$49,MATCH(AM$6,$AK$6:$AN$6,0)-1,0)),OFFSET(载具产出!H$59,$AJ161-1,0)*10+OFFSET(载具产出!L$59,$AJ161-1,0)+($AI161*10-_xlfn.XLOOKUP($AJ161-1,载具产出!$D$59:$D$67,载具产出!$E$59:$E$67))/10*(10*OFFSET(载具产出!$D$45,MATCH(AM$6,$AK$6:$AN$6,0)-1,$AJ161)+OFFSET(载具产出!$D$49,MATCH(AM$6,$AK$6:$AN$6,0)-1,$AJ161)*OFFSET(载具产出!$N$49,MATCH(AM$6,$AK$6:$AN$6,0)-1,0)))</f>
        <v>692.736</v>
      </c>
      <c r="AN161" s="44">
        <f ca="1">IF($AJ161=1,($AI161)*(10*OFFSET(载具产出!$D$45,MATCH(AN$6,$AK$6:$AN$6,0)-1,$AJ161)+OFFSET(载具产出!$D$49,MATCH(AN$6,$AK$6:$AN$6,0)-1,$AJ161)*OFFSET(载具产出!$N$49,MATCH(AN$6,$AK$6:$AN$6,0)-1,0)),OFFSET(载具产出!I$59,$AJ161-1,0)*10+OFFSET(载具产出!M$59,$AJ161-1,0)+($AI161*10-_xlfn.XLOOKUP($AJ161-1,载具产出!$D$59:$D$67,载具产出!$E$59:$E$67))/10*(10*OFFSET(载具产出!$D$45,MATCH(AN$6,$AK$6:$AN$6,0)-1,$AJ161)+OFFSET(载具产出!$D$49,MATCH(AN$6,$AK$6:$AN$6,0)-1,$AJ161)*OFFSET(载具产出!$N$49,MATCH(AN$6,$AK$6:$AN$6,0)-1,0)))</f>
        <v>209.058</v>
      </c>
      <c r="AO161" s="44">
        <f ca="1" t="shared" si="22"/>
        <v>4289.734</v>
      </c>
      <c r="AP161" s="44">
        <f ca="1" t="shared" si="23"/>
        <v>2319.12666666666</v>
      </c>
      <c r="AQ161" s="44">
        <f ca="1" t="shared" si="24"/>
        <v>828.522666666667</v>
      </c>
      <c r="AR161" s="44">
        <f ca="1" t="shared" si="25"/>
        <v>209.058</v>
      </c>
      <c r="AS161" s="45">
        <f ca="1">IFERROR(MATCH(AO161/载具产出!R$58,载具属性!$G$33:$G$92,1),0)</f>
        <v>31</v>
      </c>
      <c r="AT161" s="45">
        <f ca="1">IFERROR(MATCH(AP161/载具产出!S$58,载具属性!$G$33:$G$92,1),0)</f>
        <v>21</v>
      </c>
      <c r="AU161" s="45">
        <f ca="1">IFERROR(MATCH(AQ161/载具产出!T$58,载具属性!$G$33:$G$92,1),0)</f>
        <v>12</v>
      </c>
      <c r="AV161" s="45">
        <f ca="1">IFERROR(MATCH(AR161/载具产出!U$58,载具属性!$G$33:$G$92,1),0)</f>
        <v>4</v>
      </c>
      <c r="AW161" s="46" t="str">
        <f ca="1" t="shared" si="26"/>
        <v>[{62,868},{63,100155},{2,281300},{6030001,2741},{6030002,2934},{6030003,386}]</v>
      </c>
      <c r="AX161" t="str">
        <f ca="1" t="shared" si="27"/>
        <v>{62,868}</v>
      </c>
      <c r="AY161" t="str">
        <f ca="1" t="shared" si="28"/>
        <v>{63,100155}</v>
      </c>
      <c r="AZ161" t="str">
        <f ca="1" t="shared" si="29"/>
        <v>{2,281300}</v>
      </c>
      <c r="BA161" t="str">
        <f ca="1" t="shared" si="30"/>
        <v>{6030001,2741}</v>
      </c>
      <c r="BB161" t="str">
        <f ca="1" t="shared" si="31"/>
        <v>{6030002,2934}</v>
      </c>
      <c r="BC161" t="str">
        <f ca="1" t="shared" si="32"/>
        <v>{6030003,386}</v>
      </c>
      <c r="BD161" t="str">
        <f ca="1" t="shared" si="33"/>
        <v/>
      </c>
    </row>
    <row r="162" spans="3:56">
      <c r="C162">
        <f ca="1" t="shared" si="21"/>
        <v>118.433734939759</v>
      </c>
      <c r="D162" s="40">
        <v>156</v>
      </c>
      <c r="E162" s="40">
        <f t="shared" si="36"/>
        <v>114</v>
      </c>
      <c r="F162" s="40">
        <v>135</v>
      </c>
      <c r="G162" s="41">
        <f t="shared" si="35"/>
        <v>166</v>
      </c>
      <c r="H162" s="40">
        <f>H161</f>
        <v>220</v>
      </c>
      <c r="I162" s="40">
        <f t="shared" ref="I162:I225" si="38">I161+2</f>
        <v>338</v>
      </c>
      <c r="J162" s="40">
        <f t="shared" si="37"/>
        <v>314</v>
      </c>
      <c r="K162" s="40">
        <f ca="1">SUM(U$36:U162)-SUM(OFFSET(载具产出!H$399,0,0,$R162+1,1))</f>
        <v>875</v>
      </c>
      <c r="L162" s="40">
        <f ca="1">SUM(T$36:T162)-SUM(OFFSET(载具产出!G$399,0,0,$R162+1,1))</f>
        <v>101155</v>
      </c>
      <c r="M162" s="40">
        <f ca="1">SUM(V$36:V162)/2-SUM(OFFSET(载具产出!I$399,0,0,$R162+1,1))</f>
        <v>284500</v>
      </c>
      <c r="N162" s="40">
        <f ca="1">SUM(AA$36:AA162)-SUM(OFFSET(载具产出!J$399,0,0,$R162+1,1))</f>
        <v>2759.6</v>
      </c>
      <c r="O162" s="40">
        <f ca="1">SUM(AB$36:AB162)-SUM(OFFSET(载具产出!K$399,0,0,$R162+1,1))</f>
        <v>2953.91999999999</v>
      </c>
      <c r="P162" s="40">
        <f ca="1">SUM(AC$36:AC162)-SUM(OFFSET(载具产出!L$399,0,0,$R162+1,1))</f>
        <v>396.48</v>
      </c>
      <c r="Q162" s="40">
        <f ca="1">SUM(AD$36:AD162)-SUM(OFFSET(载具产出!M$399,0,0,$R162+1,1))</f>
        <v>0</v>
      </c>
      <c r="R162" s="40">
        <v>14</v>
      </c>
      <c r="S162" s="40" t="str">
        <f ca="1">OFFSET(载具产出!$D$111,IFERROR(MATCH(OFFSET($D162,0,MATCH($D$5,$E$6:$H$6,0)),载具产出!$E$112:$E$151,1),0),0)</f>
        <v>珍惜Ⅲ</v>
      </c>
      <c r="T162" s="40">
        <f ca="1">OFFSET(载具产出!$F$399,IFERROR(MATCH(OFFSET($D162,0,MATCH($D$5,$E$6:$H$6,0)),载具产出!$E$400:$E$439,1),0),MATCH(T$6,载具产出!$G$399:$O$399,0))</f>
        <v>1000</v>
      </c>
      <c r="U162" s="40">
        <v>7</v>
      </c>
      <c r="V162" s="40">
        <f ca="1">OFFSET(载具产出!$F$399,IFERROR(MATCH(OFFSET($D162,0,MATCH($D$5,$E$6:$H$6,0)),载具产出!$E$400:$E$439,1),0),MATCH(V$6,载具产出!$G$399:$O$399,0))</f>
        <v>6400</v>
      </c>
      <c r="W162" s="43">
        <f ca="1">_xlfn.XLOOKUP(Z162,载具属性!$E$98:$E$497,载具属性!$G$98:$G$497)+6000+OFFSET(载具属性!L$33,AS162,0)*载具属性!M$30+OFFSET(载具属性!M$33,AT162,0)*载具属性!N$30+OFFSET(载具属性!N$33,AU162,0)*载具属性!O$30+OFFSET(载具属性!O$33,AV162,0)*载具属性!P$30</f>
        <v>19660</v>
      </c>
      <c r="X162" s="43">
        <f ca="1">_xlfn.XLOOKUP(Z162,载具属性!$E$98:$E$497,载具属性!$G$98:$G$497)</f>
        <v>8170</v>
      </c>
      <c r="Y162" s="43">
        <f ca="1">OFFSET(载具属性!L$33,AS162,0)*载具属性!M$30+OFFSET(载具属性!M$33,AT162,0)*载具属性!N$30+OFFSET(载具属性!N$33,AU162,0)*载具属性!O$30+OFFSET(载具属性!O$33,AV162,0)*载具属性!P$30</f>
        <v>5490</v>
      </c>
      <c r="Z162" s="40">
        <f ca="1">MATCH(SUM($T$7:T162),载具属性!$I$98:$I$497,1)</f>
        <v>129</v>
      </c>
      <c r="AA162" s="40">
        <f ca="1">OFFSET(载具产出!$F$399,IFERROR(MATCH(OFFSET($D162,0,MATCH($D$5,$E$6:$H$6,0)),载具产出!$E$112:$E$151,1),0),MATCH(AA$6,载具产出!$G$111:$O$111,0))*2</f>
        <v>18</v>
      </c>
      <c r="AB162" s="40">
        <f ca="1">OFFSET(载具产出!$F$399,IFERROR(MATCH(OFFSET($D162,0,MATCH($D$5,$E$6:$H$6,0)),载具产出!$E$112:$E$151,1),0),MATCH(AB$6,载具产出!$G$111:$O$111,0))*2</f>
        <v>19.68</v>
      </c>
      <c r="AC162" s="40">
        <f ca="1">OFFSET(载具产出!$F$399,IFERROR(MATCH(OFFSET($D162,0,MATCH($D$5,$E$6:$H$6,0)),载具产出!$E$112:$E$151,1),0),MATCH(AC$6,载具产出!$G$111:$O$111,0))*2</f>
        <v>10.32</v>
      </c>
      <c r="AD162" s="40">
        <f ca="1">OFFSET(载具产出!$F$399,IFERROR(MATCH(OFFSET($D162,0,MATCH($D$5,$E$6:$H$6,0)),载具产出!$E$112:$E$151,1),0),MATCH(AD$6,载具产出!$G$111:$O$111,0))*2</f>
        <v>0</v>
      </c>
      <c r="AE162" s="44">
        <f ca="1">SUM(AA$36:AA162)/3</f>
        <v>980.8</v>
      </c>
      <c r="AF162" s="44">
        <f ca="1">SUM(AB$36:AB162)/3</f>
        <v>1031.30666666666</v>
      </c>
      <c r="AG162" s="44">
        <f ca="1">SUM(AC$36:AC162)/3</f>
        <v>139.226666666667</v>
      </c>
      <c r="AH162" s="44">
        <f ca="1">SUM(AD$36:AD162)/3</f>
        <v>0</v>
      </c>
      <c r="AI162" s="44">
        <f>_xlfn.XLOOKUP($D$5,载具产出!$D$71:$D$75,载具产出!$E$71:$E$75)*(D162-30+1)</f>
        <v>1493.76190476191</v>
      </c>
      <c r="AJ162" s="44">
        <f>IFERROR(MATCH(_xlfn.XLOOKUP($D$5,载具产出!$D$71:$D$75,载具产出!$E$71:$E$75)*(D162-30+1)*10,载具产出!$E$60:$E$67,1),0)+1</f>
        <v>7</v>
      </c>
      <c r="AK162" s="44">
        <f ca="1">IF($AJ162=1,($AI162)*(10*OFFSET(载具产出!$D$45,MATCH(AK$6,$AK$6:$AN$6,0)-1,$AJ162)+OFFSET(载具产出!$D$49,MATCH(AK$6,$AK$6:$AN$6,0)-1,$AJ162)*OFFSET(载具产出!$N$49,MATCH(AK$6,$AK$6:$AN$6,0)-1,0)),OFFSET(载具产出!F$59,$AJ162-1,0)*10+OFFSET(载具产出!J$59,$AJ162-1,0)+($AI162*10-_xlfn.XLOOKUP($AJ162-1,载具产出!$D$59:$D$67,载具产出!$E$59:$E$67))/10*(10*OFFSET(载具产出!$D$45,MATCH(AK$6,$AK$6:$AN$6,0)-1,$AJ162)+OFFSET(载具产出!$D$49,MATCH(AK$6,$AK$6:$AN$6,0)-1,$AJ162)*OFFSET(载具产出!$N$49,MATCH(AK$6,$AK$6:$AN$6,0)-1,0)))</f>
        <v>3339.77514285715</v>
      </c>
      <c r="AL162" s="44">
        <f ca="1">IF($AJ162=1,($AI162)*(10*OFFSET(载具产出!$D$45,MATCH(AL$6,$AK$6:$AN$6,0)-1,$AJ162)+OFFSET(载具产出!$D$49,MATCH(AL$6,$AK$6:$AN$6,0)-1,$AJ162)*OFFSET(载具产出!$N$49,MATCH(AL$6,$AK$6:$AN$6,0)-1,0)),OFFSET(载具产出!G$59,$AJ162-1,0)*10+OFFSET(载具产出!K$59,$AJ162-1,0)+($AI162*10-_xlfn.XLOOKUP($AJ162-1,载具产出!$D$59:$D$67,载具产出!$E$59:$E$67))/10*(10*OFFSET(载具产出!$D$45,MATCH(AL$6,$AK$6:$AN$6,0)-1,$AJ162)+OFFSET(载具产出!$D$49,MATCH(AL$6,$AK$6:$AN$6,0)-1,$AJ162)*OFFSET(载具产出!$N$49,MATCH(AL$6,$AK$6:$AN$6,0)-1,0)))</f>
        <v>1305.4361904762</v>
      </c>
      <c r="AM162" s="44">
        <f ca="1">IF($AJ162=1,($AI162)*(10*OFFSET(载具产出!$D$45,MATCH(AM$6,$AK$6:$AN$6,0)-1,$AJ162)+OFFSET(载具产出!$D$49,MATCH(AM$6,$AK$6:$AN$6,0)-1,$AJ162)*OFFSET(载具产出!$N$49,MATCH(AM$6,$AK$6:$AN$6,0)-1,0)),OFFSET(载具产出!H$59,$AJ162-1,0)*10+OFFSET(载具产出!L$59,$AJ162-1,0)+($AI162*10-_xlfn.XLOOKUP($AJ162-1,载具产出!$D$59:$D$67,载具产出!$E$59:$E$67))/10*(10*OFFSET(载具产出!$D$45,MATCH(AM$6,$AK$6:$AN$6,0)-1,$AJ162)+OFFSET(载具产出!$D$49,MATCH(AM$6,$AK$6:$AN$6,0)-1,$AJ162)*OFFSET(载具产出!$N$49,MATCH(AM$6,$AK$6:$AN$6,0)-1,0)))</f>
        <v>698.946285714288</v>
      </c>
      <c r="AN162" s="44">
        <f ca="1">IF($AJ162=1,($AI162)*(10*OFFSET(载具产出!$D$45,MATCH(AN$6,$AK$6:$AN$6,0)-1,$AJ162)+OFFSET(载具产出!$D$49,MATCH(AN$6,$AK$6:$AN$6,0)-1,$AJ162)*OFFSET(载具产出!$N$49,MATCH(AN$6,$AK$6:$AN$6,0)-1,0)),OFFSET(载具产出!I$59,$AJ162-1,0)*10+OFFSET(载具产出!M$59,$AJ162-1,0)+($AI162*10-_xlfn.XLOOKUP($AJ162-1,载具产出!$D$59:$D$67,载具产出!$E$59:$E$67))/10*(10*OFFSET(载具产出!$D$45,MATCH(AN$6,$AK$6:$AN$6,0)-1,$AJ162)+OFFSET(载具产出!$D$49,MATCH(AN$6,$AK$6:$AN$6,0)-1,$AJ162)*OFFSET(载具产出!$N$49,MATCH(AN$6,$AK$6:$AN$6,0)-1,0)))</f>
        <v>211.045761904763</v>
      </c>
      <c r="AO162" s="44">
        <f ca="1" t="shared" si="22"/>
        <v>4320.57514285715</v>
      </c>
      <c r="AP162" s="44">
        <f ca="1" t="shared" si="23"/>
        <v>2336.74285714286</v>
      </c>
      <c r="AQ162" s="44">
        <f ca="1" t="shared" si="24"/>
        <v>838.172952380955</v>
      </c>
      <c r="AR162" s="44">
        <f ca="1" t="shared" si="25"/>
        <v>211.045761904763</v>
      </c>
      <c r="AS162" s="45">
        <f ca="1">IFERROR(MATCH(AO162/载具产出!R$58,载具属性!$G$33:$G$92,1),0)</f>
        <v>31</v>
      </c>
      <c r="AT162" s="45">
        <f ca="1">IFERROR(MATCH(AP162/载具产出!S$58,载具属性!$G$33:$G$92,1),0)</f>
        <v>21</v>
      </c>
      <c r="AU162" s="45">
        <f ca="1">IFERROR(MATCH(AQ162/载具产出!T$58,载具属性!$G$33:$G$92,1),0)</f>
        <v>12</v>
      </c>
      <c r="AV162" s="45">
        <f ca="1">IFERROR(MATCH(AR162/载具产出!U$58,载具属性!$G$33:$G$92,1),0)</f>
        <v>4</v>
      </c>
      <c r="AW162" s="46" t="str">
        <f ca="1" t="shared" si="26"/>
        <v>[{62,875},{63,101155},{2,284500},{6030001,2759},{6030002,2953},{6030003,396}]</v>
      </c>
      <c r="AX162" t="str">
        <f ca="1" t="shared" si="27"/>
        <v>{62,875}</v>
      </c>
      <c r="AY162" t="str">
        <f ca="1" t="shared" si="28"/>
        <v>{63,101155}</v>
      </c>
      <c r="AZ162" t="str">
        <f ca="1" t="shared" si="29"/>
        <v>{2,284500}</v>
      </c>
      <c r="BA162" t="str">
        <f ca="1" t="shared" si="30"/>
        <v>{6030001,2759}</v>
      </c>
      <c r="BB162" t="str">
        <f ca="1" t="shared" si="31"/>
        <v>{6030002,2953}</v>
      </c>
      <c r="BC162" t="str">
        <f ca="1" t="shared" si="32"/>
        <v>{6030003,396}</v>
      </c>
      <c r="BD162" t="str">
        <f ca="1" t="shared" si="33"/>
        <v/>
      </c>
    </row>
    <row r="163" spans="3:56">
      <c r="C163">
        <f ca="1" t="shared" si="21"/>
        <v>118.915662650602</v>
      </c>
      <c r="D163" s="40">
        <v>157</v>
      </c>
      <c r="E163" s="40">
        <f t="shared" si="36"/>
        <v>115</v>
      </c>
      <c r="F163" s="40">
        <v>135</v>
      </c>
      <c r="G163" s="41">
        <f t="shared" si="35"/>
        <v>166</v>
      </c>
      <c r="H163" s="40">
        <f>H162+1</f>
        <v>221</v>
      </c>
      <c r="I163" s="40">
        <f t="shared" si="38"/>
        <v>340</v>
      </c>
      <c r="J163" s="40">
        <f t="shared" si="37"/>
        <v>317</v>
      </c>
      <c r="K163" s="40">
        <f ca="1">SUM(U$36:U163)-SUM(OFFSET(载具产出!H$399,0,0,$R163+1,1))</f>
        <v>882</v>
      </c>
      <c r="L163" s="40">
        <f ca="1">SUM(T$36:T163)-SUM(OFFSET(载具产出!G$399,0,0,$R163+1,1))</f>
        <v>102155</v>
      </c>
      <c r="M163" s="40">
        <f ca="1">SUM(V$36:V163)/2-SUM(OFFSET(载具产出!I$399,0,0,$R163+1,1))</f>
        <v>287700</v>
      </c>
      <c r="N163" s="40">
        <f ca="1">SUM(AA$36:AA163)-SUM(OFFSET(载具产出!J$399,0,0,$R163+1,1))</f>
        <v>2777.6</v>
      </c>
      <c r="O163" s="40">
        <f ca="1">SUM(AB$36:AB163)-SUM(OFFSET(载具产出!K$399,0,0,$R163+1,1))</f>
        <v>2973.59999999999</v>
      </c>
      <c r="P163" s="40">
        <f ca="1">SUM(AC$36:AC163)-SUM(OFFSET(载具产出!L$399,0,0,$R163+1,1))</f>
        <v>406.8</v>
      </c>
      <c r="Q163" s="40">
        <f ca="1">SUM(AD$36:AD163)-SUM(OFFSET(载具产出!M$399,0,0,$R163+1,1))</f>
        <v>0</v>
      </c>
      <c r="R163" s="40">
        <v>14</v>
      </c>
      <c r="S163" s="40" t="str">
        <f ca="1">OFFSET(载具产出!$D$111,IFERROR(MATCH(OFFSET($D163,0,MATCH($D$5,$E$6:$H$6,0)),载具产出!$E$112:$E$151,1),0),0)</f>
        <v>珍惜Ⅲ</v>
      </c>
      <c r="T163" s="40">
        <f ca="1">OFFSET(载具产出!$F$399,IFERROR(MATCH(OFFSET($D163,0,MATCH($D$5,$E$6:$H$6,0)),载具产出!$E$400:$E$439,1),0),MATCH(T$6,载具产出!$G$399:$O$399,0))</f>
        <v>1000</v>
      </c>
      <c r="U163" s="40">
        <v>7</v>
      </c>
      <c r="V163" s="40">
        <f ca="1">OFFSET(载具产出!$F$399,IFERROR(MATCH(OFFSET($D163,0,MATCH($D$5,$E$6:$H$6,0)),载具产出!$E$400:$E$439,1),0),MATCH(V$6,载具产出!$G$399:$O$399,0))</f>
        <v>6400</v>
      </c>
      <c r="W163" s="43">
        <f ca="1">_xlfn.XLOOKUP(Z163,载具属性!$E$98:$E$497,载具属性!$G$98:$G$497)+6000+OFFSET(载具属性!L$33,AS163,0)*载具属性!M$30+OFFSET(载具属性!M$33,AT163,0)*载具属性!N$30+OFFSET(载具属性!N$33,AU163,0)*载具属性!O$30+OFFSET(载具属性!O$33,AV163,0)*载具属性!P$30</f>
        <v>19740</v>
      </c>
      <c r="X163" s="43">
        <f ca="1">_xlfn.XLOOKUP(Z163,载具属性!$E$98:$E$497,载具属性!$G$98:$G$497)</f>
        <v>8250</v>
      </c>
      <c r="Y163" s="43">
        <f ca="1">OFFSET(载具属性!L$33,AS163,0)*载具属性!M$30+OFFSET(载具属性!M$33,AT163,0)*载具属性!N$30+OFFSET(载具属性!N$33,AU163,0)*载具属性!O$30+OFFSET(载具属性!O$33,AV163,0)*载具属性!P$30</f>
        <v>5490</v>
      </c>
      <c r="Z163" s="40">
        <f ca="1">MATCH(SUM($T$7:T163),载具属性!$I$98:$I$497,1)</f>
        <v>130</v>
      </c>
      <c r="AA163" s="40">
        <f ca="1">OFFSET(载具产出!$F$399,IFERROR(MATCH(OFFSET($D163,0,MATCH($D$5,$E$6:$H$6,0)),载具产出!$E$112:$E$151,1),0),MATCH(AA$6,载具产出!$G$111:$O$111,0))*2</f>
        <v>18</v>
      </c>
      <c r="AB163" s="40">
        <f ca="1">OFFSET(载具产出!$F$399,IFERROR(MATCH(OFFSET($D163,0,MATCH($D$5,$E$6:$H$6,0)),载具产出!$E$112:$E$151,1),0),MATCH(AB$6,载具产出!$G$111:$O$111,0))*2</f>
        <v>19.68</v>
      </c>
      <c r="AC163" s="40">
        <f ca="1">OFFSET(载具产出!$F$399,IFERROR(MATCH(OFFSET($D163,0,MATCH($D$5,$E$6:$H$6,0)),载具产出!$E$112:$E$151,1),0),MATCH(AC$6,载具产出!$G$111:$O$111,0))*2</f>
        <v>10.32</v>
      </c>
      <c r="AD163" s="40">
        <f ca="1">OFFSET(载具产出!$F$399,IFERROR(MATCH(OFFSET($D163,0,MATCH($D$5,$E$6:$H$6,0)),载具产出!$E$112:$E$151,1),0),MATCH(AD$6,载具产出!$G$111:$O$111,0))*2</f>
        <v>0</v>
      </c>
      <c r="AE163" s="44">
        <f ca="1">SUM(AA$36:AA163)/3</f>
        <v>986.8</v>
      </c>
      <c r="AF163" s="44">
        <f ca="1">SUM(AB$36:AB163)/3</f>
        <v>1037.86666666666</v>
      </c>
      <c r="AG163" s="44">
        <f ca="1">SUM(AC$36:AC163)/3</f>
        <v>142.666666666667</v>
      </c>
      <c r="AH163" s="44">
        <f ca="1">SUM(AD$36:AD163)/3</f>
        <v>0</v>
      </c>
      <c r="AI163" s="44">
        <f>_xlfn.XLOOKUP($D$5,载具产出!$D$71:$D$75,载具产出!$E$71:$E$75)*(D163-30+1)</f>
        <v>1505.52380952381</v>
      </c>
      <c r="AJ163" s="44">
        <f>IFERROR(MATCH(_xlfn.XLOOKUP($D$5,载具产出!$D$71:$D$75,载具产出!$E$71:$E$75)*(D163-30+1)*10,载具产出!$E$60:$E$67,1),0)+1</f>
        <v>7</v>
      </c>
      <c r="AK163" s="44">
        <f ca="1">IF($AJ163=1,($AI163)*(10*OFFSET(载具产出!$D$45,MATCH(AK$6,$AK$6:$AN$6,0)-1,$AJ163)+OFFSET(载具产出!$D$49,MATCH(AK$6,$AK$6:$AN$6,0)-1,$AJ163)*OFFSET(载具产出!$N$49,MATCH(AK$6,$AK$6:$AN$6,0)-1,0)),OFFSET(载具产出!F$59,$AJ163-1,0)*10+OFFSET(载具产出!J$59,$AJ163-1,0)+($AI163*10-_xlfn.XLOOKUP($AJ163-1,载具产出!$D$59:$D$67,载具产出!$E$59:$E$67))/10*(10*OFFSET(载具产出!$D$45,MATCH(AK$6,$AK$6:$AN$6,0)-1,$AJ163)+OFFSET(载具产出!$D$49,MATCH(AK$6,$AK$6:$AN$6,0)-1,$AJ163)*OFFSET(载具产出!$N$49,MATCH(AK$6,$AK$6:$AN$6,0)-1,0)))</f>
        <v>3364.61628571429</v>
      </c>
      <c r="AL163" s="44">
        <f ca="1">IF($AJ163=1,($AI163)*(10*OFFSET(载具产出!$D$45,MATCH(AL$6,$AK$6:$AN$6,0)-1,$AJ163)+OFFSET(载具产出!$D$49,MATCH(AL$6,$AK$6:$AN$6,0)-1,$AJ163)*OFFSET(载具产出!$N$49,MATCH(AL$6,$AK$6:$AN$6,0)-1,0)),OFFSET(载具产出!G$59,$AJ163-1,0)*10+OFFSET(载具产出!K$59,$AJ163-1,0)+($AI163*10-_xlfn.XLOOKUP($AJ163-1,载具产出!$D$59:$D$67,载具产出!$E$59:$E$67))/10*(10*OFFSET(载具产出!$D$45,MATCH(AL$6,$AK$6:$AN$6,0)-1,$AJ163)+OFFSET(载具产出!$D$49,MATCH(AL$6,$AK$6:$AN$6,0)-1,$AJ163)*OFFSET(载具产出!$N$49,MATCH(AL$6,$AK$6:$AN$6,0)-1,0)))</f>
        <v>1316.49238095238</v>
      </c>
      <c r="AM163" s="44">
        <f ca="1">IF($AJ163=1,($AI163)*(10*OFFSET(载具产出!$D$45,MATCH(AM$6,$AK$6:$AN$6,0)-1,$AJ163)+OFFSET(载具产出!$D$49,MATCH(AM$6,$AK$6:$AN$6,0)-1,$AJ163)*OFFSET(载具产出!$N$49,MATCH(AM$6,$AK$6:$AN$6,0)-1,0)),OFFSET(载具产出!H$59,$AJ163-1,0)*10+OFFSET(载具产出!L$59,$AJ163-1,0)+($AI163*10-_xlfn.XLOOKUP($AJ163-1,载具产出!$D$59:$D$67,载具产出!$E$59:$E$67))/10*(10*OFFSET(载具产出!$D$45,MATCH(AM$6,$AK$6:$AN$6,0)-1,$AJ163)+OFFSET(载具产出!$D$49,MATCH(AM$6,$AK$6:$AN$6,0)-1,$AJ163)*OFFSET(载具产出!$N$49,MATCH(AM$6,$AK$6:$AN$6,0)-1,0)))</f>
        <v>705.156571428572</v>
      </c>
      <c r="AN163" s="44">
        <f ca="1">IF($AJ163=1,($AI163)*(10*OFFSET(载具产出!$D$45,MATCH(AN$6,$AK$6:$AN$6,0)-1,$AJ163)+OFFSET(载具产出!$D$49,MATCH(AN$6,$AK$6:$AN$6,0)-1,$AJ163)*OFFSET(载具产出!$N$49,MATCH(AN$6,$AK$6:$AN$6,0)-1,0)),OFFSET(载具产出!I$59,$AJ163-1,0)*10+OFFSET(载具产出!M$59,$AJ163-1,0)+($AI163*10-_xlfn.XLOOKUP($AJ163-1,载具产出!$D$59:$D$67,载具产出!$E$59:$E$67))/10*(10*OFFSET(载具产出!$D$45,MATCH(AN$6,$AK$6:$AN$6,0)-1,$AJ163)+OFFSET(载具产出!$D$49,MATCH(AN$6,$AK$6:$AN$6,0)-1,$AJ163)*OFFSET(载具产出!$N$49,MATCH(AN$6,$AK$6:$AN$6,0)-1,0)))</f>
        <v>213.033523809524</v>
      </c>
      <c r="AO163" s="44">
        <f ca="1" t="shared" si="22"/>
        <v>4351.41628571429</v>
      </c>
      <c r="AP163" s="44">
        <f ca="1" t="shared" si="23"/>
        <v>2354.35904761904</v>
      </c>
      <c r="AQ163" s="44">
        <f ca="1" t="shared" si="24"/>
        <v>847.823238095238</v>
      </c>
      <c r="AR163" s="44">
        <f ca="1" t="shared" si="25"/>
        <v>213.033523809524</v>
      </c>
      <c r="AS163" s="45">
        <f ca="1">IFERROR(MATCH(AO163/载具产出!R$58,载具属性!$G$33:$G$92,1),0)</f>
        <v>31</v>
      </c>
      <c r="AT163" s="45">
        <f ca="1">IFERROR(MATCH(AP163/载具产出!S$58,载具属性!$G$33:$G$92,1),0)</f>
        <v>21</v>
      </c>
      <c r="AU163" s="45">
        <f ca="1">IFERROR(MATCH(AQ163/载具产出!T$58,载具属性!$G$33:$G$92,1),0)</f>
        <v>12</v>
      </c>
      <c r="AV163" s="45">
        <f ca="1">IFERROR(MATCH(AR163/载具产出!U$58,载具属性!$G$33:$G$92,1),0)</f>
        <v>4</v>
      </c>
      <c r="AW163" s="46" t="str">
        <f ca="1" t="shared" si="26"/>
        <v>[{62,882},{63,102155},{2,287700},{6030001,2777},{6030002,2973},{6030003,406}]</v>
      </c>
      <c r="AX163" t="str">
        <f ca="1" t="shared" si="27"/>
        <v>{62,882}</v>
      </c>
      <c r="AY163" t="str">
        <f ca="1" t="shared" si="28"/>
        <v>{63,102155}</v>
      </c>
      <c r="AZ163" t="str">
        <f ca="1" t="shared" si="29"/>
        <v>{2,287700}</v>
      </c>
      <c r="BA163" t="str">
        <f ca="1" t="shared" si="30"/>
        <v>{6030001,2777}</v>
      </c>
      <c r="BB163" t="str">
        <f ca="1" t="shared" si="31"/>
        <v>{6030002,2973}</v>
      </c>
      <c r="BC163" t="str">
        <f ca="1" t="shared" si="32"/>
        <v>{6030003,406}</v>
      </c>
      <c r="BD163" t="str">
        <f ca="1" t="shared" si="33"/>
        <v/>
      </c>
    </row>
    <row r="164" spans="3:56">
      <c r="C164">
        <f ca="1" t="shared" si="21"/>
        <v>118.203592814371</v>
      </c>
      <c r="D164" s="40">
        <v>158</v>
      </c>
      <c r="E164" s="40">
        <f t="shared" si="36"/>
        <v>115</v>
      </c>
      <c r="F164" s="40">
        <v>135</v>
      </c>
      <c r="G164" s="41">
        <f t="shared" si="35"/>
        <v>167</v>
      </c>
      <c r="H164" s="40">
        <f>H163</f>
        <v>221</v>
      </c>
      <c r="I164" s="40">
        <f t="shared" si="38"/>
        <v>342</v>
      </c>
      <c r="J164" s="40">
        <f t="shared" si="37"/>
        <v>319</v>
      </c>
      <c r="K164" s="40">
        <f ca="1">SUM(U$36:U164)-SUM(OFFSET(载具产出!H$399,0,0,$R164+1,1))</f>
        <v>889</v>
      </c>
      <c r="L164" s="40">
        <f ca="1">SUM(T$36:T164)-SUM(OFFSET(载具产出!G$399,0,0,$R164+1,1))</f>
        <v>103155</v>
      </c>
      <c r="M164" s="40">
        <f ca="1">SUM(V$36:V164)/2-SUM(OFFSET(载具产出!I$399,0,0,$R164+1,1))</f>
        <v>290900</v>
      </c>
      <c r="N164" s="40">
        <f ca="1">SUM(AA$36:AA164)-SUM(OFFSET(载具产出!J$399,0,0,$R164+1,1))</f>
        <v>2795.6</v>
      </c>
      <c r="O164" s="40">
        <f ca="1">SUM(AB$36:AB164)-SUM(OFFSET(载具产出!K$399,0,0,$R164+1,1))</f>
        <v>2993.27999999999</v>
      </c>
      <c r="P164" s="40">
        <f ca="1">SUM(AC$36:AC164)-SUM(OFFSET(载具产出!L$399,0,0,$R164+1,1))</f>
        <v>417.12</v>
      </c>
      <c r="Q164" s="40">
        <f ca="1">SUM(AD$36:AD164)-SUM(OFFSET(载具产出!M$399,0,0,$R164+1,1))</f>
        <v>0</v>
      </c>
      <c r="R164" s="40">
        <v>14</v>
      </c>
      <c r="S164" s="40" t="str">
        <f ca="1">OFFSET(载具产出!$D$111,IFERROR(MATCH(OFFSET($D164,0,MATCH($D$5,$E$6:$H$6,0)),载具产出!$E$112:$E$151,1),0),0)</f>
        <v>珍惜Ⅲ</v>
      </c>
      <c r="T164" s="40">
        <f ca="1">OFFSET(载具产出!$F$399,IFERROR(MATCH(OFFSET($D164,0,MATCH($D$5,$E$6:$H$6,0)),载具产出!$E$400:$E$439,1),0),MATCH(T$6,载具产出!$G$399:$O$399,0))</f>
        <v>1000</v>
      </c>
      <c r="U164" s="40">
        <v>7</v>
      </c>
      <c r="V164" s="40">
        <f ca="1">OFFSET(载具产出!$F$399,IFERROR(MATCH(OFFSET($D164,0,MATCH($D$5,$E$6:$H$6,0)),载具产出!$E$400:$E$439,1),0),MATCH(V$6,载具产出!$G$399:$O$399,0))</f>
        <v>6400</v>
      </c>
      <c r="W164" s="43">
        <f ca="1">_xlfn.XLOOKUP(Z164,载具属性!$E$98:$E$497,载具属性!$G$98:$G$497)+6000+OFFSET(载具属性!L$33,AS164,0)*载具属性!M$30+OFFSET(载具属性!M$33,AT164,0)*载具属性!N$30+OFFSET(载具属性!N$33,AU164,0)*载具属性!O$30+OFFSET(载具属性!O$33,AV164,0)*载具属性!P$30</f>
        <v>19740</v>
      </c>
      <c r="X164" s="43">
        <f ca="1">_xlfn.XLOOKUP(Z164,载具属性!$E$98:$E$497,载具属性!$G$98:$G$497)</f>
        <v>8250</v>
      </c>
      <c r="Y164" s="43">
        <f ca="1">OFFSET(载具属性!L$33,AS164,0)*载具属性!M$30+OFFSET(载具属性!M$33,AT164,0)*载具属性!N$30+OFFSET(载具属性!N$33,AU164,0)*载具属性!O$30+OFFSET(载具属性!O$33,AV164,0)*载具属性!P$30</f>
        <v>5490</v>
      </c>
      <c r="Z164" s="40">
        <f ca="1">MATCH(SUM($T$7:T164),载具属性!$I$98:$I$497,1)</f>
        <v>130</v>
      </c>
      <c r="AA164" s="40">
        <f ca="1">OFFSET(载具产出!$F$399,IFERROR(MATCH(OFFSET($D164,0,MATCH($D$5,$E$6:$H$6,0)),载具产出!$E$112:$E$151,1),0),MATCH(AA$6,载具产出!$G$111:$O$111,0))*2</f>
        <v>18</v>
      </c>
      <c r="AB164" s="40">
        <f ca="1">OFFSET(载具产出!$F$399,IFERROR(MATCH(OFFSET($D164,0,MATCH($D$5,$E$6:$H$6,0)),载具产出!$E$112:$E$151,1),0),MATCH(AB$6,载具产出!$G$111:$O$111,0))*2</f>
        <v>19.68</v>
      </c>
      <c r="AC164" s="40">
        <f ca="1">OFFSET(载具产出!$F$399,IFERROR(MATCH(OFFSET($D164,0,MATCH($D$5,$E$6:$H$6,0)),载具产出!$E$112:$E$151,1),0),MATCH(AC$6,载具产出!$G$111:$O$111,0))*2</f>
        <v>10.32</v>
      </c>
      <c r="AD164" s="40">
        <f ca="1">OFFSET(载具产出!$F$399,IFERROR(MATCH(OFFSET($D164,0,MATCH($D$5,$E$6:$H$6,0)),载具产出!$E$112:$E$151,1),0),MATCH(AD$6,载具产出!$G$111:$O$111,0))*2</f>
        <v>0</v>
      </c>
      <c r="AE164" s="44">
        <f ca="1">SUM(AA$36:AA164)/3</f>
        <v>992.8</v>
      </c>
      <c r="AF164" s="44">
        <f ca="1">SUM(AB$36:AB164)/3</f>
        <v>1044.42666666666</v>
      </c>
      <c r="AG164" s="44">
        <f ca="1">SUM(AC$36:AC164)/3</f>
        <v>146.106666666667</v>
      </c>
      <c r="AH164" s="44">
        <f ca="1">SUM(AD$36:AD164)/3</f>
        <v>0</v>
      </c>
      <c r="AI164" s="44">
        <f>_xlfn.XLOOKUP($D$5,载具产出!$D$71:$D$75,载具产出!$E$71:$E$75)*(D164-30+1)</f>
        <v>1517.28571428572</v>
      </c>
      <c r="AJ164" s="44">
        <f>IFERROR(MATCH(_xlfn.XLOOKUP($D$5,载具产出!$D$71:$D$75,载具产出!$E$71:$E$75)*(D164-30+1)*10,载具产出!$E$60:$E$67,1),0)+1</f>
        <v>7</v>
      </c>
      <c r="AK164" s="44">
        <f ca="1">IF($AJ164=1,($AI164)*(10*OFFSET(载具产出!$D$45,MATCH(AK$6,$AK$6:$AN$6,0)-1,$AJ164)+OFFSET(载具产出!$D$49,MATCH(AK$6,$AK$6:$AN$6,0)-1,$AJ164)*OFFSET(载具产出!$N$49,MATCH(AK$6,$AK$6:$AN$6,0)-1,0)),OFFSET(载具产出!F$59,$AJ164-1,0)*10+OFFSET(载具产出!J$59,$AJ164-1,0)+($AI164*10-_xlfn.XLOOKUP($AJ164-1,载具产出!$D$59:$D$67,载具产出!$E$59:$E$67))/10*(10*OFFSET(载具产出!$D$45,MATCH(AK$6,$AK$6:$AN$6,0)-1,$AJ164)+OFFSET(载具产出!$D$49,MATCH(AK$6,$AK$6:$AN$6,0)-1,$AJ164)*OFFSET(载具产出!$N$49,MATCH(AK$6,$AK$6:$AN$6,0)-1,0)))</f>
        <v>3389.45742857144</v>
      </c>
      <c r="AL164" s="44">
        <f ca="1">IF($AJ164=1,($AI164)*(10*OFFSET(载具产出!$D$45,MATCH(AL$6,$AK$6:$AN$6,0)-1,$AJ164)+OFFSET(载具产出!$D$49,MATCH(AL$6,$AK$6:$AN$6,0)-1,$AJ164)*OFFSET(载具产出!$N$49,MATCH(AL$6,$AK$6:$AN$6,0)-1,0)),OFFSET(载具产出!G$59,$AJ164-1,0)*10+OFFSET(载具产出!K$59,$AJ164-1,0)+($AI164*10-_xlfn.XLOOKUP($AJ164-1,载具产出!$D$59:$D$67,载具产出!$E$59:$E$67))/10*(10*OFFSET(载具产出!$D$45,MATCH(AL$6,$AK$6:$AN$6,0)-1,$AJ164)+OFFSET(载具产出!$D$49,MATCH(AL$6,$AK$6:$AN$6,0)-1,$AJ164)*OFFSET(载具产出!$N$49,MATCH(AL$6,$AK$6:$AN$6,0)-1,0)))</f>
        <v>1327.54857142858</v>
      </c>
      <c r="AM164" s="44">
        <f ca="1">IF($AJ164=1,($AI164)*(10*OFFSET(载具产出!$D$45,MATCH(AM$6,$AK$6:$AN$6,0)-1,$AJ164)+OFFSET(载具产出!$D$49,MATCH(AM$6,$AK$6:$AN$6,0)-1,$AJ164)*OFFSET(载具产出!$N$49,MATCH(AM$6,$AK$6:$AN$6,0)-1,0)),OFFSET(载具产出!H$59,$AJ164-1,0)*10+OFFSET(载具产出!L$59,$AJ164-1,0)+($AI164*10-_xlfn.XLOOKUP($AJ164-1,载具产出!$D$59:$D$67,载具产出!$E$59:$E$67))/10*(10*OFFSET(载具产出!$D$45,MATCH(AM$6,$AK$6:$AN$6,0)-1,$AJ164)+OFFSET(载具产出!$D$49,MATCH(AM$6,$AK$6:$AN$6,0)-1,$AJ164)*OFFSET(载具产出!$N$49,MATCH(AM$6,$AK$6:$AN$6,0)-1,0)))</f>
        <v>711.36685714286</v>
      </c>
      <c r="AN164" s="44">
        <f ca="1">IF($AJ164=1,($AI164)*(10*OFFSET(载具产出!$D$45,MATCH(AN$6,$AK$6:$AN$6,0)-1,$AJ164)+OFFSET(载具产出!$D$49,MATCH(AN$6,$AK$6:$AN$6,0)-1,$AJ164)*OFFSET(载具产出!$N$49,MATCH(AN$6,$AK$6:$AN$6,0)-1,0)),OFFSET(载具产出!I$59,$AJ164-1,0)*10+OFFSET(载具产出!M$59,$AJ164-1,0)+($AI164*10-_xlfn.XLOOKUP($AJ164-1,载具产出!$D$59:$D$67,载具产出!$E$59:$E$67))/10*(10*OFFSET(载具产出!$D$45,MATCH(AN$6,$AK$6:$AN$6,0)-1,$AJ164)+OFFSET(载具产出!$D$49,MATCH(AN$6,$AK$6:$AN$6,0)-1,$AJ164)*OFFSET(载具产出!$N$49,MATCH(AN$6,$AK$6:$AN$6,0)-1,0)))</f>
        <v>215.021285714287</v>
      </c>
      <c r="AO164" s="44">
        <f ca="1" t="shared" si="22"/>
        <v>4382.25742857144</v>
      </c>
      <c r="AP164" s="44">
        <f ca="1" t="shared" si="23"/>
        <v>2371.97523809524</v>
      </c>
      <c r="AQ164" s="44">
        <f ca="1" t="shared" si="24"/>
        <v>857.473523809527</v>
      </c>
      <c r="AR164" s="44">
        <f ca="1" t="shared" si="25"/>
        <v>215.021285714287</v>
      </c>
      <c r="AS164" s="45">
        <f ca="1">IFERROR(MATCH(AO164/载具产出!R$58,载具属性!$G$33:$G$92,1),0)</f>
        <v>31</v>
      </c>
      <c r="AT164" s="45">
        <f ca="1">IFERROR(MATCH(AP164/载具产出!S$58,载具属性!$G$33:$G$92,1),0)</f>
        <v>21</v>
      </c>
      <c r="AU164" s="45">
        <f ca="1">IFERROR(MATCH(AQ164/载具产出!T$58,载具属性!$G$33:$G$92,1),0)</f>
        <v>12</v>
      </c>
      <c r="AV164" s="45">
        <f ca="1">IFERROR(MATCH(AR164/载具产出!U$58,载具属性!$G$33:$G$92,1),0)</f>
        <v>4</v>
      </c>
      <c r="AW164" s="46" t="str">
        <f ca="1" t="shared" si="26"/>
        <v>[{62,889},{63,103155},{2,290900},{6030001,2795},{6030002,2993},{6030003,417}]</v>
      </c>
      <c r="AX164" t="str">
        <f ca="1" t="shared" si="27"/>
        <v>{62,889}</v>
      </c>
      <c r="AY164" t="str">
        <f ca="1" t="shared" si="28"/>
        <v>{63,103155}</v>
      </c>
      <c r="AZ164" t="str">
        <f ca="1" t="shared" si="29"/>
        <v>{2,290900}</v>
      </c>
      <c r="BA164" t="str">
        <f ca="1" t="shared" si="30"/>
        <v>{6030001,2795}</v>
      </c>
      <c r="BB164" t="str">
        <f ca="1" t="shared" si="31"/>
        <v>{6030002,2993}</v>
      </c>
      <c r="BC164" t="str">
        <f ca="1" t="shared" si="32"/>
        <v>{6030003,417}</v>
      </c>
      <c r="BD164" t="str">
        <f ca="1" t="shared" si="33"/>
        <v/>
      </c>
    </row>
    <row r="165" spans="3:56">
      <c r="C165">
        <f ca="1" t="shared" ref="C165:C228" si="39">W165/G165</f>
        <v>119.221556886228</v>
      </c>
      <c r="D165" s="40">
        <v>159</v>
      </c>
      <c r="E165" s="40">
        <f t="shared" si="36"/>
        <v>115</v>
      </c>
      <c r="F165" s="40">
        <v>135</v>
      </c>
      <c r="G165" s="41">
        <f t="shared" ref="G165:G196" si="40">G163+1</f>
        <v>167</v>
      </c>
      <c r="H165" s="40">
        <f>H164+1</f>
        <v>222</v>
      </c>
      <c r="I165" s="40">
        <f t="shared" si="38"/>
        <v>344</v>
      </c>
      <c r="J165" s="40">
        <f t="shared" si="37"/>
        <v>322</v>
      </c>
      <c r="K165" s="40">
        <f ca="1">SUM(U$36:U165)-SUM(OFFSET(载具产出!H$399,0,0,$R165+1,1))</f>
        <v>895</v>
      </c>
      <c r="L165" s="40">
        <f ca="1">SUM(T$36:T165)-SUM(OFFSET(载具产出!G$399,0,0,$R165+1,1))</f>
        <v>103090</v>
      </c>
      <c r="M165" s="40">
        <f ca="1">SUM(V$36:V165)/2-SUM(OFFSET(载具产出!I$399,0,0,$R165+1,1))</f>
        <v>287300</v>
      </c>
      <c r="N165" s="40">
        <f ca="1">SUM(AA$36:AA165)-SUM(OFFSET(载具产出!J$399,0,0,$R165+1,1))</f>
        <v>2804.6</v>
      </c>
      <c r="O165" s="40">
        <f ca="1">SUM(AB$36:AB165)-SUM(OFFSET(载具产出!K$399,0,0,$R165+1,1))</f>
        <v>3002.59999999999</v>
      </c>
      <c r="P165" s="40">
        <f ca="1">SUM(AC$36:AC165)-SUM(OFFSET(载具产出!L$399,0,0,$R165+1,1))</f>
        <v>420.8</v>
      </c>
      <c r="Q165" s="40">
        <f ca="1">SUM(AD$36:AD165)-SUM(OFFSET(载具产出!M$399,0,0,$R165+1,1))</f>
        <v>0</v>
      </c>
      <c r="R165" s="40">
        <v>15</v>
      </c>
      <c r="S165" s="40" t="str">
        <f ca="1">OFFSET(载具产出!$D$111,IFERROR(MATCH(OFFSET($D165,0,MATCH($D$5,$E$6:$H$6,0)),载具产出!$E$112:$E$151,1),0),0)</f>
        <v>珍惜Ⅲ</v>
      </c>
      <c r="T165" s="40">
        <f ca="1">OFFSET(载具产出!$F$399,IFERROR(MATCH(OFFSET($D165,0,MATCH($D$5,$E$6:$H$6,0)),载具产出!$E$400:$E$439,1),0),MATCH(T$6,载具产出!$G$399:$O$399,0))</f>
        <v>1000</v>
      </c>
      <c r="U165" s="40">
        <v>7</v>
      </c>
      <c r="V165" s="40">
        <f ca="1">OFFSET(载具产出!$F$399,IFERROR(MATCH(OFFSET($D165,0,MATCH($D$5,$E$6:$H$6,0)),载具产出!$E$400:$E$439,1),0),MATCH(V$6,载具产出!$G$399:$O$399,0))</f>
        <v>6400</v>
      </c>
      <c r="W165" s="43">
        <f ca="1">_xlfn.XLOOKUP(Z165,载具属性!$E$98:$E$497,载具属性!$G$98:$G$497)+6000+OFFSET(载具属性!L$33,AS165,0)*载具属性!M$30+OFFSET(载具属性!M$33,AT165,0)*载具属性!N$30+OFFSET(载具属性!N$33,AU165,0)*载具属性!O$30+OFFSET(载具属性!O$33,AV165,0)*载具属性!P$30</f>
        <v>19910</v>
      </c>
      <c r="X165" s="43">
        <f ca="1">_xlfn.XLOOKUP(Z165,载具属性!$E$98:$E$497,载具属性!$G$98:$G$497)</f>
        <v>8330</v>
      </c>
      <c r="Y165" s="43">
        <f ca="1">OFFSET(载具属性!L$33,AS165,0)*载具属性!M$30+OFFSET(载具属性!M$33,AT165,0)*载具属性!N$30+OFFSET(载具属性!N$33,AU165,0)*载具属性!O$30+OFFSET(载具属性!O$33,AV165,0)*载具属性!P$30</f>
        <v>5580</v>
      </c>
      <c r="Z165" s="40">
        <f ca="1">MATCH(SUM($T$7:T165),载具属性!$I$98:$I$497,1)</f>
        <v>131</v>
      </c>
      <c r="AA165" s="40">
        <f ca="1">OFFSET(载具产出!$F$399,IFERROR(MATCH(OFFSET($D165,0,MATCH($D$5,$E$6:$H$6,0)),载具产出!$E$112:$E$151,1),0),MATCH(AA$6,载具产出!$G$111:$O$111,0))*2</f>
        <v>18</v>
      </c>
      <c r="AB165" s="40">
        <f ca="1">OFFSET(载具产出!$F$399,IFERROR(MATCH(OFFSET($D165,0,MATCH($D$5,$E$6:$H$6,0)),载具产出!$E$112:$E$151,1),0),MATCH(AB$6,载具产出!$G$111:$O$111,0))*2</f>
        <v>19.68</v>
      </c>
      <c r="AC165" s="40">
        <f ca="1">OFFSET(载具产出!$F$399,IFERROR(MATCH(OFFSET($D165,0,MATCH($D$5,$E$6:$H$6,0)),载具产出!$E$112:$E$151,1),0),MATCH(AC$6,载具产出!$G$111:$O$111,0))*2</f>
        <v>10.32</v>
      </c>
      <c r="AD165" s="40">
        <f ca="1">OFFSET(载具产出!$F$399,IFERROR(MATCH(OFFSET($D165,0,MATCH($D$5,$E$6:$H$6,0)),载具产出!$E$112:$E$151,1),0),MATCH(AD$6,载具产出!$G$111:$O$111,0))*2</f>
        <v>0</v>
      </c>
      <c r="AE165" s="44">
        <f ca="1">SUM(AA$36:AA165)/3</f>
        <v>998.8</v>
      </c>
      <c r="AF165" s="44">
        <f ca="1">SUM(AB$36:AB165)/3</f>
        <v>1050.98666666666</v>
      </c>
      <c r="AG165" s="44">
        <f ca="1">SUM(AC$36:AC165)/3</f>
        <v>149.546666666667</v>
      </c>
      <c r="AH165" s="44">
        <f ca="1">SUM(AD$36:AD165)/3</f>
        <v>0</v>
      </c>
      <c r="AI165" s="44">
        <f>_xlfn.XLOOKUP($D$5,载具产出!$D$71:$D$75,载具产出!$E$71:$E$75)*(D165-30+1)</f>
        <v>1529.04761904762</v>
      </c>
      <c r="AJ165" s="44">
        <f>IFERROR(MATCH(_xlfn.XLOOKUP($D$5,载具产出!$D$71:$D$75,载具产出!$E$71:$E$75)*(D165-30+1)*10,载具产出!$E$60:$E$67,1),0)+1</f>
        <v>7</v>
      </c>
      <c r="AK165" s="44">
        <f ca="1">IF($AJ165=1,($AI165)*(10*OFFSET(载具产出!$D$45,MATCH(AK$6,$AK$6:$AN$6,0)-1,$AJ165)+OFFSET(载具产出!$D$49,MATCH(AK$6,$AK$6:$AN$6,0)-1,$AJ165)*OFFSET(载具产出!$N$49,MATCH(AK$6,$AK$6:$AN$6,0)-1,0)),OFFSET(载具产出!F$59,$AJ165-1,0)*10+OFFSET(载具产出!J$59,$AJ165-1,0)+($AI165*10-_xlfn.XLOOKUP($AJ165-1,载具产出!$D$59:$D$67,载具产出!$E$59:$E$67))/10*(10*OFFSET(载具产出!$D$45,MATCH(AK$6,$AK$6:$AN$6,0)-1,$AJ165)+OFFSET(载具产出!$D$49,MATCH(AK$6,$AK$6:$AN$6,0)-1,$AJ165)*OFFSET(载具产出!$N$49,MATCH(AK$6,$AK$6:$AN$6,0)-1,0)))</f>
        <v>3414.29857142857</v>
      </c>
      <c r="AL165" s="44">
        <f ca="1">IF($AJ165=1,($AI165)*(10*OFFSET(载具产出!$D$45,MATCH(AL$6,$AK$6:$AN$6,0)-1,$AJ165)+OFFSET(载具产出!$D$49,MATCH(AL$6,$AK$6:$AN$6,0)-1,$AJ165)*OFFSET(载具产出!$N$49,MATCH(AL$6,$AK$6:$AN$6,0)-1,0)),OFFSET(载具产出!G$59,$AJ165-1,0)*10+OFFSET(载具产出!K$59,$AJ165-1,0)+($AI165*10-_xlfn.XLOOKUP($AJ165-1,载具产出!$D$59:$D$67,载具产出!$E$59:$E$67))/10*(10*OFFSET(载具产出!$D$45,MATCH(AL$6,$AK$6:$AN$6,0)-1,$AJ165)+OFFSET(载具产出!$D$49,MATCH(AL$6,$AK$6:$AN$6,0)-1,$AJ165)*OFFSET(载具产出!$N$49,MATCH(AL$6,$AK$6:$AN$6,0)-1,0)))</f>
        <v>1338.60476190476</v>
      </c>
      <c r="AM165" s="44">
        <f ca="1">IF($AJ165=1,($AI165)*(10*OFFSET(载具产出!$D$45,MATCH(AM$6,$AK$6:$AN$6,0)-1,$AJ165)+OFFSET(载具产出!$D$49,MATCH(AM$6,$AK$6:$AN$6,0)-1,$AJ165)*OFFSET(载具产出!$N$49,MATCH(AM$6,$AK$6:$AN$6,0)-1,0)),OFFSET(载具产出!H$59,$AJ165-1,0)*10+OFFSET(载具产出!L$59,$AJ165-1,0)+($AI165*10-_xlfn.XLOOKUP($AJ165-1,载具产出!$D$59:$D$67,载具产出!$E$59:$E$67))/10*(10*OFFSET(载具产出!$D$45,MATCH(AM$6,$AK$6:$AN$6,0)-1,$AJ165)+OFFSET(载具产出!$D$49,MATCH(AM$6,$AK$6:$AN$6,0)-1,$AJ165)*OFFSET(载具产出!$N$49,MATCH(AM$6,$AK$6:$AN$6,0)-1,0)))</f>
        <v>717.577142857143</v>
      </c>
      <c r="AN165" s="44">
        <f ca="1">IF($AJ165=1,($AI165)*(10*OFFSET(载具产出!$D$45,MATCH(AN$6,$AK$6:$AN$6,0)-1,$AJ165)+OFFSET(载具产出!$D$49,MATCH(AN$6,$AK$6:$AN$6,0)-1,$AJ165)*OFFSET(载具产出!$N$49,MATCH(AN$6,$AK$6:$AN$6,0)-1,0)),OFFSET(载具产出!I$59,$AJ165-1,0)*10+OFFSET(载具产出!M$59,$AJ165-1,0)+($AI165*10-_xlfn.XLOOKUP($AJ165-1,载具产出!$D$59:$D$67,载具产出!$E$59:$E$67))/10*(10*OFFSET(载具产出!$D$45,MATCH(AN$6,$AK$6:$AN$6,0)-1,$AJ165)+OFFSET(载具产出!$D$49,MATCH(AN$6,$AK$6:$AN$6,0)-1,$AJ165)*OFFSET(载具产出!$N$49,MATCH(AN$6,$AK$6:$AN$6,0)-1,0)))</f>
        <v>217.009047619048</v>
      </c>
      <c r="AO165" s="44">
        <f ca="1" t="shared" ref="AO165:AO228" si="41">AE165+AK165</f>
        <v>4413.09857142857</v>
      </c>
      <c r="AP165" s="44">
        <f ca="1" t="shared" ref="AP165:AP228" si="42">AF165+AL165</f>
        <v>2389.59142857143</v>
      </c>
      <c r="AQ165" s="44">
        <f ca="1" t="shared" ref="AQ165:AQ228" si="43">AG165+AM165</f>
        <v>867.12380952381</v>
      </c>
      <c r="AR165" s="44">
        <f ca="1" t="shared" ref="AR165:AR228" si="44">AH165+AN165</f>
        <v>217.009047619048</v>
      </c>
      <c r="AS165" s="45">
        <f ca="1">IFERROR(MATCH(AO165/载具产出!R$58,载具属性!$G$33:$G$92,1),0)</f>
        <v>31</v>
      </c>
      <c r="AT165" s="45">
        <f ca="1">IFERROR(MATCH(AP165/载具产出!S$58,载具属性!$G$33:$G$92,1),0)</f>
        <v>22</v>
      </c>
      <c r="AU165" s="45">
        <f ca="1">IFERROR(MATCH(AQ165/载具产出!T$58,载具属性!$G$33:$G$92,1),0)</f>
        <v>12</v>
      </c>
      <c r="AV165" s="45">
        <f ca="1">IFERROR(MATCH(AR165/载具产出!U$58,载具属性!$G$33:$G$92,1),0)</f>
        <v>4</v>
      </c>
      <c r="AW165" s="46" t="str">
        <f ca="1" t="shared" ref="AW165:AW228" si="45">"["&amp;_xlfn.TEXTJOIN(",",1,AX165:BD165)&amp;"]"</f>
        <v>[{62,895},{63,103090},{2,287300},{6030001,2804},{6030002,3002},{6030003,420}]</v>
      </c>
      <c r="AX165" t="str">
        <f ca="1" t="shared" ref="AX165:AX228" si="46">IF(INT(K165)&lt;=0,"","{"&amp;K$5&amp;","&amp;INT(K165)&amp;"}")</f>
        <v>{62,895}</v>
      </c>
      <c r="AY165" t="str">
        <f ca="1" t="shared" ref="AY165:AY228" si="47">IF(INT(L165)&lt;=0,"","{"&amp;L$5&amp;","&amp;INT(L165)&amp;"}")</f>
        <v>{63,103090}</v>
      </c>
      <c r="AZ165" t="str">
        <f ca="1" t="shared" ref="AZ165:AZ228" si="48">IF(INT(M165)&lt;=0,"","{"&amp;M$5&amp;","&amp;INT(M165)&amp;"}")</f>
        <v>{2,287300}</v>
      </c>
      <c r="BA165" t="str">
        <f ca="1" t="shared" ref="BA165:BA228" si="49">IF(INT(N165)&lt;=0,"","{"&amp;N$5&amp;","&amp;INT(N165)&amp;"}")</f>
        <v>{6030001,2804}</v>
      </c>
      <c r="BB165" t="str">
        <f ca="1" t="shared" ref="BB165:BB228" si="50">IF(INT(O165)&lt;=0,"","{"&amp;O$5&amp;","&amp;INT(O165)&amp;"}")</f>
        <v>{6030002,3002}</v>
      </c>
      <c r="BC165" t="str">
        <f ca="1" t="shared" ref="BC165:BC228" si="51">IF(INT(P165)&lt;=0,"","{"&amp;P$5&amp;","&amp;INT(P165)&amp;"}")</f>
        <v>{6030003,420}</v>
      </c>
      <c r="BD165" t="str">
        <f ca="1" t="shared" ref="BD165:BD228" si="52">IF(INT(Q165)&lt;=0,"","{"&amp;Q$5&amp;","&amp;INT(Q165)&amp;"}")</f>
        <v/>
      </c>
    </row>
    <row r="166" spans="3:56">
      <c r="C166">
        <f ca="1" t="shared" si="39"/>
        <v>118.869047619048</v>
      </c>
      <c r="D166" s="40">
        <v>160</v>
      </c>
      <c r="E166" s="40">
        <f t="shared" ref="E166:E197" si="53">F165-20</f>
        <v>115</v>
      </c>
      <c r="F166" s="40">
        <v>135</v>
      </c>
      <c r="G166" s="41">
        <f t="shared" si="40"/>
        <v>168</v>
      </c>
      <c r="H166" s="40">
        <f>H165</f>
        <v>222</v>
      </c>
      <c r="I166" s="40">
        <f t="shared" si="38"/>
        <v>346</v>
      </c>
      <c r="J166" s="40">
        <f t="shared" si="37"/>
        <v>325</v>
      </c>
      <c r="K166" s="40">
        <f ca="1">SUM(U$36:U166)-SUM(OFFSET(载具产出!H$399,0,0,$R166+1,1))</f>
        <v>902</v>
      </c>
      <c r="L166" s="40">
        <f ca="1">SUM(T$36:T166)-SUM(OFFSET(载具产出!G$399,0,0,$R166+1,1))</f>
        <v>104090</v>
      </c>
      <c r="M166" s="40">
        <f ca="1">SUM(V$36:V166)/2-SUM(OFFSET(载具产出!I$399,0,0,$R166+1,1))</f>
        <v>290500</v>
      </c>
      <c r="N166" s="40">
        <f ca="1">SUM(AA$36:AA166)-SUM(OFFSET(载具产出!J$399,0,0,$R166+1,1))</f>
        <v>2822.6</v>
      </c>
      <c r="O166" s="40">
        <f ca="1">SUM(AB$36:AB166)-SUM(OFFSET(载具产出!K$399,0,0,$R166+1,1))</f>
        <v>3022.27999999999</v>
      </c>
      <c r="P166" s="40">
        <f ca="1">SUM(AC$36:AC166)-SUM(OFFSET(载具产出!L$399,0,0,$R166+1,1))</f>
        <v>431.12</v>
      </c>
      <c r="Q166" s="40">
        <f ca="1">SUM(AD$36:AD166)-SUM(OFFSET(载具产出!M$399,0,0,$R166+1,1))</f>
        <v>0</v>
      </c>
      <c r="R166" s="40">
        <v>15</v>
      </c>
      <c r="S166" s="40" t="str">
        <f ca="1">OFFSET(载具产出!$D$111,IFERROR(MATCH(OFFSET($D166,0,MATCH($D$5,$E$6:$H$6,0)),载具产出!$E$112:$E$151,1),0),0)</f>
        <v>珍惜Ⅲ</v>
      </c>
      <c r="T166" s="40">
        <f ca="1">OFFSET(载具产出!$F$399,IFERROR(MATCH(OFFSET($D166,0,MATCH($D$5,$E$6:$H$6,0)),载具产出!$E$400:$E$439,1),0),MATCH(T$6,载具产出!$G$399:$O$399,0))</f>
        <v>1000</v>
      </c>
      <c r="U166" s="40">
        <v>7</v>
      </c>
      <c r="V166" s="40">
        <f ca="1">OFFSET(载具产出!$F$399,IFERROR(MATCH(OFFSET($D166,0,MATCH($D$5,$E$6:$H$6,0)),载具产出!$E$400:$E$439,1),0),MATCH(V$6,载具产出!$G$399:$O$399,0))</f>
        <v>6400</v>
      </c>
      <c r="W166" s="43">
        <f ca="1">_xlfn.XLOOKUP(Z166,载具属性!$E$98:$E$497,载具属性!$G$98:$G$497)+6000+OFFSET(载具属性!L$33,AS166,0)*载具属性!M$30+OFFSET(载具属性!M$33,AT166,0)*载具属性!N$30+OFFSET(载具属性!N$33,AU166,0)*载具属性!O$30+OFFSET(载具属性!O$33,AV166,0)*载具属性!P$30</f>
        <v>19970</v>
      </c>
      <c r="X166" s="43">
        <f ca="1">_xlfn.XLOOKUP(Z166,载具属性!$E$98:$E$497,载具属性!$G$98:$G$497)</f>
        <v>8330</v>
      </c>
      <c r="Y166" s="43">
        <f ca="1">OFFSET(载具属性!L$33,AS166,0)*载具属性!M$30+OFFSET(载具属性!M$33,AT166,0)*载具属性!N$30+OFFSET(载具属性!N$33,AU166,0)*载具属性!O$30+OFFSET(载具属性!O$33,AV166,0)*载具属性!P$30</f>
        <v>5640</v>
      </c>
      <c r="Z166" s="40">
        <f ca="1">MATCH(SUM($T$7:T166),载具属性!$I$98:$I$497,1)</f>
        <v>131</v>
      </c>
      <c r="AA166" s="40">
        <f ca="1">OFFSET(载具产出!$F$399,IFERROR(MATCH(OFFSET($D166,0,MATCH($D$5,$E$6:$H$6,0)),载具产出!$E$112:$E$151,1),0),MATCH(AA$6,载具产出!$G$111:$O$111,0))*2</f>
        <v>18</v>
      </c>
      <c r="AB166" s="40">
        <f ca="1">OFFSET(载具产出!$F$399,IFERROR(MATCH(OFFSET($D166,0,MATCH($D$5,$E$6:$H$6,0)),载具产出!$E$112:$E$151,1),0),MATCH(AB$6,载具产出!$G$111:$O$111,0))*2</f>
        <v>19.68</v>
      </c>
      <c r="AC166" s="40">
        <f ca="1">OFFSET(载具产出!$F$399,IFERROR(MATCH(OFFSET($D166,0,MATCH($D$5,$E$6:$H$6,0)),载具产出!$E$112:$E$151,1),0),MATCH(AC$6,载具产出!$G$111:$O$111,0))*2</f>
        <v>10.32</v>
      </c>
      <c r="AD166" s="40">
        <f ca="1">OFFSET(载具产出!$F$399,IFERROR(MATCH(OFFSET($D166,0,MATCH($D$5,$E$6:$H$6,0)),载具产出!$E$112:$E$151,1),0),MATCH(AD$6,载具产出!$G$111:$O$111,0))*2</f>
        <v>0</v>
      </c>
      <c r="AE166" s="44">
        <f ca="1">SUM(AA$36:AA166)/3</f>
        <v>1004.8</v>
      </c>
      <c r="AF166" s="44">
        <f ca="1">SUM(AB$36:AB166)/3</f>
        <v>1057.54666666666</v>
      </c>
      <c r="AG166" s="44">
        <f ca="1">SUM(AC$36:AC166)/3</f>
        <v>152.986666666667</v>
      </c>
      <c r="AH166" s="44">
        <f ca="1">SUM(AD$36:AD166)/3</f>
        <v>0</v>
      </c>
      <c r="AI166" s="44">
        <f>_xlfn.XLOOKUP($D$5,载具产出!$D$71:$D$75,载具产出!$E$71:$E$75)*(D166-30+1)</f>
        <v>1540.80952380953</v>
      </c>
      <c r="AJ166" s="44">
        <f>IFERROR(MATCH(_xlfn.XLOOKUP($D$5,载具产出!$D$71:$D$75,载具产出!$E$71:$E$75)*(D166-30+1)*10,载具产出!$E$60:$E$67,1),0)+1</f>
        <v>7</v>
      </c>
      <c r="AK166" s="44">
        <f ca="1">IF($AJ166=1,($AI166)*(10*OFFSET(载具产出!$D$45,MATCH(AK$6,$AK$6:$AN$6,0)-1,$AJ166)+OFFSET(载具产出!$D$49,MATCH(AK$6,$AK$6:$AN$6,0)-1,$AJ166)*OFFSET(载具产出!$N$49,MATCH(AK$6,$AK$6:$AN$6,0)-1,0)),OFFSET(载具产出!F$59,$AJ166-1,0)*10+OFFSET(载具产出!J$59,$AJ166-1,0)+($AI166*10-_xlfn.XLOOKUP($AJ166-1,载具产出!$D$59:$D$67,载具产出!$E$59:$E$67))/10*(10*OFFSET(载具产出!$D$45,MATCH(AK$6,$AK$6:$AN$6,0)-1,$AJ166)+OFFSET(载具产出!$D$49,MATCH(AK$6,$AK$6:$AN$6,0)-1,$AJ166)*OFFSET(载具产出!$N$49,MATCH(AK$6,$AK$6:$AN$6,0)-1,0)))</f>
        <v>3439.13971428573</v>
      </c>
      <c r="AL166" s="44">
        <f ca="1">IF($AJ166=1,($AI166)*(10*OFFSET(载具产出!$D$45,MATCH(AL$6,$AK$6:$AN$6,0)-1,$AJ166)+OFFSET(载具产出!$D$49,MATCH(AL$6,$AK$6:$AN$6,0)-1,$AJ166)*OFFSET(载具产出!$N$49,MATCH(AL$6,$AK$6:$AN$6,0)-1,0)),OFFSET(载具产出!G$59,$AJ166-1,0)*10+OFFSET(载具产出!K$59,$AJ166-1,0)+($AI166*10-_xlfn.XLOOKUP($AJ166-1,载具产出!$D$59:$D$67,载具产出!$E$59:$E$67))/10*(10*OFFSET(载具产出!$D$45,MATCH(AL$6,$AK$6:$AN$6,0)-1,$AJ166)+OFFSET(载具产出!$D$49,MATCH(AL$6,$AK$6:$AN$6,0)-1,$AJ166)*OFFSET(载具产出!$N$49,MATCH(AL$6,$AK$6:$AN$6,0)-1,0)))</f>
        <v>1349.66095238096</v>
      </c>
      <c r="AM166" s="44">
        <f ca="1">IF($AJ166=1,($AI166)*(10*OFFSET(载具产出!$D$45,MATCH(AM$6,$AK$6:$AN$6,0)-1,$AJ166)+OFFSET(载具产出!$D$49,MATCH(AM$6,$AK$6:$AN$6,0)-1,$AJ166)*OFFSET(载具产出!$N$49,MATCH(AM$6,$AK$6:$AN$6,0)-1,0)),OFFSET(载具产出!H$59,$AJ166-1,0)*10+OFFSET(载具产出!L$59,$AJ166-1,0)+($AI166*10-_xlfn.XLOOKUP($AJ166-1,载具产出!$D$59:$D$67,载具产出!$E$59:$E$67))/10*(10*OFFSET(载具产出!$D$45,MATCH(AM$6,$AK$6:$AN$6,0)-1,$AJ166)+OFFSET(载具产出!$D$49,MATCH(AM$6,$AK$6:$AN$6,0)-1,$AJ166)*OFFSET(载具产出!$N$49,MATCH(AM$6,$AK$6:$AN$6,0)-1,0)))</f>
        <v>723.787428571432</v>
      </c>
      <c r="AN166" s="44">
        <f ca="1">IF($AJ166=1,($AI166)*(10*OFFSET(载具产出!$D$45,MATCH(AN$6,$AK$6:$AN$6,0)-1,$AJ166)+OFFSET(载具产出!$D$49,MATCH(AN$6,$AK$6:$AN$6,0)-1,$AJ166)*OFFSET(载具产出!$N$49,MATCH(AN$6,$AK$6:$AN$6,0)-1,0)),OFFSET(载具产出!I$59,$AJ166-1,0)*10+OFFSET(载具产出!M$59,$AJ166-1,0)+($AI166*10-_xlfn.XLOOKUP($AJ166-1,载具产出!$D$59:$D$67,载具产出!$E$59:$E$67))/10*(10*OFFSET(载具产出!$D$45,MATCH(AN$6,$AK$6:$AN$6,0)-1,$AJ166)+OFFSET(载具产出!$D$49,MATCH(AN$6,$AK$6:$AN$6,0)-1,$AJ166)*OFFSET(载具产出!$N$49,MATCH(AN$6,$AK$6:$AN$6,0)-1,0)))</f>
        <v>218.996809523811</v>
      </c>
      <c r="AO166" s="44">
        <f ca="1" t="shared" si="41"/>
        <v>4443.93971428573</v>
      </c>
      <c r="AP166" s="44">
        <f ca="1" t="shared" si="42"/>
        <v>2407.20761904762</v>
      </c>
      <c r="AQ166" s="44">
        <f ca="1" t="shared" si="43"/>
        <v>876.774095238098</v>
      </c>
      <c r="AR166" s="44">
        <f ca="1" t="shared" si="44"/>
        <v>218.996809523811</v>
      </c>
      <c r="AS166" s="45">
        <f ca="1">IFERROR(MATCH(AO166/载具产出!R$58,载具属性!$G$33:$G$92,1),0)</f>
        <v>32</v>
      </c>
      <c r="AT166" s="45">
        <f ca="1">IFERROR(MATCH(AP166/载具产出!S$58,载具属性!$G$33:$G$92,1),0)</f>
        <v>22</v>
      </c>
      <c r="AU166" s="45">
        <f ca="1">IFERROR(MATCH(AQ166/载具产出!T$58,载具属性!$G$33:$G$92,1),0)</f>
        <v>12</v>
      </c>
      <c r="AV166" s="45">
        <f ca="1">IFERROR(MATCH(AR166/载具产出!U$58,载具属性!$G$33:$G$92,1),0)</f>
        <v>4</v>
      </c>
      <c r="AW166" s="46" t="str">
        <f ca="1" t="shared" si="45"/>
        <v>[{62,902},{63,104090},{2,290500},{6030001,2822},{6030002,3022},{6030003,431}]</v>
      </c>
      <c r="AX166" t="str">
        <f ca="1" t="shared" si="46"/>
        <v>{62,902}</v>
      </c>
      <c r="AY166" t="str">
        <f ca="1" t="shared" si="47"/>
        <v>{63,104090}</v>
      </c>
      <c r="AZ166" t="str">
        <f ca="1" t="shared" si="48"/>
        <v>{2,290500}</v>
      </c>
      <c r="BA166" t="str">
        <f ca="1" t="shared" si="49"/>
        <v>{6030001,2822}</v>
      </c>
      <c r="BB166" t="str">
        <f ca="1" t="shared" si="50"/>
        <v>{6030002,3022}</v>
      </c>
      <c r="BC166" t="str">
        <f ca="1" t="shared" si="51"/>
        <v>{6030003,431}</v>
      </c>
      <c r="BD166" t="str">
        <f ca="1" t="shared" si="52"/>
        <v/>
      </c>
    </row>
    <row r="167" spans="3:56">
      <c r="C167">
        <f ca="1" t="shared" si="39"/>
        <v>119.345238095238</v>
      </c>
      <c r="D167" s="40">
        <v>161</v>
      </c>
      <c r="E167" s="40">
        <f t="shared" si="53"/>
        <v>115</v>
      </c>
      <c r="F167" s="40">
        <v>135</v>
      </c>
      <c r="G167" s="41">
        <f t="shared" si="40"/>
        <v>168</v>
      </c>
      <c r="H167" s="40">
        <f>H166+1</f>
        <v>223</v>
      </c>
      <c r="I167" s="40">
        <f t="shared" si="38"/>
        <v>348</v>
      </c>
      <c r="J167" s="40">
        <f t="shared" si="37"/>
        <v>328</v>
      </c>
      <c r="K167" s="40">
        <f ca="1">SUM(U$36:U167)-SUM(OFFSET(载具产出!H$399,0,0,$R167+1,1))</f>
        <v>909</v>
      </c>
      <c r="L167" s="40">
        <f ca="1">SUM(T$36:T167)-SUM(OFFSET(载具产出!G$399,0,0,$R167+1,1))</f>
        <v>105090</v>
      </c>
      <c r="M167" s="40">
        <f ca="1">SUM(V$36:V167)/2-SUM(OFFSET(载具产出!I$399,0,0,$R167+1,1))</f>
        <v>293700</v>
      </c>
      <c r="N167" s="40">
        <f ca="1">SUM(AA$36:AA167)-SUM(OFFSET(载具产出!J$399,0,0,$R167+1,1))</f>
        <v>2840.6</v>
      </c>
      <c r="O167" s="40">
        <f ca="1">SUM(AB$36:AB167)-SUM(OFFSET(载具产出!K$399,0,0,$R167+1,1))</f>
        <v>3041.95999999999</v>
      </c>
      <c r="P167" s="40">
        <f ca="1">SUM(AC$36:AC167)-SUM(OFFSET(载具产出!L$399,0,0,$R167+1,1))</f>
        <v>441.44</v>
      </c>
      <c r="Q167" s="40">
        <f ca="1">SUM(AD$36:AD167)-SUM(OFFSET(载具产出!M$399,0,0,$R167+1,1))</f>
        <v>0</v>
      </c>
      <c r="R167" s="40">
        <v>15</v>
      </c>
      <c r="S167" s="40" t="str">
        <f ca="1">OFFSET(载具产出!$D$111,IFERROR(MATCH(OFFSET($D167,0,MATCH($D$5,$E$6:$H$6,0)),载具产出!$E$112:$E$151,1),0),0)</f>
        <v>珍惜Ⅲ</v>
      </c>
      <c r="T167" s="40">
        <f ca="1">OFFSET(载具产出!$F$399,IFERROR(MATCH(OFFSET($D167,0,MATCH($D$5,$E$6:$H$6,0)),载具产出!$E$400:$E$439,1),0),MATCH(T$6,载具产出!$G$399:$O$399,0))</f>
        <v>1000</v>
      </c>
      <c r="U167" s="40">
        <v>7</v>
      </c>
      <c r="V167" s="40">
        <f ca="1">OFFSET(载具产出!$F$399,IFERROR(MATCH(OFFSET($D167,0,MATCH($D$5,$E$6:$H$6,0)),载具产出!$E$400:$E$439,1),0),MATCH(V$6,载具产出!$G$399:$O$399,0))</f>
        <v>6400</v>
      </c>
      <c r="W167" s="43">
        <f ca="1">_xlfn.XLOOKUP(Z167,载具属性!$E$98:$E$497,载具属性!$G$98:$G$497)+6000+OFFSET(载具属性!L$33,AS167,0)*载具属性!M$30+OFFSET(载具属性!M$33,AT167,0)*载具属性!N$30+OFFSET(载具属性!N$33,AU167,0)*载具属性!O$30+OFFSET(载具属性!O$33,AV167,0)*载具属性!P$30</f>
        <v>20050</v>
      </c>
      <c r="X167" s="43">
        <f ca="1">_xlfn.XLOOKUP(Z167,载具属性!$E$98:$E$497,载具属性!$G$98:$G$497)</f>
        <v>8410</v>
      </c>
      <c r="Y167" s="43">
        <f ca="1">OFFSET(载具属性!L$33,AS167,0)*载具属性!M$30+OFFSET(载具属性!M$33,AT167,0)*载具属性!N$30+OFFSET(载具属性!N$33,AU167,0)*载具属性!O$30+OFFSET(载具属性!O$33,AV167,0)*载具属性!P$30</f>
        <v>5640</v>
      </c>
      <c r="Z167" s="40">
        <f ca="1">MATCH(SUM($T$7:T167),载具属性!$I$98:$I$497,1)</f>
        <v>132</v>
      </c>
      <c r="AA167" s="40">
        <f ca="1">OFFSET(载具产出!$F$399,IFERROR(MATCH(OFFSET($D167,0,MATCH($D$5,$E$6:$H$6,0)),载具产出!$E$112:$E$151,1),0),MATCH(AA$6,载具产出!$G$111:$O$111,0))*2</f>
        <v>18</v>
      </c>
      <c r="AB167" s="40">
        <f ca="1">OFFSET(载具产出!$F$399,IFERROR(MATCH(OFFSET($D167,0,MATCH($D$5,$E$6:$H$6,0)),载具产出!$E$112:$E$151,1),0),MATCH(AB$6,载具产出!$G$111:$O$111,0))*2</f>
        <v>19.68</v>
      </c>
      <c r="AC167" s="40">
        <f ca="1">OFFSET(载具产出!$F$399,IFERROR(MATCH(OFFSET($D167,0,MATCH($D$5,$E$6:$H$6,0)),载具产出!$E$112:$E$151,1),0),MATCH(AC$6,载具产出!$G$111:$O$111,0))*2</f>
        <v>10.32</v>
      </c>
      <c r="AD167" s="40">
        <f ca="1">OFFSET(载具产出!$F$399,IFERROR(MATCH(OFFSET($D167,0,MATCH($D$5,$E$6:$H$6,0)),载具产出!$E$112:$E$151,1),0),MATCH(AD$6,载具产出!$G$111:$O$111,0))*2</f>
        <v>0</v>
      </c>
      <c r="AE167" s="44">
        <f ca="1">SUM(AA$36:AA167)/3</f>
        <v>1010.8</v>
      </c>
      <c r="AF167" s="44">
        <f ca="1">SUM(AB$36:AB167)/3</f>
        <v>1064.10666666666</v>
      </c>
      <c r="AG167" s="44">
        <f ca="1">SUM(AC$36:AC167)/3</f>
        <v>156.426666666667</v>
      </c>
      <c r="AH167" s="44">
        <f ca="1">SUM(AD$36:AD167)/3</f>
        <v>0</v>
      </c>
      <c r="AI167" s="44">
        <f>_xlfn.XLOOKUP($D$5,载具产出!$D$71:$D$75,载具产出!$E$71:$E$75)*(D167-30+1)</f>
        <v>1552.57142857143</v>
      </c>
      <c r="AJ167" s="44">
        <f>IFERROR(MATCH(_xlfn.XLOOKUP($D$5,载具产出!$D$71:$D$75,载具产出!$E$71:$E$75)*(D167-30+1)*10,载具产出!$E$60:$E$67,1),0)+1</f>
        <v>7</v>
      </c>
      <c r="AK167" s="44">
        <f ca="1">IF($AJ167=1,($AI167)*(10*OFFSET(载具产出!$D$45,MATCH(AK$6,$AK$6:$AN$6,0)-1,$AJ167)+OFFSET(载具产出!$D$49,MATCH(AK$6,$AK$6:$AN$6,0)-1,$AJ167)*OFFSET(载具产出!$N$49,MATCH(AK$6,$AK$6:$AN$6,0)-1,0)),OFFSET(载具产出!F$59,$AJ167-1,0)*10+OFFSET(载具产出!J$59,$AJ167-1,0)+($AI167*10-_xlfn.XLOOKUP($AJ167-1,载具产出!$D$59:$D$67,载具产出!$E$59:$E$67))/10*(10*OFFSET(载具产出!$D$45,MATCH(AK$6,$AK$6:$AN$6,0)-1,$AJ167)+OFFSET(载具产出!$D$49,MATCH(AK$6,$AK$6:$AN$6,0)-1,$AJ167)*OFFSET(载具产出!$N$49,MATCH(AK$6,$AK$6:$AN$6,0)-1,0)))</f>
        <v>3463.98085714286</v>
      </c>
      <c r="AL167" s="44">
        <f ca="1">IF($AJ167=1,($AI167)*(10*OFFSET(载具产出!$D$45,MATCH(AL$6,$AK$6:$AN$6,0)-1,$AJ167)+OFFSET(载具产出!$D$49,MATCH(AL$6,$AK$6:$AN$6,0)-1,$AJ167)*OFFSET(载具产出!$N$49,MATCH(AL$6,$AK$6:$AN$6,0)-1,0)),OFFSET(载具产出!G$59,$AJ167-1,0)*10+OFFSET(载具产出!K$59,$AJ167-1,0)+($AI167*10-_xlfn.XLOOKUP($AJ167-1,载具产出!$D$59:$D$67,载具产出!$E$59:$E$67))/10*(10*OFFSET(载具产出!$D$45,MATCH(AL$6,$AK$6:$AN$6,0)-1,$AJ167)+OFFSET(载具产出!$D$49,MATCH(AL$6,$AK$6:$AN$6,0)-1,$AJ167)*OFFSET(载具产出!$N$49,MATCH(AL$6,$AK$6:$AN$6,0)-1,0)))</f>
        <v>1360.71714285714</v>
      </c>
      <c r="AM167" s="44">
        <f ca="1">IF($AJ167=1,($AI167)*(10*OFFSET(载具产出!$D$45,MATCH(AM$6,$AK$6:$AN$6,0)-1,$AJ167)+OFFSET(载具产出!$D$49,MATCH(AM$6,$AK$6:$AN$6,0)-1,$AJ167)*OFFSET(载具产出!$N$49,MATCH(AM$6,$AK$6:$AN$6,0)-1,0)),OFFSET(载具产出!H$59,$AJ167-1,0)*10+OFFSET(载具产出!L$59,$AJ167-1,0)+($AI167*10-_xlfn.XLOOKUP($AJ167-1,载具产出!$D$59:$D$67,载具产出!$E$59:$E$67))/10*(10*OFFSET(载具产出!$D$45,MATCH(AM$6,$AK$6:$AN$6,0)-1,$AJ167)+OFFSET(载具产出!$D$49,MATCH(AM$6,$AK$6:$AN$6,0)-1,$AJ167)*OFFSET(载具产出!$N$49,MATCH(AM$6,$AK$6:$AN$6,0)-1,0)))</f>
        <v>729.997714285715</v>
      </c>
      <c r="AN167" s="44">
        <f ca="1">IF($AJ167=1,($AI167)*(10*OFFSET(载具产出!$D$45,MATCH(AN$6,$AK$6:$AN$6,0)-1,$AJ167)+OFFSET(载具产出!$D$49,MATCH(AN$6,$AK$6:$AN$6,0)-1,$AJ167)*OFFSET(载具产出!$N$49,MATCH(AN$6,$AK$6:$AN$6,0)-1,0)),OFFSET(载具产出!I$59,$AJ167-1,0)*10+OFFSET(载具产出!M$59,$AJ167-1,0)+($AI167*10-_xlfn.XLOOKUP($AJ167-1,载具产出!$D$59:$D$67,载具产出!$E$59:$E$67))/10*(10*OFFSET(载具产出!$D$45,MATCH(AN$6,$AK$6:$AN$6,0)-1,$AJ167)+OFFSET(载具产出!$D$49,MATCH(AN$6,$AK$6:$AN$6,0)-1,$AJ167)*OFFSET(载具产出!$N$49,MATCH(AN$6,$AK$6:$AN$6,0)-1,0)))</f>
        <v>220.984571428572</v>
      </c>
      <c r="AO167" s="44">
        <f ca="1" t="shared" si="41"/>
        <v>4474.78085714286</v>
      </c>
      <c r="AP167" s="44">
        <f ca="1" t="shared" si="42"/>
        <v>2424.82380952381</v>
      </c>
      <c r="AQ167" s="44">
        <f ca="1" t="shared" si="43"/>
        <v>886.424380952382</v>
      </c>
      <c r="AR167" s="44">
        <f ca="1" t="shared" si="44"/>
        <v>220.984571428572</v>
      </c>
      <c r="AS167" s="45">
        <f ca="1">IFERROR(MATCH(AO167/载具产出!R$58,载具属性!$G$33:$G$92,1),0)</f>
        <v>32</v>
      </c>
      <c r="AT167" s="45">
        <f ca="1">IFERROR(MATCH(AP167/载具产出!S$58,载具属性!$G$33:$G$92,1),0)</f>
        <v>22</v>
      </c>
      <c r="AU167" s="45">
        <f ca="1">IFERROR(MATCH(AQ167/载具产出!T$58,载具属性!$G$33:$G$92,1),0)</f>
        <v>12</v>
      </c>
      <c r="AV167" s="45">
        <f ca="1">IFERROR(MATCH(AR167/载具产出!U$58,载具属性!$G$33:$G$92,1),0)</f>
        <v>4</v>
      </c>
      <c r="AW167" s="46" t="str">
        <f ca="1" t="shared" si="45"/>
        <v>[{62,909},{63,105090},{2,293700},{6030001,2840},{6030002,3041},{6030003,441}]</v>
      </c>
      <c r="AX167" t="str">
        <f ca="1" t="shared" si="46"/>
        <v>{62,909}</v>
      </c>
      <c r="AY167" t="str">
        <f ca="1" t="shared" si="47"/>
        <v>{63,105090}</v>
      </c>
      <c r="AZ167" t="str">
        <f ca="1" t="shared" si="48"/>
        <v>{2,293700}</v>
      </c>
      <c r="BA167" t="str">
        <f ca="1" t="shared" si="49"/>
        <v>{6030001,2840}</v>
      </c>
      <c r="BB167" t="str">
        <f ca="1" t="shared" si="50"/>
        <v>{6030002,3041}</v>
      </c>
      <c r="BC167" t="str">
        <f ca="1" t="shared" si="51"/>
        <v>{6030003,441}</v>
      </c>
      <c r="BD167" t="str">
        <f ca="1" t="shared" si="52"/>
        <v/>
      </c>
    </row>
    <row r="168" spans="3:56">
      <c r="C168">
        <f ca="1" t="shared" si="39"/>
        <v>119.112426035503</v>
      </c>
      <c r="D168" s="40">
        <v>162</v>
      </c>
      <c r="E168" s="40">
        <f t="shared" si="53"/>
        <v>115</v>
      </c>
      <c r="F168" s="40">
        <v>136</v>
      </c>
      <c r="G168" s="41">
        <f t="shared" si="40"/>
        <v>169</v>
      </c>
      <c r="H168" s="40">
        <f>H167</f>
        <v>223</v>
      </c>
      <c r="I168" s="40">
        <f t="shared" si="38"/>
        <v>350</v>
      </c>
      <c r="J168" s="40">
        <f t="shared" ref="J168:J199" si="54">MIN(INT(H168*(120-(D168-60))/120+(D168-60)/120*I168),I168)</f>
        <v>330</v>
      </c>
      <c r="K168" s="40">
        <f ca="1">SUM(U$36:U168)-SUM(OFFSET(载具产出!H$399,0,0,$R168+1,1))</f>
        <v>916</v>
      </c>
      <c r="L168" s="40">
        <f ca="1">SUM(T$36:T168)-SUM(OFFSET(载具产出!G$399,0,0,$R168+1,1))</f>
        <v>106090</v>
      </c>
      <c r="M168" s="40">
        <f ca="1">SUM(V$36:V168)/2-SUM(OFFSET(载具产出!I$399,0,0,$R168+1,1))</f>
        <v>296900</v>
      </c>
      <c r="N168" s="40">
        <f ca="1">SUM(AA$36:AA168)-SUM(OFFSET(载具产出!J$399,0,0,$R168+1,1))</f>
        <v>2858.6</v>
      </c>
      <c r="O168" s="40">
        <f ca="1">SUM(AB$36:AB168)-SUM(OFFSET(载具产出!K$399,0,0,$R168+1,1))</f>
        <v>3061.63999999999</v>
      </c>
      <c r="P168" s="40">
        <f ca="1">SUM(AC$36:AC168)-SUM(OFFSET(载具产出!L$399,0,0,$R168+1,1))</f>
        <v>451.76</v>
      </c>
      <c r="Q168" s="40">
        <f ca="1">SUM(AD$36:AD168)-SUM(OFFSET(载具产出!M$399,0,0,$R168+1,1))</f>
        <v>0</v>
      </c>
      <c r="R168" s="40">
        <v>15</v>
      </c>
      <c r="S168" s="40" t="str">
        <f ca="1">OFFSET(载具产出!$D$111,IFERROR(MATCH(OFFSET($D168,0,MATCH($D$5,$E$6:$H$6,0)),载具产出!$E$112:$E$151,1),0),0)</f>
        <v>珍惜Ⅲ</v>
      </c>
      <c r="T168" s="40">
        <f ca="1">OFFSET(载具产出!$F$399,IFERROR(MATCH(OFFSET($D168,0,MATCH($D$5,$E$6:$H$6,0)),载具产出!$E$400:$E$439,1),0),MATCH(T$6,载具产出!$G$399:$O$399,0))</f>
        <v>1000</v>
      </c>
      <c r="U168" s="40">
        <v>7</v>
      </c>
      <c r="V168" s="40">
        <f ca="1">OFFSET(载具产出!$F$399,IFERROR(MATCH(OFFSET($D168,0,MATCH($D$5,$E$6:$H$6,0)),载具产出!$E$400:$E$439,1),0),MATCH(V$6,载具产出!$G$399:$O$399,0))</f>
        <v>6400</v>
      </c>
      <c r="W168" s="43">
        <f ca="1">_xlfn.XLOOKUP(Z168,载具属性!$E$98:$E$497,载具属性!$G$98:$G$497)+6000+OFFSET(载具属性!L$33,AS168,0)*载具属性!M$30+OFFSET(载具属性!M$33,AT168,0)*载具属性!N$30+OFFSET(载具属性!N$33,AU168,0)*载具属性!O$30+OFFSET(载具属性!O$33,AV168,0)*载具属性!P$30</f>
        <v>20130</v>
      </c>
      <c r="X168" s="43">
        <f ca="1">_xlfn.XLOOKUP(Z168,载具属性!$E$98:$E$497,载具属性!$G$98:$G$497)</f>
        <v>8490</v>
      </c>
      <c r="Y168" s="43">
        <f ca="1">OFFSET(载具属性!L$33,AS168,0)*载具属性!M$30+OFFSET(载具属性!M$33,AT168,0)*载具属性!N$30+OFFSET(载具属性!N$33,AU168,0)*载具属性!O$30+OFFSET(载具属性!O$33,AV168,0)*载具属性!P$30</f>
        <v>5640</v>
      </c>
      <c r="Z168" s="40">
        <f ca="1">MATCH(SUM($T$7:T168),载具属性!$I$98:$I$497,1)</f>
        <v>133</v>
      </c>
      <c r="AA168" s="40">
        <f ca="1">OFFSET(载具产出!$F$399,IFERROR(MATCH(OFFSET($D168,0,MATCH($D$5,$E$6:$H$6,0)),载具产出!$E$112:$E$151,1),0),MATCH(AA$6,载具产出!$G$111:$O$111,0))*2</f>
        <v>18</v>
      </c>
      <c r="AB168" s="40">
        <f ca="1">OFFSET(载具产出!$F$399,IFERROR(MATCH(OFFSET($D168,0,MATCH($D$5,$E$6:$H$6,0)),载具产出!$E$112:$E$151,1),0),MATCH(AB$6,载具产出!$G$111:$O$111,0))*2</f>
        <v>19.68</v>
      </c>
      <c r="AC168" s="40">
        <f ca="1">OFFSET(载具产出!$F$399,IFERROR(MATCH(OFFSET($D168,0,MATCH($D$5,$E$6:$H$6,0)),载具产出!$E$112:$E$151,1),0),MATCH(AC$6,载具产出!$G$111:$O$111,0))*2</f>
        <v>10.32</v>
      </c>
      <c r="AD168" s="40">
        <f ca="1">OFFSET(载具产出!$F$399,IFERROR(MATCH(OFFSET($D168,0,MATCH($D$5,$E$6:$H$6,0)),载具产出!$E$112:$E$151,1),0),MATCH(AD$6,载具产出!$G$111:$O$111,0))*2</f>
        <v>0</v>
      </c>
      <c r="AE168" s="44">
        <f ca="1">SUM(AA$36:AA168)/3</f>
        <v>1016.8</v>
      </c>
      <c r="AF168" s="44">
        <f ca="1">SUM(AB$36:AB168)/3</f>
        <v>1070.66666666666</v>
      </c>
      <c r="AG168" s="44">
        <f ca="1">SUM(AC$36:AC168)/3</f>
        <v>159.866666666667</v>
      </c>
      <c r="AH168" s="44">
        <f ca="1">SUM(AD$36:AD168)/3</f>
        <v>0</v>
      </c>
      <c r="AI168" s="44">
        <f>_xlfn.XLOOKUP($D$5,载具产出!$D$71:$D$75,载具产出!$E$71:$E$75)*(D168-30+1)</f>
        <v>1564.33333333334</v>
      </c>
      <c r="AJ168" s="44">
        <f>IFERROR(MATCH(_xlfn.XLOOKUP($D$5,载具产出!$D$71:$D$75,载具产出!$E$71:$E$75)*(D168-30+1)*10,载具产出!$E$60:$E$67,1),0)+1</f>
        <v>7</v>
      </c>
      <c r="AK168" s="44">
        <f ca="1">IF($AJ168=1,($AI168)*(10*OFFSET(载具产出!$D$45,MATCH(AK$6,$AK$6:$AN$6,0)-1,$AJ168)+OFFSET(载具产出!$D$49,MATCH(AK$6,$AK$6:$AN$6,0)-1,$AJ168)*OFFSET(载具产出!$N$49,MATCH(AK$6,$AK$6:$AN$6,0)-1,0)),OFFSET(载具产出!F$59,$AJ168-1,0)*10+OFFSET(载具产出!J$59,$AJ168-1,0)+($AI168*10-_xlfn.XLOOKUP($AJ168-1,载具产出!$D$59:$D$67,载具产出!$E$59:$E$67))/10*(10*OFFSET(载具产出!$D$45,MATCH(AK$6,$AK$6:$AN$6,0)-1,$AJ168)+OFFSET(载具产出!$D$49,MATCH(AK$6,$AK$6:$AN$6,0)-1,$AJ168)*OFFSET(载具产出!$N$49,MATCH(AK$6,$AK$6:$AN$6,0)-1,0)))</f>
        <v>3488.82200000001</v>
      </c>
      <c r="AL168" s="44">
        <f ca="1">IF($AJ168=1,($AI168)*(10*OFFSET(载具产出!$D$45,MATCH(AL$6,$AK$6:$AN$6,0)-1,$AJ168)+OFFSET(载具产出!$D$49,MATCH(AL$6,$AK$6:$AN$6,0)-1,$AJ168)*OFFSET(载具产出!$N$49,MATCH(AL$6,$AK$6:$AN$6,0)-1,0)),OFFSET(载具产出!G$59,$AJ168-1,0)*10+OFFSET(载具产出!K$59,$AJ168-1,0)+($AI168*10-_xlfn.XLOOKUP($AJ168-1,载具产出!$D$59:$D$67,载具产出!$E$59:$E$67))/10*(10*OFFSET(载具产出!$D$45,MATCH(AL$6,$AK$6:$AN$6,0)-1,$AJ168)+OFFSET(载具产出!$D$49,MATCH(AL$6,$AK$6:$AN$6,0)-1,$AJ168)*OFFSET(载具产出!$N$49,MATCH(AL$6,$AK$6:$AN$6,0)-1,0)))</f>
        <v>1371.77333333334</v>
      </c>
      <c r="AM168" s="44">
        <f ca="1">IF($AJ168=1,($AI168)*(10*OFFSET(载具产出!$D$45,MATCH(AM$6,$AK$6:$AN$6,0)-1,$AJ168)+OFFSET(载具产出!$D$49,MATCH(AM$6,$AK$6:$AN$6,0)-1,$AJ168)*OFFSET(载具产出!$N$49,MATCH(AM$6,$AK$6:$AN$6,0)-1,0)),OFFSET(载具产出!H$59,$AJ168-1,0)*10+OFFSET(载具产出!L$59,$AJ168-1,0)+($AI168*10-_xlfn.XLOOKUP($AJ168-1,载具产出!$D$59:$D$67,载具产出!$E$59:$E$67))/10*(10*OFFSET(载具产出!$D$45,MATCH(AM$6,$AK$6:$AN$6,0)-1,$AJ168)+OFFSET(载具产出!$D$49,MATCH(AM$6,$AK$6:$AN$6,0)-1,$AJ168)*OFFSET(载具产出!$N$49,MATCH(AM$6,$AK$6:$AN$6,0)-1,0)))</f>
        <v>736.208000000003</v>
      </c>
      <c r="AN168" s="44">
        <f ca="1">IF($AJ168=1,($AI168)*(10*OFFSET(载具产出!$D$45,MATCH(AN$6,$AK$6:$AN$6,0)-1,$AJ168)+OFFSET(载具产出!$D$49,MATCH(AN$6,$AK$6:$AN$6,0)-1,$AJ168)*OFFSET(载具产出!$N$49,MATCH(AN$6,$AK$6:$AN$6,0)-1,0)),OFFSET(载具产出!I$59,$AJ168-1,0)*10+OFFSET(载具产出!M$59,$AJ168-1,0)+($AI168*10-_xlfn.XLOOKUP($AJ168-1,载具产出!$D$59:$D$67,载具产出!$E$59:$E$67))/10*(10*OFFSET(载具产出!$D$45,MATCH(AN$6,$AK$6:$AN$6,0)-1,$AJ168)+OFFSET(载具产出!$D$49,MATCH(AN$6,$AK$6:$AN$6,0)-1,$AJ168)*OFFSET(载具产出!$N$49,MATCH(AN$6,$AK$6:$AN$6,0)-1,0)))</f>
        <v>222.972333333334</v>
      </c>
      <c r="AO168" s="44">
        <f ca="1" t="shared" si="41"/>
        <v>4505.62200000001</v>
      </c>
      <c r="AP168" s="44">
        <f ca="1" t="shared" si="42"/>
        <v>2442.44</v>
      </c>
      <c r="AQ168" s="44">
        <f ca="1" t="shared" si="43"/>
        <v>896.07466666667</v>
      </c>
      <c r="AR168" s="44">
        <f ca="1" t="shared" si="44"/>
        <v>222.972333333334</v>
      </c>
      <c r="AS168" s="45">
        <f ca="1">IFERROR(MATCH(AO168/载具产出!R$58,载具属性!$G$33:$G$92,1),0)</f>
        <v>32</v>
      </c>
      <c r="AT168" s="45">
        <f ca="1">IFERROR(MATCH(AP168/载具产出!S$58,载具属性!$G$33:$G$92,1),0)</f>
        <v>22</v>
      </c>
      <c r="AU168" s="45">
        <f ca="1">IFERROR(MATCH(AQ168/载具产出!T$58,载具属性!$G$33:$G$92,1),0)</f>
        <v>12</v>
      </c>
      <c r="AV168" s="45">
        <f ca="1">IFERROR(MATCH(AR168/载具产出!U$58,载具属性!$G$33:$G$92,1),0)</f>
        <v>4</v>
      </c>
      <c r="AW168" s="46" t="str">
        <f ca="1" t="shared" si="45"/>
        <v>[{62,916},{63,106090},{2,296900},{6030001,2858},{6030002,3061},{6030003,451}]</v>
      </c>
      <c r="AX168" t="str">
        <f ca="1" t="shared" si="46"/>
        <v>{62,916}</v>
      </c>
      <c r="AY168" t="str">
        <f ca="1" t="shared" si="47"/>
        <v>{63,106090}</v>
      </c>
      <c r="AZ168" t="str">
        <f ca="1" t="shared" si="48"/>
        <v>{2,296900}</v>
      </c>
      <c r="BA168" t="str">
        <f ca="1" t="shared" si="49"/>
        <v>{6030001,2858}</v>
      </c>
      <c r="BB168" t="str">
        <f ca="1" t="shared" si="50"/>
        <v>{6030002,3061}</v>
      </c>
      <c r="BC168" t="str">
        <f ca="1" t="shared" si="51"/>
        <v>{6030003,451}</v>
      </c>
      <c r="BD168" t="str">
        <f ca="1" t="shared" si="52"/>
        <v/>
      </c>
    </row>
    <row r="169" spans="3:56">
      <c r="C169">
        <f ca="1" t="shared" si="39"/>
        <v>119.112426035503</v>
      </c>
      <c r="D169" s="40">
        <v>163</v>
      </c>
      <c r="E169" s="40">
        <f t="shared" si="53"/>
        <v>116</v>
      </c>
      <c r="F169" s="40">
        <v>136</v>
      </c>
      <c r="G169" s="41">
        <f t="shared" si="40"/>
        <v>169</v>
      </c>
      <c r="H169" s="40">
        <f>H168+1</f>
        <v>224</v>
      </c>
      <c r="I169" s="40">
        <f t="shared" si="38"/>
        <v>352</v>
      </c>
      <c r="J169" s="40">
        <f t="shared" si="54"/>
        <v>333</v>
      </c>
      <c r="K169" s="40">
        <f ca="1">SUM(U$36:U169)-SUM(OFFSET(载具产出!H$399,0,0,$R169+1,1))</f>
        <v>923</v>
      </c>
      <c r="L169" s="40">
        <f ca="1">SUM(T$36:T169)-SUM(OFFSET(载具产出!G$399,0,0,$R169+1,1))</f>
        <v>107090</v>
      </c>
      <c r="M169" s="40">
        <f ca="1">SUM(V$36:V169)/2-SUM(OFFSET(载具产出!I$399,0,0,$R169+1,1))</f>
        <v>300100</v>
      </c>
      <c r="N169" s="40">
        <f ca="1">SUM(AA$36:AA169)-SUM(OFFSET(载具产出!J$399,0,0,$R169+1,1))</f>
        <v>2876.6</v>
      </c>
      <c r="O169" s="40">
        <f ca="1">SUM(AB$36:AB169)-SUM(OFFSET(载具产出!K$399,0,0,$R169+1,1))</f>
        <v>3081.31999999999</v>
      </c>
      <c r="P169" s="40">
        <f ca="1">SUM(AC$36:AC169)-SUM(OFFSET(载具产出!L$399,0,0,$R169+1,1))</f>
        <v>462.08</v>
      </c>
      <c r="Q169" s="40">
        <f ca="1">SUM(AD$36:AD169)-SUM(OFFSET(载具产出!M$399,0,0,$R169+1,1))</f>
        <v>0</v>
      </c>
      <c r="R169" s="40">
        <v>15</v>
      </c>
      <c r="S169" s="40" t="str">
        <f ca="1">OFFSET(载具产出!$D$111,IFERROR(MATCH(OFFSET($D169,0,MATCH($D$5,$E$6:$H$6,0)),载具产出!$E$112:$E$151,1),0),0)</f>
        <v>珍惜Ⅲ</v>
      </c>
      <c r="T169" s="40">
        <f ca="1">OFFSET(载具产出!$F$399,IFERROR(MATCH(OFFSET($D169,0,MATCH($D$5,$E$6:$H$6,0)),载具产出!$E$400:$E$439,1),0),MATCH(T$6,载具产出!$G$399:$O$399,0))</f>
        <v>1000</v>
      </c>
      <c r="U169" s="40">
        <v>7</v>
      </c>
      <c r="V169" s="40">
        <f ca="1">OFFSET(载具产出!$F$399,IFERROR(MATCH(OFFSET($D169,0,MATCH($D$5,$E$6:$H$6,0)),载具产出!$E$400:$E$439,1),0),MATCH(V$6,载具产出!$G$399:$O$399,0))</f>
        <v>6400</v>
      </c>
      <c r="W169" s="43">
        <f ca="1">_xlfn.XLOOKUP(Z169,载具属性!$E$98:$E$497,载具属性!$G$98:$G$497)+6000+OFFSET(载具属性!L$33,AS169,0)*载具属性!M$30+OFFSET(载具属性!M$33,AT169,0)*载具属性!N$30+OFFSET(载具属性!N$33,AU169,0)*载具属性!O$30+OFFSET(载具属性!O$33,AV169,0)*载具属性!P$30</f>
        <v>20130</v>
      </c>
      <c r="X169" s="43">
        <f ca="1">_xlfn.XLOOKUP(Z169,载具属性!$E$98:$E$497,载具属性!$G$98:$G$497)</f>
        <v>8490</v>
      </c>
      <c r="Y169" s="43">
        <f ca="1">OFFSET(载具属性!L$33,AS169,0)*载具属性!M$30+OFFSET(载具属性!M$33,AT169,0)*载具属性!N$30+OFFSET(载具属性!N$33,AU169,0)*载具属性!O$30+OFFSET(载具属性!O$33,AV169,0)*载具属性!P$30</f>
        <v>5640</v>
      </c>
      <c r="Z169" s="40">
        <f ca="1">MATCH(SUM($T$7:T169),载具属性!$I$98:$I$497,1)</f>
        <v>133</v>
      </c>
      <c r="AA169" s="40">
        <f ca="1">OFFSET(载具产出!$F$399,IFERROR(MATCH(OFFSET($D169,0,MATCH($D$5,$E$6:$H$6,0)),载具产出!$E$112:$E$151,1),0),MATCH(AA$6,载具产出!$G$111:$O$111,0))*2</f>
        <v>18</v>
      </c>
      <c r="AB169" s="40">
        <f ca="1">OFFSET(载具产出!$F$399,IFERROR(MATCH(OFFSET($D169,0,MATCH($D$5,$E$6:$H$6,0)),载具产出!$E$112:$E$151,1),0),MATCH(AB$6,载具产出!$G$111:$O$111,0))*2</f>
        <v>19.68</v>
      </c>
      <c r="AC169" s="40">
        <f ca="1">OFFSET(载具产出!$F$399,IFERROR(MATCH(OFFSET($D169,0,MATCH($D$5,$E$6:$H$6,0)),载具产出!$E$112:$E$151,1),0),MATCH(AC$6,载具产出!$G$111:$O$111,0))*2</f>
        <v>10.32</v>
      </c>
      <c r="AD169" s="40">
        <f ca="1">OFFSET(载具产出!$F$399,IFERROR(MATCH(OFFSET($D169,0,MATCH($D$5,$E$6:$H$6,0)),载具产出!$E$112:$E$151,1),0),MATCH(AD$6,载具产出!$G$111:$O$111,0))*2</f>
        <v>0</v>
      </c>
      <c r="AE169" s="44">
        <f ca="1">SUM(AA$36:AA169)/3</f>
        <v>1022.8</v>
      </c>
      <c r="AF169" s="44">
        <f ca="1">SUM(AB$36:AB169)/3</f>
        <v>1077.22666666666</v>
      </c>
      <c r="AG169" s="44">
        <f ca="1">SUM(AC$36:AC169)/3</f>
        <v>163.306666666667</v>
      </c>
      <c r="AH169" s="44">
        <f ca="1">SUM(AD$36:AD169)/3</f>
        <v>0</v>
      </c>
      <c r="AI169" s="44">
        <f>_xlfn.XLOOKUP($D$5,载具产出!$D$71:$D$75,载具产出!$E$71:$E$75)*(D169-30+1)</f>
        <v>1576.09523809524</v>
      </c>
      <c r="AJ169" s="44">
        <f>IFERROR(MATCH(_xlfn.XLOOKUP($D$5,载具产出!$D$71:$D$75,载具产出!$E$71:$E$75)*(D169-30+1)*10,载具产出!$E$60:$E$67,1),0)+1</f>
        <v>7</v>
      </c>
      <c r="AK169" s="44">
        <f ca="1">IF($AJ169=1,($AI169)*(10*OFFSET(载具产出!$D$45,MATCH(AK$6,$AK$6:$AN$6,0)-1,$AJ169)+OFFSET(载具产出!$D$49,MATCH(AK$6,$AK$6:$AN$6,0)-1,$AJ169)*OFFSET(载具产出!$N$49,MATCH(AK$6,$AK$6:$AN$6,0)-1,0)),OFFSET(载具产出!F$59,$AJ169-1,0)*10+OFFSET(载具产出!J$59,$AJ169-1,0)+($AI169*10-_xlfn.XLOOKUP($AJ169-1,载具产出!$D$59:$D$67,载具产出!$E$59:$E$67))/10*(10*OFFSET(载具产出!$D$45,MATCH(AK$6,$AK$6:$AN$6,0)-1,$AJ169)+OFFSET(载具产出!$D$49,MATCH(AK$6,$AK$6:$AN$6,0)-1,$AJ169)*OFFSET(载具产出!$N$49,MATCH(AK$6,$AK$6:$AN$6,0)-1,0)))</f>
        <v>3513.66314285715</v>
      </c>
      <c r="AL169" s="44">
        <f ca="1">IF($AJ169=1,($AI169)*(10*OFFSET(载具产出!$D$45,MATCH(AL$6,$AK$6:$AN$6,0)-1,$AJ169)+OFFSET(载具产出!$D$49,MATCH(AL$6,$AK$6:$AN$6,0)-1,$AJ169)*OFFSET(载具产出!$N$49,MATCH(AL$6,$AK$6:$AN$6,0)-1,0)),OFFSET(载具产出!G$59,$AJ169-1,0)*10+OFFSET(载具产出!K$59,$AJ169-1,0)+($AI169*10-_xlfn.XLOOKUP($AJ169-1,载具产出!$D$59:$D$67,载具产出!$E$59:$E$67))/10*(10*OFFSET(载具产出!$D$45,MATCH(AL$6,$AK$6:$AN$6,0)-1,$AJ169)+OFFSET(载具产出!$D$49,MATCH(AL$6,$AK$6:$AN$6,0)-1,$AJ169)*OFFSET(载具产出!$N$49,MATCH(AL$6,$AK$6:$AN$6,0)-1,0)))</f>
        <v>1382.82952380953</v>
      </c>
      <c r="AM169" s="44">
        <f ca="1">IF($AJ169=1,($AI169)*(10*OFFSET(载具产出!$D$45,MATCH(AM$6,$AK$6:$AN$6,0)-1,$AJ169)+OFFSET(载具产出!$D$49,MATCH(AM$6,$AK$6:$AN$6,0)-1,$AJ169)*OFFSET(载具产出!$N$49,MATCH(AM$6,$AK$6:$AN$6,0)-1,0)),OFFSET(载具产出!H$59,$AJ169-1,0)*10+OFFSET(载具产出!L$59,$AJ169-1,0)+($AI169*10-_xlfn.XLOOKUP($AJ169-1,载具产出!$D$59:$D$67,载具产出!$E$59:$E$67))/10*(10*OFFSET(载具产出!$D$45,MATCH(AM$6,$AK$6:$AN$6,0)-1,$AJ169)+OFFSET(载具产出!$D$49,MATCH(AM$6,$AK$6:$AN$6,0)-1,$AJ169)*OFFSET(载具产出!$N$49,MATCH(AM$6,$AK$6:$AN$6,0)-1,0)))</f>
        <v>742.418285714287</v>
      </c>
      <c r="AN169" s="44">
        <f ca="1">IF($AJ169=1,($AI169)*(10*OFFSET(载具产出!$D$45,MATCH(AN$6,$AK$6:$AN$6,0)-1,$AJ169)+OFFSET(载具产出!$D$49,MATCH(AN$6,$AK$6:$AN$6,0)-1,$AJ169)*OFFSET(载具产出!$N$49,MATCH(AN$6,$AK$6:$AN$6,0)-1,0)),OFFSET(载具产出!I$59,$AJ169-1,0)*10+OFFSET(载具产出!M$59,$AJ169-1,0)+($AI169*10-_xlfn.XLOOKUP($AJ169-1,载具产出!$D$59:$D$67,载具产出!$E$59:$E$67))/10*(10*OFFSET(载具产出!$D$45,MATCH(AN$6,$AK$6:$AN$6,0)-1,$AJ169)+OFFSET(载具产出!$D$49,MATCH(AN$6,$AK$6:$AN$6,0)-1,$AJ169)*OFFSET(载具产出!$N$49,MATCH(AN$6,$AK$6:$AN$6,0)-1,0)))</f>
        <v>224.960095238096</v>
      </c>
      <c r="AO169" s="44">
        <f ca="1" t="shared" si="41"/>
        <v>4536.46314285715</v>
      </c>
      <c r="AP169" s="44">
        <f ca="1" t="shared" si="42"/>
        <v>2460.05619047619</v>
      </c>
      <c r="AQ169" s="44">
        <f ca="1" t="shared" si="43"/>
        <v>905.724952380953</v>
      </c>
      <c r="AR169" s="44">
        <f ca="1" t="shared" si="44"/>
        <v>224.960095238096</v>
      </c>
      <c r="AS169" s="45">
        <f ca="1">IFERROR(MATCH(AO169/载具产出!R$58,载具属性!$G$33:$G$92,1),0)</f>
        <v>32</v>
      </c>
      <c r="AT169" s="45">
        <f ca="1">IFERROR(MATCH(AP169/载具产出!S$58,载具属性!$G$33:$G$92,1),0)</f>
        <v>22</v>
      </c>
      <c r="AU169" s="45">
        <f ca="1">IFERROR(MATCH(AQ169/载具产出!T$58,载具属性!$G$33:$G$92,1),0)</f>
        <v>12</v>
      </c>
      <c r="AV169" s="45">
        <f ca="1">IFERROR(MATCH(AR169/载具产出!U$58,载具属性!$G$33:$G$92,1),0)</f>
        <v>4</v>
      </c>
      <c r="AW169" s="46" t="str">
        <f ca="1" t="shared" si="45"/>
        <v>[{62,923},{63,107090},{2,300100},{6030001,2876},{6030002,3081},{6030003,462}]</v>
      </c>
      <c r="AX169" t="str">
        <f ca="1" t="shared" si="46"/>
        <v>{62,923}</v>
      </c>
      <c r="AY169" t="str">
        <f ca="1" t="shared" si="47"/>
        <v>{63,107090}</v>
      </c>
      <c r="AZ169" t="str">
        <f ca="1" t="shared" si="48"/>
        <v>{2,300100}</v>
      </c>
      <c r="BA169" t="str">
        <f ca="1" t="shared" si="49"/>
        <v>{6030001,2876}</v>
      </c>
      <c r="BB169" t="str">
        <f ca="1" t="shared" si="50"/>
        <v>{6030002,3081}</v>
      </c>
      <c r="BC169" t="str">
        <f ca="1" t="shared" si="51"/>
        <v>{6030003,462}</v>
      </c>
      <c r="BD169" t="str">
        <f ca="1" t="shared" si="52"/>
        <v/>
      </c>
    </row>
    <row r="170" spans="3:56">
      <c r="C170">
        <f ca="1" t="shared" si="39"/>
        <v>118.882352941176</v>
      </c>
      <c r="D170" s="40">
        <v>164</v>
      </c>
      <c r="E170" s="40">
        <f t="shared" si="53"/>
        <v>116</v>
      </c>
      <c r="F170" s="40">
        <v>136</v>
      </c>
      <c r="G170" s="41">
        <f t="shared" si="40"/>
        <v>170</v>
      </c>
      <c r="H170" s="40">
        <f>H169</f>
        <v>224</v>
      </c>
      <c r="I170" s="40">
        <f t="shared" si="38"/>
        <v>354</v>
      </c>
      <c r="J170" s="40">
        <f t="shared" si="54"/>
        <v>336</v>
      </c>
      <c r="K170" s="40">
        <f ca="1">SUM(U$36:U170)-SUM(OFFSET(载具产出!H$399,0,0,$R170+1,1))</f>
        <v>930</v>
      </c>
      <c r="L170" s="40">
        <f ca="1">SUM(T$36:T170)-SUM(OFFSET(载具产出!G$399,0,0,$R170+1,1))</f>
        <v>108090</v>
      </c>
      <c r="M170" s="40">
        <f ca="1">SUM(V$36:V170)/2-SUM(OFFSET(载具产出!I$399,0,0,$R170+1,1))</f>
        <v>303300</v>
      </c>
      <c r="N170" s="40">
        <f ca="1">SUM(AA$36:AA170)-SUM(OFFSET(载具产出!J$399,0,0,$R170+1,1))</f>
        <v>2894.6</v>
      </c>
      <c r="O170" s="40">
        <f ca="1">SUM(AB$36:AB170)-SUM(OFFSET(载具产出!K$399,0,0,$R170+1,1))</f>
        <v>3100.99999999999</v>
      </c>
      <c r="P170" s="40">
        <f ca="1">SUM(AC$36:AC170)-SUM(OFFSET(载具产出!L$399,0,0,$R170+1,1))</f>
        <v>472.4</v>
      </c>
      <c r="Q170" s="40">
        <f ca="1">SUM(AD$36:AD170)-SUM(OFFSET(载具产出!M$399,0,0,$R170+1,1))</f>
        <v>0</v>
      </c>
      <c r="R170" s="40">
        <v>15</v>
      </c>
      <c r="S170" s="40" t="str">
        <f ca="1">OFFSET(载具产出!$D$111,IFERROR(MATCH(OFFSET($D170,0,MATCH($D$5,$E$6:$H$6,0)),载具产出!$E$112:$E$151,1),0),0)</f>
        <v>珍惜Ⅲ</v>
      </c>
      <c r="T170" s="40">
        <f ca="1">OFFSET(载具产出!$F$399,IFERROR(MATCH(OFFSET($D170,0,MATCH($D$5,$E$6:$H$6,0)),载具产出!$E$400:$E$439,1),0),MATCH(T$6,载具产出!$G$399:$O$399,0))</f>
        <v>1000</v>
      </c>
      <c r="U170" s="40">
        <v>7</v>
      </c>
      <c r="V170" s="40">
        <f ca="1">OFFSET(载具产出!$F$399,IFERROR(MATCH(OFFSET($D170,0,MATCH($D$5,$E$6:$H$6,0)),载具产出!$E$400:$E$439,1),0),MATCH(V$6,载具产出!$G$399:$O$399,0))</f>
        <v>6400</v>
      </c>
      <c r="W170" s="43">
        <f ca="1">_xlfn.XLOOKUP(Z170,载具属性!$E$98:$E$497,载具属性!$G$98:$G$497)+6000+OFFSET(载具属性!L$33,AS170,0)*载具属性!M$30+OFFSET(载具属性!M$33,AT170,0)*载具属性!N$30+OFFSET(载具属性!N$33,AU170,0)*载具属性!O$30+OFFSET(载具属性!O$33,AV170,0)*载具属性!P$30</f>
        <v>20210</v>
      </c>
      <c r="X170" s="43">
        <f ca="1">_xlfn.XLOOKUP(Z170,载具属性!$E$98:$E$497,载具属性!$G$98:$G$497)</f>
        <v>8570</v>
      </c>
      <c r="Y170" s="43">
        <f ca="1">OFFSET(载具属性!L$33,AS170,0)*载具属性!M$30+OFFSET(载具属性!M$33,AT170,0)*载具属性!N$30+OFFSET(载具属性!N$33,AU170,0)*载具属性!O$30+OFFSET(载具属性!O$33,AV170,0)*载具属性!P$30</f>
        <v>5640</v>
      </c>
      <c r="Z170" s="40">
        <f ca="1">MATCH(SUM($T$7:T170),载具属性!$I$98:$I$497,1)</f>
        <v>134</v>
      </c>
      <c r="AA170" s="40">
        <f ca="1">OFFSET(载具产出!$F$399,IFERROR(MATCH(OFFSET($D170,0,MATCH($D$5,$E$6:$H$6,0)),载具产出!$E$112:$E$151,1),0),MATCH(AA$6,载具产出!$G$111:$O$111,0))*2</f>
        <v>18</v>
      </c>
      <c r="AB170" s="40">
        <f ca="1">OFFSET(载具产出!$F$399,IFERROR(MATCH(OFFSET($D170,0,MATCH($D$5,$E$6:$H$6,0)),载具产出!$E$112:$E$151,1),0),MATCH(AB$6,载具产出!$G$111:$O$111,0))*2</f>
        <v>19.68</v>
      </c>
      <c r="AC170" s="40">
        <f ca="1">OFFSET(载具产出!$F$399,IFERROR(MATCH(OFFSET($D170,0,MATCH($D$5,$E$6:$H$6,0)),载具产出!$E$112:$E$151,1),0),MATCH(AC$6,载具产出!$G$111:$O$111,0))*2</f>
        <v>10.32</v>
      </c>
      <c r="AD170" s="40">
        <f ca="1">OFFSET(载具产出!$F$399,IFERROR(MATCH(OFFSET($D170,0,MATCH($D$5,$E$6:$H$6,0)),载具产出!$E$112:$E$151,1),0),MATCH(AD$6,载具产出!$G$111:$O$111,0))*2</f>
        <v>0</v>
      </c>
      <c r="AE170" s="44">
        <f ca="1">SUM(AA$36:AA170)/3</f>
        <v>1028.8</v>
      </c>
      <c r="AF170" s="44">
        <f ca="1">SUM(AB$36:AB170)/3</f>
        <v>1083.78666666666</v>
      </c>
      <c r="AG170" s="44">
        <f ca="1">SUM(AC$36:AC170)/3</f>
        <v>166.746666666667</v>
      </c>
      <c r="AH170" s="44">
        <f ca="1">SUM(AD$36:AD170)/3</f>
        <v>0</v>
      </c>
      <c r="AI170" s="44">
        <f>_xlfn.XLOOKUP($D$5,载具产出!$D$71:$D$75,载具产出!$E$71:$E$75)*(D170-30+1)</f>
        <v>1587.85714285715</v>
      </c>
      <c r="AJ170" s="44">
        <f>IFERROR(MATCH(_xlfn.XLOOKUP($D$5,载具产出!$D$71:$D$75,载具产出!$E$71:$E$75)*(D170-30+1)*10,载具产出!$E$60:$E$67,1),0)+1</f>
        <v>7</v>
      </c>
      <c r="AK170" s="44">
        <f ca="1">IF($AJ170=1,($AI170)*(10*OFFSET(载具产出!$D$45,MATCH(AK$6,$AK$6:$AN$6,0)-1,$AJ170)+OFFSET(载具产出!$D$49,MATCH(AK$6,$AK$6:$AN$6,0)-1,$AJ170)*OFFSET(载具产出!$N$49,MATCH(AK$6,$AK$6:$AN$6,0)-1,0)),OFFSET(载具产出!F$59,$AJ170-1,0)*10+OFFSET(载具产出!J$59,$AJ170-1,0)+($AI170*10-_xlfn.XLOOKUP($AJ170-1,载具产出!$D$59:$D$67,载具产出!$E$59:$E$67))/10*(10*OFFSET(载具产出!$D$45,MATCH(AK$6,$AK$6:$AN$6,0)-1,$AJ170)+OFFSET(载具产出!$D$49,MATCH(AK$6,$AK$6:$AN$6,0)-1,$AJ170)*OFFSET(载具产出!$N$49,MATCH(AK$6,$AK$6:$AN$6,0)-1,0)))</f>
        <v>3538.5042857143</v>
      </c>
      <c r="AL170" s="44">
        <f ca="1">IF($AJ170=1,($AI170)*(10*OFFSET(载具产出!$D$45,MATCH(AL$6,$AK$6:$AN$6,0)-1,$AJ170)+OFFSET(载具产出!$D$49,MATCH(AL$6,$AK$6:$AN$6,0)-1,$AJ170)*OFFSET(载具产出!$N$49,MATCH(AL$6,$AK$6:$AN$6,0)-1,0)),OFFSET(载具产出!G$59,$AJ170-1,0)*10+OFFSET(载具产出!K$59,$AJ170-1,0)+($AI170*10-_xlfn.XLOOKUP($AJ170-1,载具产出!$D$59:$D$67,载具产出!$E$59:$E$67))/10*(10*OFFSET(载具产出!$D$45,MATCH(AL$6,$AK$6:$AN$6,0)-1,$AJ170)+OFFSET(载具产出!$D$49,MATCH(AL$6,$AK$6:$AN$6,0)-1,$AJ170)*OFFSET(载具产出!$N$49,MATCH(AL$6,$AK$6:$AN$6,0)-1,0)))</f>
        <v>1393.88571428572</v>
      </c>
      <c r="AM170" s="44">
        <f ca="1">IF($AJ170=1,($AI170)*(10*OFFSET(载具产出!$D$45,MATCH(AM$6,$AK$6:$AN$6,0)-1,$AJ170)+OFFSET(载具产出!$D$49,MATCH(AM$6,$AK$6:$AN$6,0)-1,$AJ170)*OFFSET(载具产出!$N$49,MATCH(AM$6,$AK$6:$AN$6,0)-1,0)),OFFSET(载具产出!H$59,$AJ170-1,0)*10+OFFSET(载具产出!L$59,$AJ170-1,0)+($AI170*10-_xlfn.XLOOKUP($AJ170-1,载具产出!$D$59:$D$67,载具产出!$E$59:$E$67))/10*(10*OFFSET(载具产出!$D$45,MATCH(AM$6,$AK$6:$AN$6,0)-1,$AJ170)+OFFSET(载具产出!$D$49,MATCH(AM$6,$AK$6:$AN$6,0)-1,$AJ170)*OFFSET(载具产出!$N$49,MATCH(AM$6,$AK$6:$AN$6,0)-1,0)))</f>
        <v>748.628571428575</v>
      </c>
      <c r="AN170" s="44">
        <f ca="1">IF($AJ170=1,($AI170)*(10*OFFSET(载具产出!$D$45,MATCH(AN$6,$AK$6:$AN$6,0)-1,$AJ170)+OFFSET(载具产出!$D$49,MATCH(AN$6,$AK$6:$AN$6,0)-1,$AJ170)*OFFSET(载具产出!$N$49,MATCH(AN$6,$AK$6:$AN$6,0)-1,0)),OFFSET(载具产出!I$59,$AJ170-1,0)*10+OFFSET(载具产出!M$59,$AJ170-1,0)+($AI170*10-_xlfn.XLOOKUP($AJ170-1,载具产出!$D$59:$D$67,载具产出!$E$59:$E$67))/10*(10*OFFSET(载具产出!$D$45,MATCH(AN$6,$AK$6:$AN$6,0)-1,$AJ170)+OFFSET(载具产出!$D$49,MATCH(AN$6,$AK$6:$AN$6,0)-1,$AJ170)*OFFSET(载具产出!$N$49,MATCH(AN$6,$AK$6:$AN$6,0)-1,0)))</f>
        <v>226.947857142858</v>
      </c>
      <c r="AO170" s="44">
        <f ca="1" t="shared" si="41"/>
        <v>4567.3042857143</v>
      </c>
      <c r="AP170" s="44">
        <f ca="1" t="shared" si="42"/>
        <v>2477.67238095238</v>
      </c>
      <c r="AQ170" s="44">
        <f ca="1" t="shared" si="43"/>
        <v>915.375238095242</v>
      </c>
      <c r="AR170" s="44">
        <f ca="1" t="shared" si="44"/>
        <v>226.947857142858</v>
      </c>
      <c r="AS170" s="45">
        <f ca="1">IFERROR(MATCH(AO170/载具产出!R$58,载具属性!$G$33:$G$92,1),0)</f>
        <v>32</v>
      </c>
      <c r="AT170" s="45">
        <f ca="1">IFERROR(MATCH(AP170/载具产出!S$58,载具属性!$G$33:$G$92,1),0)</f>
        <v>22</v>
      </c>
      <c r="AU170" s="45">
        <f ca="1">IFERROR(MATCH(AQ170/载具产出!T$58,载具属性!$G$33:$G$92,1),0)</f>
        <v>12</v>
      </c>
      <c r="AV170" s="45">
        <f ca="1">IFERROR(MATCH(AR170/载具产出!U$58,载具属性!$G$33:$G$92,1),0)</f>
        <v>4</v>
      </c>
      <c r="AW170" s="46" t="str">
        <f ca="1" t="shared" si="45"/>
        <v>[{62,930},{63,108090},{2,303300},{6030001,2894},{6030002,3100},{6030003,472}]</v>
      </c>
      <c r="AX170" t="str">
        <f ca="1" t="shared" si="46"/>
        <v>{62,930}</v>
      </c>
      <c r="AY170" t="str">
        <f ca="1" t="shared" si="47"/>
        <v>{63,108090}</v>
      </c>
      <c r="AZ170" t="str">
        <f ca="1" t="shared" si="48"/>
        <v>{2,303300}</v>
      </c>
      <c r="BA170" t="str">
        <f ca="1" t="shared" si="49"/>
        <v>{6030001,2894}</v>
      </c>
      <c r="BB170" t="str">
        <f ca="1" t="shared" si="50"/>
        <v>{6030002,3100}</v>
      </c>
      <c r="BC170" t="str">
        <f ca="1" t="shared" si="51"/>
        <v>{6030003,472}</v>
      </c>
      <c r="BD170" t="str">
        <f ca="1" t="shared" si="52"/>
        <v/>
      </c>
    </row>
    <row r="171" spans="3:56">
      <c r="C171">
        <f ca="1" t="shared" si="39"/>
        <v>118.882352941176</v>
      </c>
      <c r="D171" s="40">
        <v>165</v>
      </c>
      <c r="E171" s="40">
        <f t="shared" si="53"/>
        <v>116</v>
      </c>
      <c r="F171" s="40">
        <v>136</v>
      </c>
      <c r="G171" s="41">
        <f t="shared" si="40"/>
        <v>170</v>
      </c>
      <c r="H171" s="40">
        <f>H170+1</f>
        <v>225</v>
      </c>
      <c r="I171" s="40">
        <f t="shared" si="38"/>
        <v>356</v>
      </c>
      <c r="J171" s="40">
        <f t="shared" si="54"/>
        <v>339</v>
      </c>
      <c r="K171" s="40">
        <f ca="1">SUM(U$36:U171)-SUM(OFFSET(载具产出!H$399,0,0,$R171+1,1))</f>
        <v>937</v>
      </c>
      <c r="L171" s="40">
        <f ca="1">SUM(T$36:T171)-SUM(OFFSET(载具产出!G$399,0,0,$R171+1,1))</f>
        <v>109090</v>
      </c>
      <c r="M171" s="40">
        <f ca="1">SUM(V$36:V171)/2-SUM(OFFSET(载具产出!I$399,0,0,$R171+1,1))</f>
        <v>306500</v>
      </c>
      <c r="N171" s="40">
        <f ca="1">SUM(AA$36:AA171)-SUM(OFFSET(载具产出!J$399,0,0,$R171+1,1))</f>
        <v>2912.6</v>
      </c>
      <c r="O171" s="40">
        <f ca="1">SUM(AB$36:AB171)-SUM(OFFSET(载具产出!K$399,0,0,$R171+1,1))</f>
        <v>3120.67999999999</v>
      </c>
      <c r="P171" s="40">
        <f ca="1">SUM(AC$36:AC171)-SUM(OFFSET(载具产出!L$399,0,0,$R171+1,1))</f>
        <v>482.72</v>
      </c>
      <c r="Q171" s="40">
        <f ca="1">SUM(AD$36:AD171)-SUM(OFFSET(载具产出!M$399,0,0,$R171+1,1))</f>
        <v>0</v>
      </c>
      <c r="R171" s="40">
        <v>15</v>
      </c>
      <c r="S171" s="40" t="str">
        <f ca="1">OFFSET(载具产出!$D$111,IFERROR(MATCH(OFFSET($D171,0,MATCH($D$5,$E$6:$H$6,0)),载具产出!$E$112:$E$151,1),0),0)</f>
        <v>珍惜Ⅲ</v>
      </c>
      <c r="T171" s="40">
        <f ca="1">OFFSET(载具产出!$F$399,IFERROR(MATCH(OFFSET($D171,0,MATCH($D$5,$E$6:$H$6,0)),载具产出!$E$400:$E$439,1),0),MATCH(T$6,载具产出!$G$399:$O$399,0))</f>
        <v>1000</v>
      </c>
      <c r="U171" s="40">
        <v>7</v>
      </c>
      <c r="V171" s="40">
        <f ca="1">OFFSET(载具产出!$F$399,IFERROR(MATCH(OFFSET($D171,0,MATCH($D$5,$E$6:$H$6,0)),载具产出!$E$400:$E$439,1),0),MATCH(V$6,载具产出!$G$399:$O$399,0))</f>
        <v>6400</v>
      </c>
      <c r="W171" s="43">
        <f ca="1">_xlfn.XLOOKUP(Z171,载具属性!$E$98:$E$497,载具属性!$G$98:$G$497)+6000+OFFSET(载具属性!L$33,AS171,0)*载具属性!M$30+OFFSET(载具属性!M$33,AT171,0)*载具属性!N$30+OFFSET(载具属性!N$33,AU171,0)*载具属性!O$30+OFFSET(载具属性!O$33,AV171,0)*载具属性!P$30</f>
        <v>20210</v>
      </c>
      <c r="X171" s="43">
        <f ca="1">_xlfn.XLOOKUP(Z171,载具属性!$E$98:$E$497,载具属性!$G$98:$G$497)</f>
        <v>8570</v>
      </c>
      <c r="Y171" s="43">
        <f ca="1">OFFSET(载具属性!L$33,AS171,0)*载具属性!M$30+OFFSET(载具属性!M$33,AT171,0)*载具属性!N$30+OFFSET(载具属性!N$33,AU171,0)*载具属性!O$30+OFFSET(载具属性!O$33,AV171,0)*载具属性!P$30</f>
        <v>5640</v>
      </c>
      <c r="Z171" s="40">
        <f ca="1">MATCH(SUM($T$7:T171),载具属性!$I$98:$I$497,1)</f>
        <v>134</v>
      </c>
      <c r="AA171" s="40">
        <f ca="1">OFFSET(载具产出!$F$399,IFERROR(MATCH(OFFSET($D171,0,MATCH($D$5,$E$6:$H$6,0)),载具产出!$E$112:$E$151,1),0),MATCH(AA$6,载具产出!$G$111:$O$111,0))*2</f>
        <v>18</v>
      </c>
      <c r="AB171" s="40">
        <f ca="1">OFFSET(载具产出!$F$399,IFERROR(MATCH(OFFSET($D171,0,MATCH($D$5,$E$6:$H$6,0)),载具产出!$E$112:$E$151,1),0),MATCH(AB$6,载具产出!$G$111:$O$111,0))*2</f>
        <v>19.68</v>
      </c>
      <c r="AC171" s="40">
        <f ca="1">OFFSET(载具产出!$F$399,IFERROR(MATCH(OFFSET($D171,0,MATCH($D$5,$E$6:$H$6,0)),载具产出!$E$112:$E$151,1),0),MATCH(AC$6,载具产出!$G$111:$O$111,0))*2</f>
        <v>10.32</v>
      </c>
      <c r="AD171" s="40">
        <f ca="1">OFFSET(载具产出!$F$399,IFERROR(MATCH(OFFSET($D171,0,MATCH($D$5,$E$6:$H$6,0)),载具产出!$E$112:$E$151,1),0),MATCH(AD$6,载具产出!$G$111:$O$111,0))*2</f>
        <v>0</v>
      </c>
      <c r="AE171" s="44">
        <f ca="1">SUM(AA$36:AA171)/3</f>
        <v>1034.8</v>
      </c>
      <c r="AF171" s="44">
        <f ca="1">SUM(AB$36:AB171)/3</f>
        <v>1090.34666666666</v>
      </c>
      <c r="AG171" s="44">
        <f ca="1">SUM(AC$36:AC171)/3</f>
        <v>170.186666666667</v>
      </c>
      <c r="AH171" s="44">
        <f ca="1">SUM(AD$36:AD171)/3</f>
        <v>0</v>
      </c>
      <c r="AI171" s="44">
        <f>_xlfn.XLOOKUP($D$5,载具产出!$D$71:$D$75,载具产出!$E$71:$E$75)*(D171-30+1)</f>
        <v>1599.61904761905</v>
      </c>
      <c r="AJ171" s="44">
        <f>IFERROR(MATCH(_xlfn.XLOOKUP($D$5,载具产出!$D$71:$D$75,载具产出!$E$71:$E$75)*(D171-30+1)*10,载具产出!$E$60:$E$67,1),0)+1</f>
        <v>7</v>
      </c>
      <c r="AK171" s="44">
        <f ca="1">IF($AJ171=1,($AI171)*(10*OFFSET(载具产出!$D$45,MATCH(AK$6,$AK$6:$AN$6,0)-1,$AJ171)+OFFSET(载具产出!$D$49,MATCH(AK$6,$AK$6:$AN$6,0)-1,$AJ171)*OFFSET(载具产出!$N$49,MATCH(AK$6,$AK$6:$AN$6,0)-1,0)),OFFSET(载具产出!F$59,$AJ171-1,0)*10+OFFSET(载具产出!J$59,$AJ171-1,0)+($AI171*10-_xlfn.XLOOKUP($AJ171-1,载具产出!$D$59:$D$67,载具产出!$E$59:$E$67))/10*(10*OFFSET(载具产出!$D$45,MATCH(AK$6,$AK$6:$AN$6,0)-1,$AJ171)+OFFSET(载具产出!$D$49,MATCH(AK$6,$AK$6:$AN$6,0)-1,$AJ171)*OFFSET(载具产出!$N$49,MATCH(AK$6,$AK$6:$AN$6,0)-1,0)))</f>
        <v>3563.34542857143</v>
      </c>
      <c r="AL171" s="44">
        <f ca="1">IF($AJ171=1,($AI171)*(10*OFFSET(载具产出!$D$45,MATCH(AL$6,$AK$6:$AN$6,0)-1,$AJ171)+OFFSET(载具产出!$D$49,MATCH(AL$6,$AK$6:$AN$6,0)-1,$AJ171)*OFFSET(载具产出!$N$49,MATCH(AL$6,$AK$6:$AN$6,0)-1,0)),OFFSET(载具产出!G$59,$AJ171-1,0)*10+OFFSET(载具产出!K$59,$AJ171-1,0)+($AI171*10-_xlfn.XLOOKUP($AJ171-1,载具产出!$D$59:$D$67,载具产出!$E$59:$E$67))/10*(10*OFFSET(载具产出!$D$45,MATCH(AL$6,$AK$6:$AN$6,0)-1,$AJ171)+OFFSET(载具产出!$D$49,MATCH(AL$6,$AK$6:$AN$6,0)-1,$AJ171)*OFFSET(载具产出!$N$49,MATCH(AL$6,$AK$6:$AN$6,0)-1,0)))</f>
        <v>1404.94190476191</v>
      </c>
      <c r="AM171" s="44">
        <f ca="1">IF($AJ171=1,($AI171)*(10*OFFSET(载具产出!$D$45,MATCH(AM$6,$AK$6:$AN$6,0)-1,$AJ171)+OFFSET(载具产出!$D$49,MATCH(AM$6,$AK$6:$AN$6,0)-1,$AJ171)*OFFSET(载具产出!$N$49,MATCH(AM$6,$AK$6:$AN$6,0)-1,0)),OFFSET(载具产出!H$59,$AJ171-1,0)*10+OFFSET(载具产出!L$59,$AJ171-1,0)+($AI171*10-_xlfn.XLOOKUP($AJ171-1,载具产出!$D$59:$D$67,载具产出!$E$59:$E$67))/10*(10*OFFSET(载具产出!$D$45,MATCH(AM$6,$AK$6:$AN$6,0)-1,$AJ171)+OFFSET(载具产出!$D$49,MATCH(AM$6,$AK$6:$AN$6,0)-1,$AJ171)*OFFSET(载具产出!$N$49,MATCH(AM$6,$AK$6:$AN$6,0)-1,0)))</f>
        <v>754.838857142858</v>
      </c>
      <c r="AN171" s="44">
        <f ca="1">IF($AJ171=1,($AI171)*(10*OFFSET(载具产出!$D$45,MATCH(AN$6,$AK$6:$AN$6,0)-1,$AJ171)+OFFSET(载具产出!$D$49,MATCH(AN$6,$AK$6:$AN$6,0)-1,$AJ171)*OFFSET(载具产出!$N$49,MATCH(AN$6,$AK$6:$AN$6,0)-1,0)),OFFSET(载具产出!I$59,$AJ171-1,0)*10+OFFSET(载具产出!M$59,$AJ171-1,0)+($AI171*10-_xlfn.XLOOKUP($AJ171-1,载具产出!$D$59:$D$67,载具产出!$E$59:$E$67))/10*(10*OFFSET(载具产出!$D$45,MATCH(AN$6,$AK$6:$AN$6,0)-1,$AJ171)+OFFSET(载具产出!$D$49,MATCH(AN$6,$AK$6:$AN$6,0)-1,$AJ171)*OFFSET(载具产出!$N$49,MATCH(AN$6,$AK$6:$AN$6,0)-1,0)))</f>
        <v>228.935619047619</v>
      </c>
      <c r="AO171" s="44">
        <f ca="1" t="shared" si="41"/>
        <v>4598.14542857143</v>
      </c>
      <c r="AP171" s="44">
        <f ca="1" t="shared" si="42"/>
        <v>2495.28857142857</v>
      </c>
      <c r="AQ171" s="44">
        <f ca="1" t="shared" si="43"/>
        <v>925.025523809525</v>
      </c>
      <c r="AR171" s="44">
        <f ca="1" t="shared" si="44"/>
        <v>228.935619047619</v>
      </c>
      <c r="AS171" s="45">
        <f ca="1">IFERROR(MATCH(AO171/载具产出!R$58,载具属性!$G$33:$G$92,1),0)</f>
        <v>32</v>
      </c>
      <c r="AT171" s="45">
        <f ca="1">IFERROR(MATCH(AP171/载具产出!S$58,载具属性!$G$33:$G$92,1),0)</f>
        <v>22</v>
      </c>
      <c r="AU171" s="45">
        <f ca="1">IFERROR(MATCH(AQ171/载具产出!T$58,载具属性!$G$33:$G$92,1),0)</f>
        <v>12</v>
      </c>
      <c r="AV171" s="45">
        <f ca="1">IFERROR(MATCH(AR171/载具产出!U$58,载具属性!$G$33:$G$92,1),0)</f>
        <v>4</v>
      </c>
      <c r="AW171" s="46" t="str">
        <f ca="1" t="shared" si="45"/>
        <v>[{62,937},{63,109090},{2,306500},{6030001,2912},{6030002,3120},{6030003,482}]</v>
      </c>
      <c r="AX171" t="str">
        <f ca="1" t="shared" si="46"/>
        <v>{62,937}</v>
      </c>
      <c r="AY171" t="str">
        <f ca="1" t="shared" si="47"/>
        <v>{63,109090}</v>
      </c>
      <c r="AZ171" t="str">
        <f ca="1" t="shared" si="48"/>
        <v>{2,306500}</v>
      </c>
      <c r="BA171" t="str">
        <f ca="1" t="shared" si="49"/>
        <v>{6030001,2912}</v>
      </c>
      <c r="BB171" t="str">
        <f ca="1" t="shared" si="50"/>
        <v>{6030002,3120}</v>
      </c>
      <c r="BC171" t="str">
        <f ca="1" t="shared" si="51"/>
        <v>{6030003,482}</v>
      </c>
      <c r="BD171" t="str">
        <f ca="1" t="shared" si="52"/>
        <v/>
      </c>
    </row>
    <row r="172" spans="3:56">
      <c r="C172">
        <f ca="1" t="shared" si="39"/>
        <v>119.356725146199</v>
      </c>
      <c r="D172" s="40">
        <v>166</v>
      </c>
      <c r="E172" s="40">
        <f t="shared" si="53"/>
        <v>116</v>
      </c>
      <c r="F172" s="40">
        <v>136</v>
      </c>
      <c r="G172" s="41">
        <f t="shared" si="40"/>
        <v>171</v>
      </c>
      <c r="H172" s="40">
        <f>H171</f>
        <v>225</v>
      </c>
      <c r="I172" s="40">
        <f t="shared" si="38"/>
        <v>358</v>
      </c>
      <c r="J172" s="40">
        <f t="shared" si="54"/>
        <v>342</v>
      </c>
      <c r="K172" s="40">
        <f ca="1">SUM(U$36:U172)-SUM(OFFSET(载具产出!H$399,0,0,$R172+1,1))</f>
        <v>944</v>
      </c>
      <c r="L172" s="40">
        <f ca="1">SUM(T$36:T172)-SUM(OFFSET(载具产出!G$399,0,0,$R172+1,1))</f>
        <v>110090</v>
      </c>
      <c r="M172" s="40">
        <f ca="1">SUM(V$36:V172)/2-SUM(OFFSET(载具产出!I$399,0,0,$R172+1,1))</f>
        <v>309700</v>
      </c>
      <c r="N172" s="40">
        <f ca="1">SUM(AA$36:AA172)-SUM(OFFSET(载具产出!J$399,0,0,$R172+1,1))</f>
        <v>2930.6</v>
      </c>
      <c r="O172" s="40">
        <f ca="1">SUM(AB$36:AB172)-SUM(OFFSET(载具产出!K$399,0,0,$R172+1,1))</f>
        <v>3140.35999999999</v>
      </c>
      <c r="P172" s="40">
        <f ca="1">SUM(AC$36:AC172)-SUM(OFFSET(载具产出!L$399,0,0,$R172+1,1))</f>
        <v>493.04</v>
      </c>
      <c r="Q172" s="40">
        <f ca="1">SUM(AD$36:AD172)-SUM(OFFSET(载具产出!M$399,0,0,$R172+1,1))</f>
        <v>0</v>
      </c>
      <c r="R172" s="40">
        <v>15</v>
      </c>
      <c r="S172" s="40" t="str">
        <f ca="1">OFFSET(载具产出!$D$111,IFERROR(MATCH(OFFSET($D172,0,MATCH($D$5,$E$6:$H$6,0)),载具产出!$E$112:$E$151,1),0),0)</f>
        <v>珍惜Ⅲ</v>
      </c>
      <c r="T172" s="40">
        <f ca="1">OFFSET(载具产出!$F$399,IFERROR(MATCH(OFFSET($D172,0,MATCH($D$5,$E$6:$H$6,0)),载具产出!$E$400:$E$439,1),0),MATCH(T$6,载具产出!$G$399:$O$399,0))</f>
        <v>1000</v>
      </c>
      <c r="U172" s="40">
        <v>7</v>
      </c>
      <c r="V172" s="40">
        <f ca="1">OFFSET(载具产出!$F$399,IFERROR(MATCH(OFFSET($D172,0,MATCH($D$5,$E$6:$H$6,0)),载具产出!$E$400:$E$439,1),0),MATCH(V$6,载具产出!$G$399:$O$399,0))</f>
        <v>6400</v>
      </c>
      <c r="W172" s="43">
        <f ca="1">_xlfn.XLOOKUP(Z172,载具属性!$E$98:$E$497,载具属性!$G$98:$G$497)+6000+OFFSET(载具属性!L$33,AS172,0)*载具属性!M$30+OFFSET(载具属性!M$33,AT172,0)*载具属性!N$30+OFFSET(载具属性!N$33,AU172,0)*载具属性!O$30+OFFSET(载具属性!O$33,AV172,0)*载具属性!P$30</f>
        <v>20410</v>
      </c>
      <c r="X172" s="43">
        <f ca="1">_xlfn.XLOOKUP(Z172,载具属性!$E$98:$E$497,载具属性!$G$98:$G$497)</f>
        <v>8650</v>
      </c>
      <c r="Y172" s="43">
        <f ca="1">OFFSET(载具属性!L$33,AS172,0)*载具属性!M$30+OFFSET(载具属性!M$33,AT172,0)*载具属性!N$30+OFFSET(载具属性!N$33,AU172,0)*载具属性!O$30+OFFSET(载具属性!O$33,AV172,0)*载具属性!P$30</f>
        <v>5760</v>
      </c>
      <c r="Z172" s="40">
        <f ca="1">MATCH(SUM($T$7:T172),载具属性!$I$98:$I$497,1)</f>
        <v>135</v>
      </c>
      <c r="AA172" s="40">
        <f ca="1">OFFSET(载具产出!$F$399,IFERROR(MATCH(OFFSET($D172,0,MATCH($D$5,$E$6:$H$6,0)),载具产出!$E$112:$E$151,1),0),MATCH(AA$6,载具产出!$G$111:$O$111,0))*2</f>
        <v>18</v>
      </c>
      <c r="AB172" s="40">
        <f ca="1">OFFSET(载具产出!$F$399,IFERROR(MATCH(OFFSET($D172,0,MATCH($D$5,$E$6:$H$6,0)),载具产出!$E$112:$E$151,1),0),MATCH(AB$6,载具产出!$G$111:$O$111,0))*2</f>
        <v>19.68</v>
      </c>
      <c r="AC172" s="40">
        <f ca="1">OFFSET(载具产出!$F$399,IFERROR(MATCH(OFFSET($D172,0,MATCH($D$5,$E$6:$H$6,0)),载具产出!$E$112:$E$151,1),0),MATCH(AC$6,载具产出!$G$111:$O$111,0))*2</f>
        <v>10.32</v>
      </c>
      <c r="AD172" s="40">
        <f ca="1">OFFSET(载具产出!$F$399,IFERROR(MATCH(OFFSET($D172,0,MATCH($D$5,$E$6:$H$6,0)),载具产出!$E$112:$E$151,1),0),MATCH(AD$6,载具产出!$G$111:$O$111,0))*2</f>
        <v>0</v>
      </c>
      <c r="AE172" s="44">
        <f ca="1">SUM(AA$36:AA172)/3</f>
        <v>1040.8</v>
      </c>
      <c r="AF172" s="44">
        <f ca="1">SUM(AB$36:AB172)/3</f>
        <v>1096.90666666666</v>
      </c>
      <c r="AG172" s="44">
        <f ca="1">SUM(AC$36:AC172)/3</f>
        <v>173.626666666667</v>
      </c>
      <c r="AH172" s="44">
        <f ca="1">SUM(AD$36:AD172)/3</f>
        <v>0</v>
      </c>
      <c r="AI172" s="44">
        <f>_xlfn.XLOOKUP($D$5,载具产出!$D$71:$D$75,载具产出!$E$71:$E$75)*(D172-30+1)</f>
        <v>1611.38095238096</v>
      </c>
      <c r="AJ172" s="44">
        <f>IFERROR(MATCH(_xlfn.XLOOKUP($D$5,载具产出!$D$71:$D$75,载具产出!$E$71:$E$75)*(D172-30+1)*10,载具产出!$E$60:$E$67,1),0)+1</f>
        <v>7</v>
      </c>
      <c r="AK172" s="44">
        <f ca="1">IF($AJ172=1,($AI172)*(10*OFFSET(载具产出!$D$45,MATCH(AK$6,$AK$6:$AN$6,0)-1,$AJ172)+OFFSET(载具产出!$D$49,MATCH(AK$6,$AK$6:$AN$6,0)-1,$AJ172)*OFFSET(载具产出!$N$49,MATCH(AK$6,$AK$6:$AN$6,0)-1,0)),OFFSET(载具产出!F$59,$AJ172-1,0)*10+OFFSET(载具产出!J$59,$AJ172-1,0)+($AI172*10-_xlfn.XLOOKUP($AJ172-1,载具产出!$D$59:$D$67,载具产出!$E$59:$E$67))/10*(10*OFFSET(载具产出!$D$45,MATCH(AK$6,$AK$6:$AN$6,0)-1,$AJ172)+OFFSET(载具产出!$D$49,MATCH(AK$6,$AK$6:$AN$6,0)-1,$AJ172)*OFFSET(载具产出!$N$49,MATCH(AK$6,$AK$6:$AN$6,0)-1,0)))</f>
        <v>3588.18657142859</v>
      </c>
      <c r="AL172" s="44">
        <f ca="1">IF($AJ172=1,($AI172)*(10*OFFSET(载具产出!$D$45,MATCH(AL$6,$AK$6:$AN$6,0)-1,$AJ172)+OFFSET(载具产出!$D$49,MATCH(AL$6,$AK$6:$AN$6,0)-1,$AJ172)*OFFSET(载具产出!$N$49,MATCH(AL$6,$AK$6:$AN$6,0)-1,0)),OFFSET(载具产出!G$59,$AJ172-1,0)*10+OFFSET(载具产出!K$59,$AJ172-1,0)+($AI172*10-_xlfn.XLOOKUP($AJ172-1,载具产出!$D$59:$D$67,载具产出!$E$59:$E$67))/10*(10*OFFSET(载具产出!$D$45,MATCH(AL$6,$AK$6:$AN$6,0)-1,$AJ172)+OFFSET(载具产出!$D$49,MATCH(AL$6,$AK$6:$AN$6,0)-1,$AJ172)*OFFSET(载具产出!$N$49,MATCH(AL$6,$AK$6:$AN$6,0)-1,0)))</f>
        <v>1415.9980952381</v>
      </c>
      <c r="AM172" s="44">
        <f ca="1">IF($AJ172=1,($AI172)*(10*OFFSET(载具产出!$D$45,MATCH(AM$6,$AK$6:$AN$6,0)-1,$AJ172)+OFFSET(载具产出!$D$49,MATCH(AM$6,$AK$6:$AN$6,0)-1,$AJ172)*OFFSET(载具产出!$N$49,MATCH(AM$6,$AK$6:$AN$6,0)-1,0)),OFFSET(载具产出!H$59,$AJ172-1,0)*10+OFFSET(载具产出!L$59,$AJ172-1,0)+($AI172*10-_xlfn.XLOOKUP($AJ172-1,载具产出!$D$59:$D$67,载具产出!$E$59:$E$67))/10*(10*OFFSET(载具产出!$D$45,MATCH(AM$6,$AK$6:$AN$6,0)-1,$AJ172)+OFFSET(载具产出!$D$49,MATCH(AM$6,$AK$6:$AN$6,0)-1,$AJ172)*OFFSET(载具产出!$N$49,MATCH(AM$6,$AK$6:$AN$6,0)-1,0)))</f>
        <v>761.049142857147</v>
      </c>
      <c r="AN172" s="44">
        <f ca="1">IF($AJ172=1,($AI172)*(10*OFFSET(载具产出!$D$45,MATCH(AN$6,$AK$6:$AN$6,0)-1,$AJ172)+OFFSET(载具产出!$D$49,MATCH(AN$6,$AK$6:$AN$6,0)-1,$AJ172)*OFFSET(载具产出!$N$49,MATCH(AN$6,$AK$6:$AN$6,0)-1,0)),OFFSET(载具产出!I$59,$AJ172-1,0)*10+OFFSET(载具产出!M$59,$AJ172-1,0)+($AI172*10-_xlfn.XLOOKUP($AJ172-1,载具产出!$D$59:$D$67,载具产出!$E$59:$E$67))/10*(10*OFFSET(载具产出!$D$45,MATCH(AN$6,$AK$6:$AN$6,0)-1,$AJ172)+OFFSET(载具产出!$D$49,MATCH(AN$6,$AK$6:$AN$6,0)-1,$AJ172)*OFFSET(载具产出!$N$49,MATCH(AN$6,$AK$6:$AN$6,0)-1,0)))</f>
        <v>230.923380952382</v>
      </c>
      <c r="AO172" s="44">
        <f ca="1" t="shared" si="41"/>
        <v>4628.98657142859</v>
      </c>
      <c r="AP172" s="44">
        <f ca="1" t="shared" si="42"/>
        <v>2512.90476190477</v>
      </c>
      <c r="AQ172" s="44">
        <f ca="1" t="shared" si="43"/>
        <v>934.675809523813</v>
      </c>
      <c r="AR172" s="44">
        <f ca="1" t="shared" si="44"/>
        <v>230.923380952382</v>
      </c>
      <c r="AS172" s="45">
        <f ca="1">IFERROR(MATCH(AO172/载具产出!R$58,载具属性!$G$33:$G$92,1),0)</f>
        <v>32</v>
      </c>
      <c r="AT172" s="45">
        <f ca="1">IFERROR(MATCH(AP172/载具产出!S$58,载具属性!$G$33:$G$92,1),0)</f>
        <v>22</v>
      </c>
      <c r="AU172" s="45">
        <f ca="1">IFERROR(MATCH(AQ172/载具产出!T$58,载具属性!$G$33:$G$92,1),0)</f>
        <v>13</v>
      </c>
      <c r="AV172" s="45">
        <f ca="1">IFERROR(MATCH(AR172/载具产出!U$58,载具属性!$G$33:$G$92,1),0)</f>
        <v>4</v>
      </c>
      <c r="AW172" s="46" t="str">
        <f ca="1" t="shared" si="45"/>
        <v>[{62,944},{63,110090},{2,309700},{6030001,2930},{6030002,3140},{6030003,493}]</v>
      </c>
      <c r="AX172" t="str">
        <f ca="1" t="shared" si="46"/>
        <v>{62,944}</v>
      </c>
      <c r="AY172" t="str">
        <f ca="1" t="shared" si="47"/>
        <v>{63,110090}</v>
      </c>
      <c r="AZ172" t="str">
        <f ca="1" t="shared" si="48"/>
        <v>{2,309700}</v>
      </c>
      <c r="BA172" t="str">
        <f ca="1" t="shared" si="49"/>
        <v>{6030001,2930}</v>
      </c>
      <c r="BB172" t="str">
        <f ca="1" t="shared" si="50"/>
        <v>{6030002,3140}</v>
      </c>
      <c r="BC172" t="str">
        <f ca="1" t="shared" si="51"/>
        <v>{6030003,493}</v>
      </c>
      <c r="BD172" t="str">
        <f ca="1" t="shared" si="52"/>
        <v/>
      </c>
    </row>
    <row r="173" spans="3:56">
      <c r="C173">
        <f ca="1" t="shared" si="39"/>
        <v>119.356725146199</v>
      </c>
      <c r="D173" s="40">
        <v>167</v>
      </c>
      <c r="E173" s="40">
        <f t="shared" si="53"/>
        <v>116</v>
      </c>
      <c r="F173" s="40">
        <v>136</v>
      </c>
      <c r="G173" s="41">
        <f t="shared" si="40"/>
        <v>171</v>
      </c>
      <c r="H173" s="40">
        <f>H172+1</f>
        <v>226</v>
      </c>
      <c r="I173" s="40">
        <f t="shared" si="38"/>
        <v>360</v>
      </c>
      <c r="J173" s="40">
        <f t="shared" si="54"/>
        <v>345</v>
      </c>
      <c r="K173" s="40">
        <f ca="1">SUM(U$36:U173)-SUM(OFFSET(载具产出!H$399,0,0,$R173+1,1))</f>
        <v>951</v>
      </c>
      <c r="L173" s="40">
        <f ca="1">SUM(T$36:T173)-SUM(OFFSET(载具产出!G$399,0,0,$R173+1,1))</f>
        <v>111090</v>
      </c>
      <c r="M173" s="40">
        <f ca="1">SUM(V$36:V173)/2-SUM(OFFSET(载具产出!I$399,0,0,$R173+1,1))</f>
        <v>312900</v>
      </c>
      <c r="N173" s="40">
        <f ca="1">SUM(AA$36:AA173)-SUM(OFFSET(载具产出!J$399,0,0,$R173+1,1))</f>
        <v>2948.6</v>
      </c>
      <c r="O173" s="40">
        <f ca="1">SUM(AB$36:AB173)-SUM(OFFSET(载具产出!K$399,0,0,$R173+1,1))</f>
        <v>3160.03999999999</v>
      </c>
      <c r="P173" s="40">
        <f ca="1">SUM(AC$36:AC173)-SUM(OFFSET(载具产出!L$399,0,0,$R173+1,1))</f>
        <v>503.36</v>
      </c>
      <c r="Q173" s="40">
        <f ca="1">SUM(AD$36:AD173)-SUM(OFFSET(载具产出!M$399,0,0,$R173+1,1))</f>
        <v>0</v>
      </c>
      <c r="R173" s="40">
        <v>15</v>
      </c>
      <c r="S173" s="40" t="str">
        <f ca="1">OFFSET(载具产出!$D$111,IFERROR(MATCH(OFFSET($D173,0,MATCH($D$5,$E$6:$H$6,0)),载具产出!$E$112:$E$151,1),0),0)</f>
        <v>珍惜Ⅲ</v>
      </c>
      <c r="T173" s="40">
        <f ca="1">OFFSET(载具产出!$F$399,IFERROR(MATCH(OFFSET($D173,0,MATCH($D$5,$E$6:$H$6,0)),载具产出!$E$400:$E$439,1),0),MATCH(T$6,载具产出!$G$399:$O$399,0))</f>
        <v>1000</v>
      </c>
      <c r="U173" s="40">
        <v>7</v>
      </c>
      <c r="V173" s="40">
        <f ca="1">OFFSET(载具产出!$F$399,IFERROR(MATCH(OFFSET($D173,0,MATCH($D$5,$E$6:$H$6,0)),载具产出!$E$400:$E$439,1),0),MATCH(V$6,载具产出!$G$399:$O$399,0))</f>
        <v>6400</v>
      </c>
      <c r="W173" s="43">
        <f ca="1">_xlfn.XLOOKUP(Z173,载具属性!$E$98:$E$497,载具属性!$G$98:$G$497)+6000+OFFSET(载具属性!L$33,AS173,0)*载具属性!M$30+OFFSET(载具属性!M$33,AT173,0)*载具属性!N$30+OFFSET(载具属性!N$33,AU173,0)*载具属性!O$30+OFFSET(载具属性!O$33,AV173,0)*载具属性!P$30</f>
        <v>20410</v>
      </c>
      <c r="X173" s="43">
        <f ca="1">_xlfn.XLOOKUP(Z173,载具属性!$E$98:$E$497,载具属性!$G$98:$G$497)</f>
        <v>8650</v>
      </c>
      <c r="Y173" s="43">
        <f ca="1">OFFSET(载具属性!L$33,AS173,0)*载具属性!M$30+OFFSET(载具属性!M$33,AT173,0)*载具属性!N$30+OFFSET(载具属性!N$33,AU173,0)*载具属性!O$30+OFFSET(载具属性!O$33,AV173,0)*载具属性!P$30</f>
        <v>5760</v>
      </c>
      <c r="Z173" s="40">
        <f ca="1">MATCH(SUM($T$7:T173),载具属性!$I$98:$I$497,1)</f>
        <v>135</v>
      </c>
      <c r="AA173" s="40">
        <f ca="1">OFFSET(载具产出!$F$399,IFERROR(MATCH(OFFSET($D173,0,MATCH($D$5,$E$6:$H$6,0)),载具产出!$E$112:$E$151,1),0),MATCH(AA$6,载具产出!$G$111:$O$111,0))*2</f>
        <v>18</v>
      </c>
      <c r="AB173" s="40">
        <f ca="1">OFFSET(载具产出!$F$399,IFERROR(MATCH(OFFSET($D173,0,MATCH($D$5,$E$6:$H$6,0)),载具产出!$E$112:$E$151,1),0),MATCH(AB$6,载具产出!$G$111:$O$111,0))*2</f>
        <v>19.68</v>
      </c>
      <c r="AC173" s="40">
        <f ca="1">OFFSET(载具产出!$F$399,IFERROR(MATCH(OFFSET($D173,0,MATCH($D$5,$E$6:$H$6,0)),载具产出!$E$112:$E$151,1),0),MATCH(AC$6,载具产出!$G$111:$O$111,0))*2</f>
        <v>10.32</v>
      </c>
      <c r="AD173" s="40">
        <f ca="1">OFFSET(载具产出!$F$399,IFERROR(MATCH(OFFSET($D173,0,MATCH($D$5,$E$6:$H$6,0)),载具产出!$E$112:$E$151,1),0),MATCH(AD$6,载具产出!$G$111:$O$111,0))*2</f>
        <v>0</v>
      </c>
      <c r="AE173" s="44">
        <f ca="1">SUM(AA$36:AA173)/3</f>
        <v>1046.8</v>
      </c>
      <c r="AF173" s="44">
        <f ca="1">SUM(AB$36:AB173)/3</f>
        <v>1103.46666666666</v>
      </c>
      <c r="AG173" s="44">
        <f ca="1">SUM(AC$36:AC173)/3</f>
        <v>177.066666666667</v>
      </c>
      <c r="AH173" s="44">
        <f ca="1">SUM(AD$36:AD173)/3</f>
        <v>0</v>
      </c>
      <c r="AI173" s="44">
        <f>_xlfn.XLOOKUP($D$5,载具产出!$D$71:$D$75,载具产出!$E$71:$E$75)*(D173-30+1)</f>
        <v>1623.14285714286</v>
      </c>
      <c r="AJ173" s="44">
        <f>IFERROR(MATCH(_xlfn.XLOOKUP($D$5,载具产出!$D$71:$D$75,载具产出!$E$71:$E$75)*(D173-30+1)*10,载具产出!$E$60:$E$67,1),0)+1</f>
        <v>7</v>
      </c>
      <c r="AK173" s="44">
        <f ca="1">IF($AJ173=1,($AI173)*(10*OFFSET(载具产出!$D$45,MATCH(AK$6,$AK$6:$AN$6,0)-1,$AJ173)+OFFSET(载具产出!$D$49,MATCH(AK$6,$AK$6:$AN$6,0)-1,$AJ173)*OFFSET(载具产出!$N$49,MATCH(AK$6,$AK$6:$AN$6,0)-1,0)),OFFSET(载具产出!F$59,$AJ173-1,0)*10+OFFSET(载具产出!J$59,$AJ173-1,0)+($AI173*10-_xlfn.XLOOKUP($AJ173-1,载具产出!$D$59:$D$67,载具产出!$E$59:$E$67))/10*(10*OFFSET(载具产出!$D$45,MATCH(AK$6,$AK$6:$AN$6,0)-1,$AJ173)+OFFSET(载具产出!$D$49,MATCH(AK$6,$AK$6:$AN$6,0)-1,$AJ173)*OFFSET(载具产出!$N$49,MATCH(AK$6,$AK$6:$AN$6,0)-1,0)))</f>
        <v>3613.02771428572</v>
      </c>
      <c r="AL173" s="44">
        <f ca="1">IF($AJ173=1,($AI173)*(10*OFFSET(载具产出!$D$45,MATCH(AL$6,$AK$6:$AN$6,0)-1,$AJ173)+OFFSET(载具产出!$D$49,MATCH(AL$6,$AK$6:$AN$6,0)-1,$AJ173)*OFFSET(载具产出!$N$49,MATCH(AL$6,$AK$6:$AN$6,0)-1,0)),OFFSET(载具产出!G$59,$AJ173-1,0)*10+OFFSET(载具产出!K$59,$AJ173-1,0)+($AI173*10-_xlfn.XLOOKUP($AJ173-1,载具产出!$D$59:$D$67,载具产出!$E$59:$E$67))/10*(10*OFFSET(载具产出!$D$45,MATCH(AL$6,$AK$6:$AN$6,0)-1,$AJ173)+OFFSET(载具产出!$D$49,MATCH(AL$6,$AK$6:$AN$6,0)-1,$AJ173)*OFFSET(载具产出!$N$49,MATCH(AL$6,$AK$6:$AN$6,0)-1,0)))</f>
        <v>1427.05428571429</v>
      </c>
      <c r="AM173" s="44">
        <f ca="1">IF($AJ173=1,($AI173)*(10*OFFSET(载具产出!$D$45,MATCH(AM$6,$AK$6:$AN$6,0)-1,$AJ173)+OFFSET(载具产出!$D$49,MATCH(AM$6,$AK$6:$AN$6,0)-1,$AJ173)*OFFSET(载具产出!$N$49,MATCH(AM$6,$AK$6:$AN$6,0)-1,0)),OFFSET(载具产出!H$59,$AJ173-1,0)*10+OFFSET(载具产出!L$59,$AJ173-1,0)+($AI173*10-_xlfn.XLOOKUP($AJ173-1,载具产出!$D$59:$D$67,载具产出!$E$59:$E$67))/10*(10*OFFSET(载具产出!$D$45,MATCH(AM$6,$AK$6:$AN$6,0)-1,$AJ173)+OFFSET(载具产出!$D$49,MATCH(AM$6,$AK$6:$AN$6,0)-1,$AJ173)*OFFSET(载具产出!$N$49,MATCH(AM$6,$AK$6:$AN$6,0)-1,0)))</f>
        <v>767.25942857143</v>
      </c>
      <c r="AN173" s="44">
        <f ca="1">IF($AJ173=1,($AI173)*(10*OFFSET(载具产出!$D$45,MATCH(AN$6,$AK$6:$AN$6,0)-1,$AJ173)+OFFSET(载具产出!$D$49,MATCH(AN$6,$AK$6:$AN$6,0)-1,$AJ173)*OFFSET(载具产出!$N$49,MATCH(AN$6,$AK$6:$AN$6,0)-1,0)),OFFSET(载具产出!I$59,$AJ173-1,0)*10+OFFSET(载具产出!M$59,$AJ173-1,0)+($AI173*10-_xlfn.XLOOKUP($AJ173-1,载具产出!$D$59:$D$67,载具产出!$E$59:$E$67))/10*(10*OFFSET(载具产出!$D$45,MATCH(AN$6,$AK$6:$AN$6,0)-1,$AJ173)+OFFSET(载具产出!$D$49,MATCH(AN$6,$AK$6:$AN$6,0)-1,$AJ173)*OFFSET(载具产出!$N$49,MATCH(AN$6,$AK$6:$AN$6,0)-1,0)))</f>
        <v>232.911142857143</v>
      </c>
      <c r="AO173" s="44">
        <f ca="1" t="shared" si="41"/>
        <v>4659.82771428572</v>
      </c>
      <c r="AP173" s="44">
        <f ca="1" t="shared" si="42"/>
        <v>2530.52095238095</v>
      </c>
      <c r="AQ173" s="44">
        <f ca="1" t="shared" si="43"/>
        <v>944.326095238097</v>
      </c>
      <c r="AR173" s="44">
        <f ca="1" t="shared" si="44"/>
        <v>232.911142857143</v>
      </c>
      <c r="AS173" s="45">
        <f ca="1">IFERROR(MATCH(AO173/载具产出!R$58,载具属性!$G$33:$G$92,1),0)</f>
        <v>32</v>
      </c>
      <c r="AT173" s="45">
        <f ca="1">IFERROR(MATCH(AP173/载具产出!S$58,载具属性!$G$33:$G$92,1),0)</f>
        <v>22</v>
      </c>
      <c r="AU173" s="45">
        <f ca="1">IFERROR(MATCH(AQ173/载具产出!T$58,载具属性!$G$33:$G$92,1),0)</f>
        <v>13</v>
      </c>
      <c r="AV173" s="45">
        <f ca="1">IFERROR(MATCH(AR173/载具产出!U$58,载具属性!$G$33:$G$92,1),0)</f>
        <v>4</v>
      </c>
      <c r="AW173" s="46" t="str">
        <f ca="1" t="shared" si="45"/>
        <v>[{62,951},{63,111090},{2,312900},{6030001,2948},{6030002,3160},{6030003,503}]</v>
      </c>
      <c r="AX173" t="str">
        <f ca="1" t="shared" si="46"/>
        <v>{62,951}</v>
      </c>
      <c r="AY173" t="str">
        <f ca="1" t="shared" si="47"/>
        <v>{63,111090}</v>
      </c>
      <c r="AZ173" t="str">
        <f ca="1" t="shared" si="48"/>
        <v>{2,312900}</v>
      </c>
      <c r="BA173" t="str">
        <f ca="1" t="shared" si="49"/>
        <v>{6030001,2948}</v>
      </c>
      <c r="BB173" t="str">
        <f ca="1" t="shared" si="50"/>
        <v>{6030002,3160}</v>
      </c>
      <c r="BC173" t="str">
        <f ca="1" t="shared" si="51"/>
        <v>{6030003,503}</v>
      </c>
      <c r="BD173" t="str">
        <f ca="1" t="shared" si="52"/>
        <v/>
      </c>
    </row>
    <row r="174" spans="3:56">
      <c r="C174">
        <f ca="1" t="shared" si="39"/>
        <v>119.127906976744</v>
      </c>
      <c r="D174" s="40">
        <v>168</v>
      </c>
      <c r="E174" s="40">
        <f t="shared" si="53"/>
        <v>116</v>
      </c>
      <c r="F174" s="40">
        <v>137</v>
      </c>
      <c r="G174" s="41">
        <f t="shared" si="40"/>
        <v>172</v>
      </c>
      <c r="H174" s="40">
        <f>H173</f>
        <v>226</v>
      </c>
      <c r="I174" s="40">
        <f t="shared" si="38"/>
        <v>362</v>
      </c>
      <c r="J174" s="40">
        <f t="shared" si="54"/>
        <v>348</v>
      </c>
      <c r="K174" s="40">
        <f ca="1">SUM(U$36:U174)-SUM(OFFSET(载具产出!H$399,0,0,$R174+1,1))</f>
        <v>958</v>
      </c>
      <c r="L174" s="40">
        <f ca="1">SUM(T$36:T174)-SUM(OFFSET(载具产出!G$399,0,0,$R174+1,1))</f>
        <v>112090</v>
      </c>
      <c r="M174" s="40">
        <f ca="1">SUM(V$36:V174)/2-SUM(OFFSET(载具产出!I$399,0,0,$R174+1,1))</f>
        <v>316100</v>
      </c>
      <c r="N174" s="40">
        <f ca="1">SUM(AA$36:AA174)-SUM(OFFSET(载具产出!J$399,0,0,$R174+1,1))</f>
        <v>2966.6</v>
      </c>
      <c r="O174" s="40">
        <f ca="1">SUM(AB$36:AB174)-SUM(OFFSET(载具产出!K$399,0,0,$R174+1,1))</f>
        <v>3179.71999999999</v>
      </c>
      <c r="P174" s="40">
        <f ca="1">SUM(AC$36:AC174)-SUM(OFFSET(载具产出!L$399,0,0,$R174+1,1))</f>
        <v>513.68</v>
      </c>
      <c r="Q174" s="40">
        <f ca="1">SUM(AD$36:AD174)-SUM(OFFSET(载具产出!M$399,0,0,$R174+1,1))</f>
        <v>0</v>
      </c>
      <c r="R174" s="40">
        <v>15</v>
      </c>
      <c r="S174" s="40" t="str">
        <f ca="1">OFFSET(载具产出!$D$111,IFERROR(MATCH(OFFSET($D174,0,MATCH($D$5,$E$6:$H$6,0)),载具产出!$E$112:$E$151,1),0),0)</f>
        <v>珍惜Ⅲ</v>
      </c>
      <c r="T174" s="40">
        <f ca="1">OFFSET(载具产出!$F$399,IFERROR(MATCH(OFFSET($D174,0,MATCH($D$5,$E$6:$H$6,0)),载具产出!$E$400:$E$439,1),0),MATCH(T$6,载具产出!$G$399:$O$399,0))</f>
        <v>1000</v>
      </c>
      <c r="U174" s="40">
        <v>7</v>
      </c>
      <c r="V174" s="40">
        <f ca="1">OFFSET(载具产出!$F$399,IFERROR(MATCH(OFFSET($D174,0,MATCH($D$5,$E$6:$H$6,0)),载具产出!$E$400:$E$439,1),0),MATCH(V$6,载具产出!$G$399:$O$399,0))</f>
        <v>6400</v>
      </c>
      <c r="W174" s="43">
        <f ca="1">_xlfn.XLOOKUP(Z174,载具属性!$E$98:$E$497,载具属性!$G$98:$G$497)+6000+OFFSET(载具属性!L$33,AS174,0)*载具属性!M$30+OFFSET(载具属性!M$33,AT174,0)*载具属性!N$30+OFFSET(载具属性!N$33,AU174,0)*载具属性!O$30+OFFSET(载具属性!O$33,AV174,0)*载具属性!P$30</f>
        <v>20490</v>
      </c>
      <c r="X174" s="43">
        <f ca="1">_xlfn.XLOOKUP(Z174,载具属性!$E$98:$E$497,载具属性!$G$98:$G$497)</f>
        <v>8730</v>
      </c>
      <c r="Y174" s="43">
        <f ca="1">OFFSET(载具属性!L$33,AS174,0)*载具属性!M$30+OFFSET(载具属性!M$33,AT174,0)*载具属性!N$30+OFFSET(载具属性!N$33,AU174,0)*载具属性!O$30+OFFSET(载具属性!O$33,AV174,0)*载具属性!P$30</f>
        <v>5760</v>
      </c>
      <c r="Z174" s="40">
        <f ca="1">MATCH(SUM($T$7:T174),载具属性!$I$98:$I$497,1)</f>
        <v>136</v>
      </c>
      <c r="AA174" s="40">
        <f ca="1">OFFSET(载具产出!$F$399,IFERROR(MATCH(OFFSET($D174,0,MATCH($D$5,$E$6:$H$6,0)),载具产出!$E$112:$E$151,1),0),MATCH(AA$6,载具产出!$G$111:$O$111,0))*2</f>
        <v>18</v>
      </c>
      <c r="AB174" s="40">
        <f ca="1">OFFSET(载具产出!$F$399,IFERROR(MATCH(OFFSET($D174,0,MATCH($D$5,$E$6:$H$6,0)),载具产出!$E$112:$E$151,1),0),MATCH(AB$6,载具产出!$G$111:$O$111,0))*2</f>
        <v>19.68</v>
      </c>
      <c r="AC174" s="40">
        <f ca="1">OFFSET(载具产出!$F$399,IFERROR(MATCH(OFFSET($D174,0,MATCH($D$5,$E$6:$H$6,0)),载具产出!$E$112:$E$151,1),0),MATCH(AC$6,载具产出!$G$111:$O$111,0))*2</f>
        <v>10.32</v>
      </c>
      <c r="AD174" s="40">
        <f ca="1">OFFSET(载具产出!$F$399,IFERROR(MATCH(OFFSET($D174,0,MATCH($D$5,$E$6:$H$6,0)),载具产出!$E$112:$E$151,1),0),MATCH(AD$6,载具产出!$G$111:$O$111,0))*2</f>
        <v>0</v>
      </c>
      <c r="AE174" s="44">
        <f ca="1">SUM(AA$36:AA174)/3</f>
        <v>1052.8</v>
      </c>
      <c r="AF174" s="44">
        <f ca="1">SUM(AB$36:AB174)/3</f>
        <v>1110.02666666666</v>
      </c>
      <c r="AG174" s="44">
        <f ca="1">SUM(AC$36:AC174)/3</f>
        <v>180.506666666667</v>
      </c>
      <c r="AH174" s="44">
        <f ca="1">SUM(AD$36:AD174)/3</f>
        <v>0</v>
      </c>
      <c r="AI174" s="44">
        <f>_xlfn.XLOOKUP($D$5,载具产出!$D$71:$D$75,载具产出!$E$71:$E$75)*(D174-30+1)</f>
        <v>1634.90476190477</v>
      </c>
      <c r="AJ174" s="44">
        <f>IFERROR(MATCH(_xlfn.XLOOKUP($D$5,载具产出!$D$71:$D$75,载具产出!$E$71:$E$75)*(D174-30+1)*10,载具产出!$E$60:$E$67,1),0)+1</f>
        <v>7</v>
      </c>
      <c r="AK174" s="44">
        <f ca="1">IF($AJ174=1,($AI174)*(10*OFFSET(载具产出!$D$45,MATCH(AK$6,$AK$6:$AN$6,0)-1,$AJ174)+OFFSET(载具产出!$D$49,MATCH(AK$6,$AK$6:$AN$6,0)-1,$AJ174)*OFFSET(载具产出!$N$49,MATCH(AK$6,$AK$6:$AN$6,0)-1,0)),OFFSET(载具产出!F$59,$AJ174-1,0)*10+OFFSET(载具产出!J$59,$AJ174-1,0)+($AI174*10-_xlfn.XLOOKUP($AJ174-1,载具产出!$D$59:$D$67,载具产出!$E$59:$E$67))/10*(10*OFFSET(载具产出!$D$45,MATCH(AK$6,$AK$6:$AN$6,0)-1,$AJ174)+OFFSET(载具产出!$D$49,MATCH(AK$6,$AK$6:$AN$6,0)-1,$AJ174)*OFFSET(载具产出!$N$49,MATCH(AK$6,$AK$6:$AN$6,0)-1,0)))</f>
        <v>3637.86885714287</v>
      </c>
      <c r="AL174" s="44">
        <f ca="1">IF($AJ174=1,($AI174)*(10*OFFSET(载具产出!$D$45,MATCH(AL$6,$AK$6:$AN$6,0)-1,$AJ174)+OFFSET(载具产出!$D$49,MATCH(AL$6,$AK$6:$AN$6,0)-1,$AJ174)*OFFSET(载具产出!$N$49,MATCH(AL$6,$AK$6:$AN$6,0)-1,0)),OFFSET(载具产出!G$59,$AJ174-1,0)*10+OFFSET(载具产出!K$59,$AJ174-1,0)+($AI174*10-_xlfn.XLOOKUP($AJ174-1,载具产出!$D$59:$D$67,载具产出!$E$59:$E$67))/10*(10*OFFSET(载具产出!$D$45,MATCH(AL$6,$AK$6:$AN$6,0)-1,$AJ174)+OFFSET(载具产出!$D$49,MATCH(AL$6,$AK$6:$AN$6,0)-1,$AJ174)*OFFSET(载具产出!$N$49,MATCH(AL$6,$AK$6:$AN$6,0)-1,0)))</f>
        <v>1438.11047619048</v>
      </c>
      <c r="AM174" s="44">
        <f ca="1">IF($AJ174=1,($AI174)*(10*OFFSET(载具产出!$D$45,MATCH(AM$6,$AK$6:$AN$6,0)-1,$AJ174)+OFFSET(载具产出!$D$49,MATCH(AM$6,$AK$6:$AN$6,0)-1,$AJ174)*OFFSET(载具产出!$N$49,MATCH(AM$6,$AK$6:$AN$6,0)-1,0)),OFFSET(载具产出!H$59,$AJ174-1,0)*10+OFFSET(载具产出!L$59,$AJ174-1,0)+($AI174*10-_xlfn.XLOOKUP($AJ174-1,载具产出!$D$59:$D$67,载具产出!$E$59:$E$67))/10*(10*OFFSET(载具产出!$D$45,MATCH(AM$6,$AK$6:$AN$6,0)-1,$AJ174)+OFFSET(载具产出!$D$49,MATCH(AM$6,$AK$6:$AN$6,0)-1,$AJ174)*OFFSET(载具产出!$N$49,MATCH(AM$6,$AK$6:$AN$6,0)-1,0)))</f>
        <v>773.469714285719</v>
      </c>
      <c r="AN174" s="44">
        <f ca="1">IF($AJ174=1,($AI174)*(10*OFFSET(载具产出!$D$45,MATCH(AN$6,$AK$6:$AN$6,0)-1,$AJ174)+OFFSET(载具产出!$D$49,MATCH(AN$6,$AK$6:$AN$6,0)-1,$AJ174)*OFFSET(载具产出!$N$49,MATCH(AN$6,$AK$6:$AN$6,0)-1,0)),OFFSET(载具产出!I$59,$AJ174-1,0)*10+OFFSET(载具产出!M$59,$AJ174-1,0)+($AI174*10-_xlfn.XLOOKUP($AJ174-1,载具产出!$D$59:$D$67,载具产出!$E$59:$E$67))/10*(10*OFFSET(载具产出!$D$45,MATCH(AN$6,$AK$6:$AN$6,0)-1,$AJ174)+OFFSET(载具产出!$D$49,MATCH(AN$6,$AK$6:$AN$6,0)-1,$AJ174)*OFFSET(载具产出!$N$49,MATCH(AN$6,$AK$6:$AN$6,0)-1,0)))</f>
        <v>234.898904761906</v>
      </c>
      <c r="AO174" s="44">
        <f ca="1" t="shared" si="41"/>
        <v>4690.66885714287</v>
      </c>
      <c r="AP174" s="44">
        <f ca="1" t="shared" si="42"/>
        <v>2548.13714285715</v>
      </c>
      <c r="AQ174" s="44">
        <f ca="1" t="shared" si="43"/>
        <v>953.976380952385</v>
      </c>
      <c r="AR174" s="44">
        <f ca="1" t="shared" si="44"/>
        <v>234.898904761906</v>
      </c>
      <c r="AS174" s="45">
        <f ca="1">IFERROR(MATCH(AO174/载具产出!R$58,载具属性!$G$33:$G$92,1),0)</f>
        <v>32</v>
      </c>
      <c r="AT174" s="45">
        <f ca="1">IFERROR(MATCH(AP174/载具产出!S$58,载具属性!$G$33:$G$92,1),0)</f>
        <v>22</v>
      </c>
      <c r="AU174" s="45">
        <f ca="1">IFERROR(MATCH(AQ174/载具产出!T$58,载具属性!$G$33:$G$92,1),0)</f>
        <v>13</v>
      </c>
      <c r="AV174" s="45">
        <f ca="1">IFERROR(MATCH(AR174/载具产出!U$58,载具属性!$G$33:$G$92,1),0)</f>
        <v>4</v>
      </c>
      <c r="AW174" s="46" t="str">
        <f ca="1" t="shared" si="45"/>
        <v>[{62,958},{63,112090},{2,316100},{6030001,2966},{6030002,3179},{6030003,513}]</v>
      </c>
      <c r="AX174" t="str">
        <f ca="1" t="shared" si="46"/>
        <v>{62,958}</v>
      </c>
      <c r="AY174" t="str">
        <f ca="1" t="shared" si="47"/>
        <v>{63,112090}</v>
      </c>
      <c r="AZ174" t="str">
        <f ca="1" t="shared" si="48"/>
        <v>{2,316100}</v>
      </c>
      <c r="BA174" t="str">
        <f ca="1" t="shared" si="49"/>
        <v>{6030001,2966}</v>
      </c>
      <c r="BB174" t="str">
        <f ca="1" t="shared" si="50"/>
        <v>{6030002,3179}</v>
      </c>
      <c r="BC174" t="str">
        <f ca="1" t="shared" si="51"/>
        <v>{6030003,513}</v>
      </c>
      <c r="BD174" t="str">
        <f ca="1" t="shared" si="52"/>
        <v/>
      </c>
    </row>
    <row r="175" spans="3:56">
      <c r="C175">
        <f ca="1" t="shared" si="39"/>
        <v>119.593023255814</v>
      </c>
      <c r="D175" s="40">
        <v>169</v>
      </c>
      <c r="E175" s="40">
        <f t="shared" si="53"/>
        <v>117</v>
      </c>
      <c r="F175" s="40">
        <v>137</v>
      </c>
      <c r="G175" s="41">
        <f t="shared" si="40"/>
        <v>172</v>
      </c>
      <c r="H175" s="40">
        <f>H174+1</f>
        <v>227</v>
      </c>
      <c r="I175" s="40">
        <f t="shared" si="38"/>
        <v>364</v>
      </c>
      <c r="J175" s="40">
        <f t="shared" si="54"/>
        <v>351</v>
      </c>
      <c r="K175" s="40">
        <f ca="1">SUM(U$36:U175)-SUM(OFFSET(载具产出!H$399,0,0,$R175+1,1))</f>
        <v>965</v>
      </c>
      <c r="L175" s="40">
        <f ca="1">SUM(T$36:T175)-SUM(OFFSET(载具产出!G$399,0,0,$R175+1,1))</f>
        <v>113090</v>
      </c>
      <c r="M175" s="40">
        <f ca="1">SUM(V$36:V175)/2-SUM(OFFSET(载具产出!I$399,0,0,$R175+1,1))</f>
        <v>319300</v>
      </c>
      <c r="N175" s="40">
        <f ca="1">SUM(AA$36:AA175)-SUM(OFFSET(载具产出!J$399,0,0,$R175+1,1))</f>
        <v>2984.6</v>
      </c>
      <c r="O175" s="40">
        <f ca="1">SUM(AB$36:AB175)-SUM(OFFSET(载具产出!K$399,0,0,$R175+1,1))</f>
        <v>3199.39999999999</v>
      </c>
      <c r="P175" s="40">
        <f ca="1">SUM(AC$36:AC175)-SUM(OFFSET(载具产出!L$399,0,0,$R175+1,1))</f>
        <v>524</v>
      </c>
      <c r="Q175" s="40">
        <f ca="1">SUM(AD$36:AD175)-SUM(OFFSET(载具产出!M$399,0,0,$R175+1,1))</f>
        <v>0</v>
      </c>
      <c r="R175" s="40">
        <v>15</v>
      </c>
      <c r="S175" s="40" t="str">
        <f ca="1">OFFSET(载具产出!$D$111,IFERROR(MATCH(OFFSET($D175,0,MATCH($D$5,$E$6:$H$6,0)),载具产出!$E$112:$E$151,1),0),0)</f>
        <v>珍惜Ⅲ</v>
      </c>
      <c r="T175" s="40">
        <f ca="1">OFFSET(载具产出!$F$399,IFERROR(MATCH(OFFSET($D175,0,MATCH($D$5,$E$6:$H$6,0)),载具产出!$E$400:$E$439,1),0),MATCH(T$6,载具产出!$G$399:$O$399,0))</f>
        <v>1000</v>
      </c>
      <c r="U175" s="40">
        <v>7</v>
      </c>
      <c r="V175" s="40">
        <f ca="1">OFFSET(载具产出!$F$399,IFERROR(MATCH(OFFSET($D175,0,MATCH($D$5,$E$6:$H$6,0)),载具产出!$E$400:$E$439,1),0),MATCH(V$6,载具产出!$G$399:$O$399,0))</f>
        <v>6400</v>
      </c>
      <c r="W175" s="43">
        <f ca="1">_xlfn.XLOOKUP(Z175,载具属性!$E$98:$E$497,载具属性!$G$98:$G$497)+6000+OFFSET(载具属性!L$33,AS175,0)*载具属性!M$30+OFFSET(载具属性!M$33,AT175,0)*载具属性!N$30+OFFSET(载具属性!N$33,AU175,0)*载具属性!O$30+OFFSET(载具属性!O$33,AV175,0)*载具属性!P$30</f>
        <v>20570</v>
      </c>
      <c r="X175" s="43">
        <f ca="1">_xlfn.XLOOKUP(Z175,载具属性!$E$98:$E$497,载具属性!$G$98:$G$497)</f>
        <v>8810</v>
      </c>
      <c r="Y175" s="43">
        <f ca="1">OFFSET(载具属性!L$33,AS175,0)*载具属性!M$30+OFFSET(载具属性!M$33,AT175,0)*载具属性!N$30+OFFSET(载具属性!N$33,AU175,0)*载具属性!O$30+OFFSET(载具属性!O$33,AV175,0)*载具属性!P$30</f>
        <v>5760</v>
      </c>
      <c r="Z175" s="40">
        <f ca="1">MATCH(SUM($T$7:T175),载具属性!$I$98:$I$497,1)</f>
        <v>137</v>
      </c>
      <c r="AA175" s="40">
        <f ca="1">OFFSET(载具产出!$F$399,IFERROR(MATCH(OFFSET($D175,0,MATCH($D$5,$E$6:$H$6,0)),载具产出!$E$112:$E$151,1),0),MATCH(AA$6,载具产出!$G$111:$O$111,0))*2</f>
        <v>18</v>
      </c>
      <c r="AB175" s="40">
        <f ca="1">OFFSET(载具产出!$F$399,IFERROR(MATCH(OFFSET($D175,0,MATCH($D$5,$E$6:$H$6,0)),载具产出!$E$112:$E$151,1),0),MATCH(AB$6,载具产出!$G$111:$O$111,0))*2</f>
        <v>19.68</v>
      </c>
      <c r="AC175" s="40">
        <f ca="1">OFFSET(载具产出!$F$399,IFERROR(MATCH(OFFSET($D175,0,MATCH($D$5,$E$6:$H$6,0)),载具产出!$E$112:$E$151,1),0),MATCH(AC$6,载具产出!$G$111:$O$111,0))*2</f>
        <v>10.32</v>
      </c>
      <c r="AD175" s="40">
        <f ca="1">OFFSET(载具产出!$F$399,IFERROR(MATCH(OFFSET($D175,0,MATCH($D$5,$E$6:$H$6,0)),载具产出!$E$112:$E$151,1),0),MATCH(AD$6,载具产出!$G$111:$O$111,0))*2</f>
        <v>0</v>
      </c>
      <c r="AE175" s="44">
        <f ca="1">SUM(AA$36:AA175)/3</f>
        <v>1058.8</v>
      </c>
      <c r="AF175" s="44">
        <f ca="1">SUM(AB$36:AB175)/3</f>
        <v>1116.58666666666</v>
      </c>
      <c r="AG175" s="44">
        <f ca="1">SUM(AC$36:AC175)/3</f>
        <v>183.946666666667</v>
      </c>
      <c r="AH175" s="44">
        <f ca="1">SUM(AD$36:AD175)/3</f>
        <v>0</v>
      </c>
      <c r="AI175" s="44">
        <f>_xlfn.XLOOKUP($D$5,载具产出!$D$71:$D$75,载具产出!$E$71:$E$75)*(D175-30+1)</f>
        <v>1646.66666666667</v>
      </c>
      <c r="AJ175" s="44">
        <f>IFERROR(MATCH(_xlfn.XLOOKUP($D$5,载具产出!$D$71:$D$75,载具产出!$E$71:$E$75)*(D175-30+1)*10,载具产出!$E$60:$E$67,1),0)+1</f>
        <v>7</v>
      </c>
      <c r="AK175" s="44">
        <f ca="1">IF($AJ175=1,($AI175)*(10*OFFSET(载具产出!$D$45,MATCH(AK$6,$AK$6:$AN$6,0)-1,$AJ175)+OFFSET(载具产出!$D$49,MATCH(AK$6,$AK$6:$AN$6,0)-1,$AJ175)*OFFSET(载具产出!$N$49,MATCH(AK$6,$AK$6:$AN$6,0)-1,0)),OFFSET(载具产出!F$59,$AJ175-1,0)*10+OFFSET(载具产出!J$59,$AJ175-1,0)+($AI175*10-_xlfn.XLOOKUP($AJ175-1,载具产出!$D$59:$D$67,载具产出!$E$59:$E$67))/10*(10*OFFSET(载具产出!$D$45,MATCH(AK$6,$AK$6:$AN$6,0)-1,$AJ175)+OFFSET(载具产出!$D$49,MATCH(AK$6,$AK$6:$AN$6,0)-1,$AJ175)*OFFSET(载具产出!$N$49,MATCH(AK$6,$AK$6:$AN$6,0)-1,0)))</f>
        <v>3662.71000000001</v>
      </c>
      <c r="AL175" s="44">
        <f ca="1">IF($AJ175=1,($AI175)*(10*OFFSET(载具产出!$D$45,MATCH(AL$6,$AK$6:$AN$6,0)-1,$AJ175)+OFFSET(载具产出!$D$49,MATCH(AL$6,$AK$6:$AN$6,0)-1,$AJ175)*OFFSET(载具产出!$N$49,MATCH(AL$6,$AK$6:$AN$6,0)-1,0)),OFFSET(载具产出!G$59,$AJ175-1,0)*10+OFFSET(载具产出!K$59,$AJ175-1,0)+($AI175*10-_xlfn.XLOOKUP($AJ175-1,载具产出!$D$59:$D$67,载具产出!$E$59:$E$67))/10*(10*OFFSET(载具产出!$D$45,MATCH(AL$6,$AK$6:$AN$6,0)-1,$AJ175)+OFFSET(载具产出!$D$49,MATCH(AL$6,$AK$6:$AN$6,0)-1,$AJ175)*OFFSET(载具产出!$N$49,MATCH(AL$6,$AK$6:$AN$6,0)-1,0)))</f>
        <v>1449.16666666667</v>
      </c>
      <c r="AM175" s="44">
        <f ca="1">IF($AJ175=1,($AI175)*(10*OFFSET(载具产出!$D$45,MATCH(AM$6,$AK$6:$AN$6,0)-1,$AJ175)+OFFSET(载具产出!$D$49,MATCH(AM$6,$AK$6:$AN$6,0)-1,$AJ175)*OFFSET(载具产出!$N$49,MATCH(AM$6,$AK$6:$AN$6,0)-1,0)),OFFSET(载具产出!H$59,$AJ175-1,0)*10+OFFSET(载具产出!L$59,$AJ175-1,0)+($AI175*10-_xlfn.XLOOKUP($AJ175-1,载具产出!$D$59:$D$67,载具产出!$E$59:$E$67))/10*(10*OFFSET(载具产出!$D$45,MATCH(AM$6,$AK$6:$AN$6,0)-1,$AJ175)+OFFSET(载具产出!$D$49,MATCH(AM$6,$AK$6:$AN$6,0)-1,$AJ175)*OFFSET(载具产出!$N$49,MATCH(AM$6,$AK$6:$AN$6,0)-1,0)))</f>
        <v>779.680000000002</v>
      </c>
      <c r="AN175" s="44">
        <f ca="1">IF($AJ175=1,($AI175)*(10*OFFSET(载具产出!$D$45,MATCH(AN$6,$AK$6:$AN$6,0)-1,$AJ175)+OFFSET(载具产出!$D$49,MATCH(AN$6,$AK$6:$AN$6,0)-1,$AJ175)*OFFSET(载具产出!$N$49,MATCH(AN$6,$AK$6:$AN$6,0)-1,0)),OFFSET(载具产出!I$59,$AJ175-1,0)*10+OFFSET(载具产出!M$59,$AJ175-1,0)+($AI175*10-_xlfn.XLOOKUP($AJ175-1,载具产出!$D$59:$D$67,载具产出!$E$59:$E$67))/10*(10*OFFSET(载具产出!$D$45,MATCH(AN$6,$AK$6:$AN$6,0)-1,$AJ175)+OFFSET(载具产出!$D$49,MATCH(AN$6,$AK$6:$AN$6,0)-1,$AJ175)*OFFSET(载具产出!$N$49,MATCH(AN$6,$AK$6:$AN$6,0)-1,0)))</f>
        <v>236.886666666667</v>
      </c>
      <c r="AO175" s="44">
        <f ca="1" t="shared" si="41"/>
        <v>4721.51000000001</v>
      </c>
      <c r="AP175" s="44">
        <f ca="1" t="shared" si="42"/>
        <v>2565.75333333333</v>
      </c>
      <c r="AQ175" s="44">
        <f ca="1" t="shared" si="43"/>
        <v>963.626666666668</v>
      </c>
      <c r="AR175" s="44">
        <f ca="1" t="shared" si="44"/>
        <v>236.886666666667</v>
      </c>
      <c r="AS175" s="45">
        <f ca="1">IFERROR(MATCH(AO175/载具产出!R$58,载具属性!$G$33:$G$92,1),0)</f>
        <v>32</v>
      </c>
      <c r="AT175" s="45">
        <f ca="1">IFERROR(MATCH(AP175/载具产出!S$58,载具属性!$G$33:$G$92,1),0)</f>
        <v>22</v>
      </c>
      <c r="AU175" s="45">
        <f ca="1">IFERROR(MATCH(AQ175/载具产出!T$58,载具属性!$G$33:$G$92,1),0)</f>
        <v>13</v>
      </c>
      <c r="AV175" s="45">
        <f ca="1">IFERROR(MATCH(AR175/载具产出!U$58,载具属性!$G$33:$G$92,1),0)</f>
        <v>4</v>
      </c>
      <c r="AW175" s="46" t="str">
        <f ca="1" t="shared" si="45"/>
        <v>[{62,965},{63,113090},{2,319300},{6030001,2984},{6030002,3199},{6030003,524}]</v>
      </c>
      <c r="AX175" t="str">
        <f ca="1" t="shared" si="46"/>
        <v>{62,965}</v>
      </c>
      <c r="AY175" t="str">
        <f ca="1" t="shared" si="47"/>
        <v>{63,113090}</v>
      </c>
      <c r="AZ175" t="str">
        <f ca="1" t="shared" si="48"/>
        <v>{2,319300}</v>
      </c>
      <c r="BA175" t="str">
        <f ca="1" t="shared" si="49"/>
        <v>{6030001,2984}</v>
      </c>
      <c r="BB175" t="str">
        <f ca="1" t="shared" si="50"/>
        <v>{6030002,3199}</v>
      </c>
      <c r="BC175" t="str">
        <f ca="1" t="shared" si="51"/>
        <v>{6030003,524}</v>
      </c>
      <c r="BD175" t="str">
        <f ca="1" t="shared" si="52"/>
        <v/>
      </c>
    </row>
    <row r="176" spans="3:56">
      <c r="C176">
        <f ca="1" t="shared" si="39"/>
        <v>118.901734104046</v>
      </c>
      <c r="D176" s="40">
        <v>170</v>
      </c>
      <c r="E176" s="40">
        <f t="shared" si="53"/>
        <v>117</v>
      </c>
      <c r="F176" s="40">
        <v>137</v>
      </c>
      <c r="G176" s="41">
        <f t="shared" si="40"/>
        <v>173</v>
      </c>
      <c r="H176" s="40">
        <f>H175</f>
        <v>227</v>
      </c>
      <c r="I176" s="40">
        <f t="shared" si="38"/>
        <v>366</v>
      </c>
      <c r="J176" s="40">
        <f t="shared" si="54"/>
        <v>354</v>
      </c>
      <c r="K176" s="40">
        <f ca="1">SUM(U$36:U176)-SUM(OFFSET(载具产出!H$399,0,0,$R176+1,1))</f>
        <v>972</v>
      </c>
      <c r="L176" s="40">
        <f ca="1">SUM(T$36:T176)-SUM(OFFSET(载具产出!G$399,0,0,$R176+1,1))</f>
        <v>114090</v>
      </c>
      <c r="M176" s="40">
        <f ca="1">SUM(V$36:V176)/2-SUM(OFFSET(载具产出!I$399,0,0,$R176+1,1))</f>
        <v>322500</v>
      </c>
      <c r="N176" s="40">
        <f ca="1">SUM(AA$36:AA176)-SUM(OFFSET(载具产出!J$399,0,0,$R176+1,1))</f>
        <v>3002.6</v>
      </c>
      <c r="O176" s="40">
        <f ca="1">SUM(AB$36:AB176)-SUM(OFFSET(载具产出!K$399,0,0,$R176+1,1))</f>
        <v>3219.07999999999</v>
      </c>
      <c r="P176" s="40">
        <f ca="1">SUM(AC$36:AC176)-SUM(OFFSET(载具产出!L$399,0,0,$R176+1,1))</f>
        <v>534.32</v>
      </c>
      <c r="Q176" s="40">
        <f ca="1">SUM(AD$36:AD176)-SUM(OFFSET(载具产出!M$399,0,0,$R176+1,1))</f>
        <v>0</v>
      </c>
      <c r="R176" s="40">
        <v>15</v>
      </c>
      <c r="S176" s="40" t="str">
        <f ca="1">OFFSET(载具产出!$D$111,IFERROR(MATCH(OFFSET($D176,0,MATCH($D$5,$E$6:$H$6,0)),载具产出!$E$112:$E$151,1),0),0)</f>
        <v>珍惜Ⅲ</v>
      </c>
      <c r="T176" s="40">
        <f ca="1">OFFSET(载具产出!$F$399,IFERROR(MATCH(OFFSET($D176,0,MATCH($D$5,$E$6:$H$6,0)),载具产出!$E$400:$E$439,1),0),MATCH(T$6,载具产出!$G$399:$O$399,0))</f>
        <v>1000</v>
      </c>
      <c r="U176" s="40">
        <v>7</v>
      </c>
      <c r="V176" s="40">
        <f ca="1">OFFSET(载具产出!$F$399,IFERROR(MATCH(OFFSET($D176,0,MATCH($D$5,$E$6:$H$6,0)),载具产出!$E$400:$E$439,1),0),MATCH(V$6,载具产出!$G$399:$O$399,0))</f>
        <v>6400</v>
      </c>
      <c r="W176" s="43">
        <f ca="1">_xlfn.XLOOKUP(Z176,载具属性!$E$98:$E$497,载具属性!$G$98:$G$497)+6000+OFFSET(载具属性!L$33,AS176,0)*载具属性!M$30+OFFSET(载具属性!M$33,AT176,0)*载具属性!N$30+OFFSET(载具属性!N$33,AU176,0)*载具属性!O$30+OFFSET(载具属性!O$33,AV176,0)*载具属性!P$30</f>
        <v>20570</v>
      </c>
      <c r="X176" s="43">
        <f ca="1">_xlfn.XLOOKUP(Z176,载具属性!$E$98:$E$497,载具属性!$G$98:$G$497)</f>
        <v>8810</v>
      </c>
      <c r="Y176" s="43">
        <f ca="1">OFFSET(载具属性!L$33,AS176,0)*载具属性!M$30+OFFSET(载具属性!M$33,AT176,0)*载具属性!N$30+OFFSET(载具属性!N$33,AU176,0)*载具属性!O$30+OFFSET(载具属性!O$33,AV176,0)*载具属性!P$30</f>
        <v>5760</v>
      </c>
      <c r="Z176" s="40">
        <f ca="1">MATCH(SUM($T$7:T176),载具属性!$I$98:$I$497,1)</f>
        <v>137</v>
      </c>
      <c r="AA176" s="40">
        <f ca="1">OFFSET(载具产出!$F$399,IFERROR(MATCH(OFFSET($D176,0,MATCH($D$5,$E$6:$H$6,0)),载具产出!$E$112:$E$151,1),0),MATCH(AA$6,载具产出!$G$111:$O$111,0))*2</f>
        <v>18</v>
      </c>
      <c r="AB176" s="40">
        <f ca="1">OFFSET(载具产出!$F$399,IFERROR(MATCH(OFFSET($D176,0,MATCH($D$5,$E$6:$H$6,0)),载具产出!$E$112:$E$151,1),0),MATCH(AB$6,载具产出!$G$111:$O$111,0))*2</f>
        <v>19.68</v>
      </c>
      <c r="AC176" s="40">
        <f ca="1">OFFSET(载具产出!$F$399,IFERROR(MATCH(OFFSET($D176,0,MATCH($D$5,$E$6:$H$6,0)),载具产出!$E$112:$E$151,1),0),MATCH(AC$6,载具产出!$G$111:$O$111,0))*2</f>
        <v>10.32</v>
      </c>
      <c r="AD176" s="40">
        <f ca="1">OFFSET(载具产出!$F$399,IFERROR(MATCH(OFFSET($D176,0,MATCH($D$5,$E$6:$H$6,0)),载具产出!$E$112:$E$151,1),0),MATCH(AD$6,载具产出!$G$111:$O$111,0))*2</f>
        <v>0</v>
      </c>
      <c r="AE176" s="44">
        <f ca="1">SUM(AA$36:AA176)/3</f>
        <v>1064.8</v>
      </c>
      <c r="AF176" s="44">
        <f ca="1">SUM(AB$36:AB176)/3</f>
        <v>1123.14666666666</v>
      </c>
      <c r="AG176" s="44">
        <f ca="1">SUM(AC$36:AC176)/3</f>
        <v>187.386666666667</v>
      </c>
      <c r="AH176" s="44">
        <f ca="1">SUM(AD$36:AD176)/3</f>
        <v>0</v>
      </c>
      <c r="AI176" s="44">
        <f>_xlfn.XLOOKUP($D$5,载具产出!$D$71:$D$75,载具产出!$E$71:$E$75)*(D176-30+1)</f>
        <v>1658.42857142858</v>
      </c>
      <c r="AJ176" s="44">
        <f>IFERROR(MATCH(_xlfn.XLOOKUP($D$5,载具产出!$D$71:$D$75,载具产出!$E$71:$E$75)*(D176-30+1)*10,载具产出!$E$60:$E$67,1),0)+1</f>
        <v>7</v>
      </c>
      <c r="AK176" s="44">
        <f ca="1">IF($AJ176=1,($AI176)*(10*OFFSET(载具产出!$D$45,MATCH(AK$6,$AK$6:$AN$6,0)-1,$AJ176)+OFFSET(载具产出!$D$49,MATCH(AK$6,$AK$6:$AN$6,0)-1,$AJ176)*OFFSET(载具产出!$N$49,MATCH(AK$6,$AK$6:$AN$6,0)-1,0)),OFFSET(载具产出!F$59,$AJ176-1,0)*10+OFFSET(载具产出!J$59,$AJ176-1,0)+($AI176*10-_xlfn.XLOOKUP($AJ176-1,载具产出!$D$59:$D$67,载具产出!$E$59:$E$67))/10*(10*OFFSET(载具产出!$D$45,MATCH(AK$6,$AK$6:$AN$6,0)-1,$AJ176)+OFFSET(载具产出!$D$49,MATCH(AK$6,$AK$6:$AN$6,0)-1,$AJ176)*OFFSET(载具产出!$N$49,MATCH(AK$6,$AK$6:$AN$6,0)-1,0)))</f>
        <v>3687.55114285716</v>
      </c>
      <c r="AL176" s="44">
        <f ca="1">IF($AJ176=1,($AI176)*(10*OFFSET(载具产出!$D$45,MATCH(AL$6,$AK$6:$AN$6,0)-1,$AJ176)+OFFSET(载具产出!$D$49,MATCH(AL$6,$AK$6:$AN$6,0)-1,$AJ176)*OFFSET(载具产出!$N$49,MATCH(AL$6,$AK$6:$AN$6,0)-1,0)),OFFSET(载具产出!G$59,$AJ176-1,0)*10+OFFSET(载具产出!K$59,$AJ176-1,0)+($AI176*10-_xlfn.XLOOKUP($AJ176-1,载具产出!$D$59:$D$67,载具产出!$E$59:$E$67))/10*(10*OFFSET(载具产出!$D$45,MATCH(AL$6,$AK$6:$AN$6,0)-1,$AJ176)+OFFSET(载具产出!$D$49,MATCH(AL$6,$AK$6:$AN$6,0)-1,$AJ176)*OFFSET(载具产出!$N$49,MATCH(AL$6,$AK$6:$AN$6,0)-1,0)))</f>
        <v>1460.22285714287</v>
      </c>
      <c r="AM176" s="44">
        <f ca="1">IF($AJ176=1,($AI176)*(10*OFFSET(载具产出!$D$45,MATCH(AM$6,$AK$6:$AN$6,0)-1,$AJ176)+OFFSET(载具产出!$D$49,MATCH(AM$6,$AK$6:$AN$6,0)-1,$AJ176)*OFFSET(载具产出!$N$49,MATCH(AM$6,$AK$6:$AN$6,0)-1,0)),OFFSET(载具产出!H$59,$AJ176-1,0)*10+OFFSET(载具产出!L$59,$AJ176-1,0)+($AI176*10-_xlfn.XLOOKUP($AJ176-1,载具产出!$D$59:$D$67,载具产出!$E$59:$E$67))/10*(10*OFFSET(载具产出!$D$45,MATCH(AM$6,$AK$6:$AN$6,0)-1,$AJ176)+OFFSET(载具产出!$D$49,MATCH(AM$6,$AK$6:$AN$6,0)-1,$AJ176)*OFFSET(载具产出!$N$49,MATCH(AM$6,$AK$6:$AN$6,0)-1,0)))</f>
        <v>785.89028571429</v>
      </c>
      <c r="AN176" s="44">
        <f ca="1">IF($AJ176=1,($AI176)*(10*OFFSET(载具产出!$D$45,MATCH(AN$6,$AK$6:$AN$6,0)-1,$AJ176)+OFFSET(载具产出!$D$49,MATCH(AN$6,$AK$6:$AN$6,0)-1,$AJ176)*OFFSET(载具产出!$N$49,MATCH(AN$6,$AK$6:$AN$6,0)-1,0)),OFFSET(载具产出!I$59,$AJ176-1,0)*10+OFFSET(载具产出!M$59,$AJ176-1,0)+($AI176*10-_xlfn.XLOOKUP($AJ176-1,载具产出!$D$59:$D$67,载具产出!$E$59:$E$67))/10*(10*OFFSET(载具产出!$D$45,MATCH(AN$6,$AK$6:$AN$6,0)-1,$AJ176)+OFFSET(载具产出!$D$49,MATCH(AN$6,$AK$6:$AN$6,0)-1,$AJ176)*OFFSET(载具产出!$N$49,MATCH(AN$6,$AK$6:$AN$6,0)-1,0)))</f>
        <v>238.87442857143</v>
      </c>
      <c r="AO176" s="44">
        <f ca="1" t="shared" si="41"/>
        <v>4752.35114285716</v>
      </c>
      <c r="AP176" s="44">
        <f ca="1" t="shared" si="42"/>
        <v>2583.36952380953</v>
      </c>
      <c r="AQ176" s="44">
        <f ca="1" t="shared" si="43"/>
        <v>973.276952380957</v>
      </c>
      <c r="AR176" s="44">
        <f ca="1" t="shared" si="44"/>
        <v>238.87442857143</v>
      </c>
      <c r="AS176" s="45">
        <f ca="1">IFERROR(MATCH(AO176/载具产出!R$58,载具属性!$G$33:$G$92,1),0)</f>
        <v>32</v>
      </c>
      <c r="AT176" s="45">
        <f ca="1">IFERROR(MATCH(AP176/载具产出!S$58,载具属性!$G$33:$G$92,1),0)</f>
        <v>22</v>
      </c>
      <c r="AU176" s="45">
        <f ca="1">IFERROR(MATCH(AQ176/载具产出!T$58,载具属性!$G$33:$G$92,1),0)</f>
        <v>13</v>
      </c>
      <c r="AV176" s="45">
        <f ca="1">IFERROR(MATCH(AR176/载具产出!U$58,载具属性!$G$33:$G$92,1),0)</f>
        <v>4</v>
      </c>
      <c r="AW176" s="46" t="str">
        <f ca="1" t="shared" si="45"/>
        <v>[{62,972},{63,114090},{2,322500},{6030001,3002},{6030002,3219},{6030003,534}]</v>
      </c>
      <c r="AX176" t="str">
        <f ca="1" t="shared" si="46"/>
        <v>{62,972}</v>
      </c>
      <c r="AY176" t="str">
        <f ca="1" t="shared" si="47"/>
        <v>{63,114090}</v>
      </c>
      <c r="AZ176" t="str">
        <f ca="1" t="shared" si="48"/>
        <v>{2,322500}</v>
      </c>
      <c r="BA176" t="str">
        <f ca="1" t="shared" si="49"/>
        <v>{6030001,3002}</v>
      </c>
      <c r="BB176" t="str">
        <f ca="1" t="shared" si="50"/>
        <v>{6030002,3219}</v>
      </c>
      <c r="BC176" t="str">
        <f ca="1" t="shared" si="51"/>
        <v>{6030003,534}</v>
      </c>
      <c r="BD176" t="str">
        <f ca="1" t="shared" si="52"/>
        <v/>
      </c>
    </row>
    <row r="177" spans="3:56">
      <c r="C177">
        <f ca="1" t="shared" si="39"/>
        <v>120.14450867052</v>
      </c>
      <c r="D177" s="40">
        <v>171</v>
      </c>
      <c r="E177" s="40">
        <f t="shared" si="53"/>
        <v>117</v>
      </c>
      <c r="F177" s="40">
        <v>137</v>
      </c>
      <c r="G177" s="41">
        <f t="shared" si="40"/>
        <v>173</v>
      </c>
      <c r="H177" s="40">
        <f>H176+1</f>
        <v>228</v>
      </c>
      <c r="I177" s="40">
        <f t="shared" si="38"/>
        <v>368</v>
      </c>
      <c r="J177" s="40">
        <f t="shared" si="54"/>
        <v>357</v>
      </c>
      <c r="K177" s="40">
        <f ca="1">SUM(U$36:U177)-SUM(OFFSET(载具产出!H$399,0,0,$R177+1,1))</f>
        <v>979</v>
      </c>
      <c r="L177" s="40">
        <f ca="1">SUM(T$36:T177)-SUM(OFFSET(载具产出!G$399,0,0,$R177+1,1))</f>
        <v>115090</v>
      </c>
      <c r="M177" s="40">
        <f ca="1">SUM(V$36:V177)/2-SUM(OFFSET(载具产出!I$399,0,0,$R177+1,1))</f>
        <v>325700</v>
      </c>
      <c r="N177" s="40">
        <f ca="1">SUM(AA$36:AA177)-SUM(OFFSET(载具产出!J$399,0,0,$R177+1,1))</f>
        <v>3020.6</v>
      </c>
      <c r="O177" s="40">
        <f ca="1">SUM(AB$36:AB177)-SUM(OFFSET(载具产出!K$399,0,0,$R177+1,1))</f>
        <v>3238.75999999999</v>
      </c>
      <c r="P177" s="40">
        <f ca="1">SUM(AC$36:AC177)-SUM(OFFSET(载具产出!L$399,0,0,$R177+1,1))</f>
        <v>544.64</v>
      </c>
      <c r="Q177" s="40">
        <f ca="1">SUM(AD$36:AD177)-SUM(OFFSET(载具产出!M$399,0,0,$R177+1,1))</f>
        <v>0</v>
      </c>
      <c r="R177" s="40">
        <v>15</v>
      </c>
      <c r="S177" s="40" t="str">
        <f ca="1">OFFSET(载具产出!$D$111,IFERROR(MATCH(OFFSET($D177,0,MATCH($D$5,$E$6:$H$6,0)),载具产出!$E$112:$E$151,1),0),0)</f>
        <v>珍惜Ⅲ</v>
      </c>
      <c r="T177" s="40">
        <f ca="1">OFFSET(载具产出!$F$399,IFERROR(MATCH(OFFSET($D177,0,MATCH($D$5,$E$6:$H$6,0)),载具产出!$E$400:$E$439,1),0),MATCH(T$6,载具产出!$G$399:$O$399,0))</f>
        <v>1000</v>
      </c>
      <c r="U177" s="40">
        <v>7</v>
      </c>
      <c r="V177" s="40">
        <f ca="1">OFFSET(载具产出!$F$399,IFERROR(MATCH(OFFSET($D177,0,MATCH($D$5,$E$6:$H$6,0)),载具产出!$E$400:$E$439,1),0),MATCH(V$6,载具产出!$G$399:$O$399,0))</f>
        <v>6400</v>
      </c>
      <c r="W177" s="43">
        <f ca="1">_xlfn.XLOOKUP(Z177,载具属性!$E$98:$E$497,载具属性!$G$98:$G$497)+6000+OFFSET(载具属性!L$33,AS177,0)*载具属性!M$30+OFFSET(载具属性!M$33,AT177,0)*载具属性!N$30+OFFSET(载具属性!N$33,AU177,0)*载具属性!O$30+OFFSET(载具属性!O$33,AV177,0)*载具属性!P$30</f>
        <v>20785</v>
      </c>
      <c r="X177" s="43">
        <f ca="1">_xlfn.XLOOKUP(Z177,载具属性!$E$98:$E$497,载具属性!$G$98:$G$497)</f>
        <v>8890</v>
      </c>
      <c r="Y177" s="43">
        <f ca="1">OFFSET(载具属性!L$33,AS177,0)*载具属性!M$30+OFFSET(载具属性!M$33,AT177,0)*载具属性!N$30+OFFSET(载具属性!N$33,AU177,0)*载具属性!O$30+OFFSET(载具属性!O$33,AV177,0)*载具属性!P$30</f>
        <v>5895</v>
      </c>
      <c r="Z177" s="40">
        <f ca="1">MATCH(SUM($T$7:T177),载具属性!$I$98:$I$497,1)</f>
        <v>138</v>
      </c>
      <c r="AA177" s="40">
        <f ca="1">OFFSET(载具产出!$F$399,IFERROR(MATCH(OFFSET($D177,0,MATCH($D$5,$E$6:$H$6,0)),载具产出!$E$112:$E$151,1),0),MATCH(AA$6,载具产出!$G$111:$O$111,0))*2</f>
        <v>18</v>
      </c>
      <c r="AB177" s="40">
        <f ca="1">OFFSET(载具产出!$F$399,IFERROR(MATCH(OFFSET($D177,0,MATCH($D$5,$E$6:$H$6,0)),载具产出!$E$112:$E$151,1),0),MATCH(AB$6,载具产出!$G$111:$O$111,0))*2</f>
        <v>19.68</v>
      </c>
      <c r="AC177" s="40">
        <f ca="1">OFFSET(载具产出!$F$399,IFERROR(MATCH(OFFSET($D177,0,MATCH($D$5,$E$6:$H$6,0)),载具产出!$E$112:$E$151,1),0),MATCH(AC$6,载具产出!$G$111:$O$111,0))*2</f>
        <v>10.32</v>
      </c>
      <c r="AD177" s="40">
        <f ca="1">OFFSET(载具产出!$F$399,IFERROR(MATCH(OFFSET($D177,0,MATCH($D$5,$E$6:$H$6,0)),载具产出!$E$112:$E$151,1),0),MATCH(AD$6,载具产出!$G$111:$O$111,0))*2</f>
        <v>0</v>
      </c>
      <c r="AE177" s="44">
        <f ca="1">SUM(AA$36:AA177)/3</f>
        <v>1070.8</v>
      </c>
      <c r="AF177" s="44">
        <f ca="1">SUM(AB$36:AB177)/3</f>
        <v>1129.70666666666</v>
      </c>
      <c r="AG177" s="44">
        <f ca="1">SUM(AC$36:AC177)/3</f>
        <v>190.826666666667</v>
      </c>
      <c r="AH177" s="44">
        <f ca="1">SUM(AD$36:AD177)/3</f>
        <v>0</v>
      </c>
      <c r="AI177" s="44">
        <f>_xlfn.XLOOKUP($D$5,载具产出!$D$71:$D$75,载具产出!$E$71:$E$75)*(D177-30+1)</f>
        <v>1670.19047619048</v>
      </c>
      <c r="AJ177" s="44">
        <f>IFERROR(MATCH(_xlfn.XLOOKUP($D$5,载具产出!$D$71:$D$75,载具产出!$E$71:$E$75)*(D177-30+1)*10,载具产出!$E$60:$E$67,1),0)+1</f>
        <v>7</v>
      </c>
      <c r="AK177" s="44">
        <f ca="1">IF($AJ177=1,($AI177)*(10*OFFSET(载具产出!$D$45,MATCH(AK$6,$AK$6:$AN$6,0)-1,$AJ177)+OFFSET(载具产出!$D$49,MATCH(AK$6,$AK$6:$AN$6,0)-1,$AJ177)*OFFSET(载具产出!$N$49,MATCH(AK$6,$AK$6:$AN$6,0)-1,0)),OFFSET(载具产出!F$59,$AJ177-1,0)*10+OFFSET(载具产出!J$59,$AJ177-1,0)+($AI177*10-_xlfn.XLOOKUP($AJ177-1,载具产出!$D$59:$D$67,载具产出!$E$59:$E$67))/10*(10*OFFSET(载具产出!$D$45,MATCH(AK$6,$AK$6:$AN$6,0)-1,$AJ177)+OFFSET(载具产出!$D$49,MATCH(AK$6,$AK$6:$AN$6,0)-1,$AJ177)*OFFSET(载具产出!$N$49,MATCH(AK$6,$AK$6:$AN$6,0)-1,0)))</f>
        <v>3712.39228571429</v>
      </c>
      <c r="AL177" s="44">
        <f ca="1">IF($AJ177=1,($AI177)*(10*OFFSET(载具产出!$D$45,MATCH(AL$6,$AK$6:$AN$6,0)-1,$AJ177)+OFFSET(载具产出!$D$49,MATCH(AL$6,$AK$6:$AN$6,0)-1,$AJ177)*OFFSET(载具产出!$N$49,MATCH(AL$6,$AK$6:$AN$6,0)-1,0)),OFFSET(载具产出!G$59,$AJ177-1,0)*10+OFFSET(载具产出!K$59,$AJ177-1,0)+($AI177*10-_xlfn.XLOOKUP($AJ177-1,载具产出!$D$59:$D$67,载具产出!$E$59:$E$67))/10*(10*OFFSET(载具产出!$D$45,MATCH(AL$6,$AK$6:$AN$6,0)-1,$AJ177)+OFFSET(载具产出!$D$49,MATCH(AL$6,$AK$6:$AN$6,0)-1,$AJ177)*OFFSET(载具产出!$N$49,MATCH(AL$6,$AK$6:$AN$6,0)-1,0)))</f>
        <v>1471.27904761905</v>
      </c>
      <c r="AM177" s="44">
        <f ca="1">IF($AJ177=1,($AI177)*(10*OFFSET(载具产出!$D$45,MATCH(AM$6,$AK$6:$AN$6,0)-1,$AJ177)+OFFSET(载具产出!$D$49,MATCH(AM$6,$AK$6:$AN$6,0)-1,$AJ177)*OFFSET(载具产出!$N$49,MATCH(AM$6,$AK$6:$AN$6,0)-1,0)),OFFSET(载具产出!H$59,$AJ177-1,0)*10+OFFSET(载具产出!L$59,$AJ177-1,0)+($AI177*10-_xlfn.XLOOKUP($AJ177-1,载具产出!$D$59:$D$67,载具产出!$E$59:$E$67))/10*(10*OFFSET(载具产出!$D$45,MATCH(AM$6,$AK$6:$AN$6,0)-1,$AJ177)+OFFSET(载具产出!$D$49,MATCH(AM$6,$AK$6:$AN$6,0)-1,$AJ177)*OFFSET(载具产出!$N$49,MATCH(AM$6,$AK$6:$AN$6,0)-1,0)))</f>
        <v>792.100571428573</v>
      </c>
      <c r="AN177" s="44">
        <f ca="1">IF($AJ177=1,($AI177)*(10*OFFSET(载具产出!$D$45,MATCH(AN$6,$AK$6:$AN$6,0)-1,$AJ177)+OFFSET(载具产出!$D$49,MATCH(AN$6,$AK$6:$AN$6,0)-1,$AJ177)*OFFSET(载具产出!$N$49,MATCH(AN$6,$AK$6:$AN$6,0)-1,0)),OFFSET(载具产出!I$59,$AJ177-1,0)*10+OFFSET(载具产出!M$59,$AJ177-1,0)+($AI177*10-_xlfn.XLOOKUP($AJ177-1,载具产出!$D$59:$D$67,载具产出!$E$59:$E$67))/10*(10*OFFSET(载具产出!$D$45,MATCH(AN$6,$AK$6:$AN$6,0)-1,$AJ177)+OFFSET(载具产出!$D$49,MATCH(AN$6,$AK$6:$AN$6,0)-1,$AJ177)*OFFSET(载具产出!$N$49,MATCH(AN$6,$AK$6:$AN$6,0)-1,0)))</f>
        <v>240.862190476191</v>
      </c>
      <c r="AO177" s="44">
        <f ca="1" t="shared" si="41"/>
        <v>4783.19228571429</v>
      </c>
      <c r="AP177" s="44">
        <f ca="1" t="shared" si="42"/>
        <v>2600.98571428571</v>
      </c>
      <c r="AQ177" s="44">
        <f ca="1" t="shared" si="43"/>
        <v>982.92723809524</v>
      </c>
      <c r="AR177" s="44">
        <f ca="1" t="shared" si="44"/>
        <v>240.862190476191</v>
      </c>
      <c r="AS177" s="45">
        <f ca="1">IFERROR(MATCH(AO177/载具产出!R$58,载具属性!$G$33:$G$92,1),0)</f>
        <v>33</v>
      </c>
      <c r="AT177" s="45">
        <f ca="1">IFERROR(MATCH(AP177/载具产出!S$58,载具属性!$G$33:$G$92,1),0)</f>
        <v>22</v>
      </c>
      <c r="AU177" s="45">
        <f ca="1">IFERROR(MATCH(AQ177/载具产出!T$58,载具属性!$G$33:$G$92,1),0)</f>
        <v>13</v>
      </c>
      <c r="AV177" s="45">
        <f ca="1">IFERROR(MATCH(AR177/载具产出!U$58,载具属性!$G$33:$G$92,1),0)</f>
        <v>5</v>
      </c>
      <c r="AW177" s="46" t="str">
        <f ca="1" t="shared" si="45"/>
        <v>[{62,979},{63,115090},{2,325700},{6030001,3020},{6030002,3238},{6030003,544}]</v>
      </c>
      <c r="AX177" t="str">
        <f ca="1" t="shared" si="46"/>
        <v>{62,979}</v>
      </c>
      <c r="AY177" t="str">
        <f ca="1" t="shared" si="47"/>
        <v>{63,115090}</v>
      </c>
      <c r="AZ177" t="str">
        <f ca="1" t="shared" si="48"/>
        <v>{2,325700}</v>
      </c>
      <c r="BA177" t="str">
        <f ca="1" t="shared" si="49"/>
        <v>{6030001,3020}</v>
      </c>
      <c r="BB177" t="str">
        <f ca="1" t="shared" si="50"/>
        <v>{6030002,3238}</v>
      </c>
      <c r="BC177" t="str">
        <f ca="1" t="shared" si="51"/>
        <v>{6030003,544}</v>
      </c>
      <c r="BD177" t="str">
        <f ca="1" t="shared" si="52"/>
        <v/>
      </c>
    </row>
    <row r="178" spans="3:56">
      <c r="C178">
        <f ca="1" t="shared" si="39"/>
        <v>119.454022988506</v>
      </c>
      <c r="D178" s="40">
        <v>172</v>
      </c>
      <c r="E178" s="40">
        <f t="shared" si="53"/>
        <v>117</v>
      </c>
      <c r="F178" s="40">
        <v>137</v>
      </c>
      <c r="G178" s="41">
        <f t="shared" si="40"/>
        <v>174</v>
      </c>
      <c r="H178" s="40">
        <f>H177</f>
        <v>228</v>
      </c>
      <c r="I178" s="40">
        <f t="shared" si="38"/>
        <v>370</v>
      </c>
      <c r="J178" s="40">
        <f t="shared" si="54"/>
        <v>360</v>
      </c>
      <c r="K178" s="40">
        <f ca="1">SUM(U$36:U178)-SUM(OFFSET(载具产出!H$399,0,0,$R178+1,1))</f>
        <v>986</v>
      </c>
      <c r="L178" s="40">
        <f ca="1">SUM(T$36:T178)-SUM(OFFSET(载具产出!G$399,0,0,$R178+1,1))</f>
        <v>116090</v>
      </c>
      <c r="M178" s="40">
        <f ca="1">SUM(V$36:V178)/2-SUM(OFFSET(载具产出!I$399,0,0,$R178+1,1))</f>
        <v>328900</v>
      </c>
      <c r="N178" s="40">
        <f ca="1">SUM(AA$36:AA178)-SUM(OFFSET(载具产出!J$399,0,0,$R178+1,1))</f>
        <v>3038.6</v>
      </c>
      <c r="O178" s="40">
        <f ca="1">SUM(AB$36:AB178)-SUM(OFFSET(载具产出!K$399,0,0,$R178+1,1))</f>
        <v>3258.43999999999</v>
      </c>
      <c r="P178" s="40">
        <f ca="1">SUM(AC$36:AC178)-SUM(OFFSET(载具产出!L$399,0,0,$R178+1,1))</f>
        <v>554.96</v>
      </c>
      <c r="Q178" s="40">
        <f ca="1">SUM(AD$36:AD178)-SUM(OFFSET(载具产出!M$399,0,0,$R178+1,1))</f>
        <v>0</v>
      </c>
      <c r="R178" s="40">
        <v>15</v>
      </c>
      <c r="S178" s="40" t="str">
        <f ca="1">OFFSET(载具产出!$D$111,IFERROR(MATCH(OFFSET($D178,0,MATCH($D$5,$E$6:$H$6,0)),载具产出!$E$112:$E$151,1),0),0)</f>
        <v>珍惜Ⅲ</v>
      </c>
      <c r="T178" s="40">
        <f ca="1">OFFSET(载具产出!$F$399,IFERROR(MATCH(OFFSET($D178,0,MATCH($D$5,$E$6:$H$6,0)),载具产出!$E$400:$E$439,1),0),MATCH(T$6,载具产出!$G$399:$O$399,0))</f>
        <v>1000</v>
      </c>
      <c r="U178" s="40">
        <v>7</v>
      </c>
      <c r="V178" s="40">
        <f ca="1">OFFSET(载具产出!$F$399,IFERROR(MATCH(OFFSET($D178,0,MATCH($D$5,$E$6:$H$6,0)),载具产出!$E$400:$E$439,1),0),MATCH(V$6,载具产出!$G$399:$O$399,0))</f>
        <v>6400</v>
      </c>
      <c r="W178" s="43">
        <f ca="1">_xlfn.XLOOKUP(Z178,载具属性!$E$98:$E$497,载具属性!$G$98:$G$497)+6000+OFFSET(载具属性!L$33,AS178,0)*载具属性!M$30+OFFSET(载具属性!M$33,AT178,0)*载具属性!N$30+OFFSET(载具属性!N$33,AU178,0)*载具属性!O$30+OFFSET(载具属性!O$33,AV178,0)*载具属性!P$30</f>
        <v>20785</v>
      </c>
      <c r="X178" s="43">
        <f ca="1">_xlfn.XLOOKUP(Z178,载具属性!$E$98:$E$497,载具属性!$G$98:$G$497)</f>
        <v>8890</v>
      </c>
      <c r="Y178" s="43">
        <f ca="1">OFFSET(载具属性!L$33,AS178,0)*载具属性!M$30+OFFSET(载具属性!M$33,AT178,0)*载具属性!N$30+OFFSET(载具属性!N$33,AU178,0)*载具属性!O$30+OFFSET(载具属性!O$33,AV178,0)*载具属性!P$30</f>
        <v>5895</v>
      </c>
      <c r="Z178" s="40">
        <f ca="1">MATCH(SUM($T$7:T178),载具属性!$I$98:$I$497,1)</f>
        <v>138</v>
      </c>
      <c r="AA178" s="40">
        <f ca="1">OFFSET(载具产出!$F$399,IFERROR(MATCH(OFFSET($D178,0,MATCH($D$5,$E$6:$H$6,0)),载具产出!$E$112:$E$151,1),0),MATCH(AA$6,载具产出!$G$111:$O$111,0))*2</f>
        <v>18</v>
      </c>
      <c r="AB178" s="40">
        <f ca="1">OFFSET(载具产出!$F$399,IFERROR(MATCH(OFFSET($D178,0,MATCH($D$5,$E$6:$H$6,0)),载具产出!$E$112:$E$151,1),0),MATCH(AB$6,载具产出!$G$111:$O$111,0))*2</f>
        <v>19.68</v>
      </c>
      <c r="AC178" s="40">
        <f ca="1">OFFSET(载具产出!$F$399,IFERROR(MATCH(OFFSET($D178,0,MATCH($D$5,$E$6:$H$6,0)),载具产出!$E$112:$E$151,1),0),MATCH(AC$6,载具产出!$G$111:$O$111,0))*2</f>
        <v>10.32</v>
      </c>
      <c r="AD178" s="40">
        <f ca="1">OFFSET(载具产出!$F$399,IFERROR(MATCH(OFFSET($D178,0,MATCH($D$5,$E$6:$H$6,0)),载具产出!$E$112:$E$151,1),0),MATCH(AD$6,载具产出!$G$111:$O$111,0))*2</f>
        <v>0</v>
      </c>
      <c r="AE178" s="44">
        <f ca="1">SUM(AA$36:AA178)/3</f>
        <v>1076.8</v>
      </c>
      <c r="AF178" s="44">
        <f ca="1">SUM(AB$36:AB178)/3</f>
        <v>1136.26666666666</v>
      </c>
      <c r="AG178" s="44">
        <f ca="1">SUM(AC$36:AC178)/3</f>
        <v>194.266666666667</v>
      </c>
      <c r="AH178" s="44">
        <f ca="1">SUM(AD$36:AD178)/3</f>
        <v>0</v>
      </c>
      <c r="AI178" s="44">
        <f>_xlfn.XLOOKUP($D$5,载具产出!$D$71:$D$75,载具产出!$E$71:$E$75)*(D178-30+1)</f>
        <v>1681.95238095239</v>
      </c>
      <c r="AJ178" s="44">
        <f>IFERROR(MATCH(_xlfn.XLOOKUP($D$5,载具产出!$D$71:$D$75,载具产出!$E$71:$E$75)*(D178-30+1)*10,载具产出!$E$60:$E$67,1),0)+1</f>
        <v>7</v>
      </c>
      <c r="AK178" s="44">
        <f ca="1">IF($AJ178=1,($AI178)*(10*OFFSET(载具产出!$D$45,MATCH(AK$6,$AK$6:$AN$6,0)-1,$AJ178)+OFFSET(载具产出!$D$49,MATCH(AK$6,$AK$6:$AN$6,0)-1,$AJ178)*OFFSET(载具产出!$N$49,MATCH(AK$6,$AK$6:$AN$6,0)-1,0)),OFFSET(载具产出!F$59,$AJ178-1,0)*10+OFFSET(载具产出!J$59,$AJ178-1,0)+($AI178*10-_xlfn.XLOOKUP($AJ178-1,载具产出!$D$59:$D$67,载具产出!$E$59:$E$67))/10*(10*OFFSET(载具产出!$D$45,MATCH(AK$6,$AK$6:$AN$6,0)-1,$AJ178)+OFFSET(载具产出!$D$49,MATCH(AK$6,$AK$6:$AN$6,0)-1,$AJ178)*OFFSET(载具产出!$N$49,MATCH(AK$6,$AK$6:$AN$6,0)-1,0)))</f>
        <v>3737.23342857145</v>
      </c>
      <c r="AL178" s="44">
        <f ca="1">IF($AJ178=1,($AI178)*(10*OFFSET(载具产出!$D$45,MATCH(AL$6,$AK$6:$AN$6,0)-1,$AJ178)+OFFSET(载具产出!$D$49,MATCH(AL$6,$AK$6:$AN$6,0)-1,$AJ178)*OFFSET(载具产出!$N$49,MATCH(AL$6,$AK$6:$AN$6,0)-1,0)),OFFSET(载具产出!G$59,$AJ178-1,0)*10+OFFSET(载具产出!K$59,$AJ178-1,0)+($AI178*10-_xlfn.XLOOKUP($AJ178-1,载具产出!$D$59:$D$67,载具产出!$E$59:$E$67))/10*(10*OFFSET(载具产出!$D$45,MATCH(AL$6,$AK$6:$AN$6,0)-1,$AJ178)+OFFSET(载具产出!$D$49,MATCH(AL$6,$AK$6:$AN$6,0)-1,$AJ178)*OFFSET(载具产出!$N$49,MATCH(AL$6,$AK$6:$AN$6,0)-1,0)))</f>
        <v>1482.33523809525</v>
      </c>
      <c r="AM178" s="44">
        <f ca="1">IF($AJ178=1,($AI178)*(10*OFFSET(载具产出!$D$45,MATCH(AM$6,$AK$6:$AN$6,0)-1,$AJ178)+OFFSET(载具产出!$D$49,MATCH(AM$6,$AK$6:$AN$6,0)-1,$AJ178)*OFFSET(载具产出!$N$49,MATCH(AM$6,$AK$6:$AN$6,0)-1,0)),OFFSET(载具产出!H$59,$AJ178-1,0)*10+OFFSET(载具产出!L$59,$AJ178-1,0)+($AI178*10-_xlfn.XLOOKUP($AJ178-1,载具产出!$D$59:$D$67,载具产出!$E$59:$E$67))/10*(10*OFFSET(载具产出!$D$45,MATCH(AM$6,$AK$6:$AN$6,0)-1,$AJ178)+OFFSET(载具产出!$D$49,MATCH(AM$6,$AK$6:$AN$6,0)-1,$AJ178)*OFFSET(载具产出!$N$49,MATCH(AM$6,$AK$6:$AN$6,0)-1,0)))</f>
        <v>798.310857142862</v>
      </c>
      <c r="AN178" s="44">
        <f ca="1">IF($AJ178=1,($AI178)*(10*OFFSET(载具产出!$D$45,MATCH(AN$6,$AK$6:$AN$6,0)-1,$AJ178)+OFFSET(载具产出!$D$49,MATCH(AN$6,$AK$6:$AN$6,0)-1,$AJ178)*OFFSET(载具产出!$N$49,MATCH(AN$6,$AK$6:$AN$6,0)-1,0)),OFFSET(载具产出!I$59,$AJ178-1,0)*10+OFFSET(载具产出!M$59,$AJ178-1,0)+($AI178*10-_xlfn.XLOOKUP($AJ178-1,载具产出!$D$59:$D$67,载具产出!$E$59:$E$67))/10*(10*OFFSET(载具产出!$D$45,MATCH(AN$6,$AK$6:$AN$6,0)-1,$AJ178)+OFFSET(载具产出!$D$49,MATCH(AN$6,$AK$6:$AN$6,0)-1,$AJ178)*OFFSET(载具产出!$N$49,MATCH(AN$6,$AK$6:$AN$6,0)-1,0)))</f>
        <v>242.849952380954</v>
      </c>
      <c r="AO178" s="44">
        <f ca="1" t="shared" si="41"/>
        <v>4814.03342857145</v>
      </c>
      <c r="AP178" s="44">
        <f ca="1" t="shared" si="42"/>
        <v>2618.60190476191</v>
      </c>
      <c r="AQ178" s="44">
        <f ca="1" t="shared" si="43"/>
        <v>992.577523809529</v>
      </c>
      <c r="AR178" s="44">
        <f ca="1" t="shared" si="44"/>
        <v>242.849952380954</v>
      </c>
      <c r="AS178" s="45">
        <f ca="1">IFERROR(MATCH(AO178/载具产出!R$58,载具属性!$G$33:$G$92,1),0)</f>
        <v>33</v>
      </c>
      <c r="AT178" s="45">
        <f ca="1">IFERROR(MATCH(AP178/载具产出!S$58,载具属性!$G$33:$G$92,1),0)</f>
        <v>22</v>
      </c>
      <c r="AU178" s="45">
        <f ca="1">IFERROR(MATCH(AQ178/载具产出!T$58,载具属性!$G$33:$G$92,1),0)</f>
        <v>13</v>
      </c>
      <c r="AV178" s="45">
        <f ca="1">IFERROR(MATCH(AR178/载具产出!U$58,载具属性!$G$33:$G$92,1),0)</f>
        <v>5</v>
      </c>
      <c r="AW178" s="46" t="str">
        <f ca="1" t="shared" si="45"/>
        <v>[{62,986},{63,116090},{2,328900},{6030001,3038},{6030002,3258},{6030003,554}]</v>
      </c>
      <c r="AX178" t="str">
        <f ca="1" t="shared" si="46"/>
        <v>{62,986}</v>
      </c>
      <c r="AY178" t="str">
        <f ca="1" t="shared" si="47"/>
        <v>{63,116090}</v>
      </c>
      <c r="AZ178" t="str">
        <f ca="1" t="shared" si="48"/>
        <v>{2,328900}</v>
      </c>
      <c r="BA178" t="str">
        <f ca="1" t="shared" si="49"/>
        <v>{6030001,3038}</v>
      </c>
      <c r="BB178" t="str">
        <f ca="1" t="shared" si="50"/>
        <v>{6030002,3258}</v>
      </c>
      <c r="BC178" t="str">
        <f ca="1" t="shared" si="51"/>
        <v>{6030003,554}</v>
      </c>
      <c r="BD178" t="str">
        <f ca="1" t="shared" si="52"/>
        <v/>
      </c>
    </row>
    <row r="179" spans="3:56">
      <c r="C179">
        <f ca="1" t="shared" si="39"/>
        <v>119.913793103448</v>
      </c>
      <c r="D179" s="40">
        <v>173</v>
      </c>
      <c r="E179" s="40">
        <f t="shared" si="53"/>
        <v>117</v>
      </c>
      <c r="F179" s="40">
        <v>137</v>
      </c>
      <c r="G179" s="41">
        <f t="shared" si="40"/>
        <v>174</v>
      </c>
      <c r="H179" s="40">
        <f>H178+1</f>
        <v>229</v>
      </c>
      <c r="I179" s="40">
        <f t="shared" si="38"/>
        <v>372</v>
      </c>
      <c r="J179" s="40">
        <f t="shared" si="54"/>
        <v>363</v>
      </c>
      <c r="K179" s="40">
        <f ca="1">SUM(U$36:U179)-SUM(OFFSET(载具产出!H$399,0,0,$R179+1,1))</f>
        <v>993</v>
      </c>
      <c r="L179" s="40">
        <f ca="1">SUM(T$36:T179)-SUM(OFFSET(载具产出!G$399,0,0,$R179+1,1))</f>
        <v>117090</v>
      </c>
      <c r="M179" s="40">
        <f ca="1">SUM(V$36:V179)/2-SUM(OFFSET(载具产出!I$399,0,0,$R179+1,1))</f>
        <v>332100</v>
      </c>
      <c r="N179" s="40">
        <f ca="1">SUM(AA$36:AA179)-SUM(OFFSET(载具产出!J$399,0,0,$R179+1,1))</f>
        <v>3056.6</v>
      </c>
      <c r="O179" s="40">
        <f ca="1">SUM(AB$36:AB179)-SUM(OFFSET(载具产出!K$399,0,0,$R179+1,1))</f>
        <v>3278.11999999999</v>
      </c>
      <c r="P179" s="40">
        <f ca="1">SUM(AC$36:AC179)-SUM(OFFSET(载具产出!L$399,0,0,$R179+1,1))</f>
        <v>565.28</v>
      </c>
      <c r="Q179" s="40">
        <f ca="1">SUM(AD$36:AD179)-SUM(OFFSET(载具产出!M$399,0,0,$R179+1,1))</f>
        <v>0</v>
      </c>
      <c r="R179" s="40">
        <v>15</v>
      </c>
      <c r="S179" s="40" t="str">
        <f ca="1">OFFSET(载具产出!$D$111,IFERROR(MATCH(OFFSET($D179,0,MATCH($D$5,$E$6:$H$6,0)),载具产出!$E$112:$E$151,1),0),0)</f>
        <v>珍惜Ⅲ</v>
      </c>
      <c r="T179" s="40">
        <f ca="1">OFFSET(载具产出!$F$399,IFERROR(MATCH(OFFSET($D179,0,MATCH($D$5,$E$6:$H$6,0)),载具产出!$E$400:$E$439,1),0),MATCH(T$6,载具产出!$G$399:$O$399,0))</f>
        <v>1000</v>
      </c>
      <c r="U179" s="40">
        <v>7</v>
      </c>
      <c r="V179" s="40">
        <f ca="1">OFFSET(载具产出!$F$399,IFERROR(MATCH(OFFSET($D179,0,MATCH($D$5,$E$6:$H$6,0)),载具产出!$E$400:$E$439,1),0),MATCH(V$6,载具产出!$G$399:$O$399,0))</f>
        <v>6400</v>
      </c>
      <c r="W179" s="43">
        <f ca="1">_xlfn.XLOOKUP(Z179,载具属性!$E$98:$E$497,载具属性!$G$98:$G$497)+6000+OFFSET(载具属性!L$33,AS179,0)*载具属性!M$30+OFFSET(载具属性!M$33,AT179,0)*载具属性!N$30+OFFSET(载具属性!N$33,AU179,0)*载具属性!O$30+OFFSET(载具属性!O$33,AV179,0)*载具属性!P$30</f>
        <v>20865</v>
      </c>
      <c r="X179" s="43">
        <f ca="1">_xlfn.XLOOKUP(Z179,载具属性!$E$98:$E$497,载具属性!$G$98:$G$497)</f>
        <v>8970</v>
      </c>
      <c r="Y179" s="43">
        <f ca="1">OFFSET(载具属性!L$33,AS179,0)*载具属性!M$30+OFFSET(载具属性!M$33,AT179,0)*载具属性!N$30+OFFSET(载具属性!N$33,AU179,0)*载具属性!O$30+OFFSET(载具属性!O$33,AV179,0)*载具属性!P$30</f>
        <v>5895</v>
      </c>
      <c r="Z179" s="40">
        <f ca="1">MATCH(SUM($T$7:T179),载具属性!$I$98:$I$497,1)</f>
        <v>139</v>
      </c>
      <c r="AA179" s="40">
        <f ca="1">OFFSET(载具产出!$F$399,IFERROR(MATCH(OFFSET($D179,0,MATCH($D$5,$E$6:$H$6,0)),载具产出!$E$112:$E$151,1),0),MATCH(AA$6,载具产出!$G$111:$O$111,0))*2</f>
        <v>18</v>
      </c>
      <c r="AB179" s="40">
        <f ca="1">OFFSET(载具产出!$F$399,IFERROR(MATCH(OFFSET($D179,0,MATCH($D$5,$E$6:$H$6,0)),载具产出!$E$112:$E$151,1),0),MATCH(AB$6,载具产出!$G$111:$O$111,0))*2</f>
        <v>19.68</v>
      </c>
      <c r="AC179" s="40">
        <f ca="1">OFFSET(载具产出!$F$399,IFERROR(MATCH(OFFSET($D179,0,MATCH($D$5,$E$6:$H$6,0)),载具产出!$E$112:$E$151,1),0),MATCH(AC$6,载具产出!$G$111:$O$111,0))*2</f>
        <v>10.32</v>
      </c>
      <c r="AD179" s="40">
        <f ca="1">OFFSET(载具产出!$F$399,IFERROR(MATCH(OFFSET($D179,0,MATCH($D$5,$E$6:$H$6,0)),载具产出!$E$112:$E$151,1),0),MATCH(AD$6,载具产出!$G$111:$O$111,0))*2</f>
        <v>0</v>
      </c>
      <c r="AE179" s="44">
        <f ca="1">SUM(AA$36:AA179)/3</f>
        <v>1082.8</v>
      </c>
      <c r="AF179" s="44">
        <f ca="1">SUM(AB$36:AB179)/3</f>
        <v>1142.82666666666</v>
      </c>
      <c r="AG179" s="44">
        <f ca="1">SUM(AC$36:AC179)/3</f>
        <v>197.706666666667</v>
      </c>
      <c r="AH179" s="44">
        <f ca="1">SUM(AD$36:AD179)/3</f>
        <v>0</v>
      </c>
      <c r="AI179" s="44">
        <f>_xlfn.XLOOKUP($D$5,载具产出!$D$71:$D$75,载具产出!$E$71:$E$75)*(D179-30+1)</f>
        <v>1693.71428571429</v>
      </c>
      <c r="AJ179" s="44">
        <f>IFERROR(MATCH(_xlfn.XLOOKUP($D$5,载具产出!$D$71:$D$75,载具产出!$E$71:$E$75)*(D179-30+1)*10,载具产出!$E$60:$E$67,1),0)+1</f>
        <v>7</v>
      </c>
      <c r="AK179" s="44">
        <f ca="1">IF($AJ179=1,($AI179)*(10*OFFSET(载具产出!$D$45,MATCH(AK$6,$AK$6:$AN$6,0)-1,$AJ179)+OFFSET(载具产出!$D$49,MATCH(AK$6,$AK$6:$AN$6,0)-1,$AJ179)*OFFSET(载具产出!$N$49,MATCH(AK$6,$AK$6:$AN$6,0)-1,0)),OFFSET(载具产出!F$59,$AJ179-1,0)*10+OFFSET(载具产出!J$59,$AJ179-1,0)+($AI179*10-_xlfn.XLOOKUP($AJ179-1,载具产出!$D$59:$D$67,载具产出!$E$59:$E$67))/10*(10*OFFSET(载具产出!$D$45,MATCH(AK$6,$AK$6:$AN$6,0)-1,$AJ179)+OFFSET(载具产出!$D$49,MATCH(AK$6,$AK$6:$AN$6,0)-1,$AJ179)*OFFSET(载具产出!$N$49,MATCH(AK$6,$AK$6:$AN$6,0)-1,0)))</f>
        <v>3762.07457142858</v>
      </c>
      <c r="AL179" s="44">
        <f ca="1">IF($AJ179=1,($AI179)*(10*OFFSET(载具产出!$D$45,MATCH(AL$6,$AK$6:$AN$6,0)-1,$AJ179)+OFFSET(载具产出!$D$49,MATCH(AL$6,$AK$6:$AN$6,0)-1,$AJ179)*OFFSET(载具产出!$N$49,MATCH(AL$6,$AK$6:$AN$6,0)-1,0)),OFFSET(载具产出!G$59,$AJ179-1,0)*10+OFFSET(载具产出!K$59,$AJ179-1,0)+($AI179*10-_xlfn.XLOOKUP($AJ179-1,载具产出!$D$59:$D$67,载具产出!$E$59:$E$67))/10*(10*OFFSET(载具产出!$D$45,MATCH(AL$6,$AK$6:$AN$6,0)-1,$AJ179)+OFFSET(载具产出!$D$49,MATCH(AL$6,$AK$6:$AN$6,0)-1,$AJ179)*OFFSET(载具产出!$N$49,MATCH(AL$6,$AK$6:$AN$6,0)-1,0)))</f>
        <v>1493.39142857143</v>
      </c>
      <c r="AM179" s="44">
        <f ca="1">IF($AJ179=1,($AI179)*(10*OFFSET(载具产出!$D$45,MATCH(AM$6,$AK$6:$AN$6,0)-1,$AJ179)+OFFSET(载具产出!$D$49,MATCH(AM$6,$AK$6:$AN$6,0)-1,$AJ179)*OFFSET(载具产出!$N$49,MATCH(AM$6,$AK$6:$AN$6,0)-1,0)),OFFSET(载具产出!H$59,$AJ179-1,0)*10+OFFSET(载具产出!L$59,$AJ179-1,0)+($AI179*10-_xlfn.XLOOKUP($AJ179-1,载具产出!$D$59:$D$67,载具产出!$E$59:$E$67))/10*(10*OFFSET(载具产出!$D$45,MATCH(AM$6,$AK$6:$AN$6,0)-1,$AJ179)+OFFSET(载具产出!$D$49,MATCH(AM$6,$AK$6:$AN$6,0)-1,$AJ179)*OFFSET(载具产出!$N$49,MATCH(AM$6,$AK$6:$AN$6,0)-1,0)))</f>
        <v>804.521142857145</v>
      </c>
      <c r="AN179" s="44">
        <f ca="1">IF($AJ179=1,($AI179)*(10*OFFSET(载具产出!$D$45,MATCH(AN$6,$AK$6:$AN$6,0)-1,$AJ179)+OFFSET(载具产出!$D$49,MATCH(AN$6,$AK$6:$AN$6,0)-1,$AJ179)*OFFSET(载具产出!$N$49,MATCH(AN$6,$AK$6:$AN$6,0)-1,0)),OFFSET(载具产出!I$59,$AJ179-1,0)*10+OFFSET(载具产出!M$59,$AJ179-1,0)+($AI179*10-_xlfn.XLOOKUP($AJ179-1,载具产出!$D$59:$D$67,载具产出!$E$59:$E$67))/10*(10*OFFSET(载具产出!$D$45,MATCH(AN$6,$AK$6:$AN$6,0)-1,$AJ179)+OFFSET(载具产出!$D$49,MATCH(AN$6,$AK$6:$AN$6,0)-1,$AJ179)*OFFSET(载具产出!$N$49,MATCH(AN$6,$AK$6:$AN$6,0)-1,0)))</f>
        <v>244.837714285715</v>
      </c>
      <c r="AO179" s="44">
        <f ca="1" t="shared" si="41"/>
        <v>4844.87457142858</v>
      </c>
      <c r="AP179" s="44">
        <f ca="1" t="shared" si="42"/>
        <v>2636.2180952381</v>
      </c>
      <c r="AQ179" s="44">
        <f ca="1" t="shared" si="43"/>
        <v>1002.22780952381</v>
      </c>
      <c r="AR179" s="44">
        <f ca="1" t="shared" si="44"/>
        <v>244.837714285715</v>
      </c>
      <c r="AS179" s="45">
        <f ca="1">IFERROR(MATCH(AO179/载具产出!R$58,载具属性!$G$33:$G$92,1),0)</f>
        <v>33</v>
      </c>
      <c r="AT179" s="45">
        <f ca="1">IFERROR(MATCH(AP179/载具产出!S$58,载具属性!$G$33:$G$92,1),0)</f>
        <v>22</v>
      </c>
      <c r="AU179" s="45">
        <f ca="1">IFERROR(MATCH(AQ179/载具产出!T$58,载具属性!$G$33:$G$92,1),0)</f>
        <v>13</v>
      </c>
      <c r="AV179" s="45">
        <f ca="1">IFERROR(MATCH(AR179/载具产出!U$58,载具属性!$G$33:$G$92,1),0)</f>
        <v>5</v>
      </c>
      <c r="AW179" s="46" t="str">
        <f ca="1" t="shared" si="45"/>
        <v>[{62,993},{63,117090},{2,332100},{6030001,3056},{6030002,3278},{6030003,565}]</v>
      </c>
      <c r="AX179" t="str">
        <f ca="1" t="shared" si="46"/>
        <v>{62,993}</v>
      </c>
      <c r="AY179" t="str">
        <f ca="1" t="shared" si="47"/>
        <v>{63,117090}</v>
      </c>
      <c r="AZ179" t="str">
        <f ca="1" t="shared" si="48"/>
        <v>{2,332100}</v>
      </c>
      <c r="BA179" t="str">
        <f ca="1" t="shared" si="49"/>
        <v>{6030001,3056}</v>
      </c>
      <c r="BB179" t="str">
        <f ca="1" t="shared" si="50"/>
        <v>{6030002,3278}</v>
      </c>
      <c r="BC179" t="str">
        <f ca="1" t="shared" si="51"/>
        <v>{6030003,565}</v>
      </c>
      <c r="BD179" t="str">
        <f ca="1" t="shared" si="52"/>
        <v/>
      </c>
    </row>
    <row r="180" spans="3:56">
      <c r="C180">
        <f ca="1" t="shared" si="39"/>
        <v>119.228571428571</v>
      </c>
      <c r="D180" s="40">
        <v>174</v>
      </c>
      <c r="E180" s="40">
        <f t="shared" si="53"/>
        <v>117</v>
      </c>
      <c r="F180" s="40">
        <v>138</v>
      </c>
      <c r="G180" s="41">
        <f t="shared" si="40"/>
        <v>175</v>
      </c>
      <c r="H180" s="40">
        <f>H179</f>
        <v>229</v>
      </c>
      <c r="I180" s="40">
        <f t="shared" si="38"/>
        <v>374</v>
      </c>
      <c r="J180" s="40">
        <f t="shared" si="54"/>
        <v>366</v>
      </c>
      <c r="K180" s="40">
        <f ca="1">SUM(U$36:U180)-SUM(OFFSET(载具产出!H$399,0,0,$R180+1,1))</f>
        <v>1000</v>
      </c>
      <c r="L180" s="40">
        <f ca="1">SUM(T$36:T180)-SUM(OFFSET(载具产出!G$399,0,0,$R180+1,1))</f>
        <v>118130</v>
      </c>
      <c r="M180" s="40">
        <f ca="1">SUM(V$36:V180)/2-SUM(OFFSET(载具产出!I$399,0,0,$R180+1,1))</f>
        <v>335400</v>
      </c>
      <c r="N180" s="40">
        <f ca="1">SUM(AA$36:AA180)-SUM(OFFSET(载具产出!J$399,0,0,$R180+1,1))</f>
        <v>3074.6</v>
      </c>
      <c r="O180" s="40">
        <f ca="1">SUM(AB$36:AB180)-SUM(OFFSET(载具产出!K$399,0,0,$R180+1,1))</f>
        <v>3299.31999999999</v>
      </c>
      <c r="P180" s="40">
        <f ca="1">SUM(AC$36:AC180)-SUM(OFFSET(载具产出!L$399,0,0,$R180+1,1))</f>
        <v>576.08</v>
      </c>
      <c r="Q180" s="40">
        <f ca="1">SUM(AD$36:AD180)-SUM(OFFSET(载具产出!M$399,0,0,$R180+1,1))</f>
        <v>0</v>
      </c>
      <c r="R180" s="40">
        <v>15</v>
      </c>
      <c r="S180" s="40" t="str">
        <f ca="1">OFFSET(载具产出!$D$111,IFERROR(MATCH(OFFSET($D180,0,MATCH($D$5,$E$6:$H$6,0)),载具产出!$E$112:$E$151,1),0),0)</f>
        <v>珍惜Ⅳ</v>
      </c>
      <c r="T180" s="40">
        <f ca="1">OFFSET(载具产出!$F$399,IFERROR(MATCH(OFFSET($D180,0,MATCH($D$5,$E$6:$H$6,0)),载具产出!$E$400:$E$439,1),0),MATCH(T$6,载具产出!$G$399:$O$399,0))</f>
        <v>1040</v>
      </c>
      <c r="U180" s="40">
        <v>7</v>
      </c>
      <c r="V180" s="40">
        <f ca="1">OFFSET(载具产出!$F$399,IFERROR(MATCH(OFFSET($D180,0,MATCH($D$5,$E$6:$H$6,0)),载具产出!$E$400:$E$439,1),0),MATCH(V$6,载具产出!$G$399:$O$399,0))</f>
        <v>6600</v>
      </c>
      <c r="W180" s="43">
        <f ca="1">_xlfn.XLOOKUP(Z180,载具属性!$E$98:$E$497,载具属性!$G$98:$G$497)+6000+OFFSET(载具属性!L$33,AS180,0)*载具属性!M$30+OFFSET(载具属性!M$33,AT180,0)*载具属性!N$30+OFFSET(载具属性!N$33,AU180,0)*载具属性!O$30+OFFSET(载具属性!O$33,AV180,0)*载具属性!P$30</f>
        <v>20865</v>
      </c>
      <c r="X180" s="43">
        <f ca="1">_xlfn.XLOOKUP(Z180,载具属性!$E$98:$E$497,载具属性!$G$98:$G$497)</f>
        <v>8970</v>
      </c>
      <c r="Y180" s="43">
        <f ca="1">OFFSET(载具属性!L$33,AS180,0)*载具属性!M$30+OFFSET(载具属性!M$33,AT180,0)*载具属性!N$30+OFFSET(载具属性!N$33,AU180,0)*载具属性!O$30+OFFSET(载具属性!O$33,AV180,0)*载具属性!P$30</f>
        <v>5895</v>
      </c>
      <c r="Z180" s="40">
        <f ca="1">MATCH(SUM($T$7:T180),载具属性!$I$98:$I$497,1)</f>
        <v>139</v>
      </c>
      <c r="AA180" s="40">
        <f ca="1">OFFSET(载具产出!$F$399,IFERROR(MATCH(OFFSET($D180,0,MATCH($D$5,$E$6:$H$6,0)),载具产出!$E$112:$E$151,1),0),MATCH(AA$6,载具产出!$G$111:$O$111,0))*2</f>
        <v>18</v>
      </c>
      <c r="AB180" s="40">
        <f ca="1">OFFSET(载具产出!$F$399,IFERROR(MATCH(OFFSET($D180,0,MATCH($D$5,$E$6:$H$6,0)),载具产出!$E$112:$E$151,1),0),MATCH(AB$6,载具产出!$G$111:$O$111,0))*2</f>
        <v>21.2</v>
      </c>
      <c r="AC180" s="40">
        <f ca="1">OFFSET(载具产出!$F$399,IFERROR(MATCH(OFFSET($D180,0,MATCH($D$5,$E$6:$H$6,0)),载具产出!$E$112:$E$151,1),0),MATCH(AC$6,载具产出!$G$111:$O$111,0))*2</f>
        <v>10.8</v>
      </c>
      <c r="AD180" s="40">
        <f ca="1">OFFSET(载具产出!$F$399,IFERROR(MATCH(OFFSET($D180,0,MATCH($D$5,$E$6:$H$6,0)),载具产出!$E$112:$E$151,1),0),MATCH(AD$6,载具产出!$G$111:$O$111,0))*2</f>
        <v>0</v>
      </c>
      <c r="AE180" s="44">
        <f ca="1">SUM(AA$36:AA180)/3</f>
        <v>1088.8</v>
      </c>
      <c r="AF180" s="44">
        <f ca="1">SUM(AB$36:AB180)/3</f>
        <v>1149.89333333333</v>
      </c>
      <c r="AG180" s="44">
        <f ca="1">SUM(AC$36:AC180)/3</f>
        <v>201.306666666667</v>
      </c>
      <c r="AH180" s="44">
        <f ca="1">SUM(AD$36:AD180)/3</f>
        <v>0</v>
      </c>
      <c r="AI180" s="44">
        <f>_xlfn.XLOOKUP($D$5,载具产出!$D$71:$D$75,载具产出!$E$71:$E$75)*(D180-30+1)</f>
        <v>1705.4761904762</v>
      </c>
      <c r="AJ180" s="44">
        <f>IFERROR(MATCH(_xlfn.XLOOKUP($D$5,载具产出!$D$71:$D$75,载具产出!$E$71:$E$75)*(D180-30+1)*10,载具产出!$E$60:$E$67,1),0)+1</f>
        <v>7</v>
      </c>
      <c r="AK180" s="44">
        <f ca="1">IF($AJ180=1,($AI180)*(10*OFFSET(载具产出!$D$45,MATCH(AK$6,$AK$6:$AN$6,0)-1,$AJ180)+OFFSET(载具产出!$D$49,MATCH(AK$6,$AK$6:$AN$6,0)-1,$AJ180)*OFFSET(载具产出!$N$49,MATCH(AK$6,$AK$6:$AN$6,0)-1,0)),OFFSET(载具产出!F$59,$AJ180-1,0)*10+OFFSET(载具产出!J$59,$AJ180-1,0)+($AI180*10-_xlfn.XLOOKUP($AJ180-1,载具产出!$D$59:$D$67,载具产出!$E$59:$E$67))/10*(10*OFFSET(载具产出!$D$45,MATCH(AK$6,$AK$6:$AN$6,0)-1,$AJ180)+OFFSET(载具产出!$D$49,MATCH(AK$6,$AK$6:$AN$6,0)-1,$AJ180)*OFFSET(载具产出!$N$49,MATCH(AK$6,$AK$6:$AN$6,0)-1,0)))</f>
        <v>3786.91571428573</v>
      </c>
      <c r="AL180" s="44">
        <f ca="1">IF($AJ180=1,($AI180)*(10*OFFSET(载具产出!$D$45,MATCH(AL$6,$AK$6:$AN$6,0)-1,$AJ180)+OFFSET(载具产出!$D$49,MATCH(AL$6,$AK$6:$AN$6,0)-1,$AJ180)*OFFSET(载具产出!$N$49,MATCH(AL$6,$AK$6:$AN$6,0)-1,0)),OFFSET(载具产出!G$59,$AJ180-1,0)*10+OFFSET(载具产出!K$59,$AJ180-1,0)+($AI180*10-_xlfn.XLOOKUP($AJ180-1,载具产出!$D$59:$D$67,载具产出!$E$59:$E$67))/10*(10*OFFSET(载具产出!$D$45,MATCH(AL$6,$AK$6:$AN$6,0)-1,$AJ180)+OFFSET(载具产出!$D$49,MATCH(AL$6,$AK$6:$AN$6,0)-1,$AJ180)*OFFSET(载具产出!$N$49,MATCH(AL$6,$AK$6:$AN$6,0)-1,0)))</f>
        <v>1504.44761904763</v>
      </c>
      <c r="AM180" s="44">
        <f ca="1">IF($AJ180=1,($AI180)*(10*OFFSET(载具产出!$D$45,MATCH(AM$6,$AK$6:$AN$6,0)-1,$AJ180)+OFFSET(载具产出!$D$49,MATCH(AM$6,$AK$6:$AN$6,0)-1,$AJ180)*OFFSET(载具产出!$N$49,MATCH(AM$6,$AK$6:$AN$6,0)-1,0)),OFFSET(载具产出!H$59,$AJ180-1,0)*10+OFFSET(载具产出!L$59,$AJ180-1,0)+($AI180*10-_xlfn.XLOOKUP($AJ180-1,载具产出!$D$59:$D$67,载具产出!$E$59:$E$67))/10*(10*OFFSET(载具产出!$D$45,MATCH(AM$6,$AK$6:$AN$6,0)-1,$AJ180)+OFFSET(载具产出!$D$49,MATCH(AM$6,$AK$6:$AN$6,0)-1,$AJ180)*OFFSET(载具产出!$N$49,MATCH(AM$6,$AK$6:$AN$6,0)-1,0)))</f>
        <v>810.731428571434</v>
      </c>
      <c r="AN180" s="44">
        <f ca="1">IF($AJ180=1,($AI180)*(10*OFFSET(载具产出!$D$45,MATCH(AN$6,$AK$6:$AN$6,0)-1,$AJ180)+OFFSET(载具产出!$D$49,MATCH(AN$6,$AK$6:$AN$6,0)-1,$AJ180)*OFFSET(载具产出!$N$49,MATCH(AN$6,$AK$6:$AN$6,0)-1,0)),OFFSET(载具产出!I$59,$AJ180-1,0)*10+OFFSET(载具产出!M$59,$AJ180-1,0)+($AI180*10-_xlfn.XLOOKUP($AJ180-1,载具产出!$D$59:$D$67,载具产出!$E$59:$E$67))/10*(10*OFFSET(载具产出!$D$45,MATCH(AN$6,$AK$6:$AN$6,0)-1,$AJ180)+OFFSET(载具产出!$D$49,MATCH(AN$6,$AK$6:$AN$6,0)-1,$AJ180)*OFFSET(载具产出!$N$49,MATCH(AN$6,$AK$6:$AN$6,0)-1,0)))</f>
        <v>246.825476190478</v>
      </c>
      <c r="AO180" s="44">
        <f ca="1" t="shared" si="41"/>
        <v>4875.71571428573</v>
      </c>
      <c r="AP180" s="44">
        <f ca="1" t="shared" si="42"/>
        <v>2654.34095238096</v>
      </c>
      <c r="AQ180" s="44">
        <f ca="1" t="shared" si="43"/>
        <v>1012.0380952381</v>
      </c>
      <c r="AR180" s="44">
        <f ca="1" t="shared" si="44"/>
        <v>246.825476190478</v>
      </c>
      <c r="AS180" s="45">
        <f ca="1">IFERROR(MATCH(AO180/载具产出!R$58,载具属性!$G$33:$G$92,1),0)</f>
        <v>33</v>
      </c>
      <c r="AT180" s="45">
        <f ca="1">IFERROR(MATCH(AP180/载具产出!S$58,载具属性!$G$33:$G$92,1),0)</f>
        <v>22</v>
      </c>
      <c r="AU180" s="45">
        <f ca="1">IFERROR(MATCH(AQ180/载具产出!T$58,载具属性!$G$33:$G$92,1),0)</f>
        <v>13</v>
      </c>
      <c r="AV180" s="45">
        <f ca="1">IFERROR(MATCH(AR180/载具产出!U$58,载具属性!$G$33:$G$92,1),0)</f>
        <v>5</v>
      </c>
      <c r="AW180" s="46" t="str">
        <f ca="1" t="shared" si="45"/>
        <v>[{62,1000},{63,118130},{2,335400},{6030001,3074},{6030002,3299},{6030003,576}]</v>
      </c>
      <c r="AX180" t="str">
        <f ca="1" t="shared" si="46"/>
        <v>{62,1000}</v>
      </c>
      <c r="AY180" t="str">
        <f ca="1" t="shared" si="47"/>
        <v>{63,118130}</v>
      </c>
      <c r="AZ180" t="str">
        <f ca="1" t="shared" si="48"/>
        <v>{2,335400}</v>
      </c>
      <c r="BA180" t="str">
        <f ca="1" t="shared" si="49"/>
        <v>{6030001,3074}</v>
      </c>
      <c r="BB180" t="str">
        <f ca="1" t="shared" si="50"/>
        <v>{6030002,3299}</v>
      </c>
      <c r="BC180" t="str">
        <f ca="1" t="shared" si="51"/>
        <v>{6030003,576}</v>
      </c>
      <c r="BD180" t="str">
        <f ca="1" t="shared" si="52"/>
        <v/>
      </c>
    </row>
    <row r="181" spans="3:56">
      <c r="C181">
        <f ca="1" t="shared" si="39"/>
        <v>120.2</v>
      </c>
      <c r="D181" s="40">
        <v>175</v>
      </c>
      <c r="E181" s="40">
        <f t="shared" si="53"/>
        <v>118</v>
      </c>
      <c r="F181" s="40">
        <v>138</v>
      </c>
      <c r="G181" s="41">
        <f t="shared" si="40"/>
        <v>175</v>
      </c>
      <c r="H181" s="40">
        <f>H180+1</f>
        <v>230</v>
      </c>
      <c r="I181" s="40">
        <f t="shared" si="38"/>
        <v>376</v>
      </c>
      <c r="J181" s="40">
        <f t="shared" si="54"/>
        <v>369</v>
      </c>
      <c r="K181" s="40">
        <f ca="1">SUM(U$36:U181)-SUM(OFFSET(载具产出!H$399,0,0,$R181+1,1))</f>
        <v>1007</v>
      </c>
      <c r="L181" s="40">
        <f ca="1">SUM(T$36:T181)-SUM(OFFSET(载具产出!G$399,0,0,$R181+1,1))</f>
        <v>119170</v>
      </c>
      <c r="M181" s="40">
        <f ca="1">SUM(V$36:V181)/2-SUM(OFFSET(载具产出!I$399,0,0,$R181+1,1))</f>
        <v>338700</v>
      </c>
      <c r="N181" s="40">
        <f ca="1">SUM(AA$36:AA181)-SUM(OFFSET(载具产出!J$399,0,0,$R181+1,1))</f>
        <v>3092.6</v>
      </c>
      <c r="O181" s="40">
        <f ca="1">SUM(AB$36:AB181)-SUM(OFFSET(载具产出!K$399,0,0,$R181+1,1))</f>
        <v>3320.51999999999</v>
      </c>
      <c r="P181" s="40">
        <f ca="1">SUM(AC$36:AC181)-SUM(OFFSET(载具产出!L$399,0,0,$R181+1,1))</f>
        <v>586.88</v>
      </c>
      <c r="Q181" s="40">
        <f ca="1">SUM(AD$36:AD181)-SUM(OFFSET(载具产出!M$399,0,0,$R181+1,1))</f>
        <v>0</v>
      </c>
      <c r="R181" s="40">
        <v>15</v>
      </c>
      <c r="S181" s="40" t="str">
        <f ca="1">OFFSET(载具产出!$D$111,IFERROR(MATCH(OFFSET($D181,0,MATCH($D$5,$E$6:$H$6,0)),载具产出!$E$112:$E$151,1),0),0)</f>
        <v>珍惜Ⅳ</v>
      </c>
      <c r="T181" s="40">
        <f ca="1">OFFSET(载具产出!$F$399,IFERROR(MATCH(OFFSET($D181,0,MATCH($D$5,$E$6:$H$6,0)),载具产出!$E$400:$E$439,1),0),MATCH(T$6,载具产出!$G$399:$O$399,0))</f>
        <v>1040</v>
      </c>
      <c r="U181" s="40">
        <v>7</v>
      </c>
      <c r="V181" s="40">
        <f ca="1">OFFSET(载具产出!$F$399,IFERROR(MATCH(OFFSET($D181,0,MATCH($D$5,$E$6:$H$6,0)),载具产出!$E$400:$E$439,1),0),MATCH(V$6,载具产出!$G$399:$O$399,0))</f>
        <v>6600</v>
      </c>
      <c r="W181" s="43">
        <f ca="1">_xlfn.XLOOKUP(Z181,载具属性!$E$98:$E$497,载具属性!$G$98:$G$497)+6000+OFFSET(载具属性!L$33,AS181,0)*载具属性!M$30+OFFSET(载具属性!M$33,AT181,0)*载具属性!N$30+OFFSET(载具属性!N$33,AU181,0)*载具属性!O$30+OFFSET(载具属性!O$33,AV181,0)*载具属性!P$30</f>
        <v>21035</v>
      </c>
      <c r="X181" s="43">
        <f ca="1">_xlfn.XLOOKUP(Z181,载具属性!$E$98:$E$497,载具属性!$G$98:$G$497)</f>
        <v>9050</v>
      </c>
      <c r="Y181" s="43">
        <f ca="1">OFFSET(载具属性!L$33,AS181,0)*载具属性!M$30+OFFSET(载具属性!M$33,AT181,0)*载具属性!N$30+OFFSET(载具属性!N$33,AU181,0)*载具属性!O$30+OFFSET(载具属性!O$33,AV181,0)*载具属性!P$30</f>
        <v>5985</v>
      </c>
      <c r="Z181" s="40">
        <f ca="1">MATCH(SUM($T$7:T181),载具属性!$I$98:$I$497,1)</f>
        <v>140</v>
      </c>
      <c r="AA181" s="40">
        <f ca="1">OFFSET(载具产出!$F$399,IFERROR(MATCH(OFFSET($D181,0,MATCH($D$5,$E$6:$H$6,0)),载具产出!$E$112:$E$151,1),0),MATCH(AA$6,载具产出!$G$111:$O$111,0))*2</f>
        <v>18</v>
      </c>
      <c r="AB181" s="40">
        <f ca="1">OFFSET(载具产出!$F$399,IFERROR(MATCH(OFFSET($D181,0,MATCH($D$5,$E$6:$H$6,0)),载具产出!$E$112:$E$151,1),0),MATCH(AB$6,载具产出!$G$111:$O$111,0))*2</f>
        <v>21.2</v>
      </c>
      <c r="AC181" s="40">
        <f ca="1">OFFSET(载具产出!$F$399,IFERROR(MATCH(OFFSET($D181,0,MATCH($D$5,$E$6:$H$6,0)),载具产出!$E$112:$E$151,1),0),MATCH(AC$6,载具产出!$G$111:$O$111,0))*2</f>
        <v>10.8</v>
      </c>
      <c r="AD181" s="40">
        <f ca="1">OFFSET(载具产出!$F$399,IFERROR(MATCH(OFFSET($D181,0,MATCH($D$5,$E$6:$H$6,0)),载具产出!$E$112:$E$151,1),0),MATCH(AD$6,载具产出!$G$111:$O$111,0))*2</f>
        <v>0</v>
      </c>
      <c r="AE181" s="44">
        <f ca="1">SUM(AA$36:AA181)/3</f>
        <v>1094.8</v>
      </c>
      <c r="AF181" s="44">
        <f ca="1">SUM(AB$36:AB181)/3</f>
        <v>1156.96</v>
      </c>
      <c r="AG181" s="44">
        <f ca="1">SUM(AC$36:AC181)/3</f>
        <v>204.906666666667</v>
      </c>
      <c r="AH181" s="44">
        <f ca="1">SUM(AD$36:AD181)/3</f>
        <v>0</v>
      </c>
      <c r="AI181" s="44">
        <f>_xlfn.XLOOKUP($D$5,载具产出!$D$71:$D$75,载具产出!$E$71:$E$75)*(D181-30+1)</f>
        <v>1717.2380952381</v>
      </c>
      <c r="AJ181" s="44">
        <f>IFERROR(MATCH(_xlfn.XLOOKUP($D$5,载具产出!$D$71:$D$75,载具产出!$E$71:$E$75)*(D181-30+1)*10,载具产出!$E$60:$E$67,1),0)+1</f>
        <v>7</v>
      </c>
      <c r="AK181" s="44">
        <f ca="1">IF($AJ181=1,($AI181)*(10*OFFSET(载具产出!$D$45,MATCH(AK$6,$AK$6:$AN$6,0)-1,$AJ181)+OFFSET(载具产出!$D$49,MATCH(AK$6,$AK$6:$AN$6,0)-1,$AJ181)*OFFSET(载具产出!$N$49,MATCH(AK$6,$AK$6:$AN$6,0)-1,0)),OFFSET(载具产出!F$59,$AJ181-1,0)*10+OFFSET(载具产出!J$59,$AJ181-1,0)+($AI181*10-_xlfn.XLOOKUP($AJ181-1,载具产出!$D$59:$D$67,载具产出!$E$59:$E$67))/10*(10*OFFSET(载具产出!$D$45,MATCH(AK$6,$AK$6:$AN$6,0)-1,$AJ181)+OFFSET(载具产出!$D$49,MATCH(AK$6,$AK$6:$AN$6,0)-1,$AJ181)*OFFSET(载具产出!$N$49,MATCH(AK$6,$AK$6:$AN$6,0)-1,0)))</f>
        <v>3811.75685714287</v>
      </c>
      <c r="AL181" s="44">
        <f ca="1">IF($AJ181=1,($AI181)*(10*OFFSET(载具产出!$D$45,MATCH(AL$6,$AK$6:$AN$6,0)-1,$AJ181)+OFFSET(载具产出!$D$49,MATCH(AL$6,$AK$6:$AN$6,0)-1,$AJ181)*OFFSET(载具产出!$N$49,MATCH(AL$6,$AK$6:$AN$6,0)-1,0)),OFFSET(载具产出!G$59,$AJ181-1,0)*10+OFFSET(载具产出!K$59,$AJ181-1,0)+($AI181*10-_xlfn.XLOOKUP($AJ181-1,载具产出!$D$59:$D$67,载具产出!$E$59:$E$67))/10*(10*OFFSET(载具产出!$D$45,MATCH(AL$6,$AK$6:$AN$6,0)-1,$AJ181)+OFFSET(载具产出!$D$49,MATCH(AL$6,$AK$6:$AN$6,0)-1,$AJ181)*OFFSET(载具产出!$N$49,MATCH(AL$6,$AK$6:$AN$6,0)-1,0)))</f>
        <v>1515.50380952381</v>
      </c>
      <c r="AM181" s="44">
        <f ca="1">IF($AJ181=1,($AI181)*(10*OFFSET(载具产出!$D$45,MATCH(AM$6,$AK$6:$AN$6,0)-1,$AJ181)+OFFSET(载具产出!$D$49,MATCH(AM$6,$AK$6:$AN$6,0)-1,$AJ181)*OFFSET(载具产出!$N$49,MATCH(AM$6,$AK$6:$AN$6,0)-1,0)),OFFSET(载具产出!H$59,$AJ181-1,0)*10+OFFSET(载具产出!L$59,$AJ181-1,0)+($AI181*10-_xlfn.XLOOKUP($AJ181-1,载具产出!$D$59:$D$67,载具产出!$E$59:$E$67))/10*(10*OFFSET(载具产出!$D$45,MATCH(AM$6,$AK$6:$AN$6,0)-1,$AJ181)+OFFSET(载具产出!$D$49,MATCH(AM$6,$AK$6:$AN$6,0)-1,$AJ181)*OFFSET(载具产出!$N$49,MATCH(AM$6,$AK$6:$AN$6,0)-1,0)))</f>
        <v>816.941714285717</v>
      </c>
      <c r="AN181" s="44">
        <f ca="1">IF($AJ181=1,($AI181)*(10*OFFSET(载具产出!$D$45,MATCH(AN$6,$AK$6:$AN$6,0)-1,$AJ181)+OFFSET(载具产出!$D$49,MATCH(AN$6,$AK$6:$AN$6,0)-1,$AJ181)*OFFSET(载具产出!$N$49,MATCH(AN$6,$AK$6:$AN$6,0)-1,0)),OFFSET(载具产出!I$59,$AJ181-1,0)*10+OFFSET(载具产出!M$59,$AJ181-1,0)+($AI181*10-_xlfn.XLOOKUP($AJ181-1,载具产出!$D$59:$D$67,载具产出!$E$59:$E$67))/10*(10*OFFSET(载具产出!$D$45,MATCH(AN$6,$AK$6:$AN$6,0)-1,$AJ181)+OFFSET(载具产出!$D$49,MATCH(AN$6,$AK$6:$AN$6,0)-1,$AJ181)*OFFSET(载具产出!$N$49,MATCH(AN$6,$AK$6:$AN$6,0)-1,0)))</f>
        <v>248.813238095239</v>
      </c>
      <c r="AO181" s="44">
        <f ca="1" t="shared" si="41"/>
        <v>4906.55685714287</v>
      </c>
      <c r="AP181" s="44">
        <f ca="1" t="shared" si="42"/>
        <v>2672.46380952381</v>
      </c>
      <c r="AQ181" s="44">
        <f ca="1" t="shared" si="43"/>
        <v>1021.84838095238</v>
      </c>
      <c r="AR181" s="44">
        <f ca="1" t="shared" si="44"/>
        <v>248.813238095239</v>
      </c>
      <c r="AS181" s="45">
        <f ca="1">IFERROR(MATCH(AO181/载具产出!R$58,载具属性!$G$33:$G$92,1),0)</f>
        <v>33</v>
      </c>
      <c r="AT181" s="45">
        <f ca="1">IFERROR(MATCH(AP181/载具产出!S$58,载具属性!$G$33:$G$92,1),0)</f>
        <v>23</v>
      </c>
      <c r="AU181" s="45">
        <f ca="1">IFERROR(MATCH(AQ181/载具产出!T$58,载具属性!$G$33:$G$92,1),0)</f>
        <v>13</v>
      </c>
      <c r="AV181" s="45">
        <f ca="1">IFERROR(MATCH(AR181/载具产出!U$58,载具属性!$G$33:$G$92,1),0)</f>
        <v>5</v>
      </c>
      <c r="AW181" s="46" t="str">
        <f ca="1" t="shared" si="45"/>
        <v>[{62,1007},{63,119170},{2,338700},{6030001,3092},{6030002,3320},{6030003,586}]</v>
      </c>
      <c r="AX181" t="str">
        <f ca="1" t="shared" si="46"/>
        <v>{62,1007}</v>
      </c>
      <c r="AY181" t="str">
        <f ca="1" t="shared" si="47"/>
        <v>{63,119170}</v>
      </c>
      <c r="AZ181" t="str">
        <f ca="1" t="shared" si="48"/>
        <v>{2,338700}</v>
      </c>
      <c r="BA181" t="str">
        <f ca="1" t="shared" si="49"/>
        <v>{6030001,3092}</v>
      </c>
      <c r="BB181" t="str">
        <f ca="1" t="shared" si="50"/>
        <v>{6030002,3320}</v>
      </c>
      <c r="BC181" t="str">
        <f ca="1" t="shared" si="51"/>
        <v>{6030003,586}</v>
      </c>
      <c r="BD181" t="str">
        <f ca="1" t="shared" si="52"/>
        <v/>
      </c>
    </row>
    <row r="182" spans="3:56">
      <c r="C182">
        <f ca="1" t="shared" si="39"/>
        <v>119.517045454545</v>
      </c>
      <c r="D182" s="40">
        <v>176</v>
      </c>
      <c r="E182" s="40">
        <f t="shared" si="53"/>
        <v>118</v>
      </c>
      <c r="F182" s="40">
        <v>138</v>
      </c>
      <c r="G182" s="41">
        <f t="shared" si="40"/>
        <v>176</v>
      </c>
      <c r="H182" s="40">
        <f>H181</f>
        <v>230</v>
      </c>
      <c r="I182" s="40">
        <f t="shared" si="38"/>
        <v>378</v>
      </c>
      <c r="J182" s="40">
        <f t="shared" si="54"/>
        <v>373</v>
      </c>
      <c r="K182" s="40">
        <f ca="1">SUM(U$36:U182)-SUM(OFFSET(载具产出!H$399,0,0,$R182+1,1))</f>
        <v>1014</v>
      </c>
      <c r="L182" s="40">
        <f ca="1">SUM(T$36:T182)-SUM(OFFSET(载具产出!G$399,0,0,$R182+1,1))</f>
        <v>120210</v>
      </c>
      <c r="M182" s="40">
        <f ca="1">SUM(V$36:V182)/2-SUM(OFFSET(载具产出!I$399,0,0,$R182+1,1))</f>
        <v>342000</v>
      </c>
      <c r="N182" s="40">
        <f ca="1">SUM(AA$36:AA182)-SUM(OFFSET(载具产出!J$399,0,0,$R182+1,1))</f>
        <v>3110.6</v>
      </c>
      <c r="O182" s="40">
        <f ca="1">SUM(AB$36:AB182)-SUM(OFFSET(载具产出!K$399,0,0,$R182+1,1))</f>
        <v>3341.71999999999</v>
      </c>
      <c r="P182" s="40">
        <f ca="1">SUM(AC$36:AC182)-SUM(OFFSET(载具产出!L$399,0,0,$R182+1,1))</f>
        <v>597.68</v>
      </c>
      <c r="Q182" s="40">
        <f ca="1">SUM(AD$36:AD182)-SUM(OFFSET(载具产出!M$399,0,0,$R182+1,1))</f>
        <v>0</v>
      </c>
      <c r="R182" s="40">
        <v>15</v>
      </c>
      <c r="S182" s="40" t="str">
        <f ca="1">OFFSET(载具产出!$D$111,IFERROR(MATCH(OFFSET($D182,0,MATCH($D$5,$E$6:$H$6,0)),载具产出!$E$112:$E$151,1),0),0)</f>
        <v>珍惜Ⅳ</v>
      </c>
      <c r="T182" s="40">
        <f ca="1">OFFSET(载具产出!$F$399,IFERROR(MATCH(OFFSET($D182,0,MATCH($D$5,$E$6:$H$6,0)),载具产出!$E$400:$E$439,1),0),MATCH(T$6,载具产出!$G$399:$O$399,0))</f>
        <v>1040</v>
      </c>
      <c r="U182" s="40">
        <v>7</v>
      </c>
      <c r="V182" s="40">
        <f ca="1">OFFSET(载具产出!$F$399,IFERROR(MATCH(OFFSET($D182,0,MATCH($D$5,$E$6:$H$6,0)),载具产出!$E$400:$E$439,1),0),MATCH(V$6,载具产出!$G$399:$O$399,0))</f>
        <v>6600</v>
      </c>
      <c r="W182" s="43">
        <f ca="1">_xlfn.XLOOKUP(Z182,载具属性!$E$98:$E$497,载具属性!$G$98:$G$497)+6000+OFFSET(载具属性!L$33,AS182,0)*载具属性!M$30+OFFSET(载具属性!M$33,AT182,0)*载具属性!N$30+OFFSET(载具属性!N$33,AU182,0)*载具属性!O$30+OFFSET(载具属性!O$33,AV182,0)*载具属性!P$30</f>
        <v>21035</v>
      </c>
      <c r="X182" s="43">
        <f ca="1">_xlfn.XLOOKUP(Z182,载具属性!$E$98:$E$497,载具属性!$G$98:$G$497)</f>
        <v>9050</v>
      </c>
      <c r="Y182" s="43">
        <f ca="1">OFFSET(载具属性!L$33,AS182,0)*载具属性!M$30+OFFSET(载具属性!M$33,AT182,0)*载具属性!N$30+OFFSET(载具属性!N$33,AU182,0)*载具属性!O$30+OFFSET(载具属性!O$33,AV182,0)*载具属性!P$30</f>
        <v>5985</v>
      </c>
      <c r="Z182" s="40">
        <f ca="1">MATCH(SUM($T$7:T182),载具属性!$I$98:$I$497,1)</f>
        <v>140</v>
      </c>
      <c r="AA182" s="40">
        <f ca="1">OFFSET(载具产出!$F$399,IFERROR(MATCH(OFFSET($D182,0,MATCH($D$5,$E$6:$H$6,0)),载具产出!$E$112:$E$151,1),0),MATCH(AA$6,载具产出!$G$111:$O$111,0))*2</f>
        <v>18</v>
      </c>
      <c r="AB182" s="40">
        <f ca="1">OFFSET(载具产出!$F$399,IFERROR(MATCH(OFFSET($D182,0,MATCH($D$5,$E$6:$H$6,0)),载具产出!$E$112:$E$151,1),0),MATCH(AB$6,载具产出!$G$111:$O$111,0))*2</f>
        <v>21.2</v>
      </c>
      <c r="AC182" s="40">
        <f ca="1">OFFSET(载具产出!$F$399,IFERROR(MATCH(OFFSET($D182,0,MATCH($D$5,$E$6:$H$6,0)),载具产出!$E$112:$E$151,1),0),MATCH(AC$6,载具产出!$G$111:$O$111,0))*2</f>
        <v>10.8</v>
      </c>
      <c r="AD182" s="40">
        <f ca="1">OFFSET(载具产出!$F$399,IFERROR(MATCH(OFFSET($D182,0,MATCH($D$5,$E$6:$H$6,0)),载具产出!$E$112:$E$151,1),0),MATCH(AD$6,载具产出!$G$111:$O$111,0))*2</f>
        <v>0</v>
      </c>
      <c r="AE182" s="44">
        <f ca="1">SUM(AA$36:AA182)/3</f>
        <v>1100.8</v>
      </c>
      <c r="AF182" s="44">
        <f ca="1">SUM(AB$36:AB182)/3</f>
        <v>1164.02666666666</v>
      </c>
      <c r="AG182" s="44">
        <f ca="1">SUM(AC$36:AC182)/3</f>
        <v>208.506666666667</v>
      </c>
      <c r="AH182" s="44">
        <f ca="1">SUM(AD$36:AD182)/3</f>
        <v>0</v>
      </c>
      <c r="AI182" s="44">
        <f>_xlfn.XLOOKUP($D$5,载具产出!$D$71:$D$75,载具产出!$E$71:$E$75)*(D182-30+1)</f>
        <v>1729.00000000001</v>
      </c>
      <c r="AJ182" s="44">
        <f>IFERROR(MATCH(_xlfn.XLOOKUP($D$5,载具产出!$D$71:$D$75,载具产出!$E$71:$E$75)*(D182-30+1)*10,载具产出!$E$60:$E$67,1),0)+1</f>
        <v>7</v>
      </c>
      <c r="AK182" s="44">
        <f ca="1">IF($AJ182=1,($AI182)*(10*OFFSET(载具产出!$D$45,MATCH(AK$6,$AK$6:$AN$6,0)-1,$AJ182)+OFFSET(载具产出!$D$49,MATCH(AK$6,$AK$6:$AN$6,0)-1,$AJ182)*OFFSET(载具产出!$N$49,MATCH(AK$6,$AK$6:$AN$6,0)-1,0)),OFFSET(载具产出!F$59,$AJ182-1,0)*10+OFFSET(载具产出!J$59,$AJ182-1,0)+($AI182*10-_xlfn.XLOOKUP($AJ182-1,载具产出!$D$59:$D$67,载具产出!$E$59:$E$67))/10*(10*OFFSET(载具产出!$D$45,MATCH(AK$6,$AK$6:$AN$6,0)-1,$AJ182)+OFFSET(载具产出!$D$49,MATCH(AK$6,$AK$6:$AN$6,0)-1,$AJ182)*OFFSET(载具产出!$N$49,MATCH(AK$6,$AK$6:$AN$6,0)-1,0)))</f>
        <v>3836.59800000002</v>
      </c>
      <c r="AL182" s="44">
        <f ca="1">IF($AJ182=1,($AI182)*(10*OFFSET(载具产出!$D$45,MATCH(AL$6,$AK$6:$AN$6,0)-1,$AJ182)+OFFSET(载具产出!$D$49,MATCH(AL$6,$AK$6:$AN$6,0)-1,$AJ182)*OFFSET(载具产出!$N$49,MATCH(AL$6,$AK$6:$AN$6,0)-1,0)),OFFSET(载具产出!G$59,$AJ182-1,0)*10+OFFSET(载具产出!K$59,$AJ182-1,0)+($AI182*10-_xlfn.XLOOKUP($AJ182-1,载具产出!$D$59:$D$67,载具产出!$E$59:$E$67))/10*(10*OFFSET(载具产出!$D$45,MATCH(AL$6,$AK$6:$AN$6,0)-1,$AJ182)+OFFSET(载具产出!$D$49,MATCH(AL$6,$AK$6:$AN$6,0)-1,$AJ182)*OFFSET(载具产出!$N$49,MATCH(AL$6,$AK$6:$AN$6,0)-1,0)))</f>
        <v>1526.56000000001</v>
      </c>
      <c r="AM182" s="44">
        <f ca="1">IF($AJ182=1,($AI182)*(10*OFFSET(载具产出!$D$45,MATCH(AM$6,$AK$6:$AN$6,0)-1,$AJ182)+OFFSET(载具产出!$D$49,MATCH(AM$6,$AK$6:$AN$6,0)-1,$AJ182)*OFFSET(载具产出!$N$49,MATCH(AM$6,$AK$6:$AN$6,0)-1,0)),OFFSET(载具产出!H$59,$AJ182-1,0)*10+OFFSET(载具产出!L$59,$AJ182-1,0)+($AI182*10-_xlfn.XLOOKUP($AJ182-1,载具产出!$D$59:$D$67,载具产出!$E$59:$E$67))/10*(10*OFFSET(载具产出!$D$45,MATCH(AM$6,$AK$6:$AN$6,0)-1,$AJ182)+OFFSET(载具产出!$D$49,MATCH(AM$6,$AK$6:$AN$6,0)-1,$AJ182)*OFFSET(载具产出!$N$49,MATCH(AM$6,$AK$6:$AN$6,0)-1,0)))</f>
        <v>823.152000000005</v>
      </c>
      <c r="AN182" s="44">
        <f ca="1">IF($AJ182=1,($AI182)*(10*OFFSET(载具产出!$D$45,MATCH(AN$6,$AK$6:$AN$6,0)-1,$AJ182)+OFFSET(载具产出!$D$49,MATCH(AN$6,$AK$6:$AN$6,0)-1,$AJ182)*OFFSET(载具产出!$N$49,MATCH(AN$6,$AK$6:$AN$6,0)-1,0)),OFFSET(载具产出!I$59,$AJ182-1,0)*10+OFFSET(载具产出!M$59,$AJ182-1,0)+($AI182*10-_xlfn.XLOOKUP($AJ182-1,载具产出!$D$59:$D$67,载具产出!$E$59:$E$67))/10*(10*OFFSET(载具产出!$D$45,MATCH(AN$6,$AK$6:$AN$6,0)-1,$AJ182)+OFFSET(载具产出!$D$49,MATCH(AN$6,$AK$6:$AN$6,0)-1,$AJ182)*OFFSET(载具产出!$N$49,MATCH(AN$6,$AK$6:$AN$6,0)-1,0)))</f>
        <v>250.801000000002</v>
      </c>
      <c r="AO182" s="44">
        <f ca="1" t="shared" si="41"/>
        <v>4937.39800000002</v>
      </c>
      <c r="AP182" s="44">
        <f ca="1" t="shared" si="42"/>
        <v>2690.58666666667</v>
      </c>
      <c r="AQ182" s="44">
        <f ca="1" t="shared" si="43"/>
        <v>1031.65866666667</v>
      </c>
      <c r="AR182" s="44">
        <f ca="1" t="shared" si="44"/>
        <v>250.801000000002</v>
      </c>
      <c r="AS182" s="45">
        <f ca="1">IFERROR(MATCH(AO182/载具产出!R$58,载具属性!$G$33:$G$92,1),0)</f>
        <v>33</v>
      </c>
      <c r="AT182" s="45">
        <f ca="1">IFERROR(MATCH(AP182/载具产出!S$58,载具属性!$G$33:$G$92,1),0)</f>
        <v>23</v>
      </c>
      <c r="AU182" s="45">
        <f ca="1">IFERROR(MATCH(AQ182/载具产出!T$58,载具属性!$G$33:$G$92,1),0)</f>
        <v>13</v>
      </c>
      <c r="AV182" s="45">
        <f ca="1">IFERROR(MATCH(AR182/载具产出!U$58,载具属性!$G$33:$G$92,1),0)</f>
        <v>5</v>
      </c>
      <c r="AW182" s="46" t="str">
        <f ca="1" t="shared" si="45"/>
        <v>[{62,1014},{63,120210},{2,342000},{6030001,3110},{6030002,3341},{6030003,597}]</v>
      </c>
      <c r="AX182" t="str">
        <f ca="1" t="shared" si="46"/>
        <v>{62,1014}</v>
      </c>
      <c r="AY182" t="str">
        <f ca="1" t="shared" si="47"/>
        <v>{63,120210}</v>
      </c>
      <c r="AZ182" t="str">
        <f ca="1" t="shared" si="48"/>
        <v>{2,342000}</v>
      </c>
      <c r="BA182" t="str">
        <f ca="1" t="shared" si="49"/>
        <v>{6030001,3110}</v>
      </c>
      <c r="BB182" t="str">
        <f ca="1" t="shared" si="50"/>
        <v>{6030002,3341}</v>
      </c>
      <c r="BC182" t="str">
        <f ca="1" t="shared" si="51"/>
        <v>{6030003,597}</v>
      </c>
      <c r="BD182" t="str">
        <f ca="1" t="shared" si="52"/>
        <v/>
      </c>
    </row>
    <row r="183" spans="3:56">
      <c r="C183">
        <f ca="1" t="shared" si="39"/>
        <v>120</v>
      </c>
      <c r="D183" s="40">
        <v>177</v>
      </c>
      <c r="E183" s="40">
        <f t="shared" si="53"/>
        <v>118</v>
      </c>
      <c r="F183" s="40">
        <v>138</v>
      </c>
      <c r="G183" s="41">
        <f t="shared" si="40"/>
        <v>176</v>
      </c>
      <c r="H183" s="40">
        <f>H182+1</f>
        <v>231</v>
      </c>
      <c r="I183" s="40">
        <f t="shared" si="38"/>
        <v>380</v>
      </c>
      <c r="J183" s="40">
        <f t="shared" si="54"/>
        <v>376</v>
      </c>
      <c r="K183" s="40">
        <f ca="1">SUM(U$36:U183)-SUM(OFFSET(载具产出!H$399,0,0,$R183+1,1))</f>
        <v>1021</v>
      </c>
      <c r="L183" s="40">
        <f ca="1">SUM(T$36:T183)-SUM(OFFSET(载具产出!G$399,0,0,$R183+1,1))</f>
        <v>121250</v>
      </c>
      <c r="M183" s="40">
        <f ca="1">SUM(V$36:V183)/2-SUM(OFFSET(载具产出!I$399,0,0,$R183+1,1))</f>
        <v>345300</v>
      </c>
      <c r="N183" s="40">
        <f ca="1">SUM(AA$36:AA183)-SUM(OFFSET(载具产出!J$399,0,0,$R183+1,1))</f>
        <v>3128.6</v>
      </c>
      <c r="O183" s="40">
        <f ca="1">SUM(AB$36:AB183)-SUM(OFFSET(载具产出!K$399,0,0,$R183+1,1))</f>
        <v>3362.91999999999</v>
      </c>
      <c r="P183" s="40">
        <f ca="1">SUM(AC$36:AC183)-SUM(OFFSET(载具产出!L$399,0,0,$R183+1,1))</f>
        <v>608.48</v>
      </c>
      <c r="Q183" s="40">
        <f ca="1">SUM(AD$36:AD183)-SUM(OFFSET(载具产出!M$399,0,0,$R183+1,1))</f>
        <v>0</v>
      </c>
      <c r="R183" s="40">
        <v>15</v>
      </c>
      <c r="S183" s="40" t="str">
        <f ca="1">OFFSET(载具产出!$D$111,IFERROR(MATCH(OFFSET($D183,0,MATCH($D$5,$E$6:$H$6,0)),载具产出!$E$112:$E$151,1),0),0)</f>
        <v>珍惜Ⅳ</v>
      </c>
      <c r="T183" s="40">
        <f ca="1">OFFSET(载具产出!$F$399,IFERROR(MATCH(OFFSET($D183,0,MATCH($D$5,$E$6:$H$6,0)),载具产出!$E$400:$E$439,1),0),MATCH(T$6,载具产出!$G$399:$O$399,0))</f>
        <v>1040</v>
      </c>
      <c r="U183" s="40">
        <v>7</v>
      </c>
      <c r="V183" s="40">
        <f ca="1">OFFSET(载具产出!$F$399,IFERROR(MATCH(OFFSET($D183,0,MATCH($D$5,$E$6:$H$6,0)),载具产出!$E$400:$E$439,1),0),MATCH(V$6,载具产出!$G$399:$O$399,0))</f>
        <v>6600</v>
      </c>
      <c r="W183" s="43">
        <f ca="1">_xlfn.XLOOKUP(Z183,载具属性!$E$98:$E$497,载具属性!$G$98:$G$497)+6000+OFFSET(载具属性!L$33,AS183,0)*载具属性!M$30+OFFSET(载具属性!M$33,AT183,0)*载具属性!N$30+OFFSET(载具属性!N$33,AU183,0)*载具属性!O$30+OFFSET(载具属性!O$33,AV183,0)*载具属性!P$30</f>
        <v>21120</v>
      </c>
      <c r="X183" s="43">
        <f ca="1">_xlfn.XLOOKUP(Z183,载具属性!$E$98:$E$497,载具属性!$G$98:$G$497)</f>
        <v>9135</v>
      </c>
      <c r="Y183" s="43">
        <f ca="1">OFFSET(载具属性!L$33,AS183,0)*载具属性!M$30+OFFSET(载具属性!M$33,AT183,0)*载具属性!N$30+OFFSET(载具属性!N$33,AU183,0)*载具属性!O$30+OFFSET(载具属性!O$33,AV183,0)*载具属性!P$30</f>
        <v>5985</v>
      </c>
      <c r="Z183" s="40">
        <f ca="1">MATCH(SUM($T$7:T183),载具属性!$I$98:$I$497,1)</f>
        <v>141</v>
      </c>
      <c r="AA183" s="40">
        <f ca="1">OFFSET(载具产出!$F$399,IFERROR(MATCH(OFFSET($D183,0,MATCH($D$5,$E$6:$H$6,0)),载具产出!$E$112:$E$151,1),0),MATCH(AA$6,载具产出!$G$111:$O$111,0))*2</f>
        <v>18</v>
      </c>
      <c r="AB183" s="40">
        <f ca="1">OFFSET(载具产出!$F$399,IFERROR(MATCH(OFFSET($D183,0,MATCH($D$5,$E$6:$H$6,0)),载具产出!$E$112:$E$151,1),0),MATCH(AB$6,载具产出!$G$111:$O$111,0))*2</f>
        <v>21.2</v>
      </c>
      <c r="AC183" s="40">
        <f ca="1">OFFSET(载具产出!$F$399,IFERROR(MATCH(OFFSET($D183,0,MATCH($D$5,$E$6:$H$6,0)),载具产出!$E$112:$E$151,1),0),MATCH(AC$6,载具产出!$G$111:$O$111,0))*2</f>
        <v>10.8</v>
      </c>
      <c r="AD183" s="40">
        <f ca="1">OFFSET(载具产出!$F$399,IFERROR(MATCH(OFFSET($D183,0,MATCH($D$5,$E$6:$H$6,0)),载具产出!$E$112:$E$151,1),0),MATCH(AD$6,载具产出!$G$111:$O$111,0))*2</f>
        <v>0</v>
      </c>
      <c r="AE183" s="44">
        <f ca="1">SUM(AA$36:AA183)/3</f>
        <v>1106.8</v>
      </c>
      <c r="AF183" s="44">
        <f ca="1">SUM(AB$36:AB183)/3</f>
        <v>1171.09333333333</v>
      </c>
      <c r="AG183" s="44">
        <f ca="1">SUM(AC$36:AC183)/3</f>
        <v>212.106666666667</v>
      </c>
      <c r="AH183" s="44">
        <f ca="1">SUM(AD$36:AD183)/3</f>
        <v>0</v>
      </c>
      <c r="AI183" s="44">
        <f>_xlfn.XLOOKUP($D$5,载具产出!$D$71:$D$75,载具产出!$E$71:$E$75)*(D183-30+1)</f>
        <v>1740.76190476191</v>
      </c>
      <c r="AJ183" s="44">
        <f>IFERROR(MATCH(_xlfn.XLOOKUP($D$5,载具产出!$D$71:$D$75,载具产出!$E$71:$E$75)*(D183-30+1)*10,载具产出!$E$60:$E$67,1),0)+1</f>
        <v>7</v>
      </c>
      <c r="AK183" s="44">
        <f ca="1">IF($AJ183=1,($AI183)*(10*OFFSET(载具产出!$D$45,MATCH(AK$6,$AK$6:$AN$6,0)-1,$AJ183)+OFFSET(载具产出!$D$49,MATCH(AK$6,$AK$6:$AN$6,0)-1,$AJ183)*OFFSET(载具产出!$N$49,MATCH(AK$6,$AK$6:$AN$6,0)-1,0)),OFFSET(载具产出!F$59,$AJ183-1,0)*10+OFFSET(载具产出!J$59,$AJ183-1,0)+($AI183*10-_xlfn.XLOOKUP($AJ183-1,载具产出!$D$59:$D$67,载具产出!$E$59:$E$67))/10*(10*OFFSET(载具产出!$D$45,MATCH(AK$6,$AK$6:$AN$6,0)-1,$AJ183)+OFFSET(载具产出!$D$49,MATCH(AK$6,$AK$6:$AN$6,0)-1,$AJ183)*OFFSET(载具产出!$N$49,MATCH(AK$6,$AK$6:$AN$6,0)-1,0)))</f>
        <v>3861.43914285715</v>
      </c>
      <c r="AL183" s="44">
        <f ca="1">IF($AJ183=1,($AI183)*(10*OFFSET(载具产出!$D$45,MATCH(AL$6,$AK$6:$AN$6,0)-1,$AJ183)+OFFSET(载具产出!$D$49,MATCH(AL$6,$AK$6:$AN$6,0)-1,$AJ183)*OFFSET(载具产出!$N$49,MATCH(AL$6,$AK$6:$AN$6,0)-1,0)),OFFSET(载具产出!G$59,$AJ183-1,0)*10+OFFSET(载具产出!K$59,$AJ183-1,0)+($AI183*10-_xlfn.XLOOKUP($AJ183-1,载具产出!$D$59:$D$67,载具产出!$E$59:$E$67))/10*(10*OFFSET(载具产出!$D$45,MATCH(AL$6,$AK$6:$AN$6,0)-1,$AJ183)+OFFSET(载具产出!$D$49,MATCH(AL$6,$AK$6:$AN$6,0)-1,$AJ183)*OFFSET(载具产出!$N$49,MATCH(AL$6,$AK$6:$AN$6,0)-1,0)))</f>
        <v>1537.6161904762</v>
      </c>
      <c r="AM183" s="44">
        <f ca="1">IF($AJ183=1,($AI183)*(10*OFFSET(载具产出!$D$45,MATCH(AM$6,$AK$6:$AN$6,0)-1,$AJ183)+OFFSET(载具产出!$D$49,MATCH(AM$6,$AK$6:$AN$6,0)-1,$AJ183)*OFFSET(载具产出!$N$49,MATCH(AM$6,$AK$6:$AN$6,0)-1,0)),OFFSET(载具产出!H$59,$AJ183-1,0)*10+OFFSET(载具产出!L$59,$AJ183-1,0)+($AI183*10-_xlfn.XLOOKUP($AJ183-1,载具产出!$D$59:$D$67,载具产出!$E$59:$E$67))/10*(10*OFFSET(载具产出!$D$45,MATCH(AM$6,$AK$6:$AN$6,0)-1,$AJ183)+OFFSET(载具产出!$D$49,MATCH(AM$6,$AK$6:$AN$6,0)-1,$AJ183)*OFFSET(载具产出!$N$49,MATCH(AM$6,$AK$6:$AN$6,0)-1,0)))</f>
        <v>829.362285714288</v>
      </c>
      <c r="AN183" s="44">
        <f ca="1">IF($AJ183=1,($AI183)*(10*OFFSET(载具产出!$D$45,MATCH(AN$6,$AK$6:$AN$6,0)-1,$AJ183)+OFFSET(载具产出!$D$49,MATCH(AN$6,$AK$6:$AN$6,0)-1,$AJ183)*OFFSET(载具产出!$N$49,MATCH(AN$6,$AK$6:$AN$6,0)-1,0)),OFFSET(载具产出!I$59,$AJ183-1,0)*10+OFFSET(载具产出!M$59,$AJ183-1,0)+($AI183*10-_xlfn.XLOOKUP($AJ183-1,载具产出!$D$59:$D$67,载具产出!$E$59:$E$67))/10*(10*OFFSET(载具产出!$D$45,MATCH(AN$6,$AK$6:$AN$6,0)-1,$AJ183)+OFFSET(载具产出!$D$49,MATCH(AN$6,$AK$6:$AN$6,0)-1,$AJ183)*OFFSET(载具产出!$N$49,MATCH(AN$6,$AK$6:$AN$6,0)-1,0)))</f>
        <v>252.788761904763</v>
      </c>
      <c r="AO183" s="44">
        <f ca="1" t="shared" si="41"/>
        <v>4968.23914285715</v>
      </c>
      <c r="AP183" s="44">
        <f ca="1" t="shared" si="42"/>
        <v>2708.70952380952</v>
      </c>
      <c r="AQ183" s="44">
        <f ca="1" t="shared" si="43"/>
        <v>1041.46895238096</v>
      </c>
      <c r="AR183" s="44">
        <f ca="1" t="shared" si="44"/>
        <v>252.788761904763</v>
      </c>
      <c r="AS183" s="45">
        <f ca="1">IFERROR(MATCH(AO183/载具产出!R$58,载具属性!$G$33:$G$92,1),0)</f>
        <v>33</v>
      </c>
      <c r="AT183" s="45">
        <f ca="1">IFERROR(MATCH(AP183/载具产出!S$58,载具属性!$G$33:$G$92,1),0)</f>
        <v>23</v>
      </c>
      <c r="AU183" s="45">
        <f ca="1">IFERROR(MATCH(AQ183/载具产出!T$58,载具属性!$G$33:$G$92,1),0)</f>
        <v>13</v>
      </c>
      <c r="AV183" s="45">
        <f ca="1">IFERROR(MATCH(AR183/载具产出!U$58,载具属性!$G$33:$G$92,1),0)</f>
        <v>5</v>
      </c>
      <c r="AW183" s="46" t="str">
        <f ca="1" t="shared" si="45"/>
        <v>[{62,1021},{63,121250},{2,345300},{6030001,3128},{6030002,3362},{6030003,608}]</v>
      </c>
      <c r="AX183" t="str">
        <f ca="1" t="shared" si="46"/>
        <v>{62,1021}</v>
      </c>
      <c r="AY183" t="str">
        <f ca="1" t="shared" si="47"/>
        <v>{63,121250}</v>
      </c>
      <c r="AZ183" t="str">
        <f ca="1" t="shared" si="48"/>
        <v>{2,345300}</v>
      </c>
      <c r="BA183" t="str">
        <f ca="1" t="shared" si="49"/>
        <v>{6030001,3128}</v>
      </c>
      <c r="BB183" t="str">
        <f ca="1" t="shared" si="50"/>
        <v>{6030002,3362}</v>
      </c>
      <c r="BC183" t="str">
        <f ca="1" t="shared" si="51"/>
        <v>{6030003,608}</v>
      </c>
      <c r="BD183" t="str">
        <f ca="1" t="shared" si="52"/>
        <v/>
      </c>
    </row>
    <row r="184" spans="3:56">
      <c r="C184">
        <f ca="1" t="shared" si="39"/>
        <v>119.802259887006</v>
      </c>
      <c r="D184" s="40">
        <v>178</v>
      </c>
      <c r="E184" s="40">
        <f t="shared" si="53"/>
        <v>118</v>
      </c>
      <c r="F184" s="40">
        <v>138</v>
      </c>
      <c r="G184" s="41">
        <f t="shared" si="40"/>
        <v>177</v>
      </c>
      <c r="H184" s="40">
        <f>H183</f>
        <v>231</v>
      </c>
      <c r="I184" s="40">
        <f t="shared" si="38"/>
        <v>382</v>
      </c>
      <c r="J184" s="40">
        <f t="shared" si="54"/>
        <v>379</v>
      </c>
      <c r="K184" s="40">
        <f ca="1">SUM(U$36:U184)-SUM(OFFSET(载具产出!H$399,0,0,$R184+1,1))</f>
        <v>1028</v>
      </c>
      <c r="L184" s="40">
        <f ca="1">SUM(T$36:T184)-SUM(OFFSET(载具产出!G$399,0,0,$R184+1,1))</f>
        <v>122290</v>
      </c>
      <c r="M184" s="40">
        <f ca="1">SUM(V$36:V184)/2-SUM(OFFSET(载具产出!I$399,0,0,$R184+1,1))</f>
        <v>348600</v>
      </c>
      <c r="N184" s="40">
        <f ca="1">SUM(AA$36:AA184)-SUM(OFFSET(载具产出!J$399,0,0,$R184+1,1))</f>
        <v>3146.6</v>
      </c>
      <c r="O184" s="40">
        <f ca="1">SUM(AB$36:AB184)-SUM(OFFSET(载具产出!K$399,0,0,$R184+1,1))</f>
        <v>3384.11999999999</v>
      </c>
      <c r="P184" s="40">
        <f ca="1">SUM(AC$36:AC184)-SUM(OFFSET(载具产出!L$399,0,0,$R184+1,1))</f>
        <v>619.28</v>
      </c>
      <c r="Q184" s="40">
        <f ca="1">SUM(AD$36:AD184)-SUM(OFFSET(载具产出!M$399,0,0,$R184+1,1))</f>
        <v>0</v>
      </c>
      <c r="R184" s="40">
        <v>15</v>
      </c>
      <c r="S184" s="40" t="str">
        <f ca="1">OFFSET(载具产出!$D$111,IFERROR(MATCH(OFFSET($D184,0,MATCH($D$5,$E$6:$H$6,0)),载具产出!$E$112:$E$151,1),0),0)</f>
        <v>珍惜Ⅳ</v>
      </c>
      <c r="T184" s="40">
        <f ca="1">OFFSET(载具产出!$F$399,IFERROR(MATCH(OFFSET($D184,0,MATCH($D$5,$E$6:$H$6,0)),载具产出!$E$400:$E$439,1),0),MATCH(T$6,载具产出!$G$399:$O$399,0))</f>
        <v>1040</v>
      </c>
      <c r="U184" s="40">
        <v>7</v>
      </c>
      <c r="V184" s="40">
        <f ca="1">OFFSET(载具产出!$F$399,IFERROR(MATCH(OFFSET($D184,0,MATCH($D$5,$E$6:$H$6,0)),载具产出!$E$400:$E$439,1),0),MATCH(V$6,载具产出!$G$399:$O$399,0))</f>
        <v>6600</v>
      </c>
      <c r="W184" s="43">
        <f ca="1">_xlfn.XLOOKUP(Z184,载具属性!$E$98:$E$497,载具属性!$G$98:$G$497)+6000+OFFSET(载具属性!L$33,AS184,0)*载具属性!M$30+OFFSET(载具属性!M$33,AT184,0)*载具属性!N$30+OFFSET(载具属性!N$33,AU184,0)*载具属性!O$30+OFFSET(载具属性!O$33,AV184,0)*载具属性!P$30</f>
        <v>21205</v>
      </c>
      <c r="X184" s="43">
        <f ca="1">_xlfn.XLOOKUP(Z184,载具属性!$E$98:$E$497,载具属性!$G$98:$G$497)</f>
        <v>9220</v>
      </c>
      <c r="Y184" s="43">
        <f ca="1">OFFSET(载具属性!L$33,AS184,0)*载具属性!M$30+OFFSET(载具属性!M$33,AT184,0)*载具属性!N$30+OFFSET(载具属性!N$33,AU184,0)*载具属性!O$30+OFFSET(载具属性!O$33,AV184,0)*载具属性!P$30</f>
        <v>5985</v>
      </c>
      <c r="Z184" s="40">
        <f ca="1">MATCH(SUM($T$7:T184),载具属性!$I$98:$I$497,1)</f>
        <v>142</v>
      </c>
      <c r="AA184" s="40">
        <f ca="1">OFFSET(载具产出!$F$399,IFERROR(MATCH(OFFSET($D184,0,MATCH($D$5,$E$6:$H$6,0)),载具产出!$E$112:$E$151,1),0),MATCH(AA$6,载具产出!$G$111:$O$111,0))*2</f>
        <v>18</v>
      </c>
      <c r="AB184" s="40">
        <f ca="1">OFFSET(载具产出!$F$399,IFERROR(MATCH(OFFSET($D184,0,MATCH($D$5,$E$6:$H$6,0)),载具产出!$E$112:$E$151,1),0),MATCH(AB$6,载具产出!$G$111:$O$111,0))*2</f>
        <v>21.2</v>
      </c>
      <c r="AC184" s="40">
        <f ca="1">OFFSET(载具产出!$F$399,IFERROR(MATCH(OFFSET($D184,0,MATCH($D$5,$E$6:$H$6,0)),载具产出!$E$112:$E$151,1),0),MATCH(AC$6,载具产出!$G$111:$O$111,0))*2</f>
        <v>10.8</v>
      </c>
      <c r="AD184" s="40">
        <f ca="1">OFFSET(载具产出!$F$399,IFERROR(MATCH(OFFSET($D184,0,MATCH($D$5,$E$6:$H$6,0)),载具产出!$E$112:$E$151,1),0),MATCH(AD$6,载具产出!$G$111:$O$111,0))*2</f>
        <v>0</v>
      </c>
      <c r="AE184" s="44">
        <f ca="1">SUM(AA$36:AA184)/3</f>
        <v>1112.8</v>
      </c>
      <c r="AF184" s="44">
        <f ca="1">SUM(AB$36:AB184)/3</f>
        <v>1178.16</v>
      </c>
      <c r="AG184" s="44">
        <f ca="1">SUM(AC$36:AC184)/3</f>
        <v>215.706666666667</v>
      </c>
      <c r="AH184" s="44">
        <f ca="1">SUM(AD$36:AD184)/3</f>
        <v>0</v>
      </c>
      <c r="AI184" s="44">
        <f>_xlfn.XLOOKUP($D$5,载具产出!$D$71:$D$75,载具产出!$E$71:$E$75)*(D184-30+1)</f>
        <v>1752.52380952382</v>
      </c>
      <c r="AJ184" s="44">
        <f>IFERROR(MATCH(_xlfn.XLOOKUP($D$5,载具产出!$D$71:$D$75,载具产出!$E$71:$E$75)*(D184-30+1)*10,载具产出!$E$60:$E$67,1),0)+1</f>
        <v>7</v>
      </c>
      <c r="AK184" s="44">
        <f ca="1">IF($AJ184=1,($AI184)*(10*OFFSET(载具产出!$D$45,MATCH(AK$6,$AK$6:$AN$6,0)-1,$AJ184)+OFFSET(载具产出!$D$49,MATCH(AK$6,$AK$6:$AN$6,0)-1,$AJ184)*OFFSET(载具产出!$N$49,MATCH(AK$6,$AK$6:$AN$6,0)-1,0)),OFFSET(载具产出!F$59,$AJ184-1,0)*10+OFFSET(载具产出!J$59,$AJ184-1,0)+($AI184*10-_xlfn.XLOOKUP($AJ184-1,载具产出!$D$59:$D$67,载具产出!$E$59:$E$67))/10*(10*OFFSET(载具产出!$D$45,MATCH(AK$6,$AK$6:$AN$6,0)-1,$AJ184)+OFFSET(载具产出!$D$49,MATCH(AK$6,$AK$6:$AN$6,0)-1,$AJ184)*OFFSET(载具产出!$N$49,MATCH(AK$6,$AK$6:$AN$6,0)-1,0)))</f>
        <v>3886.28028571431</v>
      </c>
      <c r="AL184" s="44">
        <f ca="1">IF($AJ184=1,($AI184)*(10*OFFSET(载具产出!$D$45,MATCH(AL$6,$AK$6:$AN$6,0)-1,$AJ184)+OFFSET(载具产出!$D$49,MATCH(AL$6,$AK$6:$AN$6,0)-1,$AJ184)*OFFSET(载具产出!$N$49,MATCH(AL$6,$AK$6:$AN$6,0)-1,0)),OFFSET(载具产出!G$59,$AJ184-1,0)*10+OFFSET(载具产出!K$59,$AJ184-1,0)+($AI184*10-_xlfn.XLOOKUP($AJ184-1,载具产出!$D$59:$D$67,载具产出!$E$59:$E$67))/10*(10*OFFSET(载具产出!$D$45,MATCH(AL$6,$AK$6:$AN$6,0)-1,$AJ184)+OFFSET(载具产出!$D$49,MATCH(AL$6,$AK$6:$AN$6,0)-1,$AJ184)*OFFSET(载具产出!$N$49,MATCH(AL$6,$AK$6:$AN$6,0)-1,0)))</f>
        <v>1548.67238095239</v>
      </c>
      <c r="AM184" s="44">
        <f ca="1">IF($AJ184=1,($AI184)*(10*OFFSET(载具产出!$D$45,MATCH(AM$6,$AK$6:$AN$6,0)-1,$AJ184)+OFFSET(载具产出!$D$49,MATCH(AM$6,$AK$6:$AN$6,0)-1,$AJ184)*OFFSET(载具产出!$N$49,MATCH(AM$6,$AK$6:$AN$6,0)-1,0)),OFFSET(载具产出!H$59,$AJ184-1,0)*10+OFFSET(载具产出!L$59,$AJ184-1,0)+($AI184*10-_xlfn.XLOOKUP($AJ184-1,载具产出!$D$59:$D$67,载具产出!$E$59:$E$67))/10*(10*OFFSET(载具产出!$D$45,MATCH(AM$6,$AK$6:$AN$6,0)-1,$AJ184)+OFFSET(载具产出!$D$49,MATCH(AM$6,$AK$6:$AN$6,0)-1,$AJ184)*OFFSET(载具产出!$N$49,MATCH(AM$6,$AK$6:$AN$6,0)-1,0)))</f>
        <v>835.572571428577</v>
      </c>
      <c r="AN184" s="44">
        <f ca="1">IF($AJ184=1,($AI184)*(10*OFFSET(载具产出!$D$45,MATCH(AN$6,$AK$6:$AN$6,0)-1,$AJ184)+OFFSET(载具产出!$D$49,MATCH(AN$6,$AK$6:$AN$6,0)-1,$AJ184)*OFFSET(载具产出!$N$49,MATCH(AN$6,$AK$6:$AN$6,0)-1,0)),OFFSET(载具产出!I$59,$AJ184-1,0)*10+OFFSET(载具产出!M$59,$AJ184-1,0)+($AI184*10-_xlfn.XLOOKUP($AJ184-1,载具产出!$D$59:$D$67,载具产出!$E$59:$E$67))/10*(10*OFFSET(载具产出!$D$45,MATCH(AN$6,$AK$6:$AN$6,0)-1,$AJ184)+OFFSET(载具产出!$D$49,MATCH(AN$6,$AK$6:$AN$6,0)-1,$AJ184)*OFFSET(载具产出!$N$49,MATCH(AN$6,$AK$6:$AN$6,0)-1,0)))</f>
        <v>254.776523809526</v>
      </c>
      <c r="AO184" s="44">
        <f ca="1" t="shared" si="41"/>
        <v>4999.08028571431</v>
      </c>
      <c r="AP184" s="44">
        <f ca="1" t="shared" si="42"/>
        <v>2726.83238095239</v>
      </c>
      <c r="AQ184" s="44">
        <f ca="1" t="shared" si="43"/>
        <v>1051.27923809524</v>
      </c>
      <c r="AR184" s="44">
        <f ca="1" t="shared" si="44"/>
        <v>254.776523809526</v>
      </c>
      <c r="AS184" s="45">
        <f ca="1">IFERROR(MATCH(AO184/载具产出!R$58,载具属性!$G$33:$G$92,1),0)</f>
        <v>33</v>
      </c>
      <c r="AT184" s="45">
        <f ca="1">IFERROR(MATCH(AP184/载具产出!S$58,载具属性!$G$33:$G$92,1),0)</f>
        <v>23</v>
      </c>
      <c r="AU184" s="45">
        <f ca="1">IFERROR(MATCH(AQ184/载具产出!T$58,载具属性!$G$33:$G$92,1),0)</f>
        <v>13</v>
      </c>
      <c r="AV184" s="45">
        <f ca="1">IFERROR(MATCH(AR184/载具产出!U$58,载具属性!$G$33:$G$92,1),0)</f>
        <v>5</v>
      </c>
      <c r="AW184" s="46" t="str">
        <f ca="1" t="shared" si="45"/>
        <v>[{62,1028},{63,122290},{2,348600},{6030001,3146},{6030002,3384},{6030003,619}]</v>
      </c>
      <c r="AX184" t="str">
        <f ca="1" t="shared" si="46"/>
        <v>{62,1028}</v>
      </c>
      <c r="AY184" t="str">
        <f ca="1" t="shared" si="47"/>
        <v>{63,122290}</v>
      </c>
      <c r="AZ184" t="str">
        <f ca="1" t="shared" si="48"/>
        <v>{2,348600}</v>
      </c>
      <c r="BA184" t="str">
        <f ca="1" t="shared" si="49"/>
        <v>{6030001,3146}</v>
      </c>
      <c r="BB184" t="str">
        <f ca="1" t="shared" si="50"/>
        <v>{6030002,3384}</v>
      </c>
      <c r="BC184" t="str">
        <f ca="1" t="shared" si="51"/>
        <v>{6030003,619}</v>
      </c>
      <c r="BD184" t="str">
        <f ca="1" t="shared" si="52"/>
        <v/>
      </c>
    </row>
    <row r="185" spans="3:56">
      <c r="C185">
        <f ca="1" t="shared" si="39"/>
        <v>119.802259887006</v>
      </c>
      <c r="D185" s="40">
        <v>179</v>
      </c>
      <c r="E185" s="40">
        <f t="shared" si="53"/>
        <v>118</v>
      </c>
      <c r="F185" s="40">
        <v>138</v>
      </c>
      <c r="G185" s="41">
        <f t="shared" si="40"/>
        <v>177</v>
      </c>
      <c r="H185" s="40">
        <f>H184+1</f>
        <v>232</v>
      </c>
      <c r="I185" s="40">
        <f t="shared" si="38"/>
        <v>384</v>
      </c>
      <c r="J185" s="40">
        <f t="shared" si="54"/>
        <v>382</v>
      </c>
      <c r="K185" s="40">
        <f ca="1">SUM(U$36:U185)-SUM(OFFSET(载具产出!H$399,0,0,$R185+1,1))</f>
        <v>1034</v>
      </c>
      <c r="L185" s="40">
        <f ca="1">SUM(T$36:T185)-SUM(OFFSET(载具产出!G$399,0,0,$R185+1,1))</f>
        <v>122225</v>
      </c>
      <c r="M185" s="40">
        <f ca="1">SUM(V$36:V185)/2-SUM(OFFSET(载具产出!I$399,0,0,$R185+1,1))</f>
        <v>344900</v>
      </c>
      <c r="N185" s="40">
        <f ca="1">SUM(AA$36:AA185)-SUM(OFFSET(载具产出!J$399,0,0,$R185+1,1))</f>
        <v>3155.6</v>
      </c>
      <c r="O185" s="40">
        <f ca="1">SUM(AB$36:AB185)-SUM(OFFSET(载具产出!K$399,0,0,$R185+1,1))</f>
        <v>3394.19999999999</v>
      </c>
      <c r="P185" s="40">
        <f ca="1">SUM(AC$36:AC185)-SUM(OFFSET(载具产出!L$399,0,0,$R185+1,1))</f>
        <v>623.44</v>
      </c>
      <c r="Q185" s="40">
        <f ca="1">SUM(AD$36:AD185)-SUM(OFFSET(载具产出!M$399,0,0,$R185+1,1))</f>
        <v>-0.24</v>
      </c>
      <c r="R185" s="40">
        <v>16</v>
      </c>
      <c r="S185" s="40" t="str">
        <f ca="1">OFFSET(载具产出!$D$111,IFERROR(MATCH(OFFSET($D185,0,MATCH($D$5,$E$6:$H$6,0)),载具产出!$E$112:$E$151,1),0),0)</f>
        <v>珍惜Ⅳ</v>
      </c>
      <c r="T185" s="40">
        <f ca="1">OFFSET(载具产出!$F$399,IFERROR(MATCH(OFFSET($D185,0,MATCH($D$5,$E$6:$H$6,0)),载具产出!$E$400:$E$439,1),0),MATCH(T$6,载具产出!$G$399:$O$399,0))</f>
        <v>1040</v>
      </c>
      <c r="U185" s="40">
        <v>7</v>
      </c>
      <c r="V185" s="40">
        <f ca="1">OFFSET(载具产出!$F$399,IFERROR(MATCH(OFFSET($D185,0,MATCH($D$5,$E$6:$H$6,0)),载具产出!$E$400:$E$439,1),0),MATCH(V$6,载具产出!$G$399:$O$399,0))</f>
        <v>6600</v>
      </c>
      <c r="W185" s="43">
        <f ca="1">_xlfn.XLOOKUP(Z185,载具属性!$E$98:$E$497,载具属性!$G$98:$G$497)+6000+OFFSET(载具属性!L$33,AS185,0)*载具属性!M$30+OFFSET(载具属性!M$33,AT185,0)*载具属性!N$30+OFFSET(载具属性!N$33,AU185,0)*载具属性!O$30+OFFSET(载具属性!O$33,AV185,0)*载具属性!P$30</f>
        <v>21205</v>
      </c>
      <c r="X185" s="43">
        <f ca="1">_xlfn.XLOOKUP(Z185,载具属性!$E$98:$E$497,载具属性!$G$98:$G$497)</f>
        <v>9220</v>
      </c>
      <c r="Y185" s="43">
        <f ca="1">OFFSET(载具属性!L$33,AS185,0)*载具属性!M$30+OFFSET(载具属性!M$33,AT185,0)*载具属性!N$30+OFFSET(载具属性!N$33,AU185,0)*载具属性!O$30+OFFSET(载具属性!O$33,AV185,0)*载具属性!P$30</f>
        <v>5985</v>
      </c>
      <c r="Z185" s="40">
        <f ca="1">MATCH(SUM($T$7:T185),载具属性!$I$98:$I$497,1)</f>
        <v>142</v>
      </c>
      <c r="AA185" s="40">
        <f ca="1">OFFSET(载具产出!$F$399,IFERROR(MATCH(OFFSET($D185,0,MATCH($D$5,$E$6:$H$6,0)),载具产出!$E$112:$E$151,1),0),MATCH(AA$6,载具产出!$G$111:$O$111,0))*2</f>
        <v>18</v>
      </c>
      <c r="AB185" s="40">
        <f ca="1">OFFSET(载具产出!$F$399,IFERROR(MATCH(OFFSET($D185,0,MATCH($D$5,$E$6:$H$6,0)),载具产出!$E$112:$E$151,1),0),MATCH(AB$6,载具产出!$G$111:$O$111,0))*2</f>
        <v>21.2</v>
      </c>
      <c r="AC185" s="40">
        <f ca="1">OFFSET(载具产出!$F$399,IFERROR(MATCH(OFFSET($D185,0,MATCH($D$5,$E$6:$H$6,0)),载具产出!$E$112:$E$151,1),0),MATCH(AC$6,载具产出!$G$111:$O$111,0))*2</f>
        <v>10.8</v>
      </c>
      <c r="AD185" s="40">
        <f ca="1">OFFSET(载具产出!$F$399,IFERROR(MATCH(OFFSET($D185,0,MATCH($D$5,$E$6:$H$6,0)),载具产出!$E$112:$E$151,1),0),MATCH(AD$6,载具产出!$G$111:$O$111,0))*2</f>
        <v>0</v>
      </c>
      <c r="AE185" s="44">
        <f ca="1">SUM(AA$36:AA185)/3</f>
        <v>1118.8</v>
      </c>
      <c r="AF185" s="44">
        <f ca="1">SUM(AB$36:AB185)/3</f>
        <v>1185.22666666666</v>
      </c>
      <c r="AG185" s="44">
        <f ca="1">SUM(AC$36:AC185)/3</f>
        <v>219.306666666667</v>
      </c>
      <c r="AH185" s="44">
        <f ca="1">SUM(AD$36:AD185)/3</f>
        <v>0</v>
      </c>
      <c r="AI185" s="44">
        <f>_xlfn.XLOOKUP($D$5,载具产出!$D$71:$D$75,载具产出!$E$71:$E$75)*(D185-30+1)</f>
        <v>1764.28571428572</v>
      </c>
      <c r="AJ185" s="44">
        <f>IFERROR(MATCH(_xlfn.XLOOKUP($D$5,载具产出!$D$71:$D$75,载具产出!$E$71:$E$75)*(D185-30+1)*10,载具产出!$E$60:$E$67,1),0)+1</f>
        <v>7</v>
      </c>
      <c r="AK185" s="44">
        <f ca="1">IF($AJ185=1,($AI185)*(10*OFFSET(载具产出!$D$45,MATCH(AK$6,$AK$6:$AN$6,0)-1,$AJ185)+OFFSET(载具产出!$D$49,MATCH(AK$6,$AK$6:$AN$6,0)-1,$AJ185)*OFFSET(载具产出!$N$49,MATCH(AK$6,$AK$6:$AN$6,0)-1,0)),OFFSET(载具产出!F$59,$AJ185-1,0)*10+OFFSET(载具产出!J$59,$AJ185-1,0)+($AI185*10-_xlfn.XLOOKUP($AJ185-1,载具产出!$D$59:$D$67,载具产出!$E$59:$E$67))/10*(10*OFFSET(载具产出!$D$45,MATCH(AK$6,$AK$6:$AN$6,0)-1,$AJ185)+OFFSET(载具产出!$D$49,MATCH(AK$6,$AK$6:$AN$6,0)-1,$AJ185)*OFFSET(载具产出!$N$49,MATCH(AK$6,$AK$6:$AN$6,0)-1,0)))</f>
        <v>3911.12142857144</v>
      </c>
      <c r="AL185" s="44">
        <f ca="1">IF($AJ185=1,($AI185)*(10*OFFSET(载具产出!$D$45,MATCH(AL$6,$AK$6:$AN$6,0)-1,$AJ185)+OFFSET(载具产出!$D$49,MATCH(AL$6,$AK$6:$AN$6,0)-1,$AJ185)*OFFSET(载具产出!$N$49,MATCH(AL$6,$AK$6:$AN$6,0)-1,0)),OFFSET(载具产出!G$59,$AJ185-1,0)*10+OFFSET(载具产出!K$59,$AJ185-1,0)+($AI185*10-_xlfn.XLOOKUP($AJ185-1,载具产出!$D$59:$D$67,载具产出!$E$59:$E$67))/10*(10*OFFSET(载具产出!$D$45,MATCH(AL$6,$AK$6:$AN$6,0)-1,$AJ185)+OFFSET(载具产出!$D$49,MATCH(AL$6,$AK$6:$AN$6,0)-1,$AJ185)*OFFSET(载具产出!$N$49,MATCH(AL$6,$AK$6:$AN$6,0)-1,0)))</f>
        <v>1559.72857142858</v>
      </c>
      <c r="AM185" s="44">
        <f ca="1">IF($AJ185=1,($AI185)*(10*OFFSET(载具产出!$D$45,MATCH(AM$6,$AK$6:$AN$6,0)-1,$AJ185)+OFFSET(载具产出!$D$49,MATCH(AM$6,$AK$6:$AN$6,0)-1,$AJ185)*OFFSET(载具产出!$N$49,MATCH(AM$6,$AK$6:$AN$6,0)-1,0)),OFFSET(载具产出!H$59,$AJ185-1,0)*10+OFFSET(载具产出!L$59,$AJ185-1,0)+($AI185*10-_xlfn.XLOOKUP($AJ185-1,载具产出!$D$59:$D$67,载具产出!$E$59:$E$67))/10*(10*OFFSET(载具产出!$D$45,MATCH(AM$6,$AK$6:$AN$6,0)-1,$AJ185)+OFFSET(载具产出!$D$49,MATCH(AM$6,$AK$6:$AN$6,0)-1,$AJ185)*OFFSET(载具产出!$N$49,MATCH(AM$6,$AK$6:$AN$6,0)-1,0)))</f>
        <v>841.78285714286</v>
      </c>
      <c r="AN185" s="44">
        <f ca="1">IF($AJ185=1,($AI185)*(10*OFFSET(载具产出!$D$45,MATCH(AN$6,$AK$6:$AN$6,0)-1,$AJ185)+OFFSET(载具产出!$D$49,MATCH(AN$6,$AK$6:$AN$6,0)-1,$AJ185)*OFFSET(载具产出!$N$49,MATCH(AN$6,$AK$6:$AN$6,0)-1,0)),OFFSET(载具产出!I$59,$AJ185-1,0)*10+OFFSET(载具产出!M$59,$AJ185-1,0)+($AI185*10-_xlfn.XLOOKUP($AJ185-1,载具产出!$D$59:$D$67,载具产出!$E$59:$E$67))/10*(10*OFFSET(载具产出!$D$45,MATCH(AN$6,$AK$6:$AN$6,0)-1,$AJ185)+OFFSET(载具产出!$D$49,MATCH(AN$6,$AK$6:$AN$6,0)-1,$AJ185)*OFFSET(载具产出!$N$49,MATCH(AN$6,$AK$6:$AN$6,0)-1,0)))</f>
        <v>256.764285714287</v>
      </c>
      <c r="AO185" s="44">
        <f ca="1" t="shared" si="41"/>
        <v>5029.92142857144</v>
      </c>
      <c r="AP185" s="44">
        <f ca="1" t="shared" si="42"/>
        <v>2744.95523809524</v>
      </c>
      <c r="AQ185" s="44">
        <f ca="1" t="shared" si="43"/>
        <v>1061.08952380953</v>
      </c>
      <c r="AR185" s="44">
        <f ca="1" t="shared" si="44"/>
        <v>256.764285714287</v>
      </c>
      <c r="AS185" s="45">
        <f ca="1">IFERROR(MATCH(AO185/载具产出!R$58,载具属性!$G$33:$G$92,1),0)</f>
        <v>33</v>
      </c>
      <c r="AT185" s="45">
        <f ca="1">IFERROR(MATCH(AP185/载具产出!S$58,载具属性!$G$33:$G$92,1),0)</f>
        <v>23</v>
      </c>
      <c r="AU185" s="45">
        <f ca="1">IFERROR(MATCH(AQ185/载具产出!T$58,载具属性!$G$33:$G$92,1),0)</f>
        <v>13</v>
      </c>
      <c r="AV185" s="45">
        <f ca="1">IFERROR(MATCH(AR185/载具产出!U$58,载具属性!$G$33:$G$92,1),0)</f>
        <v>5</v>
      </c>
      <c r="AW185" s="46" t="str">
        <f ca="1" t="shared" si="45"/>
        <v>[{62,1034},{63,122225},{2,344900},{6030001,3155},{6030002,3394},{6030003,623}]</v>
      </c>
      <c r="AX185" t="str">
        <f ca="1" t="shared" si="46"/>
        <v>{62,1034}</v>
      </c>
      <c r="AY185" t="str">
        <f ca="1" t="shared" si="47"/>
        <v>{63,122225}</v>
      </c>
      <c r="AZ185" t="str">
        <f ca="1" t="shared" si="48"/>
        <v>{2,344900}</v>
      </c>
      <c r="BA185" t="str">
        <f ca="1" t="shared" si="49"/>
        <v>{6030001,3155}</v>
      </c>
      <c r="BB185" t="str">
        <f ca="1" t="shared" si="50"/>
        <v>{6030002,3394}</v>
      </c>
      <c r="BC185" t="str">
        <f ca="1" t="shared" si="51"/>
        <v>{6030003,623}</v>
      </c>
      <c r="BD185" t="str">
        <f ca="1" t="shared" si="52"/>
        <v/>
      </c>
    </row>
    <row r="186" spans="3:56">
      <c r="C186">
        <f ca="1" t="shared" si="39"/>
        <v>119.606741573034</v>
      </c>
      <c r="D186" s="40">
        <v>180</v>
      </c>
      <c r="E186" s="40">
        <f t="shared" si="53"/>
        <v>118</v>
      </c>
      <c r="F186" s="40">
        <v>139</v>
      </c>
      <c r="G186" s="41">
        <f t="shared" si="40"/>
        <v>178</v>
      </c>
      <c r="H186" s="40">
        <f>H185</f>
        <v>232</v>
      </c>
      <c r="I186" s="40">
        <f t="shared" si="38"/>
        <v>386</v>
      </c>
      <c r="J186" s="40">
        <f t="shared" si="54"/>
        <v>386</v>
      </c>
      <c r="K186" s="40">
        <f ca="1">SUM(U$36:U186)-SUM(OFFSET(载具产出!H$399,0,0,$R186+1,1))</f>
        <v>1041</v>
      </c>
      <c r="L186" s="40">
        <f ca="1">SUM(T$36:T186)-SUM(OFFSET(载具产出!G$399,0,0,$R186+1,1))</f>
        <v>123265</v>
      </c>
      <c r="M186" s="40">
        <f ca="1">SUM(V$36:V186)/2-SUM(OFFSET(载具产出!I$399,0,0,$R186+1,1))</f>
        <v>348200</v>
      </c>
      <c r="N186" s="40">
        <f ca="1">SUM(AA$36:AA186)-SUM(OFFSET(载具产出!J$399,0,0,$R186+1,1))</f>
        <v>3173.6</v>
      </c>
      <c r="O186" s="40">
        <f ca="1">SUM(AB$36:AB186)-SUM(OFFSET(载具产出!K$399,0,0,$R186+1,1))</f>
        <v>3415.39999999999</v>
      </c>
      <c r="P186" s="40">
        <f ca="1">SUM(AC$36:AC186)-SUM(OFFSET(载具产出!L$399,0,0,$R186+1,1))</f>
        <v>634.24</v>
      </c>
      <c r="Q186" s="40">
        <f ca="1">SUM(AD$36:AD186)-SUM(OFFSET(载具产出!M$399,0,0,$R186+1,1))</f>
        <v>-0.24</v>
      </c>
      <c r="R186" s="40">
        <v>16</v>
      </c>
      <c r="S186" s="40" t="str">
        <f ca="1">OFFSET(载具产出!$D$111,IFERROR(MATCH(OFFSET($D186,0,MATCH($D$5,$E$6:$H$6,0)),载具产出!$E$112:$E$151,1),0),0)</f>
        <v>珍惜Ⅳ</v>
      </c>
      <c r="T186" s="40">
        <f ca="1">OFFSET(载具产出!$F$399,IFERROR(MATCH(OFFSET($D186,0,MATCH($D$5,$E$6:$H$6,0)),载具产出!$E$400:$E$439,1),0),MATCH(T$6,载具产出!$G$399:$O$399,0))</f>
        <v>1040</v>
      </c>
      <c r="U186" s="40">
        <v>7</v>
      </c>
      <c r="V186" s="40">
        <f ca="1">OFFSET(载具产出!$F$399,IFERROR(MATCH(OFFSET($D186,0,MATCH($D$5,$E$6:$H$6,0)),载具产出!$E$400:$E$439,1),0),MATCH(V$6,载具产出!$G$399:$O$399,0))</f>
        <v>6600</v>
      </c>
      <c r="W186" s="43">
        <f ca="1">_xlfn.XLOOKUP(Z186,载具属性!$E$98:$E$497,载具属性!$G$98:$G$497)+6000+OFFSET(载具属性!L$33,AS186,0)*载具属性!M$30+OFFSET(载具属性!M$33,AT186,0)*载具属性!N$30+OFFSET(载具属性!N$33,AU186,0)*载具属性!O$30+OFFSET(载具属性!O$33,AV186,0)*载具属性!P$30</f>
        <v>21290</v>
      </c>
      <c r="X186" s="43">
        <f ca="1">_xlfn.XLOOKUP(Z186,载具属性!$E$98:$E$497,载具属性!$G$98:$G$497)</f>
        <v>9305</v>
      </c>
      <c r="Y186" s="43">
        <f ca="1">OFFSET(载具属性!L$33,AS186,0)*载具属性!M$30+OFFSET(载具属性!M$33,AT186,0)*载具属性!N$30+OFFSET(载具属性!N$33,AU186,0)*载具属性!O$30+OFFSET(载具属性!O$33,AV186,0)*载具属性!P$30</f>
        <v>5985</v>
      </c>
      <c r="Z186" s="40">
        <f ca="1">MATCH(SUM($T$7:T186),载具属性!$I$98:$I$497,1)</f>
        <v>143</v>
      </c>
      <c r="AA186" s="40">
        <f ca="1">OFFSET(载具产出!$F$399,IFERROR(MATCH(OFFSET($D186,0,MATCH($D$5,$E$6:$H$6,0)),载具产出!$E$112:$E$151,1),0),MATCH(AA$6,载具产出!$G$111:$O$111,0))*2</f>
        <v>18</v>
      </c>
      <c r="AB186" s="40">
        <f ca="1">OFFSET(载具产出!$F$399,IFERROR(MATCH(OFFSET($D186,0,MATCH($D$5,$E$6:$H$6,0)),载具产出!$E$112:$E$151,1),0),MATCH(AB$6,载具产出!$G$111:$O$111,0))*2</f>
        <v>21.2</v>
      </c>
      <c r="AC186" s="40">
        <f ca="1">OFFSET(载具产出!$F$399,IFERROR(MATCH(OFFSET($D186,0,MATCH($D$5,$E$6:$H$6,0)),载具产出!$E$112:$E$151,1),0),MATCH(AC$6,载具产出!$G$111:$O$111,0))*2</f>
        <v>10.8</v>
      </c>
      <c r="AD186" s="40">
        <f ca="1">OFFSET(载具产出!$F$399,IFERROR(MATCH(OFFSET($D186,0,MATCH($D$5,$E$6:$H$6,0)),载具产出!$E$112:$E$151,1),0),MATCH(AD$6,载具产出!$G$111:$O$111,0))*2</f>
        <v>0</v>
      </c>
      <c r="AE186" s="44">
        <f ca="1">SUM(AA$36:AA186)/3</f>
        <v>1124.8</v>
      </c>
      <c r="AF186" s="44">
        <f ca="1">SUM(AB$36:AB186)/3</f>
        <v>1192.29333333333</v>
      </c>
      <c r="AG186" s="44">
        <f ca="1">SUM(AC$36:AC186)/3</f>
        <v>222.906666666667</v>
      </c>
      <c r="AH186" s="44">
        <f ca="1">SUM(AD$36:AD186)/3</f>
        <v>0</v>
      </c>
      <c r="AI186" s="44">
        <f>_xlfn.XLOOKUP($D$5,载具产出!$D$71:$D$75,载具产出!$E$71:$E$75)*(D186-30+1)</f>
        <v>1776.04761904762</v>
      </c>
      <c r="AJ186" s="44">
        <f>IFERROR(MATCH(_xlfn.XLOOKUP($D$5,载具产出!$D$71:$D$75,载具产出!$E$71:$E$75)*(D186-30+1)*10,载具产出!$E$60:$E$67,1),0)+1</f>
        <v>7</v>
      </c>
      <c r="AK186" s="44">
        <f ca="1">IF($AJ186=1,($AI186)*(10*OFFSET(载具产出!$D$45,MATCH(AK$6,$AK$6:$AN$6,0)-1,$AJ186)+OFFSET(载具产出!$D$49,MATCH(AK$6,$AK$6:$AN$6,0)-1,$AJ186)*OFFSET(载具产出!$N$49,MATCH(AK$6,$AK$6:$AN$6,0)-1,0)),OFFSET(载具产出!F$59,$AJ186-1,0)*10+OFFSET(载具产出!J$59,$AJ186-1,0)+($AI186*10-_xlfn.XLOOKUP($AJ186-1,载具产出!$D$59:$D$67,载具产出!$E$59:$E$67))/10*(10*OFFSET(载具产出!$D$45,MATCH(AK$6,$AK$6:$AN$6,0)-1,$AJ186)+OFFSET(载具产出!$D$49,MATCH(AK$6,$AK$6:$AN$6,0)-1,$AJ186)*OFFSET(载具产出!$N$49,MATCH(AK$6,$AK$6:$AN$6,0)-1,0)))</f>
        <v>3935.96257142857</v>
      </c>
      <c r="AL186" s="44">
        <f ca="1">IF($AJ186=1,($AI186)*(10*OFFSET(载具产出!$D$45,MATCH(AL$6,$AK$6:$AN$6,0)-1,$AJ186)+OFFSET(载具产出!$D$49,MATCH(AL$6,$AK$6:$AN$6,0)-1,$AJ186)*OFFSET(载具产出!$N$49,MATCH(AL$6,$AK$6:$AN$6,0)-1,0)),OFFSET(载具产出!G$59,$AJ186-1,0)*10+OFFSET(载具产出!K$59,$AJ186-1,0)+($AI186*10-_xlfn.XLOOKUP($AJ186-1,载具产出!$D$59:$D$67,载具产出!$E$59:$E$67))/10*(10*OFFSET(载具产出!$D$45,MATCH(AL$6,$AK$6:$AN$6,0)-1,$AJ186)+OFFSET(载具产出!$D$49,MATCH(AL$6,$AK$6:$AN$6,0)-1,$AJ186)*OFFSET(载具产出!$N$49,MATCH(AL$6,$AK$6:$AN$6,0)-1,0)))</f>
        <v>1570.78476190476</v>
      </c>
      <c r="AM186" s="44">
        <f ca="1">IF($AJ186=1,($AI186)*(10*OFFSET(载具产出!$D$45,MATCH(AM$6,$AK$6:$AN$6,0)-1,$AJ186)+OFFSET(载具产出!$D$49,MATCH(AM$6,$AK$6:$AN$6,0)-1,$AJ186)*OFFSET(载具产出!$N$49,MATCH(AM$6,$AK$6:$AN$6,0)-1,0)),OFFSET(载具产出!H$59,$AJ186-1,0)*10+OFFSET(载具产出!L$59,$AJ186-1,0)+($AI186*10-_xlfn.XLOOKUP($AJ186-1,载具产出!$D$59:$D$67,载具产出!$E$59:$E$67))/10*(10*OFFSET(载具产出!$D$45,MATCH(AM$6,$AK$6:$AN$6,0)-1,$AJ186)+OFFSET(载具产出!$D$49,MATCH(AM$6,$AK$6:$AN$6,0)-1,$AJ186)*OFFSET(载具产出!$N$49,MATCH(AM$6,$AK$6:$AN$6,0)-1,0)))</f>
        <v>847.993142857143</v>
      </c>
      <c r="AN186" s="44">
        <f ca="1">IF($AJ186=1,($AI186)*(10*OFFSET(载具产出!$D$45,MATCH(AN$6,$AK$6:$AN$6,0)-1,$AJ186)+OFFSET(载具产出!$D$49,MATCH(AN$6,$AK$6:$AN$6,0)-1,$AJ186)*OFFSET(载具产出!$N$49,MATCH(AN$6,$AK$6:$AN$6,0)-1,0)),OFFSET(载具产出!I$59,$AJ186-1,0)*10+OFFSET(载具产出!M$59,$AJ186-1,0)+($AI186*10-_xlfn.XLOOKUP($AJ186-1,载具产出!$D$59:$D$67,载具产出!$E$59:$E$67))/10*(10*OFFSET(载具产出!$D$45,MATCH(AN$6,$AK$6:$AN$6,0)-1,$AJ186)+OFFSET(载具产出!$D$49,MATCH(AN$6,$AK$6:$AN$6,0)-1,$AJ186)*OFFSET(载具产出!$N$49,MATCH(AN$6,$AK$6:$AN$6,0)-1,0)))</f>
        <v>258.752047619048</v>
      </c>
      <c r="AO186" s="44">
        <f ca="1" t="shared" si="41"/>
        <v>5060.76257142857</v>
      </c>
      <c r="AP186" s="44">
        <f ca="1" t="shared" si="42"/>
        <v>2763.07809523809</v>
      </c>
      <c r="AQ186" s="44">
        <f ca="1" t="shared" si="43"/>
        <v>1070.89980952381</v>
      </c>
      <c r="AR186" s="44">
        <f ca="1" t="shared" si="44"/>
        <v>258.752047619048</v>
      </c>
      <c r="AS186" s="45">
        <f ca="1">IFERROR(MATCH(AO186/载具产出!R$58,载具属性!$G$33:$G$92,1),0)</f>
        <v>33</v>
      </c>
      <c r="AT186" s="45">
        <f ca="1">IFERROR(MATCH(AP186/载具产出!S$58,载具属性!$G$33:$G$92,1),0)</f>
        <v>23</v>
      </c>
      <c r="AU186" s="45">
        <f ca="1">IFERROR(MATCH(AQ186/载具产出!T$58,载具属性!$G$33:$G$92,1),0)</f>
        <v>13</v>
      </c>
      <c r="AV186" s="45">
        <f ca="1">IFERROR(MATCH(AR186/载具产出!U$58,载具属性!$G$33:$G$92,1),0)</f>
        <v>5</v>
      </c>
      <c r="AW186" s="46" t="str">
        <f ca="1" t="shared" si="45"/>
        <v>[{62,1041},{63,123265},{2,348200},{6030001,3173},{6030002,3415},{6030003,634}]</v>
      </c>
      <c r="AX186" t="str">
        <f ca="1" t="shared" si="46"/>
        <v>{62,1041}</v>
      </c>
      <c r="AY186" t="str">
        <f ca="1" t="shared" si="47"/>
        <v>{63,123265}</v>
      </c>
      <c r="AZ186" t="str">
        <f ca="1" t="shared" si="48"/>
        <v>{2,348200}</v>
      </c>
      <c r="BA186" t="str">
        <f ca="1" t="shared" si="49"/>
        <v>{6030001,3173}</v>
      </c>
      <c r="BB186" t="str">
        <f ca="1" t="shared" si="50"/>
        <v>{6030002,3415}</v>
      </c>
      <c r="BC186" t="str">
        <f ca="1" t="shared" si="51"/>
        <v>{6030003,634}</v>
      </c>
      <c r="BD186" t="str">
        <f ca="1" t="shared" si="52"/>
        <v/>
      </c>
    </row>
    <row r="187" spans="3:56">
      <c r="C187">
        <f ca="1" t="shared" si="39"/>
        <v>120.61797752809</v>
      </c>
      <c r="D187" s="40">
        <v>181</v>
      </c>
      <c r="E187" s="40">
        <f t="shared" si="53"/>
        <v>119</v>
      </c>
      <c r="F187" s="40">
        <v>139</v>
      </c>
      <c r="G187" s="41">
        <f t="shared" si="40"/>
        <v>178</v>
      </c>
      <c r="H187" s="40">
        <f>H186+1</f>
        <v>233</v>
      </c>
      <c r="I187" s="40">
        <f t="shared" si="38"/>
        <v>388</v>
      </c>
      <c r="J187" s="40">
        <f t="shared" si="54"/>
        <v>388</v>
      </c>
      <c r="K187" s="40">
        <f ca="1">SUM(U$36:U187)-SUM(OFFSET(载具产出!H$399,0,0,$R187+1,1))</f>
        <v>1048</v>
      </c>
      <c r="L187" s="40">
        <f ca="1">SUM(T$36:T187)-SUM(OFFSET(载具产出!G$399,0,0,$R187+1,1))</f>
        <v>124305</v>
      </c>
      <c r="M187" s="40">
        <f ca="1">SUM(V$36:V187)/2-SUM(OFFSET(载具产出!I$399,0,0,$R187+1,1))</f>
        <v>351500</v>
      </c>
      <c r="N187" s="40">
        <f ca="1">SUM(AA$36:AA187)-SUM(OFFSET(载具产出!J$399,0,0,$R187+1,1))</f>
        <v>3191.6</v>
      </c>
      <c r="O187" s="40">
        <f ca="1">SUM(AB$36:AB187)-SUM(OFFSET(载具产出!K$399,0,0,$R187+1,1))</f>
        <v>3436.59999999999</v>
      </c>
      <c r="P187" s="40">
        <f ca="1">SUM(AC$36:AC187)-SUM(OFFSET(载具产出!L$399,0,0,$R187+1,1))</f>
        <v>645.04</v>
      </c>
      <c r="Q187" s="40">
        <f ca="1">SUM(AD$36:AD187)-SUM(OFFSET(载具产出!M$399,0,0,$R187+1,1))</f>
        <v>-0.24</v>
      </c>
      <c r="R187" s="40">
        <v>16</v>
      </c>
      <c r="S187" s="40" t="str">
        <f ca="1">OFFSET(载具产出!$D$111,IFERROR(MATCH(OFFSET($D187,0,MATCH($D$5,$E$6:$H$6,0)),载具产出!$E$112:$E$151,1),0),0)</f>
        <v>珍惜Ⅳ</v>
      </c>
      <c r="T187" s="40">
        <f ca="1">OFFSET(载具产出!$F$399,IFERROR(MATCH(OFFSET($D187,0,MATCH($D$5,$E$6:$H$6,0)),载具产出!$E$400:$E$439,1),0),MATCH(T$6,载具产出!$G$399:$O$399,0))</f>
        <v>1040</v>
      </c>
      <c r="U187" s="40">
        <v>7</v>
      </c>
      <c r="V187" s="40">
        <f ca="1">OFFSET(载具产出!$F$399,IFERROR(MATCH(OFFSET($D187,0,MATCH($D$5,$E$6:$H$6,0)),载具产出!$E$400:$E$439,1),0),MATCH(V$6,载具产出!$G$399:$O$399,0))</f>
        <v>6600</v>
      </c>
      <c r="W187" s="43">
        <f ca="1">_xlfn.XLOOKUP(Z187,载具属性!$E$98:$E$497,载具属性!$G$98:$G$497)+6000+OFFSET(载具属性!L$33,AS187,0)*载具属性!M$30+OFFSET(载具属性!M$33,AT187,0)*载具属性!N$30+OFFSET(载具属性!N$33,AU187,0)*载具属性!O$30+OFFSET(载具属性!O$33,AV187,0)*载具属性!P$30</f>
        <v>21470</v>
      </c>
      <c r="X187" s="43">
        <f ca="1">_xlfn.XLOOKUP(Z187,载具属性!$E$98:$E$497,载具属性!$G$98:$G$497)</f>
        <v>9305</v>
      </c>
      <c r="Y187" s="43">
        <f ca="1">OFFSET(载具属性!L$33,AS187,0)*载具属性!M$30+OFFSET(载具属性!M$33,AT187,0)*载具属性!N$30+OFFSET(载具属性!N$33,AU187,0)*载具属性!O$30+OFFSET(载具属性!O$33,AV187,0)*载具属性!P$30</f>
        <v>6165</v>
      </c>
      <c r="Z187" s="40">
        <f ca="1">MATCH(SUM($T$7:T187),载具属性!$I$98:$I$497,1)</f>
        <v>143</v>
      </c>
      <c r="AA187" s="40">
        <f ca="1">OFFSET(载具产出!$F$399,IFERROR(MATCH(OFFSET($D187,0,MATCH($D$5,$E$6:$H$6,0)),载具产出!$E$112:$E$151,1),0),MATCH(AA$6,载具产出!$G$111:$O$111,0))*2</f>
        <v>18</v>
      </c>
      <c r="AB187" s="40">
        <f ca="1">OFFSET(载具产出!$F$399,IFERROR(MATCH(OFFSET($D187,0,MATCH($D$5,$E$6:$H$6,0)),载具产出!$E$112:$E$151,1),0),MATCH(AB$6,载具产出!$G$111:$O$111,0))*2</f>
        <v>21.2</v>
      </c>
      <c r="AC187" s="40">
        <f ca="1">OFFSET(载具产出!$F$399,IFERROR(MATCH(OFFSET($D187,0,MATCH($D$5,$E$6:$H$6,0)),载具产出!$E$112:$E$151,1),0),MATCH(AC$6,载具产出!$G$111:$O$111,0))*2</f>
        <v>10.8</v>
      </c>
      <c r="AD187" s="40">
        <f ca="1">OFFSET(载具产出!$F$399,IFERROR(MATCH(OFFSET($D187,0,MATCH($D$5,$E$6:$H$6,0)),载具产出!$E$112:$E$151,1),0),MATCH(AD$6,载具产出!$G$111:$O$111,0))*2</f>
        <v>0</v>
      </c>
      <c r="AE187" s="44">
        <f ca="1">SUM(AA$36:AA187)/3</f>
        <v>1130.8</v>
      </c>
      <c r="AF187" s="44">
        <f ca="1">SUM(AB$36:AB187)/3</f>
        <v>1199.36</v>
      </c>
      <c r="AG187" s="44">
        <f ca="1">SUM(AC$36:AC187)/3</f>
        <v>226.506666666667</v>
      </c>
      <c r="AH187" s="44">
        <f ca="1">SUM(AD$36:AD187)/3</f>
        <v>0</v>
      </c>
      <c r="AI187" s="44">
        <f>_xlfn.XLOOKUP($D$5,载具产出!$D$71:$D$75,载具产出!$E$71:$E$75)*(D187-30+1)</f>
        <v>1787.80952380953</v>
      </c>
      <c r="AJ187" s="44">
        <f>IFERROR(MATCH(_xlfn.XLOOKUP($D$5,载具产出!$D$71:$D$75,载具产出!$E$71:$E$75)*(D187-30+1)*10,载具产出!$E$60:$E$67,1),0)+1</f>
        <v>7</v>
      </c>
      <c r="AK187" s="44">
        <f ca="1">IF($AJ187=1,($AI187)*(10*OFFSET(载具产出!$D$45,MATCH(AK$6,$AK$6:$AN$6,0)-1,$AJ187)+OFFSET(载具产出!$D$49,MATCH(AK$6,$AK$6:$AN$6,0)-1,$AJ187)*OFFSET(载具产出!$N$49,MATCH(AK$6,$AK$6:$AN$6,0)-1,0)),OFFSET(载具产出!F$59,$AJ187-1,0)*10+OFFSET(载具产出!J$59,$AJ187-1,0)+($AI187*10-_xlfn.XLOOKUP($AJ187-1,载具产出!$D$59:$D$67,载具产出!$E$59:$E$67))/10*(10*OFFSET(载具产出!$D$45,MATCH(AK$6,$AK$6:$AN$6,0)-1,$AJ187)+OFFSET(载具产出!$D$49,MATCH(AK$6,$AK$6:$AN$6,0)-1,$AJ187)*OFFSET(载具产出!$N$49,MATCH(AK$6,$AK$6:$AN$6,0)-1,0)))</f>
        <v>3960.80371428573</v>
      </c>
      <c r="AL187" s="44">
        <f ca="1">IF($AJ187=1,($AI187)*(10*OFFSET(载具产出!$D$45,MATCH(AL$6,$AK$6:$AN$6,0)-1,$AJ187)+OFFSET(载具产出!$D$49,MATCH(AL$6,$AK$6:$AN$6,0)-1,$AJ187)*OFFSET(载具产出!$N$49,MATCH(AL$6,$AK$6:$AN$6,0)-1,0)),OFFSET(载具产出!G$59,$AJ187-1,0)*10+OFFSET(载具产出!K$59,$AJ187-1,0)+($AI187*10-_xlfn.XLOOKUP($AJ187-1,载具产出!$D$59:$D$67,载具产出!$E$59:$E$67))/10*(10*OFFSET(载具产出!$D$45,MATCH(AL$6,$AK$6:$AN$6,0)-1,$AJ187)+OFFSET(载具产出!$D$49,MATCH(AL$6,$AK$6:$AN$6,0)-1,$AJ187)*OFFSET(载具产出!$N$49,MATCH(AL$6,$AK$6:$AN$6,0)-1,0)))</f>
        <v>1581.84095238096</v>
      </c>
      <c r="AM187" s="44">
        <f ca="1">IF($AJ187=1,($AI187)*(10*OFFSET(载具产出!$D$45,MATCH(AM$6,$AK$6:$AN$6,0)-1,$AJ187)+OFFSET(载具产出!$D$49,MATCH(AM$6,$AK$6:$AN$6,0)-1,$AJ187)*OFFSET(载具产出!$N$49,MATCH(AM$6,$AK$6:$AN$6,0)-1,0)),OFFSET(载具产出!H$59,$AJ187-1,0)*10+OFFSET(载具产出!L$59,$AJ187-1,0)+($AI187*10-_xlfn.XLOOKUP($AJ187-1,载具产出!$D$59:$D$67,载具产出!$E$59:$E$67))/10*(10*OFFSET(载具产出!$D$45,MATCH(AM$6,$AK$6:$AN$6,0)-1,$AJ187)+OFFSET(载具产出!$D$49,MATCH(AM$6,$AK$6:$AN$6,0)-1,$AJ187)*OFFSET(载具产出!$N$49,MATCH(AM$6,$AK$6:$AN$6,0)-1,0)))</f>
        <v>854.203428571432</v>
      </c>
      <c r="AN187" s="44">
        <f ca="1">IF($AJ187=1,($AI187)*(10*OFFSET(载具产出!$D$45,MATCH(AN$6,$AK$6:$AN$6,0)-1,$AJ187)+OFFSET(载具产出!$D$49,MATCH(AN$6,$AK$6:$AN$6,0)-1,$AJ187)*OFFSET(载具产出!$N$49,MATCH(AN$6,$AK$6:$AN$6,0)-1,0)),OFFSET(载具产出!I$59,$AJ187-1,0)*10+OFFSET(载具产出!M$59,$AJ187-1,0)+($AI187*10-_xlfn.XLOOKUP($AJ187-1,载具产出!$D$59:$D$67,载具产出!$E$59:$E$67))/10*(10*OFFSET(载具产出!$D$45,MATCH(AN$6,$AK$6:$AN$6,0)-1,$AJ187)+OFFSET(载具产出!$D$49,MATCH(AN$6,$AK$6:$AN$6,0)-1,$AJ187)*OFFSET(载具产出!$N$49,MATCH(AN$6,$AK$6:$AN$6,0)-1,0)))</f>
        <v>260.739809523811</v>
      </c>
      <c r="AO187" s="44">
        <f ca="1" t="shared" si="41"/>
        <v>5091.60371428573</v>
      </c>
      <c r="AP187" s="44">
        <f ca="1" t="shared" si="42"/>
        <v>2781.20095238095</v>
      </c>
      <c r="AQ187" s="44">
        <f ca="1" t="shared" si="43"/>
        <v>1080.7100952381</v>
      </c>
      <c r="AR187" s="44">
        <f ca="1" t="shared" si="44"/>
        <v>260.739809523811</v>
      </c>
      <c r="AS187" s="45">
        <f ca="1">IFERROR(MATCH(AO187/载具产出!R$58,载具属性!$G$33:$G$92,1),0)</f>
        <v>34</v>
      </c>
      <c r="AT187" s="45">
        <f ca="1">IFERROR(MATCH(AP187/载具产出!S$58,载具属性!$G$33:$G$92,1),0)</f>
        <v>23</v>
      </c>
      <c r="AU187" s="45">
        <f ca="1">IFERROR(MATCH(AQ187/载具产出!T$58,载具属性!$G$33:$G$92,1),0)</f>
        <v>14</v>
      </c>
      <c r="AV187" s="45">
        <f ca="1">IFERROR(MATCH(AR187/载具产出!U$58,载具属性!$G$33:$G$92,1),0)</f>
        <v>5</v>
      </c>
      <c r="AW187" s="46" t="str">
        <f ca="1" t="shared" si="45"/>
        <v>[{62,1048},{63,124305},{2,351500},{6030001,3191},{6030002,3436},{6030003,645}]</v>
      </c>
      <c r="AX187" t="str">
        <f ca="1" t="shared" si="46"/>
        <v>{62,1048}</v>
      </c>
      <c r="AY187" t="str">
        <f ca="1" t="shared" si="47"/>
        <v>{63,124305}</v>
      </c>
      <c r="AZ187" t="str">
        <f ca="1" t="shared" si="48"/>
        <v>{2,351500}</v>
      </c>
      <c r="BA187" t="str">
        <f ca="1" t="shared" si="49"/>
        <v>{6030001,3191}</v>
      </c>
      <c r="BB187" t="str">
        <f ca="1" t="shared" si="50"/>
        <v>{6030002,3436}</v>
      </c>
      <c r="BC187" t="str">
        <f ca="1" t="shared" si="51"/>
        <v>{6030003,645}</v>
      </c>
      <c r="BD187" t="str">
        <f ca="1" t="shared" si="52"/>
        <v/>
      </c>
    </row>
    <row r="188" spans="3:56">
      <c r="C188">
        <f ca="1" t="shared" si="39"/>
        <v>120.418994413408</v>
      </c>
      <c r="D188" s="40">
        <v>182</v>
      </c>
      <c r="E188" s="40">
        <f t="shared" si="53"/>
        <v>119</v>
      </c>
      <c r="F188" s="40">
        <v>139</v>
      </c>
      <c r="G188" s="41">
        <f t="shared" si="40"/>
        <v>179</v>
      </c>
      <c r="H188" s="40">
        <f>H187</f>
        <v>233</v>
      </c>
      <c r="I188" s="40">
        <f t="shared" si="38"/>
        <v>390</v>
      </c>
      <c r="J188" s="40">
        <f t="shared" si="54"/>
        <v>390</v>
      </c>
      <c r="K188" s="40">
        <f ca="1">SUM(U$36:U188)-SUM(OFFSET(载具产出!H$399,0,0,$R188+1,1))</f>
        <v>1055</v>
      </c>
      <c r="L188" s="40">
        <f ca="1">SUM(T$36:T188)-SUM(OFFSET(载具产出!G$399,0,0,$R188+1,1))</f>
        <v>125345</v>
      </c>
      <c r="M188" s="40">
        <f ca="1">SUM(V$36:V188)/2-SUM(OFFSET(载具产出!I$399,0,0,$R188+1,1))</f>
        <v>354800</v>
      </c>
      <c r="N188" s="40">
        <f ca="1">SUM(AA$36:AA188)-SUM(OFFSET(载具产出!J$399,0,0,$R188+1,1))</f>
        <v>3209.6</v>
      </c>
      <c r="O188" s="40">
        <f ca="1">SUM(AB$36:AB188)-SUM(OFFSET(载具产出!K$399,0,0,$R188+1,1))</f>
        <v>3457.79999999999</v>
      </c>
      <c r="P188" s="40">
        <f ca="1">SUM(AC$36:AC188)-SUM(OFFSET(载具产出!L$399,0,0,$R188+1,1))</f>
        <v>655.84</v>
      </c>
      <c r="Q188" s="40">
        <f ca="1">SUM(AD$36:AD188)-SUM(OFFSET(载具产出!M$399,0,0,$R188+1,1))</f>
        <v>-0.24</v>
      </c>
      <c r="R188" s="40">
        <v>16</v>
      </c>
      <c r="S188" s="40" t="str">
        <f ca="1">OFFSET(载具产出!$D$111,IFERROR(MATCH(OFFSET($D188,0,MATCH($D$5,$E$6:$H$6,0)),载具产出!$E$112:$E$151,1),0),0)</f>
        <v>珍惜Ⅳ</v>
      </c>
      <c r="T188" s="40">
        <f ca="1">OFFSET(载具产出!$F$399,IFERROR(MATCH(OFFSET($D188,0,MATCH($D$5,$E$6:$H$6,0)),载具产出!$E$400:$E$439,1),0),MATCH(T$6,载具产出!$G$399:$O$399,0))</f>
        <v>1040</v>
      </c>
      <c r="U188" s="40">
        <v>7</v>
      </c>
      <c r="V188" s="40">
        <f ca="1">OFFSET(载具产出!$F$399,IFERROR(MATCH(OFFSET($D188,0,MATCH($D$5,$E$6:$H$6,0)),载具产出!$E$400:$E$439,1),0),MATCH(V$6,载具产出!$G$399:$O$399,0))</f>
        <v>6600</v>
      </c>
      <c r="W188" s="43">
        <f ca="1">_xlfn.XLOOKUP(Z188,载具属性!$E$98:$E$497,载具属性!$G$98:$G$497)+6000+OFFSET(载具属性!L$33,AS188,0)*载具属性!M$30+OFFSET(载具属性!M$33,AT188,0)*载具属性!N$30+OFFSET(载具属性!N$33,AU188,0)*载具属性!O$30+OFFSET(载具属性!O$33,AV188,0)*载具属性!P$30</f>
        <v>21555</v>
      </c>
      <c r="X188" s="43">
        <f ca="1">_xlfn.XLOOKUP(Z188,载具属性!$E$98:$E$497,载具属性!$G$98:$G$497)</f>
        <v>9390</v>
      </c>
      <c r="Y188" s="43">
        <f ca="1">OFFSET(载具属性!L$33,AS188,0)*载具属性!M$30+OFFSET(载具属性!M$33,AT188,0)*载具属性!N$30+OFFSET(载具属性!N$33,AU188,0)*载具属性!O$30+OFFSET(载具属性!O$33,AV188,0)*载具属性!P$30</f>
        <v>6165</v>
      </c>
      <c r="Z188" s="40">
        <f ca="1">MATCH(SUM($T$7:T188),载具属性!$I$98:$I$497,1)</f>
        <v>144</v>
      </c>
      <c r="AA188" s="40">
        <f ca="1">OFFSET(载具产出!$F$399,IFERROR(MATCH(OFFSET($D188,0,MATCH($D$5,$E$6:$H$6,0)),载具产出!$E$112:$E$151,1),0),MATCH(AA$6,载具产出!$G$111:$O$111,0))*2</f>
        <v>18</v>
      </c>
      <c r="AB188" s="40">
        <f ca="1">OFFSET(载具产出!$F$399,IFERROR(MATCH(OFFSET($D188,0,MATCH($D$5,$E$6:$H$6,0)),载具产出!$E$112:$E$151,1),0),MATCH(AB$6,载具产出!$G$111:$O$111,0))*2</f>
        <v>21.2</v>
      </c>
      <c r="AC188" s="40">
        <f ca="1">OFFSET(载具产出!$F$399,IFERROR(MATCH(OFFSET($D188,0,MATCH($D$5,$E$6:$H$6,0)),载具产出!$E$112:$E$151,1),0),MATCH(AC$6,载具产出!$G$111:$O$111,0))*2</f>
        <v>10.8</v>
      </c>
      <c r="AD188" s="40">
        <f ca="1">OFFSET(载具产出!$F$399,IFERROR(MATCH(OFFSET($D188,0,MATCH($D$5,$E$6:$H$6,0)),载具产出!$E$112:$E$151,1),0),MATCH(AD$6,载具产出!$G$111:$O$111,0))*2</f>
        <v>0</v>
      </c>
      <c r="AE188" s="44">
        <f ca="1">SUM(AA$36:AA188)/3</f>
        <v>1136.8</v>
      </c>
      <c r="AF188" s="44">
        <f ca="1">SUM(AB$36:AB188)/3</f>
        <v>1206.42666666666</v>
      </c>
      <c r="AG188" s="44">
        <f ca="1">SUM(AC$36:AC188)/3</f>
        <v>230.106666666667</v>
      </c>
      <c r="AH188" s="44">
        <f ca="1">SUM(AD$36:AD188)/3</f>
        <v>0</v>
      </c>
      <c r="AI188" s="44">
        <f>_xlfn.XLOOKUP($D$5,载具产出!$D$71:$D$75,载具产出!$E$71:$E$75)*(D188-30+1)</f>
        <v>1799.57142857143</v>
      </c>
      <c r="AJ188" s="44">
        <f>IFERROR(MATCH(_xlfn.XLOOKUP($D$5,载具产出!$D$71:$D$75,载具产出!$E$71:$E$75)*(D188-30+1)*10,载具产出!$E$60:$E$67,1),0)+1</f>
        <v>7</v>
      </c>
      <c r="AK188" s="44">
        <f ca="1">IF($AJ188=1,($AI188)*(10*OFFSET(载具产出!$D$45,MATCH(AK$6,$AK$6:$AN$6,0)-1,$AJ188)+OFFSET(载具产出!$D$49,MATCH(AK$6,$AK$6:$AN$6,0)-1,$AJ188)*OFFSET(载具产出!$N$49,MATCH(AK$6,$AK$6:$AN$6,0)-1,0)),OFFSET(载具产出!F$59,$AJ188-1,0)*10+OFFSET(载具产出!J$59,$AJ188-1,0)+($AI188*10-_xlfn.XLOOKUP($AJ188-1,载具产出!$D$59:$D$67,载具产出!$E$59:$E$67))/10*(10*OFFSET(载具产出!$D$45,MATCH(AK$6,$AK$6:$AN$6,0)-1,$AJ188)+OFFSET(载具产出!$D$49,MATCH(AK$6,$AK$6:$AN$6,0)-1,$AJ188)*OFFSET(载具产出!$N$49,MATCH(AK$6,$AK$6:$AN$6,0)-1,0)))</f>
        <v>3985.64485714286</v>
      </c>
      <c r="AL188" s="44">
        <f ca="1">IF($AJ188=1,($AI188)*(10*OFFSET(载具产出!$D$45,MATCH(AL$6,$AK$6:$AN$6,0)-1,$AJ188)+OFFSET(载具产出!$D$49,MATCH(AL$6,$AK$6:$AN$6,0)-1,$AJ188)*OFFSET(载具产出!$N$49,MATCH(AL$6,$AK$6:$AN$6,0)-1,0)),OFFSET(载具产出!G$59,$AJ188-1,0)*10+OFFSET(载具产出!K$59,$AJ188-1,0)+($AI188*10-_xlfn.XLOOKUP($AJ188-1,载具产出!$D$59:$D$67,载具产出!$E$59:$E$67))/10*(10*OFFSET(载具产出!$D$45,MATCH(AL$6,$AK$6:$AN$6,0)-1,$AJ188)+OFFSET(载具产出!$D$49,MATCH(AL$6,$AK$6:$AN$6,0)-1,$AJ188)*OFFSET(载具产出!$N$49,MATCH(AL$6,$AK$6:$AN$6,0)-1,0)))</f>
        <v>1592.89714285714</v>
      </c>
      <c r="AM188" s="44">
        <f ca="1">IF($AJ188=1,($AI188)*(10*OFFSET(载具产出!$D$45,MATCH(AM$6,$AK$6:$AN$6,0)-1,$AJ188)+OFFSET(载具产出!$D$49,MATCH(AM$6,$AK$6:$AN$6,0)-1,$AJ188)*OFFSET(载具产出!$N$49,MATCH(AM$6,$AK$6:$AN$6,0)-1,0)),OFFSET(载具产出!H$59,$AJ188-1,0)*10+OFFSET(载具产出!L$59,$AJ188-1,0)+($AI188*10-_xlfn.XLOOKUP($AJ188-1,载具产出!$D$59:$D$67,载具产出!$E$59:$E$67))/10*(10*OFFSET(载具产出!$D$45,MATCH(AM$6,$AK$6:$AN$6,0)-1,$AJ188)+OFFSET(载具产出!$D$49,MATCH(AM$6,$AK$6:$AN$6,0)-1,$AJ188)*OFFSET(载具产出!$N$49,MATCH(AM$6,$AK$6:$AN$6,0)-1,0)))</f>
        <v>860.413714285715</v>
      </c>
      <c r="AN188" s="44">
        <f ca="1">IF($AJ188=1,($AI188)*(10*OFFSET(载具产出!$D$45,MATCH(AN$6,$AK$6:$AN$6,0)-1,$AJ188)+OFFSET(载具产出!$D$49,MATCH(AN$6,$AK$6:$AN$6,0)-1,$AJ188)*OFFSET(载具产出!$N$49,MATCH(AN$6,$AK$6:$AN$6,0)-1,0)),OFFSET(载具产出!I$59,$AJ188-1,0)*10+OFFSET(载具产出!M$59,$AJ188-1,0)+($AI188*10-_xlfn.XLOOKUP($AJ188-1,载具产出!$D$59:$D$67,载具产出!$E$59:$E$67))/10*(10*OFFSET(载具产出!$D$45,MATCH(AN$6,$AK$6:$AN$6,0)-1,$AJ188)+OFFSET(载具产出!$D$49,MATCH(AN$6,$AK$6:$AN$6,0)-1,$AJ188)*OFFSET(载具产出!$N$49,MATCH(AN$6,$AK$6:$AN$6,0)-1,0)))</f>
        <v>262.727571428572</v>
      </c>
      <c r="AO188" s="44">
        <f ca="1" t="shared" si="41"/>
        <v>5122.44485714286</v>
      </c>
      <c r="AP188" s="44">
        <f ca="1" t="shared" si="42"/>
        <v>2799.32380952381</v>
      </c>
      <c r="AQ188" s="44">
        <f ca="1" t="shared" si="43"/>
        <v>1090.52038095238</v>
      </c>
      <c r="AR188" s="44">
        <f ca="1" t="shared" si="44"/>
        <v>262.727571428572</v>
      </c>
      <c r="AS188" s="45">
        <f ca="1">IFERROR(MATCH(AO188/载具产出!R$58,载具属性!$G$33:$G$92,1),0)</f>
        <v>34</v>
      </c>
      <c r="AT188" s="45">
        <f ca="1">IFERROR(MATCH(AP188/载具产出!S$58,载具属性!$G$33:$G$92,1),0)</f>
        <v>23</v>
      </c>
      <c r="AU188" s="45">
        <f ca="1">IFERROR(MATCH(AQ188/载具产出!T$58,载具属性!$G$33:$G$92,1),0)</f>
        <v>14</v>
      </c>
      <c r="AV188" s="45">
        <f ca="1">IFERROR(MATCH(AR188/载具产出!U$58,载具属性!$G$33:$G$92,1),0)</f>
        <v>5</v>
      </c>
      <c r="AW188" s="46" t="str">
        <f ca="1" t="shared" si="45"/>
        <v>[{62,1055},{63,125345},{2,354800},{6030001,3209},{6030002,3457},{6030003,655}]</v>
      </c>
      <c r="AX188" t="str">
        <f ca="1" t="shared" si="46"/>
        <v>{62,1055}</v>
      </c>
      <c r="AY188" t="str">
        <f ca="1" t="shared" si="47"/>
        <v>{63,125345}</v>
      </c>
      <c r="AZ188" t="str">
        <f ca="1" t="shared" si="48"/>
        <v>{2,354800}</v>
      </c>
      <c r="BA188" t="str">
        <f ca="1" t="shared" si="49"/>
        <v>{6030001,3209}</v>
      </c>
      <c r="BB188" t="str">
        <f ca="1" t="shared" si="50"/>
        <v>{6030002,3457}</v>
      </c>
      <c r="BC188" t="str">
        <f ca="1" t="shared" si="51"/>
        <v>{6030003,655}</v>
      </c>
      <c r="BD188" t="str">
        <f ca="1" t="shared" si="52"/>
        <v/>
      </c>
    </row>
    <row r="189" spans="3:56">
      <c r="C189">
        <f ca="1" t="shared" si="39"/>
        <v>120.418994413408</v>
      </c>
      <c r="D189" s="40">
        <v>183</v>
      </c>
      <c r="E189" s="40">
        <f t="shared" si="53"/>
        <v>119</v>
      </c>
      <c r="F189" s="40">
        <v>139</v>
      </c>
      <c r="G189" s="41">
        <f t="shared" si="40"/>
        <v>179</v>
      </c>
      <c r="H189" s="40">
        <f>H188+1</f>
        <v>234</v>
      </c>
      <c r="I189" s="40">
        <f t="shared" si="38"/>
        <v>392</v>
      </c>
      <c r="J189" s="40">
        <f t="shared" si="54"/>
        <v>392</v>
      </c>
      <c r="K189" s="40">
        <f ca="1">SUM(U$36:U189)-SUM(OFFSET(载具产出!H$399,0,0,$R189+1,1))</f>
        <v>1062</v>
      </c>
      <c r="L189" s="40">
        <f ca="1">SUM(T$36:T189)-SUM(OFFSET(载具产出!G$399,0,0,$R189+1,1))</f>
        <v>126385</v>
      </c>
      <c r="M189" s="40">
        <f ca="1">SUM(V$36:V189)/2-SUM(OFFSET(载具产出!I$399,0,0,$R189+1,1))</f>
        <v>358100</v>
      </c>
      <c r="N189" s="40">
        <f ca="1">SUM(AA$36:AA189)-SUM(OFFSET(载具产出!J$399,0,0,$R189+1,1))</f>
        <v>3227.6</v>
      </c>
      <c r="O189" s="40">
        <f ca="1">SUM(AB$36:AB189)-SUM(OFFSET(载具产出!K$399,0,0,$R189+1,1))</f>
        <v>3478.99999999999</v>
      </c>
      <c r="P189" s="40">
        <f ca="1">SUM(AC$36:AC189)-SUM(OFFSET(载具产出!L$399,0,0,$R189+1,1))</f>
        <v>666.64</v>
      </c>
      <c r="Q189" s="40">
        <f ca="1">SUM(AD$36:AD189)-SUM(OFFSET(载具产出!M$399,0,0,$R189+1,1))</f>
        <v>-0.24</v>
      </c>
      <c r="R189" s="40">
        <v>16</v>
      </c>
      <c r="S189" s="40" t="str">
        <f ca="1">OFFSET(载具产出!$D$111,IFERROR(MATCH(OFFSET($D189,0,MATCH($D$5,$E$6:$H$6,0)),载具产出!$E$112:$E$151,1),0),0)</f>
        <v>珍惜Ⅳ</v>
      </c>
      <c r="T189" s="40">
        <f ca="1">OFFSET(载具产出!$F$399,IFERROR(MATCH(OFFSET($D189,0,MATCH($D$5,$E$6:$H$6,0)),载具产出!$E$400:$E$439,1),0),MATCH(T$6,载具产出!$G$399:$O$399,0))</f>
        <v>1040</v>
      </c>
      <c r="U189" s="40">
        <v>7</v>
      </c>
      <c r="V189" s="40">
        <f ca="1">OFFSET(载具产出!$F$399,IFERROR(MATCH(OFFSET($D189,0,MATCH($D$5,$E$6:$H$6,0)),载具产出!$E$400:$E$439,1),0),MATCH(V$6,载具产出!$G$399:$O$399,0))</f>
        <v>6600</v>
      </c>
      <c r="W189" s="43">
        <f ca="1">_xlfn.XLOOKUP(Z189,载具属性!$E$98:$E$497,载具属性!$G$98:$G$497)+6000+OFFSET(载具属性!L$33,AS189,0)*载具属性!M$30+OFFSET(载具属性!M$33,AT189,0)*载具属性!N$30+OFFSET(载具属性!N$33,AU189,0)*载具属性!O$30+OFFSET(载具属性!O$33,AV189,0)*载具属性!P$30</f>
        <v>21555</v>
      </c>
      <c r="X189" s="43">
        <f ca="1">_xlfn.XLOOKUP(Z189,载具属性!$E$98:$E$497,载具属性!$G$98:$G$497)</f>
        <v>9390</v>
      </c>
      <c r="Y189" s="43">
        <f ca="1">OFFSET(载具属性!L$33,AS189,0)*载具属性!M$30+OFFSET(载具属性!M$33,AT189,0)*载具属性!N$30+OFFSET(载具属性!N$33,AU189,0)*载具属性!O$30+OFFSET(载具属性!O$33,AV189,0)*载具属性!P$30</f>
        <v>6165</v>
      </c>
      <c r="Z189" s="40">
        <f ca="1">MATCH(SUM($T$7:T189),载具属性!$I$98:$I$497,1)</f>
        <v>144</v>
      </c>
      <c r="AA189" s="40">
        <f ca="1">OFFSET(载具产出!$F$399,IFERROR(MATCH(OFFSET($D189,0,MATCH($D$5,$E$6:$H$6,0)),载具产出!$E$112:$E$151,1),0),MATCH(AA$6,载具产出!$G$111:$O$111,0))*2</f>
        <v>18</v>
      </c>
      <c r="AB189" s="40">
        <f ca="1">OFFSET(载具产出!$F$399,IFERROR(MATCH(OFFSET($D189,0,MATCH($D$5,$E$6:$H$6,0)),载具产出!$E$112:$E$151,1),0),MATCH(AB$6,载具产出!$G$111:$O$111,0))*2</f>
        <v>21.2</v>
      </c>
      <c r="AC189" s="40">
        <f ca="1">OFFSET(载具产出!$F$399,IFERROR(MATCH(OFFSET($D189,0,MATCH($D$5,$E$6:$H$6,0)),载具产出!$E$112:$E$151,1),0),MATCH(AC$6,载具产出!$G$111:$O$111,0))*2</f>
        <v>10.8</v>
      </c>
      <c r="AD189" s="40">
        <f ca="1">OFFSET(载具产出!$F$399,IFERROR(MATCH(OFFSET($D189,0,MATCH($D$5,$E$6:$H$6,0)),载具产出!$E$112:$E$151,1),0),MATCH(AD$6,载具产出!$G$111:$O$111,0))*2</f>
        <v>0</v>
      </c>
      <c r="AE189" s="44">
        <f ca="1">SUM(AA$36:AA189)/3</f>
        <v>1142.8</v>
      </c>
      <c r="AF189" s="44">
        <f ca="1">SUM(AB$36:AB189)/3</f>
        <v>1213.49333333333</v>
      </c>
      <c r="AG189" s="44">
        <f ca="1">SUM(AC$36:AC189)/3</f>
        <v>233.706666666667</v>
      </c>
      <c r="AH189" s="44">
        <f ca="1">SUM(AD$36:AD189)/3</f>
        <v>0</v>
      </c>
      <c r="AI189" s="44">
        <f>_xlfn.XLOOKUP($D$5,载具产出!$D$71:$D$75,载具产出!$E$71:$E$75)*(D189-30+1)</f>
        <v>1811.33333333334</v>
      </c>
      <c r="AJ189" s="44">
        <f>IFERROR(MATCH(_xlfn.XLOOKUP($D$5,载具产出!$D$71:$D$75,载具产出!$E$71:$E$75)*(D189-30+1)*10,载具产出!$E$60:$E$67,1),0)+1</f>
        <v>7</v>
      </c>
      <c r="AK189" s="44">
        <f ca="1">IF($AJ189=1,($AI189)*(10*OFFSET(载具产出!$D$45,MATCH(AK$6,$AK$6:$AN$6,0)-1,$AJ189)+OFFSET(载具产出!$D$49,MATCH(AK$6,$AK$6:$AN$6,0)-1,$AJ189)*OFFSET(载具产出!$N$49,MATCH(AK$6,$AK$6:$AN$6,0)-1,0)),OFFSET(载具产出!F$59,$AJ189-1,0)*10+OFFSET(载具产出!J$59,$AJ189-1,0)+($AI189*10-_xlfn.XLOOKUP($AJ189-1,载具产出!$D$59:$D$67,载具产出!$E$59:$E$67))/10*(10*OFFSET(载具产出!$D$45,MATCH(AK$6,$AK$6:$AN$6,0)-1,$AJ189)+OFFSET(载具产出!$D$49,MATCH(AK$6,$AK$6:$AN$6,0)-1,$AJ189)*OFFSET(载具产出!$N$49,MATCH(AK$6,$AK$6:$AN$6,0)-1,0)))</f>
        <v>4010.48600000001</v>
      </c>
      <c r="AL189" s="44">
        <f ca="1">IF($AJ189=1,($AI189)*(10*OFFSET(载具产出!$D$45,MATCH(AL$6,$AK$6:$AN$6,0)-1,$AJ189)+OFFSET(载具产出!$D$49,MATCH(AL$6,$AK$6:$AN$6,0)-1,$AJ189)*OFFSET(载具产出!$N$49,MATCH(AL$6,$AK$6:$AN$6,0)-1,0)),OFFSET(载具产出!G$59,$AJ189-1,0)*10+OFFSET(载具产出!K$59,$AJ189-1,0)+($AI189*10-_xlfn.XLOOKUP($AJ189-1,载具产出!$D$59:$D$67,载具产出!$E$59:$E$67))/10*(10*OFFSET(载具产出!$D$45,MATCH(AL$6,$AK$6:$AN$6,0)-1,$AJ189)+OFFSET(载具产出!$D$49,MATCH(AL$6,$AK$6:$AN$6,0)-1,$AJ189)*OFFSET(载具产出!$N$49,MATCH(AL$6,$AK$6:$AN$6,0)-1,0)))</f>
        <v>1603.95333333334</v>
      </c>
      <c r="AM189" s="44">
        <f ca="1">IF($AJ189=1,($AI189)*(10*OFFSET(载具产出!$D$45,MATCH(AM$6,$AK$6:$AN$6,0)-1,$AJ189)+OFFSET(载具产出!$D$49,MATCH(AM$6,$AK$6:$AN$6,0)-1,$AJ189)*OFFSET(载具产出!$N$49,MATCH(AM$6,$AK$6:$AN$6,0)-1,0)),OFFSET(载具产出!H$59,$AJ189-1,0)*10+OFFSET(载具产出!L$59,$AJ189-1,0)+($AI189*10-_xlfn.XLOOKUP($AJ189-1,载具产出!$D$59:$D$67,载具产出!$E$59:$E$67))/10*(10*OFFSET(载具产出!$D$45,MATCH(AM$6,$AK$6:$AN$6,0)-1,$AJ189)+OFFSET(载具产出!$D$49,MATCH(AM$6,$AK$6:$AN$6,0)-1,$AJ189)*OFFSET(载具产出!$N$49,MATCH(AM$6,$AK$6:$AN$6,0)-1,0)))</f>
        <v>866.624000000004</v>
      </c>
      <c r="AN189" s="44">
        <f ca="1">IF($AJ189=1,($AI189)*(10*OFFSET(载具产出!$D$45,MATCH(AN$6,$AK$6:$AN$6,0)-1,$AJ189)+OFFSET(载具产出!$D$49,MATCH(AN$6,$AK$6:$AN$6,0)-1,$AJ189)*OFFSET(载具产出!$N$49,MATCH(AN$6,$AK$6:$AN$6,0)-1,0)),OFFSET(载具产出!I$59,$AJ189-1,0)*10+OFFSET(载具产出!M$59,$AJ189-1,0)+($AI189*10-_xlfn.XLOOKUP($AJ189-1,载具产出!$D$59:$D$67,载具产出!$E$59:$E$67))/10*(10*OFFSET(载具产出!$D$45,MATCH(AN$6,$AK$6:$AN$6,0)-1,$AJ189)+OFFSET(载具产出!$D$49,MATCH(AN$6,$AK$6:$AN$6,0)-1,$AJ189)*OFFSET(载具产出!$N$49,MATCH(AN$6,$AK$6:$AN$6,0)-1,0)))</f>
        <v>264.715333333334</v>
      </c>
      <c r="AO189" s="44">
        <f ca="1" t="shared" si="41"/>
        <v>5153.28600000001</v>
      </c>
      <c r="AP189" s="44">
        <f ca="1" t="shared" si="42"/>
        <v>2817.44666666667</v>
      </c>
      <c r="AQ189" s="44">
        <f ca="1" t="shared" si="43"/>
        <v>1100.33066666667</v>
      </c>
      <c r="AR189" s="44">
        <f ca="1" t="shared" si="44"/>
        <v>264.715333333334</v>
      </c>
      <c r="AS189" s="45">
        <f ca="1">IFERROR(MATCH(AO189/载具产出!R$58,载具属性!$G$33:$G$92,1),0)</f>
        <v>34</v>
      </c>
      <c r="AT189" s="45">
        <f ca="1">IFERROR(MATCH(AP189/载具产出!S$58,载具属性!$G$33:$G$92,1),0)</f>
        <v>23</v>
      </c>
      <c r="AU189" s="45">
        <f ca="1">IFERROR(MATCH(AQ189/载具产出!T$58,载具属性!$G$33:$G$92,1),0)</f>
        <v>14</v>
      </c>
      <c r="AV189" s="45">
        <f ca="1">IFERROR(MATCH(AR189/载具产出!U$58,载具属性!$G$33:$G$92,1),0)</f>
        <v>5</v>
      </c>
      <c r="AW189" s="46" t="str">
        <f ca="1" t="shared" si="45"/>
        <v>[{62,1062},{63,126385},{2,358100},{6030001,3227},{6030002,3478},{6030003,666}]</v>
      </c>
      <c r="AX189" t="str">
        <f ca="1" t="shared" si="46"/>
        <v>{62,1062}</v>
      </c>
      <c r="AY189" t="str">
        <f ca="1" t="shared" si="47"/>
        <v>{63,126385}</v>
      </c>
      <c r="AZ189" t="str">
        <f ca="1" t="shared" si="48"/>
        <v>{2,358100}</v>
      </c>
      <c r="BA189" t="str">
        <f ca="1" t="shared" si="49"/>
        <v>{6030001,3227}</v>
      </c>
      <c r="BB189" t="str">
        <f ca="1" t="shared" si="50"/>
        <v>{6030002,3478}</v>
      </c>
      <c r="BC189" t="str">
        <f ca="1" t="shared" si="51"/>
        <v>{6030003,666}</v>
      </c>
      <c r="BD189" t="str">
        <f ca="1" t="shared" si="52"/>
        <v/>
      </c>
    </row>
    <row r="190" spans="3:56">
      <c r="C190">
        <f ca="1" t="shared" si="39"/>
        <v>120.222222222222</v>
      </c>
      <c r="D190" s="40">
        <v>184</v>
      </c>
      <c r="E190" s="40">
        <f t="shared" si="53"/>
        <v>119</v>
      </c>
      <c r="F190" s="40">
        <v>139</v>
      </c>
      <c r="G190" s="41">
        <f t="shared" si="40"/>
        <v>180</v>
      </c>
      <c r="H190" s="40">
        <f>H189</f>
        <v>234</v>
      </c>
      <c r="I190" s="40">
        <f t="shared" si="38"/>
        <v>394</v>
      </c>
      <c r="J190" s="40">
        <f t="shared" si="54"/>
        <v>394</v>
      </c>
      <c r="K190" s="40">
        <f ca="1">SUM(U$36:U190)-SUM(OFFSET(载具产出!H$399,0,0,$R190+1,1))</f>
        <v>1069</v>
      </c>
      <c r="L190" s="40">
        <f ca="1">SUM(T$36:T190)-SUM(OFFSET(载具产出!G$399,0,0,$R190+1,1))</f>
        <v>127425</v>
      </c>
      <c r="M190" s="40">
        <f ca="1">SUM(V$36:V190)/2-SUM(OFFSET(载具产出!I$399,0,0,$R190+1,1))</f>
        <v>361400</v>
      </c>
      <c r="N190" s="40">
        <f ca="1">SUM(AA$36:AA190)-SUM(OFFSET(载具产出!J$399,0,0,$R190+1,1))</f>
        <v>3245.6</v>
      </c>
      <c r="O190" s="40">
        <f ca="1">SUM(AB$36:AB190)-SUM(OFFSET(载具产出!K$399,0,0,$R190+1,1))</f>
        <v>3500.19999999999</v>
      </c>
      <c r="P190" s="40">
        <f ca="1">SUM(AC$36:AC190)-SUM(OFFSET(载具产出!L$399,0,0,$R190+1,1))</f>
        <v>677.44</v>
      </c>
      <c r="Q190" s="40">
        <f ca="1">SUM(AD$36:AD190)-SUM(OFFSET(载具产出!M$399,0,0,$R190+1,1))</f>
        <v>-0.24</v>
      </c>
      <c r="R190" s="40">
        <v>16</v>
      </c>
      <c r="S190" s="40" t="str">
        <f ca="1">OFFSET(载具产出!$D$111,IFERROR(MATCH(OFFSET($D190,0,MATCH($D$5,$E$6:$H$6,0)),载具产出!$E$112:$E$151,1),0),0)</f>
        <v>珍惜Ⅳ</v>
      </c>
      <c r="T190" s="40">
        <f ca="1">OFFSET(载具产出!$F$399,IFERROR(MATCH(OFFSET($D190,0,MATCH($D$5,$E$6:$H$6,0)),载具产出!$E$400:$E$439,1),0),MATCH(T$6,载具产出!$G$399:$O$399,0))</f>
        <v>1040</v>
      </c>
      <c r="U190" s="40">
        <v>7</v>
      </c>
      <c r="V190" s="40">
        <f ca="1">OFFSET(载具产出!$F$399,IFERROR(MATCH(OFFSET($D190,0,MATCH($D$5,$E$6:$H$6,0)),载具产出!$E$400:$E$439,1),0),MATCH(V$6,载具产出!$G$399:$O$399,0))</f>
        <v>6600</v>
      </c>
      <c r="W190" s="43">
        <f ca="1">_xlfn.XLOOKUP(Z190,载具属性!$E$98:$E$497,载具属性!$G$98:$G$497)+6000+OFFSET(载具属性!L$33,AS190,0)*载具属性!M$30+OFFSET(载具属性!M$33,AT190,0)*载具属性!N$30+OFFSET(载具属性!N$33,AU190,0)*载具属性!O$30+OFFSET(载具属性!O$33,AV190,0)*载具属性!P$30</f>
        <v>21640</v>
      </c>
      <c r="X190" s="43">
        <f ca="1">_xlfn.XLOOKUP(Z190,载具属性!$E$98:$E$497,载具属性!$G$98:$G$497)</f>
        <v>9475</v>
      </c>
      <c r="Y190" s="43">
        <f ca="1">OFFSET(载具属性!L$33,AS190,0)*载具属性!M$30+OFFSET(载具属性!M$33,AT190,0)*载具属性!N$30+OFFSET(载具属性!N$33,AU190,0)*载具属性!O$30+OFFSET(载具属性!O$33,AV190,0)*载具属性!P$30</f>
        <v>6165</v>
      </c>
      <c r="Z190" s="40">
        <f ca="1">MATCH(SUM($T$7:T190),载具属性!$I$98:$I$497,1)</f>
        <v>145</v>
      </c>
      <c r="AA190" s="40">
        <f ca="1">OFFSET(载具产出!$F$399,IFERROR(MATCH(OFFSET($D190,0,MATCH($D$5,$E$6:$H$6,0)),载具产出!$E$112:$E$151,1),0),MATCH(AA$6,载具产出!$G$111:$O$111,0))*2</f>
        <v>18</v>
      </c>
      <c r="AB190" s="40">
        <f ca="1">OFFSET(载具产出!$F$399,IFERROR(MATCH(OFFSET($D190,0,MATCH($D$5,$E$6:$H$6,0)),载具产出!$E$112:$E$151,1),0),MATCH(AB$6,载具产出!$G$111:$O$111,0))*2</f>
        <v>21.2</v>
      </c>
      <c r="AC190" s="40">
        <f ca="1">OFFSET(载具产出!$F$399,IFERROR(MATCH(OFFSET($D190,0,MATCH($D$5,$E$6:$H$6,0)),载具产出!$E$112:$E$151,1),0),MATCH(AC$6,载具产出!$G$111:$O$111,0))*2</f>
        <v>10.8</v>
      </c>
      <c r="AD190" s="40">
        <f ca="1">OFFSET(载具产出!$F$399,IFERROR(MATCH(OFFSET($D190,0,MATCH($D$5,$E$6:$H$6,0)),载具产出!$E$112:$E$151,1),0),MATCH(AD$6,载具产出!$G$111:$O$111,0))*2</f>
        <v>0</v>
      </c>
      <c r="AE190" s="44">
        <f ca="1">SUM(AA$36:AA190)/3</f>
        <v>1148.8</v>
      </c>
      <c r="AF190" s="44">
        <f ca="1">SUM(AB$36:AB190)/3</f>
        <v>1220.56</v>
      </c>
      <c r="AG190" s="44">
        <f ca="1">SUM(AC$36:AC190)/3</f>
        <v>237.306666666667</v>
      </c>
      <c r="AH190" s="44">
        <f ca="1">SUM(AD$36:AD190)/3</f>
        <v>0</v>
      </c>
      <c r="AI190" s="44">
        <f>_xlfn.XLOOKUP($D$5,载具产出!$D$71:$D$75,载具产出!$E$71:$E$75)*(D190-30+1)</f>
        <v>1823.09523809524</v>
      </c>
      <c r="AJ190" s="44">
        <f>IFERROR(MATCH(_xlfn.XLOOKUP($D$5,载具产出!$D$71:$D$75,载具产出!$E$71:$E$75)*(D190-30+1)*10,载具产出!$E$60:$E$67,1),0)+1</f>
        <v>7</v>
      </c>
      <c r="AK190" s="44">
        <f ca="1">IF($AJ190=1,($AI190)*(10*OFFSET(载具产出!$D$45,MATCH(AK$6,$AK$6:$AN$6,0)-1,$AJ190)+OFFSET(载具产出!$D$49,MATCH(AK$6,$AK$6:$AN$6,0)-1,$AJ190)*OFFSET(载具产出!$N$49,MATCH(AK$6,$AK$6:$AN$6,0)-1,0)),OFFSET(载具产出!F$59,$AJ190-1,0)*10+OFFSET(载具产出!J$59,$AJ190-1,0)+($AI190*10-_xlfn.XLOOKUP($AJ190-1,载具产出!$D$59:$D$67,载具产出!$E$59:$E$67))/10*(10*OFFSET(载具产出!$D$45,MATCH(AK$6,$AK$6:$AN$6,0)-1,$AJ190)+OFFSET(载具产出!$D$49,MATCH(AK$6,$AK$6:$AN$6,0)-1,$AJ190)*OFFSET(载具产出!$N$49,MATCH(AK$6,$AK$6:$AN$6,0)-1,0)))</f>
        <v>4035.32714285715</v>
      </c>
      <c r="AL190" s="44">
        <f ca="1">IF($AJ190=1,($AI190)*(10*OFFSET(载具产出!$D$45,MATCH(AL$6,$AK$6:$AN$6,0)-1,$AJ190)+OFFSET(载具产出!$D$49,MATCH(AL$6,$AK$6:$AN$6,0)-1,$AJ190)*OFFSET(载具产出!$N$49,MATCH(AL$6,$AK$6:$AN$6,0)-1,0)),OFFSET(载具产出!G$59,$AJ190-1,0)*10+OFFSET(载具产出!K$59,$AJ190-1,0)+($AI190*10-_xlfn.XLOOKUP($AJ190-1,载具产出!$D$59:$D$67,载具产出!$E$59:$E$67))/10*(10*OFFSET(载具产出!$D$45,MATCH(AL$6,$AK$6:$AN$6,0)-1,$AJ190)+OFFSET(载具产出!$D$49,MATCH(AL$6,$AK$6:$AN$6,0)-1,$AJ190)*OFFSET(载具产出!$N$49,MATCH(AL$6,$AK$6:$AN$6,0)-1,0)))</f>
        <v>1615.00952380953</v>
      </c>
      <c r="AM190" s="44">
        <f ca="1">IF($AJ190=1,($AI190)*(10*OFFSET(载具产出!$D$45,MATCH(AM$6,$AK$6:$AN$6,0)-1,$AJ190)+OFFSET(载具产出!$D$49,MATCH(AM$6,$AK$6:$AN$6,0)-1,$AJ190)*OFFSET(载具产出!$N$49,MATCH(AM$6,$AK$6:$AN$6,0)-1,0)),OFFSET(载具产出!H$59,$AJ190-1,0)*10+OFFSET(载具产出!L$59,$AJ190-1,0)+($AI190*10-_xlfn.XLOOKUP($AJ190-1,载具产出!$D$59:$D$67,载具产出!$E$59:$E$67))/10*(10*OFFSET(载具产出!$D$45,MATCH(AM$6,$AK$6:$AN$6,0)-1,$AJ190)+OFFSET(载具产出!$D$49,MATCH(AM$6,$AK$6:$AN$6,0)-1,$AJ190)*OFFSET(载具产出!$N$49,MATCH(AM$6,$AK$6:$AN$6,0)-1,0)))</f>
        <v>872.834285714287</v>
      </c>
      <c r="AN190" s="44">
        <f ca="1">IF($AJ190=1,($AI190)*(10*OFFSET(载具产出!$D$45,MATCH(AN$6,$AK$6:$AN$6,0)-1,$AJ190)+OFFSET(载具产出!$D$49,MATCH(AN$6,$AK$6:$AN$6,0)-1,$AJ190)*OFFSET(载具产出!$N$49,MATCH(AN$6,$AK$6:$AN$6,0)-1,0)),OFFSET(载具产出!I$59,$AJ190-1,0)*10+OFFSET(载具产出!M$59,$AJ190-1,0)+($AI190*10-_xlfn.XLOOKUP($AJ190-1,载具产出!$D$59:$D$67,载具产出!$E$59:$E$67))/10*(10*OFFSET(载具产出!$D$45,MATCH(AN$6,$AK$6:$AN$6,0)-1,$AJ190)+OFFSET(载具产出!$D$49,MATCH(AN$6,$AK$6:$AN$6,0)-1,$AJ190)*OFFSET(载具产出!$N$49,MATCH(AN$6,$AK$6:$AN$6,0)-1,0)))</f>
        <v>266.703095238096</v>
      </c>
      <c r="AO190" s="44">
        <f ca="1" t="shared" si="41"/>
        <v>5184.12714285715</v>
      </c>
      <c r="AP190" s="44">
        <f ca="1" t="shared" si="42"/>
        <v>2835.56952380952</v>
      </c>
      <c r="AQ190" s="44">
        <f ca="1" t="shared" si="43"/>
        <v>1110.14095238095</v>
      </c>
      <c r="AR190" s="44">
        <f ca="1" t="shared" si="44"/>
        <v>266.703095238096</v>
      </c>
      <c r="AS190" s="45">
        <f ca="1">IFERROR(MATCH(AO190/载具产出!R$58,载具属性!$G$33:$G$92,1),0)</f>
        <v>34</v>
      </c>
      <c r="AT190" s="45">
        <f ca="1">IFERROR(MATCH(AP190/载具产出!S$58,载具属性!$G$33:$G$92,1),0)</f>
        <v>23</v>
      </c>
      <c r="AU190" s="45">
        <f ca="1">IFERROR(MATCH(AQ190/载具产出!T$58,载具属性!$G$33:$G$92,1),0)</f>
        <v>14</v>
      </c>
      <c r="AV190" s="45">
        <f ca="1">IFERROR(MATCH(AR190/载具产出!U$58,载具属性!$G$33:$G$92,1),0)</f>
        <v>5</v>
      </c>
      <c r="AW190" s="46" t="str">
        <f ca="1" t="shared" si="45"/>
        <v>[{62,1069},{63,127425},{2,361400},{6030001,3245},{6030002,3500},{6030003,677}]</v>
      </c>
      <c r="AX190" t="str">
        <f ca="1" t="shared" si="46"/>
        <v>{62,1069}</v>
      </c>
      <c r="AY190" t="str">
        <f ca="1" t="shared" si="47"/>
        <v>{63,127425}</v>
      </c>
      <c r="AZ190" t="str">
        <f ca="1" t="shared" si="48"/>
        <v>{2,361400}</v>
      </c>
      <c r="BA190" t="str">
        <f ca="1" t="shared" si="49"/>
        <v>{6030001,3245}</v>
      </c>
      <c r="BB190" t="str">
        <f ca="1" t="shared" si="50"/>
        <v>{6030002,3500}</v>
      </c>
      <c r="BC190" t="str">
        <f ca="1" t="shared" si="51"/>
        <v>{6030003,677}</v>
      </c>
      <c r="BD190" t="str">
        <f ca="1" t="shared" si="52"/>
        <v/>
      </c>
    </row>
    <row r="191" spans="3:56">
      <c r="C191">
        <f ca="1" t="shared" si="39"/>
        <v>120.694444444444</v>
      </c>
      <c r="D191" s="40">
        <v>185</v>
      </c>
      <c r="E191" s="40">
        <f t="shared" si="53"/>
        <v>119</v>
      </c>
      <c r="F191" s="40">
        <v>139</v>
      </c>
      <c r="G191" s="41">
        <f t="shared" si="40"/>
        <v>180</v>
      </c>
      <c r="H191" s="40">
        <f>H190+1</f>
        <v>235</v>
      </c>
      <c r="I191" s="40">
        <f t="shared" si="38"/>
        <v>396</v>
      </c>
      <c r="J191" s="40">
        <f t="shared" si="54"/>
        <v>396</v>
      </c>
      <c r="K191" s="40">
        <f ca="1">SUM(U$36:U191)-SUM(OFFSET(载具产出!H$399,0,0,$R191+1,1))</f>
        <v>1076</v>
      </c>
      <c r="L191" s="40">
        <f ca="1">SUM(T$36:T191)-SUM(OFFSET(载具产出!G$399,0,0,$R191+1,1))</f>
        <v>128465</v>
      </c>
      <c r="M191" s="40">
        <f ca="1">SUM(V$36:V191)/2-SUM(OFFSET(载具产出!I$399,0,0,$R191+1,1))</f>
        <v>364700</v>
      </c>
      <c r="N191" s="40">
        <f ca="1">SUM(AA$36:AA191)-SUM(OFFSET(载具产出!J$399,0,0,$R191+1,1))</f>
        <v>3263.6</v>
      </c>
      <c r="O191" s="40">
        <f ca="1">SUM(AB$36:AB191)-SUM(OFFSET(载具产出!K$399,0,0,$R191+1,1))</f>
        <v>3521.39999999999</v>
      </c>
      <c r="P191" s="40">
        <f ca="1">SUM(AC$36:AC191)-SUM(OFFSET(载具产出!L$399,0,0,$R191+1,1))</f>
        <v>688.24</v>
      </c>
      <c r="Q191" s="40">
        <f ca="1">SUM(AD$36:AD191)-SUM(OFFSET(载具产出!M$399,0,0,$R191+1,1))</f>
        <v>-0.24</v>
      </c>
      <c r="R191" s="40">
        <v>16</v>
      </c>
      <c r="S191" s="40" t="str">
        <f ca="1">OFFSET(载具产出!$D$111,IFERROR(MATCH(OFFSET($D191,0,MATCH($D$5,$E$6:$H$6,0)),载具产出!$E$112:$E$151,1),0),0)</f>
        <v>珍惜Ⅳ</v>
      </c>
      <c r="T191" s="40">
        <f ca="1">OFFSET(载具产出!$F$399,IFERROR(MATCH(OFFSET($D191,0,MATCH($D$5,$E$6:$H$6,0)),载具产出!$E$400:$E$439,1),0),MATCH(T$6,载具产出!$G$399:$O$399,0))</f>
        <v>1040</v>
      </c>
      <c r="U191" s="40">
        <v>7</v>
      </c>
      <c r="V191" s="40">
        <f ca="1">OFFSET(载具产出!$F$399,IFERROR(MATCH(OFFSET($D191,0,MATCH($D$5,$E$6:$H$6,0)),载具产出!$E$400:$E$439,1),0),MATCH(V$6,载具产出!$G$399:$O$399,0))</f>
        <v>6600</v>
      </c>
      <c r="W191" s="43">
        <f ca="1">_xlfn.XLOOKUP(Z191,载具属性!$E$98:$E$497,载具属性!$G$98:$G$497)+6000+OFFSET(载具属性!L$33,AS191,0)*载具属性!M$30+OFFSET(载具属性!M$33,AT191,0)*载具属性!N$30+OFFSET(载具属性!N$33,AU191,0)*载具属性!O$30+OFFSET(载具属性!O$33,AV191,0)*载具属性!P$30</f>
        <v>21725</v>
      </c>
      <c r="X191" s="43">
        <f ca="1">_xlfn.XLOOKUP(Z191,载具属性!$E$98:$E$497,载具属性!$G$98:$G$497)</f>
        <v>9560</v>
      </c>
      <c r="Y191" s="43">
        <f ca="1">OFFSET(载具属性!L$33,AS191,0)*载具属性!M$30+OFFSET(载具属性!M$33,AT191,0)*载具属性!N$30+OFFSET(载具属性!N$33,AU191,0)*载具属性!O$30+OFFSET(载具属性!O$33,AV191,0)*载具属性!P$30</f>
        <v>6165</v>
      </c>
      <c r="Z191" s="40">
        <f ca="1">MATCH(SUM($T$7:T191),载具属性!$I$98:$I$497,1)</f>
        <v>146</v>
      </c>
      <c r="AA191" s="40">
        <f ca="1">OFFSET(载具产出!$F$399,IFERROR(MATCH(OFFSET($D191,0,MATCH($D$5,$E$6:$H$6,0)),载具产出!$E$112:$E$151,1),0),MATCH(AA$6,载具产出!$G$111:$O$111,0))*2</f>
        <v>18</v>
      </c>
      <c r="AB191" s="40">
        <f ca="1">OFFSET(载具产出!$F$399,IFERROR(MATCH(OFFSET($D191,0,MATCH($D$5,$E$6:$H$6,0)),载具产出!$E$112:$E$151,1),0),MATCH(AB$6,载具产出!$G$111:$O$111,0))*2</f>
        <v>21.2</v>
      </c>
      <c r="AC191" s="40">
        <f ca="1">OFFSET(载具产出!$F$399,IFERROR(MATCH(OFFSET($D191,0,MATCH($D$5,$E$6:$H$6,0)),载具产出!$E$112:$E$151,1),0),MATCH(AC$6,载具产出!$G$111:$O$111,0))*2</f>
        <v>10.8</v>
      </c>
      <c r="AD191" s="40">
        <f ca="1">OFFSET(载具产出!$F$399,IFERROR(MATCH(OFFSET($D191,0,MATCH($D$5,$E$6:$H$6,0)),载具产出!$E$112:$E$151,1),0),MATCH(AD$6,载具产出!$G$111:$O$111,0))*2</f>
        <v>0</v>
      </c>
      <c r="AE191" s="44">
        <f ca="1">SUM(AA$36:AA191)/3</f>
        <v>1154.8</v>
      </c>
      <c r="AF191" s="44">
        <f ca="1">SUM(AB$36:AB191)/3</f>
        <v>1227.62666666666</v>
      </c>
      <c r="AG191" s="44">
        <f ca="1">SUM(AC$36:AC191)/3</f>
        <v>240.906666666667</v>
      </c>
      <c r="AH191" s="44">
        <f ca="1">SUM(AD$36:AD191)/3</f>
        <v>0</v>
      </c>
      <c r="AI191" s="44">
        <f>_xlfn.XLOOKUP($D$5,载具产出!$D$71:$D$75,载具产出!$E$71:$E$75)*(D191-30+1)</f>
        <v>1834.85714285715</v>
      </c>
      <c r="AJ191" s="44">
        <f>IFERROR(MATCH(_xlfn.XLOOKUP($D$5,载具产出!$D$71:$D$75,载具产出!$E$71:$E$75)*(D191-30+1)*10,载具产出!$E$60:$E$67,1),0)+1</f>
        <v>7</v>
      </c>
      <c r="AK191" s="44">
        <f ca="1">IF($AJ191=1,($AI191)*(10*OFFSET(载具产出!$D$45,MATCH(AK$6,$AK$6:$AN$6,0)-1,$AJ191)+OFFSET(载具产出!$D$49,MATCH(AK$6,$AK$6:$AN$6,0)-1,$AJ191)*OFFSET(载具产出!$N$49,MATCH(AK$6,$AK$6:$AN$6,0)-1,0)),OFFSET(载具产出!F$59,$AJ191-1,0)*10+OFFSET(载具产出!J$59,$AJ191-1,0)+($AI191*10-_xlfn.XLOOKUP($AJ191-1,载具产出!$D$59:$D$67,载具产出!$E$59:$E$67))/10*(10*OFFSET(载具产出!$D$45,MATCH(AK$6,$AK$6:$AN$6,0)-1,$AJ191)+OFFSET(载具产出!$D$49,MATCH(AK$6,$AK$6:$AN$6,0)-1,$AJ191)*OFFSET(载具产出!$N$49,MATCH(AK$6,$AK$6:$AN$6,0)-1,0)))</f>
        <v>4060.1682857143</v>
      </c>
      <c r="AL191" s="44">
        <f ca="1">IF($AJ191=1,($AI191)*(10*OFFSET(载具产出!$D$45,MATCH(AL$6,$AK$6:$AN$6,0)-1,$AJ191)+OFFSET(载具产出!$D$49,MATCH(AL$6,$AK$6:$AN$6,0)-1,$AJ191)*OFFSET(载具产出!$N$49,MATCH(AL$6,$AK$6:$AN$6,0)-1,0)),OFFSET(载具产出!G$59,$AJ191-1,0)*10+OFFSET(载具产出!K$59,$AJ191-1,0)+($AI191*10-_xlfn.XLOOKUP($AJ191-1,载具产出!$D$59:$D$67,载具产出!$E$59:$E$67))/10*(10*OFFSET(载具产出!$D$45,MATCH(AL$6,$AK$6:$AN$6,0)-1,$AJ191)+OFFSET(载具产出!$D$49,MATCH(AL$6,$AK$6:$AN$6,0)-1,$AJ191)*OFFSET(载具产出!$N$49,MATCH(AL$6,$AK$6:$AN$6,0)-1,0)))</f>
        <v>1626.06571428572</v>
      </c>
      <c r="AM191" s="44">
        <f ca="1">IF($AJ191=1,($AI191)*(10*OFFSET(载具产出!$D$45,MATCH(AM$6,$AK$6:$AN$6,0)-1,$AJ191)+OFFSET(载具产出!$D$49,MATCH(AM$6,$AK$6:$AN$6,0)-1,$AJ191)*OFFSET(载具产出!$N$49,MATCH(AM$6,$AK$6:$AN$6,0)-1,0)),OFFSET(载具产出!H$59,$AJ191-1,0)*10+OFFSET(载具产出!L$59,$AJ191-1,0)+($AI191*10-_xlfn.XLOOKUP($AJ191-1,载具产出!$D$59:$D$67,载具产出!$E$59:$E$67))/10*(10*OFFSET(载具产出!$D$45,MATCH(AM$6,$AK$6:$AN$6,0)-1,$AJ191)+OFFSET(载具产出!$D$49,MATCH(AM$6,$AK$6:$AN$6,0)-1,$AJ191)*OFFSET(载具产出!$N$49,MATCH(AM$6,$AK$6:$AN$6,0)-1,0)))</f>
        <v>879.044571428575</v>
      </c>
      <c r="AN191" s="44">
        <f ca="1">IF($AJ191=1,($AI191)*(10*OFFSET(载具产出!$D$45,MATCH(AN$6,$AK$6:$AN$6,0)-1,$AJ191)+OFFSET(载具产出!$D$49,MATCH(AN$6,$AK$6:$AN$6,0)-1,$AJ191)*OFFSET(载具产出!$N$49,MATCH(AN$6,$AK$6:$AN$6,0)-1,0)),OFFSET(载具产出!I$59,$AJ191-1,0)*10+OFFSET(载具产出!M$59,$AJ191-1,0)+($AI191*10-_xlfn.XLOOKUP($AJ191-1,载具产出!$D$59:$D$67,载具产出!$E$59:$E$67))/10*(10*OFFSET(载具产出!$D$45,MATCH(AN$6,$AK$6:$AN$6,0)-1,$AJ191)+OFFSET(载具产出!$D$49,MATCH(AN$6,$AK$6:$AN$6,0)-1,$AJ191)*OFFSET(载具产出!$N$49,MATCH(AN$6,$AK$6:$AN$6,0)-1,0)))</f>
        <v>268.690857142858</v>
      </c>
      <c r="AO191" s="44">
        <f ca="1" t="shared" si="41"/>
        <v>5214.9682857143</v>
      </c>
      <c r="AP191" s="44">
        <f ca="1" t="shared" si="42"/>
        <v>2853.69238095238</v>
      </c>
      <c r="AQ191" s="44">
        <f ca="1" t="shared" si="43"/>
        <v>1119.95123809524</v>
      </c>
      <c r="AR191" s="44">
        <f ca="1" t="shared" si="44"/>
        <v>268.690857142858</v>
      </c>
      <c r="AS191" s="45">
        <f ca="1">IFERROR(MATCH(AO191/载具产出!R$58,载具属性!$G$33:$G$92,1),0)</f>
        <v>34</v>
      </c>
      <c r="AT191" s="45">
        <f ca="1">IFERROR(MATCH(AP191/载具产出!S$58,载具属性!$G$33:$G$92,1),0)</f>
        <v>23</v>
      </c>
      <c r="AU191" s="45">
        <f ca="1">IFERROR(MATCH(AQ191/载具产出!T$58,载具属性!$G$33:$G$92,1),0)</f>
        <v>14</v>
      </c>
      <c r="AV191" s="45">
        <f ca="1">IFERROR(MATCH(AR191/载具产出!U$58,载具属性!$G$33:$G$92,1),0)</f>
        <v>5</v>
      </c>
      <c r="AW191" s="46" t="str">
        <f ca="1" t="shared" si="45"/>
        <v>[{62,1076},{63,128465},{2,364700},{6030001,3263},{6030002,3521},{6030003,688}]</v>
      </c>
      <c r="AX191" t="str">
        <f ca="1" t="shared" si="46"/>
        <v>{62,1076}</v>
      </c>
      <c r="AY191" t="str">
        <f ca="1" t="shared" si="47"/>
        <v>{63,128465}</v>
      </c>
      <c r="AZ191" t="str">
        <f ca="1" t="shared" si="48"/>
        <v>{2,364700}</v>
      </c>
      <c r="BA191" t="str">
        <f ca="1" t="shared" si="49"/>
        <v>{6030001,3263}</v>
      </c>
      <c r="BB191" t="str">
        <f ca="1" t="shared" si="50"/>
        <v>{6030002,3521}</v>
      </c>
      <c r="BC191" t="str">
        <f ca="1" t="shared" si="51"/>
        <v>{6030003,688}</v>
      </c>
      <c r="BD191" t="str">
        <f ca="1" t="shared" si="52"/>
        <v/>
      </c>
    </row>
    <row r="192" spans="3:56">
      <c r="C192">
        <f ca="1" t="shared" si="39"/>
        <v>120.027624309392</v>
      </c>
      <c r="D192" s="40">
        <v>186</v>
      </c>
      <c r="E192" s="40">
        <f t="shared" si="53"/>
        <v>119</v>
      </c>
      <c r="F192" s="40">
        <v>140</v>
      </c>
      <c r="G192" s="41">
        <f t="shared" si="40"/>
        <v>181</v>
      </c>
      <c r="H192" s="40">
        <f>H191</f>
        <v>235</v>
      </c>
      <c r="I192" s="40">
        <f t="shared" si="38"/>
        <v>398</v>
      </c>
      <c r="J192" s="40">
        <f t="shared" si="54"/>
        <v>398</v>
      </c>
      <c r="K192" s="40">
        <f ca="1">SUM(U$36:U192)-SUM(OFFSET(载具产出!H$399,0,0,$R192+1,1))</f>
        <v>1083</v>
      </c>
      <c r="L192" s="40">
        <f ca="1">SUM(T$36:T192)-SUM(OFFSET(载具产出!G$399,0,0,$R192+1,1))</f>
        <v>129505</v>
      </c>
      <c r="M192" s="40">
        <f ca="1">SUM(V$36:V192)/2-SUM(OFFSET(载具产出!I$399,0,0,$R192+1,1))</f>
        <v>368000</v>
      </c>
      <c r="N192" s="40">
        <f ca="1">SUM(AA$36:AA192)-SUM(OFFSET(载具产出!J$399,0,0,$R192+1,1))</f>
        <v>3281.6</v>
      </c>
      <c r="O192" s="40">
        <f ca="1">SUM(AB$36:AB192)-SUM(OFFSET(载具产出!K$399,0,0,$R192+1,1))</f>
        <v>3542.59999999998</v>
      </c>
      <c r="P192" s="40">
        <f ca="1">SUM(AC$36:AC192)-SUM(OFFSET(载具产出!L$399,0,0,$R192+1,1))</f>
        <v>699.04</v>
      </c>
      <c r="Q192" s="40">
        <f ca="1">SUM(AD$36:AD192)-SUM(OFFSET(载具产出!M$399,0,0,$R192+1,1))</f>
        <v>-0.24</v>
      </c>
      <c r="R192" s="40">
        <v>16</v>
      </c>
      <c r="S192" s="40" t="str">
        <f ca="1">OFFSET(载具产出!$D$111,IFERROR(MATCH(OFFSET($D192,0,MATCH($D$5,$E$6:$H$6,0)),载具产出!$E$112:$E$151,1),0),0)</f>
        <v>珍惜Ⅳ</v>
      </c>
      <c r="T192" s="40">
        <f ca="1">OFFSET(载具产出!$F$399,IFERROR(MATCH(OFFSET($D192,0,MATCH($D$5,$E$6:$H$6,0)),载具产出!$E$400:$E$439,1),0),MATCH(T$6,载具产出!$G$399:$O$399,0))</f>
        <v>1040</v>
      </c>
      <c r="U192" s="40">
        <v>7</v>
      </c>
      <c r="V192" s="40">
        <f ca="1">OFFSET(载具产出!$F$399,IFERROR(MATCH(OFFSET($D192,0,MATCH($D$5,$E$6:$H$6,0)),载具产出!$E$400:$E$439,1),0),MATCH(V$6,载具产出!$G$399:$O$399,0))</f>
        <v>6600</v>
      </c>
      <c r="W192" s="43">
        <f ca="1">_xlfn.XLOOKUP(Z192,载具属性!$E$98:$E$497,载具属性!$G$98:$G$497)+6000+OFFSET(载具属性!L$33,AS192,0)*载具属性!M$30+OFFSET(载具属性!M$33,AT192,0)*载具属性!N$30+OFFSET(载具属性!N$33,AU192,0)*载具属性!O$30+OFFSET(载具属性!O$33,AV192,0)*载具属性!P$30</f>
        <v>21725</v>
      </c>
      <c r="X192" s="43">
        <f ca="1">_xlfn.XLOOKUP(Z192,载具属性!$E$98:$E$497,载具属性!$G$98:$G$497)</f>
        <v>9560</v>
      </c>
      <c r="Y192" s="43">
        <f ca="1">OFFSET(载具属性!L$33,AS192,0)*载具属性!M$30+OFFSET(载具属性!M$33,AT192,0)*载具属性!N$30+OFFSET(载具属性!N$33,AU192,0)*载具属性!O$30+OFFSET(载具属性!O$33,AV192,0)*载具属性!P$30</f>
        <v>6165</v>
      </c>
      <c r="Z192" s="40">
        <f ca="1">MATCH(SUM($T$7:T192),载具属性!$I$98:$I$497,1)</f>
        <v>146</v>
      </c>
      <c r="AA192" s="40">
        <f ca="1">OFFSET(载具产出!$F$399,IFERROR(MATCH(OFFSET($D192,0,MATCH($D$5,$E$6:$H$6,0)),载具产出!$E$112:$E$151,1),0),MATCH(AA$6,载具产出!$G$111:$O$111,0))*2</f>
        <v>18</v>
      </c>
      <c r="AB192" s="40">
        <f ca="1">OFFSET(载具产出!$F$399,IFERROR(MATCH(OFFSET($D192,0,MATCH($D$5,$E$6:$H$6,0)),载具产出!$E$112:$E$151,1),0),MATCH(AB$6,载具产出!$G$111:$O$111,0))*2</f>
        <v>21.2</v>
      </c>
      <c r="AC192" s="40">
        <f ca="1">OFFSET(载具产出!$F$399,IFERROR(MATCH(OFFSET($D192,0,MATCH($D$5,$E$6:$H$6,0)),载具产出!$E$112:$E$151,1),0),MATCH(AC$6,载具产出!$G$111:$O$111,0))*2</f>
        <v>10.8</v>
      </c>
      <c r="AD192" s="40">
        <f ca="1">OFFSET(载具产出!$F$399,IFERROR(MATCH(OFFSET($D192,0,MATCH($D$5,$E$6:$H$6,0)),载具产出!$E$112:$E$151,1),0),MATCH(AD$6,载具产出!$G$111:$O$111,0))*2</f>
        <v>0</v>
      </c>
      <c r="AE192" s="44">
        <f ca="1">SUM(AA$36:AA192)/3</f>
        <v>1160.8</v>
      </c>
      <c r="AF192" s="44">
        <f ca="1">SUM(AB$36:AB192)/3</f>
        <v>1234.69333333333</v>
      </c>
      <c r="AG192" s="44">
        <f ca="1">SUM(AC$36:AC192)/3</f>
        <v>244.506666666667</v>
      </c>
      <c r="AH192" s="44">
        <f ca="1">SUM(AD$36:AD192)/3</f>
        <v>0</v>
      </c>
      <c r="AI192" s="44">
        <f>_xlfn.XLOOKUP($D$5,载具产出!$D$71:$D$75,载具产出!$E$71:$E$75)*(D192-30+1)</f>
        <v>1846.61904761905</v>
      </c>
      <c r="AJ192" s="44">
        <f>IFERROR(MATCH(_xlfn.XLOOKUP($D$5,载具产出!$D$71:$D$75,载具产出!$E$71:$E$75)*(D192-30+1)*10,载具产出!$E$60:$E$67,1),0)+1</f>
        <v>7</v>
      </c>
      <c r="AK192" s="44">
        <f ca="1">IF($AJ192=1,($AI192)*(10*OFFSET(载具产出!$D$45,MATCH(AK$6,$AK$6:$AN$6,0)-1,$AJ192)+OFFSET(载具产出!$D$49,MATCH(AK$6,$AK$6:$AN$6,0)-1,$AJ192)*OFFSET(载具产出!$N$49,MATCH(AK$6,$AK$6:$AN$6,0)-1,0)),OFFSET(载具产出!F$59,$AJ192-1,0)*10+OFFSET(载具产出!J$59,$AJ192-1,0)+($AI192*10-_xlfn.XLOOKUP($AJ192-1,载具产出!$D$59:$D$67,载具产出!$E$59:$E$67))/10*(10*OFFSET(载具产出!$D$45,MATCH(AK$6,$AK$6:$AN$6,0)-1,$AJ192)+OFFSET(载具产出!$D$49,MATCH(AK$6,$AK$6:$AN$6,0)-1,$AJ192)*OFFSET(载具产出!$N$49,MATCH(AK$6,$AK$6:$AN$6,0)-1,0)))</f>
        <v>4085.00942857143</v>
      </c>
      <c r="AL192" s="44">
        <f ca="1">IF($AJ192=1,($AI192)*(10*OFFSET(载具产出!$D$45,MATCH(AL$6,$AK$6:$AN$6,0)-1,$AJ192)+OFFSET(载具产出!$D$49,MATCH(AL$6,$AK$6:$AN$6,0)-1,$AJ192)*OFFSET(载具产出!$N$49,MATCH(AL$6,$AK$6:$AN$6,0)-1,0)),OFFSET(载具产出!G$59,$AJ192-1,0)*10+OFFSET(载具产出!K$59,$AJ192-1,0)+($AI192*10-_xlfn.XLOOKUP($AJ192-1,载具产出!$D$59:$D$67,载具产出!$E$59:$E$67))/10*(10*OFFSET(载具产出!$D$45,MATCH(AL$6,$AK$6:$AN$6,0)-1,$AJ192)+OFFSET(载具产出!$D$49,MATCH(AL$6,$AK$6:$AN$6,0)-1,$AJ192)*OFFSET(载具产出!$N$49,MATCH(AL$6,$AK$6:$AN$6,0)-1,0)))</f>
        <v>1637.12190476191</v>
      </c>
      <c r="AM192" s="44">
        <f ca="1">IF($AJ192=1,($AI192)*(10*OFFSET(载具产出!$D$45,MATCH(AM$6,$AK$6:$AN$6,0)-1,$AJ192)+OFFSET(载具产出!$D$49,MATCH(AM$6,$AK$6:$AN$6,0)-1,$AJ192)*OFFSET(载具产出!$N$49,MATCH(AM$6,$AK$6:$AN$6,0)-1,0)),OFFSET(载具产出!H$59,$AJ192-1,0)*10+OFFSET(载具产出!L$59,$AJ192-1,0)+($AI192*10-_xlfn.XLOOKUP($AJ192-1,载具产出!$D$59:$D$67,载具产出!$E$59:$E$67))/10*(10*OFFSET(载具产出!$D$45,MATCH(AM$6,$AK$6:$AN$6,0)-1,$AJ192)+OFFSET(载具产出!$D$49,MATCH(AM$6,$AK$6:$AN$6,0)-1,$AJ192)*OFFSET(载具产出!$N$49,MATCH(AM$6,$AK$6:$AN$6,0)-1,0)))</f>
        <v>885.254857142858</v>
      </c>
      <c r="AN192" s="44">
        <f ca="1">IF($AJ192=1,($AI192)*(10*OFFSET(载具产出!$D$45,MATCH(AN$6,$AK$6:$AN$6,0)-1,$AJ192)+OFFSET(载具产出!$D$49,MATCH(AN$6,$AK$6:$AN$6,0)-1,$AJ192)*OFFSET(载具产出!$N$49,MATCH(AN$6,$AK$6:$AN$6,0)-1,0)),OFFSET(载具产出!I$59,$AJ192-1,0)*10+OFFSET(载具产出!M$59,$AJ192-1,0)+($AI192*10-_xlfn.XLOOKUP($AJ192-1,载具产出!$D$59:$D$67,载具产出!$E$59:$E$67))/10*(10*OFFSET(载具产出!$D$45,MATCH(AN$6,$AK$6:$AN$6,0)-1,$AJ192)+OFFSET(载具产出!$D$49,MATCH(AN$6,$AK$6:$AN$6,0)-1,$AJ192)*OFFSET(载具产出!$N$49,MATCH(AN$6,$AK$6:$AN$6,0)-1,0)))</f>
        <v>270.678619047619</v>
      </c>
      <c r="AO192" s="44">
        <f ca="1" t="shared" si="41"/>
        <v>5245.80942857143</v>
      </c>
      <c r="AP192" s="44">
        <f ca="1" t="shared" si="42"/>
        <v>2871.81523809524</v>
      </c>
      <c r="AQ192" s="44">
        <f ca="1" t="shared" si="43"/>
        <v>1129.76152380952</v>
      </c>
      <c r="AR192" s="44">
        <f ca="1" t="shared" si="44"/>
        <v>270.678619047619</v>
      </c>
      <c r="AS192" s="45">
        <f ca="1">IFERROR(MATCH(AO192/载具产出!R$58,载具属性!$G$33:$G$92,1),0)</f>
        <v>34</v>
      </c>
      <c r="AT192" s="45">
        <f ca="1">IFERROR(MATCH(AP192/载具产出!S$58,载具属性!$G$33:$G$92,1),0)</f>
        <v>23</v>
      </c>
      <c r="AU192" s="45">
        <f ca="1">IFERROR(MATCH(AQ192/载具产出!T$58,载具属性!$G$33:$G$92,1),0)</f>
        <v>14</v>
      </c>
      <c r="AV192" s="45">
        <f ca="1">IFERROR(MATCH(AR192/载具产出!U$58,载具属性!$G$33:$G$92,1),0)</f>
        <v>5</v>
      </c>
      <c r="AW192" s="46" t="str">
        <f ca="1" t="shared" si="45"/>
        <v>[{62,1083},{63,129505},{2,368000},{6030001,3281},{6030002,3542},{6030003,699}]</v>
      </c>
      <c r="AX192" t="str">
        <f ca="1" t="shared" si="46"/>
        <v>{62,1083}</v>
      </c>
      <c r="AY192" t="str">
        <f ca="1" t="shared" si="47"/>
        <v>{63,129505}</v>
      </c>
      <c r="AZ192" t="str">
        <f ca="1" t="shared" si="48"/>
        <v>{2,368000}</v>
      </c>
      <c r="BA192" t="str">
        <f ca="1" t="shared" si="49"/>
        <v>{6030001,3281}</v>
      </c>
      <c r="BB192" t="str">
        <f ca="1" t="shared" si="50"/>
        <v>{6030002,3542}</v>
      </c>
      <c r="BC192" t="str">
        <f ca="1" t="shared" si="51"/>
        <v>{6030003,699}</v>
      </c>
      <c r="BD192" t="str">
        <f ca="1" t="shared" si="52"/>
        <v/>
      </c>
    </row>
    <row r="193" spans="3:56">
      <c r="C193">
        <f ca="1" t="shared" si="39"/>
        <v>120.497237569061</v>
      </c>
      <c r="D193" s="40">
        <v>187</v>
      </c>
      <c r="E193" s="40">
        <f t="shared" si="53"/>
        <v>120</v>
      </c>
      <c r="F193" s="40">
        <v>140</v>
      </c>
      <c r="G193" s="41">
        <f t="shared" si="40"/>
        <v>181</v>
      </c>
      <c r="H193" s="40">
        <f>H192+1</f>
        <v>236</v>
      </c>
      <c r="I193" s="40">
        <f t="shared" si="38"/>
        <v>400</v>
      </c>
      <c r="J193" s="40">
        <f t="shared" si="54"/>
        <v>400</v>
      </c>
      <c r="K193" s="40">
        <f ca="1">SUM(U$36:U193)-SUM(OFFSET(载具产出!H$399,0,0,$R193+1,1))</f>
        <v>1090</v>
      </c>
      <c r="L193" s="40">
        <f ca="1">SUM(T$36:T193)-SUM(OFFSET(载具产出!G$399,0,0,$R193+1,1))</f>
        <v>130545</v>
      </c>
      <c r="M193" s="40">
        <f ca="1">SUM(V$36:V193)/2-SUM(OFFSET(载具产出!I$399,0,0,$R193+1,1))</f>
        <v>371300</v>
      </c>
      <c r="N193" s="40">
        <f ca="1">SUM(AA$36:AA193)-SUM(OFFSET(载具产出!J$399,0,0,$R193+1,1))</f>
        <v>3299.6</v>
      </c>
      <c r="O193" s="40">
        <f ca="1">SUM(AB$36:AB193)-SUM(OFFSET(载具产出!K$399,0,0,$R193+1,1))</f>
        <v>3563.79999999998</v>
      </c>
      <c r="P193" s="40">
        <f ca="1">SUM(AC$36:AC193)-SUM(OFFSET(载具产出!L$399,0,0,$R193+1,1))</f>
        <v>709.84</v>
      </c>
      <c r="Q193" s="40">
        <f ca="1">SUM(AD$36:AD193)-SUM(OFFSET(载具产出!M$399,0,0,$R193+1,1))</f>
        <v>-0.24</v>
      </c>
      <c r="R193" s="40">
        <v>16</v>
      </c>
      <c r="S193" s="40" t="str">
        <f ca="1">OFFSET(载具产出!$D$111,IFERROR(MATCH(OFFSET($D193,0,MATCH($D$5,$E$6:$H$6,0)),载具产出!$E$112:$E$151,1),0),0)</f>
        <v>珍惜Ⅳ</v>
      </c>
      <c r="T193" s="40">
        <f ca="1">OFFSET(载具产出!$F$399,IFERROR(MATCH(OFFSET($D193,0,MATCH($D$5,$E$6:$H$6,0)),载具产出!$E$400:$E$439,1),0),MATCH(T$6,载具产出!$G$399:$O$399,0))</f>
        <v>1040</v>
      </c>
      <c r="U193" s="40">
        <v>7</v>
      </c>
      <c r="V193" s="40">
        <f ca="1">OFFSET(载具产出!$F$399,IFERROR(MATCH(OFFSET($D193,0,MATCH($D$5,$E$6:$H$6,0)),载具产出!$E$400:$E$439,1),0),MATCH(V$6,载具产出!$G$399:$O$399,0))</f>
        <v>6600</v>
      </c>
      <c r="W193" s="43">
        <f ca="1">_xlfn.XLOOKUP(Z193,载具属性!$E$98:$E$497,载具属性!$G$98:$G$497)+6000+OFFSET(载具属性!L$33,AS193,0)*载具属性!M$30+OFFSET(载具属性!M$33,AT193,0)*载具属性!N$30+OFFSET(载具属性!N$33,AU193,0)*载具属性!O$30+OFFSET(载具属性!O$33,AV193,0)*载具属性!P$30</f>
        <v>21810</v>
      </c>
      <c r="X193" s="43">
        <f ca="1">_xlfn.XLOOKUP(Z193,载具属性!$E$98:$E$497,载具属性!$G$98:$G$497)</f>
        <v>9645</v>
      </c>
      <c r="Y193" s="43">
        <f ca="1">OFFSET(载具属性!L$33,AS193,0)*载具属性!M$30+OFFSET(载具属性!M$33,AT193,0)*载具属性!N$30+OFFSET(载具属性!N$33,AU193,0)*载具属性!O$30+OFFSET(载具属性!O$33,AV193,0)*载具属性!P$30</f>
        <v>6165</v>
      </c>
      <c r="Z193" s="40">
        <f ca="1">MATCH(SUM($T$7:T193),载具属性!$I$98:$I$497,1)</f>
        <v>147</v>
      </c>
      <c r="AA193" s="40">
        <f ca="1">OFFSET(载具产出!$F$399,IFERROR(MATCH(OFFSET($D193,0,MATCH($D$5,$E$6:$H$6,0)),载具产出!$E$112:$E$151,1),0),MATCH(AA$6,载具产出!$G$111:$O$111,0))*2</f>
        <v>18</v>
      </c>
      <c r="AB193" s="40">
        <f ca="1">OFFSET(载具产出!$F$399,IFERROR(MATCH(OFFSET($D193,0,MATCH($D$5,$E$6:$H$6,0)),载具产出!$E$112:$E$151,1),0),MATCH(AB$6,载具产出!$G$111:$O$111,0))*2</f>
        <v>21.2</v>
      </c>
      <c r="AC193" s="40">
        <f ca="1">OFFSET(载具产出!$F$399,IFERROR(MATCH(OFFSET($D193,0,MATCH($D$5,$E$6:$H$6,0)),载具产出!$E$112:$E$151,1),0),MATCH(AC$6,载具产出!$G$111:$O$111,0))*2</f>
        <v>10.8</v>
      </c>
      <c r="AD193" s="40">
        <f ca="1">OFFSET(载具产出!$F$399,IFERROR(MATCH(OFFSET($D193,0,MATCH($D$5,$E$6:$H$6,0)),载具产出!$E$112:$E$151,1),0),MATCH(AD$6,载具产出!$G$111:$O$111,0))*2</f>
        <v>0</v>
      </c>
      <c r="AE193" s="44">
        <f ca="1">SUM(AA$36:AA193)/3</f>
        <v>1166.8</v>
      </c>
      <c r="AF193" s="44">
        <f ca="1">SUM(AB$36:AB193)/3</f>
        <v>1241.75999999999</v>
      </c>
      <c r="AG193" s="44">
        <f ca="1">SUM(AC$36:AC193)/3</f>
        <v>248.106666666667</v>
      </c>
      <c r="AH193" s="44">
        <f ca="1">SUM(AD$36:AD193)/3</f>
        <v>0</v>
      </c>
      <c r="AI193" s="44">
        <f>_xlfn.XLOOKUP($D$5,载具产出!$D$71:$D$75,载具产出!$E$71:$E$75)*(D193-30+1)</f>
        <v>1858.38095238096</v>
      </c>
      <c r="AJ193" s="44">
        <f>IFERROR(MATCH(_xlfn.XLOOKUP($D$5,载具产出!$D$71:$D$75,载具产出!$E$71:$E$75)*(D193-30+1)*10,载具产出!$E$60:$E$67,1),0)+1</f>
        <v>7</v>
      </c>
      <c r="AK193" s="44">
        <f ca="1">IF($AJ193=1,($AI193)*(10*OFFSET(载具产出!$D$45,MATCH(AK$6,$AK$6:$AN$6,0)-1,$AJ193)+OFFSET(载具产出!$D$49,MATCH(AK$6,$AK$6:$AN$6,0)-1,$AJ193)*OFFSET(载具产出!$N$49,MATCH(AK$6,$AK$6:$AN$6,0)-1,0)),OFFSET(载具产出!F$59,$AJ193-1,0)*10+OFFSET(载具产出!J$59,$AJ193-1,0)+($AI193*10-_xlfn.XLOOKUP($AJ193-1,载具产出!$D$59:$D$67,载具产出!$E$59:$E$67))/10*(10*OFFSET(载具产出!$D$45,MATCH(AK$6,$AK$6:$AN$6,0)-1,$AJ193)+OFFSET(载具产出!$D$49,MATCH(AK$6,$AK$6:$AN$6,0)-1,$AJ193)*OFFSET(载具产出!$N$49,MATCH(AK$6,$AK$6:$AN$6,0)-1,0)))</f>
        <v>4109.85057142859</v>
      </c>
      <c r="AL193" s="44">
        <f ca="1">IF($AJ193=1,($AI193)*(10*OFFSET(载具产出!$D$45,MATCH(AL$6,$AK$6:$AN$6,0)-1,$AJ193)+OFFSET(载具产出!$D$49,MATCH(AL$6,$AK$6:$AN$6,0)-1,$AJ193)*OFFSET(载具产出!$N$49,MATCH(AL$6,$AK$6:$AN$6,0)-1,0)),OFFSET(载具产出!G$59,$AJ193-1,0)*10+OFFSET(载具产出!K$59,$AJ193-1,0)+($AI193*10-_xlfn.XLOOKUP($AJ193-1,载具产出!$D$59:$D$67,载具产出!$E$59:$E$67))/10*(10*OFFSET(载具产出!$D$45,MATCH(AL$6,$AK$6:$AN$6,0)-1,$AJ193)+OFFSET(载具产出!$D$49,MATCH(AL$6,$AK$6:$AN$6,0)-1,$AJ193)*OFFSET(载具产出!$N$49,MATCH(AL$6,$AK$6:$AN$6,0)-1,0)))</f>
        <v>1648.1780952381</v>
      </c>
      <c r="AM193" s="44">
        <f ca="1">IF($AJ193=1,($AI193)*(10*OFFSET(载具产出!$D$45,MATCH(AM$6,$AK$6:$AN$6,0)-1,$AJ193)+OFFSET(载具产出!$D$49,MATCH(AM$6,$AK$6:$AN$6,0)-1,$AJ193)*OFFSET(载具产出!$N$49,MATCH(AM$6,$AK$6:$AN$6,0)-1,0)),OFFSET(载具产出!H$59,$AJ193-1,0)*10+OFFSET(载具产出!L$59,$AJ193-1,0)+($AI193*10-_xlfn.XLOOKUP($AJ193-1,载具产出!$D$59:$D$67,载具产出!$E$59:$E$67))/10*(10*OFFSET(载具产出!$D$45,MATCH(AM$6,$AK$6:$AN$6,0)-1,$AJ193)+OFFSET(载具产出!$D$49,MATCH(AM$6,$AK$6:$AN$6,0)-1,$AJ193)*OFFSET(载具产出!$N$49,MATCH(AM$6,$AK$6:$AN$6,0)-1,0)))</f>
        <v>891.465142857147</v>
      </c>
      <c r="AN193" s="44">
        <f ca="1">IF($AJ193=1,($AI193)*(10*OFFSET(载具产出!$D$45,MATCH(AN$6,$AK$6:$AN$6,0)-1,$AJ193)+OFFSET(载具产出!$D$49,MATCH(AN$6,$AK$6:$AN$6,0)-1,$AJ193)*OFFSET(载具产出!$N$49,MATCH(AN$6,$AK$6:$AN$6,0)-1,0)),OFFSET(载具产出!I$59,$AJ193-1,0)*10+OFFSET(载具产出!M$59,$AJ193-1,0)+($AI193*10-_xlfn.XLOOKUP($AJ193-1,载具产出!$D$59:$D$67,载具产出!$E$59:$E$67))/10*(10*OFFSET(载具产出!$D$45,MATCH(AN$6,$AK$6:$AN$6,0)-1,$AJ193)+OFFSET(载具产出!$D$49,MATCH(AN$6,$AK$6:$AN$6,0)-1,$AJ193)*OFFSET(载具产出!$N$49,MATCH(AN$6,$AK$6:$AN$6,0)-1,0)))</f>
        <v>272.666380952382</v>
      </c>
      <c r="AO193" s="44">
        <f ca="1" t="shared" si="41"/>
        <v>5276.65057142859</v>
      </c>
      <c r="AP193" s="44">
        <f ca="1" t="shared" si="42"/>
        <v>2889.9380952381</v>
      </c>
      <c r="AQ193" s="44">
        <f ca="1" t="shared" si="43"/>
        <v>1139.57180952381</v>
      </c>
      <c r="AR193" s="44">
        <f ca="1" t="shared" si="44"/>
        <v>272.666380952382</v>
      </c>
      <c r="AS193" s="45">
        <f ca="1">IFERROR(MATCH(AO193/载具产出!R$58,载具属性!$G$33:$G$92,1),0)</f>
        <v>34</v>
      </c>
      <c r="AT193" s="45">
        <f ca="1">IFERROR(MATCH(AP193/载具产出!S$58,载具属性!$G$33:$G$92,1),0)</f>
        <v>23</v>
      </c>
      <c r="AU193" s="45">
        <f ca="1">IFERROR(MATCH(AQ193/载具产出!T$58,载具属性!$G$33:$G$92,1),0)</f>
        <v>14</v>
      </c>
      <c r="AV193" s="45">
        <f ca="1">IFERROR(MATCH(AR193/载具产出!U$58,载具属性!$G$33:$G$92,1),0)</f>
        <v>5</v>
      </c>
      <c r="AW193" s="46" t="str">
        <f ca="1" t="shared" si="45"/>
        <v>[{62,1090},{63,130545},{2,371300},{6030001,3299},{6030002,3563},{6030003,709}]</v>
      </c>
      <c r="AX193" t="str">
        <f ca="1" t="shared" si="46"/>
        <v>{62,1090}</v>
      </c>
      <c r="AY193" t="str">
        <f ca="1" t="shared" si="47"/>
        <v>{63,130545}</v>
      </c>
      <c r="AZ193" t="str">
        <f ca="1" t="shared" si="48"/>
        <v>{2,371300}</v>
      </c>
      <c r="BA193" t="str">
        <f ca="1" t="shared" si="49"/>
        <v>{6030001,3299}</v>
      </c>
      <c r="BB193" t="str">
        <f ca="1" t="shared" si="50"/>
        <v>{6030002,3563}</v>
      </c>
      <c r="BC193" t="str">
        <f ca="1" t="shared" si="51"/>
        <v>{6030003,709}</v>
      </c>
      <c r="BD193" t="str">
        <f ca="1" t="shared" si="52"/>
        <v/>
      </c>
    </row>
    <row r="194" spans="3:56">
      <c r="C194">
        <f ca="1" t="shared" si="39"/>
        <v>119.835164835165</v>
      </c>
      <c r="D194" s="40">
        <v>188</v>
      </c>
      <c r="E194" s="40">
        <f t="shared" si="53"/>
        <v>120</v>
      </c>
      <c r="F194" s="40">
        <v>140</v>
      </c>
      <c r="G194" s="41">
        <f t="shared" si="40"/>
        <v>182</v>
      </c>
      <c r="H194" s="40">
        <f>H193</f>
        <v>236</v>
      </c>
      <c r="I194" s="40">
        <f t="shared" si="38"/>
        <v>402</v>
      </c>
      <c r="J194" s="40">
        <f t="shared" si="54"/>
        <v>402</v>
      </c>
      <c r="K194" s="40">
        <f ca="1">SUM(U$36:U194)-SUM(OFFSET(载具产出!H$399,0,0,$R194+1,1))</f>
        <v>1097</v>
      </c>
      <c r="L194" s="40">
        <f ca="1">SUM(T$36:T194)-SUM(OFFSET(载具产出!G$399,0,0,$R194+1,1))</f>
        <v>131585</v>
      </c>
      <c r="M194" s="40">
        <f ca="1">SUM(V$36:V194)/2-SUM(OFFSET(载具产出!I$399,0,0,$R194+1,1))</f>
        <v>374600</v>
      </c>
      <c r="N194" s="40">
        <f ca="1">SUM(AA$36:AA194)-SUM(OFFSET(载具产出!J$399,0,0,$R194+1,1))</f>
        <v>3317.6</v>
      </c>
      <c r="O194" s="40">
        <f ca="1">SUM(AB$36:AB194)-SUM(OFFSET(载具产出!K$399,0,0,$R194+1,1))</f>
        <v>3584.99999999998</v>
      </c>
      <c r="P194" s="40">
        <f ca="1">SUM(AC$36:AC194)-SUM(OFFSET(载具产出!L$399,0,0,$R194+1,1))</f>
        <v>720.64</v>
      </c>
      <c r="Q194" s="40">
        <f ca="1">SUM(AD$36:AD194)-SUM(OFFSET(载具产出!M$399,0,0,$R194+1,1))</f>
        <v>-0.24</v>
      </c>
      <c r="R194" s="40">
        <v>16</v>
      </c>
      <c r="S194" s="40" t="str">
        <f ca="1">OFFSET(载具产出!$D$111,IFERROR(MATCH(OFFSET($D194,0,MATCH($D$5,$E$6:$H$6,0)),载具产出!$E$112:$E$151,1),0),0)</f>
        <v>珍惜Ⅳ</v>
      </c>
      <c r="T194" s="40">
        <f ca="1">OFFSET(载具产出!$F$399,IFERROR(MATCH(OFFSET($D194,0,MATCH($D$5,$E$6:$H$6,0)),载具产出!$E$400:$E$439,1),0),MATCH(T$6,载具产出!$G$399:$O$399,0))</f>
        <v>1040</v>
      </c>
      <c r="U194" s="40">
        <v>7</v>
      </c>
      <c r="V194" s="40">
        <f ca="1">OFFSET(载具产出!$F$399,IFERROR(MATCH(OFFSET($D194,0,MATCH($D$5,$E$6:$H$6,0)),载具产出!$E$400:$E$439,1),0),MATCH(V$6,载具产出!$G$399:$O$399,0))</f>
        <v>6600</v>
      </c>
      <c r="W194" s="43">
        <f ca="1">_xlfn.XLOOKUP(Z194,载具属性!$E$98:$E$497,载具属性!$G$98:$G$497)+6000+OFFSET(载具属性!L$33,AS194,0)*载具属性!M$30+OFFSET(载具属性!M$33,AT194,0)*载具属性!N$30+OFFSET(载具属性!N$33,AU194,0)*载具属性!O$30+OFFSET(载具属性!O$33,AV194,0)*载具属性!P$30</f>
        <v>21810</v>
      </c>
      <c r="X194" s="43">
        <f ca="1">_xlfn.XLOOKUP(Z194,载具属性!$E$98:$E$497,载具属性!$G$98:$G$497)</f>
        <v>9645</v>
      </c>
      <c r="Y194" s="43">
        <f ca="1">OFFSET(载具属性!L$33,AS194,0)*载具属性!M$30+OFFSET(载具属性!M$33,AT194,0)*载具属性!N$30+OFFSET(载具属性!N$33,AU194,0)*载具属性!O$30+OFFSET(载具属性!O$33,AV194,0)*载具属性!P$30</f>
        <v>6165</v>
      </c>
      <c r="Z194" s="40">
        <f ca="1">MATCH(SUM($T$7:T194),载具属性!$I$98:$I$497,1)</f>
        <v>147</v>
      </c>
      <c r="AA194" s="40">
        <f ca="1">OFFSET(载具产出!$F$399,IFERROR(MATCH(OFFSET($D194,0,MATCH($D$5,$E$6:$H$6,0)),载具产出!$E$112:$E$151,1),0),MATCH(AA$6,载具产出!$G$111:$O$111,0))*2</f>
        <v>18</v>
      </c>
      <c r="AB194" s="40">
        <f ca="1">OFFSET(载具产出!$F$399,IFERROR(MATCH(OFFSET($D194,0,MATCH($D$5,$E$6:$H$6,0)),载具产出!$E$112:$E$151,1),0),MATCH(AB$6,载具产出!$G$111:$O$111,0))*2</f>
        <v>21.2</v>
      </c>
      <c r="AC194" s="40">
        <f ca="1">OFFSET(载具产出!$F$399,IFERROR(MATCH(OFFSET($D194,0,MATCH($D$5,$E$6:$H$6,0)),载具产出!$E$112:$E$151,1),0),MATCH(AC$6,载具产出!$G$111:$O$111,0))*2</f>
        <v>10.8</v>
      </c>
      <c r="AD194" s="40">
        <f ca="1">OFFSET(载具产出!$F$399,IFERROR(MATCH(OFFSET($D194,0,MATCH($D$5,$E$6:$H$6,0)),载具产出!$E$112:$E$151,1),0),MATCH(AD$6,载具产出!$G$111:$O$111,0))*2</f>
        <v>0</v>
      </c>
      <c r="AE194" s="44">
        <f ca="1">SUM(AA$36:AA194)/3</f>
        <v>1172.8</v>
      </c>
      <c r="AF194" s="44">
        <f ca="1">SUM(AB$36:AB194)/3</f>
        <v>1248.82666666666</v>
      </c>
      <c r="AG194" s="44">
        <f ca="1">SUM(AC$36:AC194)/3</f>
        <v>251.706666666667</v>
      </c>
      <c r="AH194" s="44">
        <f ca="1">SUM(AD$36:AD194)/3</f>
        <v>0</v>
      </c>
      <c r="AI194" s="44">
        <f>_xlfn.XLOOKUP($D$5,载具产出!$D$71:$D$75,载具产出!$E$71:$E$75)*(D194-30+1)</f>
        <v>1870.14285714286</v>
      </c>
      <c r="AJ194" s="44">
        <f>IFERROR(MATCH(_xlfn.XLOOKUP($D$5,载具产出!$D$71:$D$75,载具产出!$E$71:$E$75)*(D194-30+1)*10,载具产出!$E$60:$E$67,1),0)+1</f>
        <v>7</v>
      </c>
      <c r="AK194" s="44">
        <f ca="1">IF($AJ194=1,($AI194)*(10*OFFSET(载具产出!$D$45,MATCH(AK$6,$AK$6:$AN$6,0)-1,$AJ194)+OFFSET(载具产出!$D$49,MATCH(AK$6,$AK$6:$AN$6,0)-1,$AJ194)*OFFSET(载具产出!$N$49,MATCH(AK$6,$AK$6:$AN$6,0)-1,0)),OFFSET(载具产出!F$59,$AJ194-1,0)*10+OFFSET(载具产出!J$59,$AJ194-1,0)+($AI194*10-_xlfn.XLOOKUP($AJ194-1,载具产出!$D$59:$D$67,载具产出!$E$59:$E$67))/10*(10*OFFSET(载具产出!$D$45,MATCH(AK$6,$AK$6:$AN$6,0)-1,$AJ194)+OFFSET(载具产出!$D$49,MATCH(AK$6,$AK$6:$AN$6,0)-1,$AJ194)*OFFSET(载具产出!$N$49,MATCH(AK$6,$AK$6:$AN$6,0)-1,0)))</f>
        <v>4134.69171428572</v>
      </c>
      <c r="AL194" s="44">
        <f ca="1">IF($AJ194=1,($AI194)*(10*OFFSET(载具产出!$D$45,MATCH(AL$6,$AK$6:$AN$6,0)-1,$AJ194)+OFFSET(载具产出!$D$49,MATCH(AL$6,$AK$6:$AN$6,0)-1,$AJ194)*OFFSET(载具产出!$N$49,MATCH(AL$6,$AK$6:$AN$6,0)-1,0)),OFFSET(载具产出!G$59,$AJ194-1,0)*10+OFFSET(载具产出!K$59,$AJ194-1,0)+($AI194*10-_xlfn.XLOOKUP($AJ194-1,载具产出!$D$59:$D$67,载具产出!$E$59:$E$67))/10*(10*OFFSET(载具产出!$D$45,MATCH(AL$6,$AK$6:$AN$6,0)-1,$AJ194)+OFFSET(载具产出!$D$49,MATCH(AL$6,$AK$6:$AN$6,0)-1,$AJ194)*OFFSET(载具产出!$N$49,MATCH(AL$6,$AK$6:$AN$6,0)-1,0)))</f>
        <v>1659.23428571429</v>
      </c>
      <c r="AM194" s="44">
        <f ca="1">IF($AJ194=1,($AI194)*(10*OFFSET(载具产出!$D$45,MATCH(AM$6,$AK$6:$AN$6,0)-1,$AJ194)+OFFSET(载具产出!$D$49,MATCH(AM$6,$AK$6:$AN$6,0)-1,$AJ194)*OFFSET(载具产出!$N$49,MATCH(AM$6,$AK$6:$AN$6,0)-1,0)),OFFSET(载具产出!H$59,$AJ194-1,0)*10+OFFSET(载具产出!L$59,$AJ194-1,0)+($AI194*10-_xlfn.XLOOKUP($AJ194-1,载具产出!$D$59:$D$67,载具产出!$E$59:$E$67))/10*(10*OFFSET(载具产出!$D$45,MATCH(AM$6,$AK$6:$AN$6,0)-1,$AJ194)+OFFSET(载具产出!$D$49,MATCH(AM$6,$AK$6:$AN$6,0)-1,$AJ194)*OFFSET(载具产出!$N$49,MATCH(AM$6,$AK$6:$AN$6,0)-1,0)))</f>
        <v>897.67542857143</v>
      </c>
      <c r="AN194" s="44">
        <f ca="1">IF($AJ194=1,($AI194)*(10*OFFSET(载具产出!$D$45,MATCH(AN$6,$AK$6:$AN$6,0)-1,$AJ194)+OFFSET(载具产出!$D$49,MATCH(AN$6,$AK$6:$AN$6,0)-1,$AJ194)*OFFSET(载具产出!$N$49,MATCH(AN$6,$AK$6:$AN$6,0)-1,0)),OFFSET(载具产出!I$59,$AJ194-1,0)*10+OFFSET(载具产出!M$59,$AJ194-1,0)+($AI194*10-_xlfn.XLOOKUP($AJ194-1,载具产出!$D$59:$D$67,载具产出!$E$59:$E$67))/10*(10*OFFSET(载具产出!$D$45,MATCH(AN$6,$AK$6:$AN$6,0)-1,$AJ194)+OFFSET(载具产出!$D$49,MATCH(AN$6,$AK$6:$AN$6,0)-1,$AJ194)*OFFSET(载具产出!$N$49,MATCH(AN$6,$AK$6:$AN$6,0)-1,0)))</f>
        <v>274.654142857143</v>
      </c>
      <c r="AO194" s="44">
        <f ca="1" t="shared" si="41"/>
        <v>5307.49171428572</v>
      </c>
      <c r="AP194" s="44">
        <f ca="1" t="shared" si="42"/>
        <v>2908.06095238095</v>
      </c>
      <c r="AQ194" s="44">
        <f ca="1" t="shared" si="43"/>
        <v>1149.3820952381</v>
      </c>
      <c r="AR194" s="44">
        <f ca="1" t="shared" si="44"/>
        <v>274.654142857143</v>
      </c>
      <c r="AS194" s="45">
        <f ca="1">IFERROR(MATCH(AO194/载具产出!R$58,载具属性!$G$33:$G$92,1),0)</f>
        <v>34</v>
      </c>
      <c r="AT194" s="45">
        <f ca="1">IFERROR(MATCH(AP194/载具产出!S$58,载具属性!$G$33:$G$92,1),0)</f>
        <v>23</v>
      </c>
      <c r="AU194" s="45">
        <f ca="1">IFERROR(MATCH(AQ194/载具产出!T$58,载具属性!$G$33:$G$92,1),0)</f>
        <v>14</v>
      </c>
      <c r="AV194" s="45">
        <f ca="1">IFERROR(MATCH(AR194/载具产出!U$58,载具属性!$G$33:$G$92,1),0)</f>
        <v>5</v>
      </c>
      <c r="AW194" s="46" t="str">
        <f ca="1" t="shared" si="45"/>
        <v>[{62,1097},{63,131585},{2,374600},{6030001,3317},{6030002,3584},{6030003,720}]</v>
      </c>
      <c r="AX194" t="str">
        <f ca="1" t="shared" si="46"/>
        <v>{62,1097}</v>
      </c>
      <c r="AY194" t="str">
        <f ca="1" t="shared" si="47"/>
        <v>{63,131585}</v>
      </c>
      <c r="AZ194" t="str">
        <f ca="1" t="shared" si="48"/>
        <v>{2,374600}</v>
      </c>
      <c r="BA194" t="str">
        <f ca="1" t="shared" si="49"/>
        <v>{6030001,3317}</v>
      </c>
      <c r="BB194" t="str">
        <f ca="1" t="shared" si="50"/>
        <v>{6030002,3584}</v>
      </c>
      <c r="BC194" t="str">
        <f ca="1" t="shared" si="51"/>
        <v>{6030003,720}</v>
      </c>
      <c r="BD194" t="str">
        <f ca="1" t="shared" si="52"/>
        <v/>
      </c>
    </row>
    <row r="195" spans="3:56">
      <c r="C195">
        <f ca="1" t="shared" si="39"/>
        <v>120.302197802198</v>
      </c>
      <c r="D195" s="40">
        <v>189</v>
      </c>
      <c r="E195" s="40">
        <f t="shared" si="53"/>
        <v>120</v>
      </c>
      <c r="F195" s="40">
        <v>140</v>
      </c>
      <c r="G195" s="41">
        <f t="shared" si="40"/>
        <v>182</v>
      </c>
      <c r="H195" s="40">
        <f>H194+1</f>
        <v>237</v>
      </c>
      <c r="I195" s="40">
        <f t="shared" si="38"/>
        <v>404</v>
      </c>
      <c r="J195" s="40">
        <f t="shared" si="54"/>
        <v>404</v>
      </c>
      <c r="K195" s="40">
        <f ca="1">SUM(U$36:U195)-SUM(OFFSET(载具产出!H$399,0,0,$R195+1,1))</f>
        <v>1104</v>
      </c>
      <c r="L195" s="40">
        <f ca="1">SUM(T$36:T195)-SUM(OFFSET(载具产出!G$399,0,0,$R195+1,1))</f>
        <v>132625</v>
      </c>
      <c r="M195" s="40">
        <f ca="1">SUM(V$36:V195)/2-SUM(OFFSET(载具产出!I$399,0,0,$R195+1,1))</f>
        <v>377900</v>
      </c>
      <c r="N195" s="40">
        <f ca="1">SUM(AA$36:AA195)-SUM(OFFSET(载具产出!J$399,0,0,$R195+1,1))</f>
        <v>3335.6</v>
      </c>
      <c r="O195" s="40">
        <f ca="1">SUM(AB$36:AB195)-SUM(OFFSET(载具产出!K$399,0,0,$R195+1,1))</f>
        <v>3606.19999999998</v>
      </c>
      <c r="P195" s="40">
        <f ca="1">SUM(AC$36:AC195)-SUM(OFFSET(载具产出!L$399,0,0,$R195+1,1))</f>
        <v>731.439999999999</v>
      </c>
      <c r="Q195" s="40">
        <f ca="1">SUM(AD$36:AD195)-SUM(OFFSET(载具产出!M$399,0,0,$R195+1,1))</f>
        <v>-0.24</v>
      </c>
      <c r="R195" s="40">
        <v>16</v>
      </c>
      <c r="S195" s="40" t="str">
        <f ca="1">OFFSET(载具产出!$D$111,IFERROR(MATCH(OFFSET($D195,0,MATCH($D$5,$E$6:$H$6,0)),载具产出!$E$112:$E$151,1),0),0)</f>
        <v>珍惜Ⅳ</v>
      </c>
      <c r="T195" s="40">
        <f ca="1">OFFSET(载具产出!$F$399,IFERROR(MATCH(OFFSET($D195,0,MATCH($D$5,$E$6:$H$6,0)),载具产出!$E$400:$E$439,1),0),MATCH(T$6,载具产出!$G$399:$O$399,0))</f>
        <v>1040</v>
      </c>
      <c r="U195" s="40">
        <v>7</v>
      </c>
      <c r="V195" s="40">
        <f ca="1">OFFSET(载具产出!$F$399,IFERROR(MATCH(OFFSET($D195,0,MATCH($D$5,$E$6:$H$6,0)),载具产出!$E$400:$E$439,1),0),MATCH(V$6,载具产出!$G$399:$O$399,0))</f>
        <v>6600</v>
      </c>
      <c r="W195" s="43">
        <f ca="1">_xlfn.XLOOKUP(Z195,载具属性!$E$98:$E$497,载具属性!$G$98:$G$497)+6000+OFFSET(载具属性!L$33,AS195,0)*载具属性!M$30+OFFSET(载具属性!M$33,AT195,0)*载具属性!N$30+OFFSET(载具属性!N$33,AU195,0)*载具属性!O$30+OFFSET(载具属性!O$33,AV195,0)*载具属性!P$30</f>
        <v>21895</v>
      </c>
      <c r="X195" s="43">
        <f ca="1">_xlfn.XLOOKUP(Z195,载具属性!$E$98:$E$497,载具属性!$G$98:$G$497)</f>
        <v>9730</v>
      </c>
      <c r="Y195" s="43">
        <f ca="1">OFFSET(载具属性!L$33,AS195,0)*载具属性!M$30+OFFSET(载具属性!M$33,AT195,0)*载具属性!N$30+OFFSET(载具属性!N$33,AU195,0)*载具属性!O$30+OFFSET(载具属性!O$33,AV195,0)*载具属性!P$30</f>
        <v>6165</v>
      </c>
      <c r="Z195" s="40">
        <f ca="1">MATCH(SUM($T$7:T195),载具属性!$I$98:$I$497,1)</f>
        <v>148</v>
      </c>
      <c r="AA195" s="40">
        <f ca="1">OFFSET(载具产出!$F$399,IFERROR(MATCH(OFFSET($D195,0,MATCH($D$5,$E$6:$H$6,0)),载具产出!$E$112:$E$151,1),0),MATCH(AA$6,载具产出!$G$111:$O$111,0))*2</f>
        <v>18</v>
      </c>
      <c r="AB195" s="40">
        <f ca="1">OFFSET(载具产出!$F$399,IFERROR(MATCH(OFFSET($D195,0,MATCH($D$5,$E$6:$H$6,0)),载具产出!$E$112:$E$151,1),0),MATCH(AB$6,载具产出!$G$111:$O$111,0))*2</f>
        <v>21.2</v>
      </c>
      <c r="AC195" s="40">
        <f ca="1">OFFSET(载具产出!$F$399,IFERROR(MATCH(OFFSET($D195,0,MATCH($D$5,$E$6:$H$6,0)),载具产出!$E$112:$E$151,1),0),MATCH(AC$6,载具产出!$G$111:$O$111,0))*2</f>
        <v>10.8</v>
      </c>
      <c r="AD195" s="40">
        <f ca="1">OFFSET(载具产出!$F$399,IFERROR(MATCH(OFFSET($D195,0,MATCH($D$5,$E$6:$H$6,0)),载具产出!$E$112:$E$151,1),0),MATCH(AD$6,载具产出!$G$111:$O$111,0))*2</f>
        <v>0</v>
      </c>
      <c r="AE195" s="44">
        <f ca="1">SUM(AA$36:AA195)/3</f>
        <v>1178.8</v>
      </c>
      <c r="AF195" s="44">
        <f ca="1">SUM(AB$36:AB195)/3</f>
        <v>1255.89333333333</v>
      </c>
      <c r="AG195" s="44">
        <f ca="1">SUM(AC$36:AC195)/3</f>
        <v>255.306666666667</v>
      </c>
      <c r="AH195" s="44">
        <f ca="1">SUM(AD$36:AD195)/3</f>
        <v>0</v>
      </c>
      <c r="AI195" s="44">
        <f>_xlfn.XLOOKUP($D$5,载具产出!$D$71:$D$75,载具产出!$E$71:$E$75)*(D195-30+1)</f>
        <v>1881.90476190477</v>
      </c>
      <c r="AJ195" s="44">
        <f>IFERROR(MATCH(_xlfn.XLOOKUP($D$5,载具产出!$D$71:$D$75,载具产出!$E$71:$E$75)*(D195-30+1)*10,载具产出!$E$60:$E$67,1),0)+1</f>
        <v>7</v>
      </c>
      <c r="AK195" s="44">
        <f ca="1">IF($AJ195=1,($AI195)*(10*OFFSET(载具产出!$D$45,MATCH(AK$6,$AK$6:$AN$6,0)-1,$AJ195)+OFFSET(载具产出!$D$49,MATCH(AK$6,$AK$6:$AN$6,0)-1,$AJ195)*OFFSET(载具产出!$N$49,MATCH(AK$6,$AK$6:$AN$6,0)-1,0)),OFFSET(载具产出!F$59,$AJ195-1,0)*10+OFFSET(载具产出!J$59,$AJ195-1,0)+($AI195*10-_xlfn.XLOOKUP($AJ195-1,载具产出!$D$59:$D$67,载具产出!$E$59:$E$67))/10*(10*OFFSET(载具产出!$D$45,MATCH(AK$6,$AK$6:$AN$6,0)-1,$AJ195)+OFFSET(载具产出!$D$49,MATCH(AK$6,$AK$6:$AN$6,0)-1,$AJ195)*OFFSET(载具产出!$N$49,MATCH(AK$6,$AK$6:$AN$6,0)-1,0)))</f>
        <v>4159.53285714287</v>
      </c>
      <c r="AL195" s="44">
        <f ca="1">IF($AJ195=1,($AI195)*(10*OFFSET(载具产出!$D$45,MATCH(AL$6,$AK$6:$AN$6,0)-1,$AJ195)+OFFSET(载具产出!$D$49,MATCH(AL$6,$AK$6:$AN$6,0)-1,$AJ195)*OFFSET(载具产出!$N$49,MATCH(AL$6,$AK$6:$AN$6,0)-1,0)),OFFSET(载具产出!G$59,$AJ195-1,0)*10+OFFSET(载具产出!K$59,$AJ195-1,0)+($AI195*10-_xlfn.XLOOKUP($AJ195-1,载具产出!$D$59:$D$67,载具产出!$E$59:$E$67))/10*(10*OFFSET(载具产出!$D$45,MATCH(AL$6,$AK$6:$AN$6,0)-1,$AJ195)+OFFSET(载具产出!$D$49,MATCH(AL$6,$AK$6:$AN$6,0)-1,$AJ195)*OFFSET(载具产出!$N$49,MATCH(AL$6,$AK$6:$AN$6,0)-1,0)))</f>
        <v>1670.29047619048</v>
      </c>
      <c r="AM195" s="44">
        <f ca="1">IF($AJ195=1,($AI195)*(10*OFFSET(载具产出!$D$45,MATCH(AM$6,$AK$6:$AN$6,0)-1,$AJ195)+OFFSET(载具产出!$D$49,MATCH(AM$6,$AK$6:$AN$6,0)-1,$AJ195)*OFFSET(载具产出!$N$49,MATCH(AM$6,$AK$6:$AN$6,0)-1,0)),OFFSET(载具产出!H$59,$AJ195-1,0)*10+OFFSET(载具产出!L$59,$AJ195-1,0)+($AI195*10-_xlfn.XLOOKUP($AJ195-1,载具产出!$D$59:$D$67,载具产出!$E$59:$E$67))/10*(10*OFFSET(载具产出!$D$45,MATCH(AM$6,$AK$6:$AN$6,0)-1,$AJ195)+OFFSET(载具产出!$D$49,MATCH(AM$6,$AK$6:$AN$6,0)-1,$AJ195)*OFFSET(载具产出!$N$49,MATCH(AM$6,$AK$6:$AN$6,0)-1,0)))</f>
        <v>903.885714285719</v>
      </c>
      <c r="AN195" s="44">
        <f ca="1">IF($AJ195=1,($AI195)*(10*OFFSET(载具产出!$D$45,MATCH(AN$6,$AK$6:$AN$6,0)-1,$AJ195)+OFFSET(载具产出!$D$49,MATCH(AN$6,$AK$6:$AN$6,0)-1,$AJ195)*OFFSET(载具产出!$N$49,MATCH(AN$6,$AK$6:$AN$6,0)-1,0)),OFFSET(载具产出!I$59,$AJ195-1,0)*10+OFFSET(载具产出!M$59,$AJ195-1,0)+($AI195*10-_xlfn.XLOOKUP($AJ195-1,载具产出!$D$59:$D$67,载具产出!$E$59:$E$67))/10*(10*OFFSET(载具产出!$D$45,MATCH(AN$6,$AK$6:$AN$6,0)-1,$AJ195)+OFFSET(载具产出!$D$49,MATCH(AN$6,$AK$6:$AN$6,0)-1,$AJ195)*OFFSET(载具产出!$N$49,MATCH(AN$6,$AK$6:$AN$6,0)-1,0)))</f>
        <v>276.641904761906</v>
      </c>
      <c r="AO195" s="44">
        <f ca="1" t="shared" si="41"/>
        <v>5338.33285714287</v>
      </c>
      <c r="AP195" s="44">
        <f ca="1" t="shared" si="42"/>
        <v>2926.18380952381</v>
      </c>
      <c r="AQ195" s="44">
        <f ca="1" t="shared" si="43"/>
        <v>1159.19238095239</v>
      </c>
      <c r="AR195" s="44">
        <f ca="1" t="shared" si="44"/>
        <v>276.641904761906</v>
      </c>
      <c r="AS195" s="45">
        <f ca="1">IFERROR(MATCH(AO195/载具产出!R$58,载具属性!$G$33:$G$92,1),0)</f>
        <v>34</v>
      </c>
      <c r="AT195" s="45">
        <f ca="1">IFERROR(MATCH(AP195/载具产出!S$58,载具属性!$G$33:$G$92,1),0)</f>
        <v>23</v>
      </c>
      <c r="AU195" s="45">
        <f ca="1">IFERROR(MATCH(AQ195/载具产出!T$58,载具属性!$G$33:$G$92,1),0)</f>
        <v>14</v>
      </c>
      <c r="AV195" s="45">
        <f ca="1">IFERROR(MATCH(AR195/载具产出!U$58,载具属性!$G$33:$G$92,1),0)</f>
        <v>5</v>
      </c>
      <c r="AW195" s="46" t="str">
        <f ca="1" t="shared" si="45"/>
        <v>[{62,1104},{63,132625},{2,377900},{6030001,3335},{6030002,3606},{6030003,731}]</v>
      </c>
      <c r="AX195" t="str">
        <f ca="1" t="shared" si="46"/>
        <v>{62,1104}</v>
      </c>
      <c r="AY195" t="str">
        <f ca="1" t="shared" si="47"/>
        <v>{63,132625}</v>
      </c>
      <c r="AZ195" t="str">
        <f ca="1" t="shared" si="48"/>
        <v>{2,377900}</v>
      </c>
      <c r="BA195" t="str">
        <f ca="1" t="shared" si="49"/>
        <v>{6030001,3335}</v>
      </c>
      <c r="BB195" t="str">
        <f ca="1" t="shared" si="50"/>
        <v>{6030002,3606}</v>
      </c>
      <c r="BC195" t="str">
        <f ca="1" t="shared" si="51"/>
        <v>{6030003,731}</v>
      </c>
      <c r="BD195" t="str">
        <f ca="1" t="shared" si="52"/>
        <v/>
      </c>
    </row>
    <row r="196" spans="3:56">
      <c r="C196">
        <f ca="1" t="shared" si="39"/>
        <v>120.136612021858</v>
      </c>
      <c r="D196" s="40">
        <v>190</v>
      </c>
      <c r="E196" s="40">
        <f t="shared" si="53"/>
        <v>120</v>
      </c>
      <c r="F196" s="40">
        <v>140</v>
      </c>
      <c r="G196" s="41">
        <f t="shared" si="40"/>
        <v>183</v>
      </c>
      <c r="H196" s="40">
        <f>H195</f>
        <v>237</v>
      </c>
      <c r="I196" s="40">
        <f t="shared" si="38"/>
        <v>406</v>
      </c>
      <c r="J196" s="40">
        <f t="shared" si="54"/>
        <v>406</v>
      </c>
      <c r="K196" s="40">
        <f ca="1">SUM(U$36:U196)-SUM(OFFSET(载具产出!H$399,0,0,$R196+1,1))</f>
        <v>1111</v>
      </c>
      <c r="L196" s="40">
        <f ca="1">SUM(T$36:T196)-SUM(OFFSET(载具产出!G$399,0,0,$R196+1,1))</f>
        <v>133665</v>
      </c>
      <c r="M196" s="40">
        <f ca="1">SUM(V$36:V196)/2-SUM(OFFSET(载具产出!I$399,0,0,$R196+1,1))</f>
        <v>381200</v>
      </c>
      <c r="N196" s="40">
        <f ca="1">SUM(AA$36:AA196)-SUM(OFFSET(载具产出!J$399,0,0,$R196+1,1))</f>
        <v>3353.6</v>
      </c>
      <c r="O196" s="40">
        <f ca="1">SUM(AB$36:AB196)-SUM(OFFSET(载具产出!K$399,0,0,$R196+1,1))</f>
        <v>3627.39999999998</v>
      </c>
      <c r="P196" s="40">
        <f ca="1">SUM(AC$36:AC196)-SUM(OFFSET(载具产出!L$399,0,0,$R196+1,1))</f>
        <v>742.239999999999</v>
      </c>
      <c r="Q196" s="40">
        <f ca="1">SUM(AD$36:AD196)-SUM(OFFSET(载具产出!M$399,0,0,$R196+1,1))</f>
        <v>-0.24</v>
      </c>
      <c r="R196" s="40">
        <v>16</v>
      </c>
      <c r="S196" s="40" t="str">
        <f ca="1">OFFSET(载具产出!$D$111,IFERROR(MATCH(OFFSET($D196,0,MATCH($D$5,$E$6:$H$6,0)),载具产出!$E$112:$E$151,1),0),0)</f>
        <v>珍惜Ⅳ</v>
      </c>
      <c r="T196" s="40">
        <f ca="1">OFFSET(载具产出!$F$399,IFERROR(MATCH(OFFSET($D196,0,MATCH($D$5,$E$6:$H$6,0)),载具产出!$E$400:$E$439,1),0),MATCH(T$6,载具产出!$G$399:$O$399,0))</f>
        <v>1040</v>
      </c>
      <c r="U196" s="40">
        <v>7</v>
      </c>
      <c r="V196" s="40">
        <f ca="1">OFFSET(载具产出!$F$399,IFERROR(MATCH(OFFSET($D196,0,MATCH($D$5,$E$6:$H$6,0)),载具产出!$E$400:$E$439,1),0),MATCH(V$6,载具产出!$G$399:$O$399,0))</f>
        <v>6600</v>
      </c>
      <c r="W196" s="43">
        <f ca="1">_xlfn.XLOOKUP(Z196,载具属性!$E$98:$E$497,载具属性!$G$98:$G$497)+6000+OFFSET(载具属性!L$33,AS196,0)*载具属性!M$30+OFFSET(载具属性!M$33,AT196,0)*载具属性!N$30+OFFSET(载具属性!N$33,AU196,0)*载具属性!O$30+OFFSET(载具属性!O$33,AV196,0)*载具属性!P$30</f>
        <v>21985</v>
      </c>
      <c r="X196" s="43">
        <f ca="1">_xlfn.XLOOKUP(Z196,载具属性!$E$98:$E$497,载具属性!$G$98:$G$497)</f>
        <v>9730</v>
      </c>
      <c r="Y196" s="43">
        <f ca="1">OFFSET(载具属性!L$33,AS196,0)*载具属性!M$30+OFFSET(载具属性!M$33,AT196,0)*载具属性!N$30+OFFSET(载具属性!N$33,AU196,0)*载具属性!O$30+OFFSET(载具属性!O$33,AV196,0)*载具属性!P$30</f>
        <v>6255</v>
      </c>
      <c r="Z196" s="40">
        <f ca="1">MATCH(SUM($T$7:T196),载具属性!$I$98:$I$497,1)</f>
        <v>148</v>
      </c>
      <c r="AA196" s="40">
        <f ca="1">OFFSET(载具产出!$F$399,IFERROR(MATCH(OFFSET($D196,0,MATCH($D$5,$E$6:$H$6,0)),载具产出!$E$112:$E$151,1),0),MATCH(AA$6,载具产出!$G$111:$O$111,0))*2</f>
        <v>18</v>
      </c>
      <c r="AB196" s="40">
        <f ca="1">OFFSET(载具产出!$F$399,IFERROR(MATCH(OFFSET($D196,0,MATCH($D$5,$E$6:$H$6,0)),载具产出!$E$112:$E$151,1),0),MATCH(AB$6,载具产出!$G$111:$O$111,0))*2</f>
        <v>21.2</v>
      </c>
      <c r="AC196" s="40">
        <f ca="1">OFFSET(载具产出!$F$399,IFERROR(MATCH(OFFSET($D196,0,MATCH($D$5,$E$6:$H$6,0)),载具产出!$E$112:$E$151,1),0),MATCH(AC$6,载具产出!$G$111:$O$111,0))*2</f>
        <v>10.8</v>
      </c>
      <c r="AD196" s="40">
        <f ca="1">OFFSET(载具产出!$F$399,IFERROR(MATCH(OFFSET($D196,0,MATCH($D$5,$E$6:$H$6,0)),载具产出!$E$112:$E$151,1),0),MATCH(AD$6,载具产出!$G$111:$O$111,0))*2</f>
        <v>0</v>
      </c>
      <c r="AE196" s="44">
        <f ca="1">SUM(AA$36:AA196)/3</f>
        <v>1184.8</v>
      </c>
      <c r="AF196" s="44">
        <f ca="1">SUM(AB$36:AB196)/3</f>
        <v>1262.95999999999</v>
      </c>
      <c r="AG196" s="44">
        <f ca="1">SUM(AC$36:AC196)/3</f>
        <v>258.906666666666</v>
      </c>
      <c r="AH196" s="44">
        <f ca="1">SUM(AD$36:AD196)/3</f>
        <v>0</v>
      </c>
      <c r="AI196" s="44">
        <f>_xlfn.XLOOKUP($D$5,载具产出!$D$71:$D$75,载具产出!$E$71:$E$75)*(D196-30+1)</f>
        <v>1893.66666666667</v>
      </c>
      <c r="AJ196" s="44">
        <f>IFERROR(MATCH(_xlfn.XLOOKUP($D$5,载具产出!$D$71:$D$75,载具产出!$E$71:$E$75)*(D196-30+1)*10,载具产出!$E$60:$E$67,1),0)+1</f>
        <v>7</v>
      </c>
      <c r="AK196" s="44">
        <f ca="1">IF($AJ196=1,($AI196)*(10*OFFSET(载具产出!$D$45,MATCH(AK$6,$AK$6:$AN$6,0)-1,$AJ196)+OFFSET(载具产出!$D$49,MATCH(AK$6,$AK$6:$AN$6,0)-1,$AJ196)*OFFSET(载具产出!$N$49,MATCH(AK$6,$AK$6:$AN$6,0)-1,0)),OFFSET(载具产出!F$59,$AJ196-1,0)*10+OFFSET(载具产出!J$59,$AJ196-1,0)+($AI196*10-_xlfn.XLOOKUP($AJ196-1,载具产出!$D$59:$D$67,载具产出!$E$59:$E$67))/10*(10*OFFSET(载具产出!$D$45,MATCH(AK$6,$AK$6:$AN$6,0)-1,$AJ196)+OFFSET(载具产出!$D$49,MATCH(AK$6,$AK$6:$AN$6,0)-1,$AJ196)*OFFSET(载具产出!$N$49,MATCH(AK$6,$AK$6:$AN$6,0)-1,0)))</f>
        <v>4184.37400000001</v>
      </c>
      <c r="AL196" s="44">
        <f ca="1">IF($AJ196=1,($AI196)*(10*OFFSET(载具产出!$D$45,MATCH(AL$6,$AK$6:$AN$6,0)-1,$AJ196)+OFFSET(载具产出!$D$49,MATCH(AL$6,$AK$6:$AN$6,0)-1,$AJ196)*OFFSET(载具产出!$N$49,MATCH(AL$6,$AK$6:$AN$6,0)-1,0)),OFFSET(载具产出!G$59,$AJ196-1,0)*10+OFFSET(载具产出!K$59,$AJ196-1,0)+($AI196*10-_xlfn.XLOOKUP($AJ196-1,载具产出!$D$59:$D$67,载具产出!$E$59:$E$67))/10*(10*OFFSET(载具产出!$D$45,MATCH(AL$6,$AK$6:$AN$6,0)-1,$AJ196)+OFFSET(载具产出!$D$49,MATCH(AL$6,$AK$6:$AN$6,0)-1,$AJ196)*OFFSET(载具产出!$N$49,MATCH(AL$6,$AK$6:$AN$6,0)-1,0)))</f>
        <v>1681.34666666667</v>
      </c>
      <c r="AM196" s="44">
        <f ca="1">IF($AJ196=1,($AI196)*(10*OFFSET(载具产出!$D$45,MATCH(AM$6,$AK$6:$AN$6,0)-1,$AJ196)+OFFSET(载具产出!$D$49,MATCH(AM$6,$AK$6:$AN$6,0)-1,$AJ196)*OFFSET(载具产出!$N$49,MATCH(AM$6,$AK$6:$AN$6,0)-1,0)),OFFSET(载具产出!H$59,$AJ196-1,0)*10+OFFSET(载具产出!L$59,$AJ196-1,0)+($AI196*10-_xlfn.XLOOKUP($AJ196-1,载具产出!$D$59:$D$67,载具产出!$E$59:$E$67))/10*(10*OFFSET(载具产出!$D$45,MATCH(AM$6,$AK$6:$AN$6,0)-1,$AJ196)+OFFSET(载具产出!$D$49,MATCH(AM$6,$AK$6:$AN$6,0)-1,$AJ196)*OFFSET(载具产出!$N$49,MATCH(AM$6,$AK$6:$AN$6,0)-1,0)))</f>
        <v>910.096000000002</v>
      </c>
      <c r="AN196" s="44">
        <f ca="1">IF($AJ196=1,($AI196)*(10*OFFSET(载具产出!$D$45,MATCH(AN$6,$AK$6:$AN$6,0)-1,$AJ196)+OFFSET(载具产出!$D$49,MATCH(AN$6,$AK$6:$AN$6,0)-1,$AJ196)*OFFSET(载具产出!$N$49,MATCH(AN$6,$AK$6:$AN$6,0)-1,0)),OFFSET(载具产出!I$59,$AJ196-1,0)*10+OFFSET(载具产出!M$59,$AJ196-1,0)+($AI196*10-_xlfn.XLOOKUP($AJ196-1,载具产出!$D$59:$D$67,载具产出!$E$59:$E$67))/10*(10*OFFSET(载具产出!$D$45,MATCH(AN$6,$AK$6:$AN$6,0)-1,$AJ196)+OFFSET(载具产出!$D$49,MATCH(AN$6,$AK$6:$AN$6,0)-1,$AJ196)*OFFSET(载具产出!$N$49,MATCH(AN$6,$AK$6:$AN$6,0)-1,0)))</f>
        <v>278.629666666667</v>
      </c>
      <c r="AO196" s="44">
        <f ca="1" t="shared" si="41"/>
        <v>5369.17400000001</v>
      </c>
      <c r="AP196" s="44">
        <f ca="1" t="shared" si="42"/>
        <v>2944.30666666666</v>
      </c>
      <c r="AQ196" s="44">
        <f ca="1" t="shared" si="43"/>
        <v>1169.00266666667</v>
      </c>
      <c r="AR196" s="44">
        <f ca="1" t="shared" si="44"/>
        <v>278.629666666667</v>
      </c>
      <c r="AS196" s="45">
        <f ca="1">IFERROR(MATCH(AO196/载具产出!R$58,载具属性!$G$33:$G$92,1),0)</f>
        <v>34</v>
      </c>
      <c r="AT196" s="45">
        <f ca="1">IFERROR(MATCH(AP196/载具产出!S$58,载具属性!$G$33:$G$92,1),0)</f>
        <v>24</v>
      </c>
      <c r="AU196" s="45">
        <f ca="1">IFERROR(MATCH(AQ196/载具产出!T$58,载具属性!$G$33:$G$92,1),0)</f>
        <v>14</v>
      </c>
      <c r="AV196" s="45">
        <f ca="1">IFERROR(MATCH(AR196/载具产出!U$58,载具属性!$G$33:$G$92,1),0)</f>
        <v>5</v>
      </c>
      <c r="AW196" s="46" t="str">
        <f ca="1" t="shared" si="45"/>
        <v>[{62,1111},{63,133665},{2,381200},{6030001,3353},{6030002,3627},{6030003,742}]</v>
      </c>
      <c r="AX196" t="str">
        <f ca="1" t="shared" si="46"/>
        <v>{62,1111}</v>
      </c>
      <c r="AY196" t="str">
        <f ca="1" t="shared" si="47"/>
        <v>{63,133665}</v>
      </c>
      <c r="AZ196" t="str">
        <f ca="1" t="shared" si="48"/>
        <v>{2,381200}</v>
      </c>
      <c r="BA196" t="str">
        <f ca="1" t="shared" si="49"/>
        <v>{6030001,3353}</v>
      </c>
      <c r="BB196" t="str">
        <f ca="1" t="shared" si="50"/>
        <v>{6030002,3627}</v>
      </c>
      <c r="BC196" t="str">
        <f ca="1" t="shared" si="51"/>
        <v>{6030003,742}</v>
      </c>
      <c r="BD196" t="str">
        <f ca="1" t="shared" si="52"/>
        <v/>
      </c>
    </row>
    <row r="197" spans="3:56">
      <c r="C197">
        <f ca="1" t="shared" si="39"/>
        <v>120.601092896175</v>
      </c>
      <c r="D197" s="40">
        <v>191</v>
      </c>
      <c r="E197" s="40">
        <f t="shared" si="53"/>
        <v>120</v>
      </c>
      <c r="F197" s="40">
        <v>140</v>
      </c>
      <c r="G197" s="41">
        <f t="shared" ref="G197:G231" si="55">G195+1</f>
        <v>183</v>
      </c>
      <c r="H197" s="40">
        <f>H196+1</f>
        <v>238</v>
      </c>
      <c r="I197" s="40">
        <f t="shared" si="38"/>
        <v>408</v>
      </c>
      <c r="J197" s="40">
        <f t="shared" si="54"/>
        <v>408</v>
      </c>
      <c r="K197" s="40">
        <f ca="1">SUM(U$36:U197)-SUM(OFFSET(载具产出!H$399,0,0,$R197+1,1))</f>
        <v>1118</v>
      </c>
      <c r="L197" s="40">
        <f ca="1">SUM(T$36:T197)-SUM(OFFSET(载具产出!G$399,0,0,$R197+1,1))</f>
        <v>134705</v>
      </c>
      <c r="M197" s="40">
        <f ca="1">SUM(V$36:V197)/2-SUM(OFFSET(载具产出!I$399,0,0,$R197+1,1))</f>
        <v>384500</v>
      </c>
      <c r="N197" s="40">
        <f ca="1">SUM(AA$36:AA197)-SUM(OFFSET(载具产出!J$399,0,0,$R197+1,1))</f>
        <v>3371.6</v>
      </c>
      <c r="O197" s="40">
        <f ca="1">SUM(AB$36:AB197)-SUM(OFFSET(载具产出!K$399,0,0,$R197+1,1))</f>
        <v>3648.59999999998</v>
      </c>
      <c r="P197" s="40">
        <f ca="1">SUM(AC$36:AC197)-SUM(OFFSET(载具产出!L$399,0,0,$R197+1,1))</f>
        <v>753.039999999999</v>
      </c>
      <c r="Q197" s="40">
        <f ca="1">SUM(AD$36:AD197)-SUM(OFFSET(载具产出!M$399,0,0,$R197+1,1))</f>
        <v>-0.24</v>
      </c>
      <c r="R197" s="40">
        <v>16</v>
      </c>
      <c r="S197" s="40" t="str">
        <f ca="1">OFFSET(载具产出!$D$111,IFERROR(MATCH(OFFSET($D197,0,MATCH($D$5,$E$6:$H$6,0)),载具产出!$E$112:$E$151,1),0),0)</f>
        <v>珍惜Ⅳ</v>
      </c>
      <c r="T197" s="40">
        <f ca="1">OFFSET(载具产出!$F$399,IFERROR(MATCH(OFFSET($D197,0,MATCH($D$5,$E$6:$H$6,0)),载具产出!$E$400:$E$439,1),0),MATCH(T$6,载具产出!$G$399:$O$399,0))</f>
        <v>1040</v>
      </c>
      <c r="U197" s="40">
        <v>7</v>
      </c>
      <c r="V197" s="40">
        <f ca="1">OFFSET(载具产出!$F$399,IFERROR(MATCH(OFFSET($D197,0,MATCH($D$5,$E$6:$H$6,0)),载具产出!$E$400:$E$439,1),0),MATCH(V$6,载具产出!$G$399:$O$399,0))</f>
        <v>6600</v>
      </c>
      <c r="W197" s="43">
        <f ca="1">_xlfn.XLOOKUP(Z197,载具属性!$E$98:$E$497,载具属性!$G$98:$G$497)+6000+OFFSET(载具属性!L$33,AS197,0)*载具属性!M$30+OFFSET(载具属性!M$33,AT197,0)*载具属性!N$30+OFFSET(载具属性!N$33,AU197,0)*载具属性!O$30+OFFSET(载具属性!O$33,AV197,0)*载具属性!P$30</f>
        <v>22070</v>
      </c>
      <c r="X197" s="43">
        <f ca="1">_xlfn.XLOOKUP(Z197,载具属性!$E$98:$E$497,载具属性!$G$98:$G$497)</f>
        <v>9815</v>
      </c>
      <c r="Y197" s="43">
        <f ca="1">OFFSET(载具属性!L$33,AS197,0)*载具属性!M$30+OFFSET(载具属性!M$33,AT197,0)*载具属性!N$30+OFFSET(载具属性!N$33,AU197,0)*载具属性!O$30+OFFSET(载具属性!O$33,AV197,0)*载具属性!P$30</f>
        <v>6255</v>
      </c>
      <c r="Z197" s="40">
        <f ca="1">MATCH(SUM($T$7:T197),载具属性!$I$98:$I$497,1)</f>
        <v>149</v>
      </c>
      <c r="AA197" s="40">
        <f ca="1">OFFSET(载具产出!$F$399,IFERROR(MATCH(OFFSET($D197,0,MATCH($D$5,$E$6:$H$6,0)),载具产出!$E$112:$E$151,1),0),MATCH(AA$6,载具产出!$G$111:$O$111,0))*2</f>
        <v>18</v>
      </c>
      <c r="AB197" s="40">
        <f ca="1">OFFSET(载具产出!$F$399,IFERROR(MATCH(OFFSET($D197,0,MATCH($D$5,$E$6:$H$6,0)),载具产出!$E$112:$E$151,1),0),MATCH(AB$6,载具产出!$G$111:$O$111,0))*2</f>
        <v>21.2</v>
      </c>
      <c r="AC197" s="40">
        <f ca="1">OFFSET(载具产出!$F$399,IFERROR(MATCH(OFFSET($D197,0,MATCH($D$5,$E$6:$H$6,0)),载具产出!$E$112:$E$151,1),0),MATCH(AC$6,载具产出!$G$111:$O$111,0))*2</f>
        <v>10.8</v>
      </c>
      <c r="AD197" s="40">
        <f ca="1">OFFSET(载具产出!$F$399,IFERROR(MATCH(OFFSET($D197,0,MATCH($D$5,$E$6:$H$6,0)),载具产出!$E$112:$E$151,1),0),MATCH(AD$6,载具产出!$G$111:$O$111,0))*2</f>
        <v>0</v>
      </c>
      <c r="AE197" s="44">
        <f ca="1">SUM(AA$36:AA197)/3</f>
        <v>1190.8</v>
      </c>
      <c r="AF197" s="44">
        <f ca="1">SUM(AB$36:AB197)/3</f>
        <v>1270.02666666666</v>
      </c>
      <c r="AG197" s="44">
        <f ca="1">SUM(AC$36:AC197)/3</f>
        <v>262.506666666666</v>
      </c>
      <c r="AH197" s="44">
        <f ca="1">SUM(AD$36:AD197)/3</f>
        <v>0</v>
      </c>
      <c r="AI197" s="44">
        <f>_xlfn.XLOOKUP($D$5,载具产出!$D$71:$D$75,载具产出!$E$71:$E$75)*(D197-30+1)</f>
        <v>1905.42857142858</v>
      </c>
      <c r="AJ197" s="44">
        <f>IFERROR(MATCH(_xlfn.XLOOKUP($D$5,载具产出!$D$71:$D$75,载具产出!$E$71:$E$75)*(D197-30+1)*10,载具产出!$E$60:$E$67,1),0)+1</f>
        <v>7</v>
      </c>
      <c r="AK197" s="44">
        <f ca="1">IF($AJ197=1,($AI197)*(10*OFFSET(载具产出!$D$45,MATCH(AK$6,$AK$6:$AN$6,0)-1,$AJ197)+OFFSET(载具产出!$D$49,MATCH(AK$6,$AK$6:$AN$6,0)-1,$AJ197)*OFFSET(载具产出!$N$49,MATCH(AK$6,$AK$6:$AN$6,0)-1,0)),OFFSET(载具产出!F$59,$AJ197-1,0)*10+OFFSET(载具产出!J$59,$AJ197-1,0)+($AI197*10-_xlfn.XLOOKUP($AJ197-1,载具产出!$D$59:$D$67,载具产出!$E$59:$E$67))/10*(10*OFFSET(载具产出!$D$45,MATCH(AK$6,$AK$6:$AN$6,0)-1,$AJ197)+OFFSET(载具产出!$D$49,MATCH(AK$6,$AK$6:$AN$6,0)-1,$AJ197)*OFFSET(载具产出!$N$49,MATCH(AK$6,$AK$6:$AN$6,0)-1,0)))</f>
        <v>4209.21514285716</v>
      </c>
      <c r="AL197" s="44">
        <f ca="1">IF($AJ197=1,($AI197)*(10*OFFSET(载具产出!$D$45,MATCH(AL$6,$AK$6:$AN$6,0)-1,$AJ197)+OFFSET(载具产出!$D$49,MATCH(AL$6,$AK$6:$AN$6,0)-1,$AJ197)*OFFSET(载具产出!$N$49,MATCH(AL$6,$AK$6:$AN$6,0)-1,0)),OFFSET(载具产出!G$59,$AJ197-1,0)*10+OFFSET(载具产出!K$59,$AJ197-1,0)+($AI197*10-_xlfn.XLOOKUP($AJ197-1,载具产出!$D$59:$D$67,载具产出!$E$59:$E$67))/10*(10*OFFSET(载具产出!$D$45,MATCH(AL$6,$AK$6:$AN$6,0)-1,$AJ197)+OFFSET(载具产出!$D$49,MATCH(AL$6,$AK$6:$AN$6,0)-1,$AJ197)*OFFSET(载具产出!$N$49,MATCH(AL$6,$AK$6:$AN$6,0)-1,0)))</f>
        <v>1692.40285714287</v>
      </c>
      <c r="AM197" s="44">
        <f ca="1">IF($AJ197=1,($AI197)*(10*OFFSET(载具产出!$D$45,MATCH(AM$6,$AK$6:$AN$6,0)-1,$AJ197)+OFFSET(载具产出!$D$49,MATCH(AM$6,$AK$6:$AN$6,0)-1,$AJ197)*OFFSET(载具产出!$N$49,MATCH(AM$6,$AK$6:$AN$6,0)-1,0)),OFFSET(载具产出!H$59,$AJ197-1,0)*10+OFFSET(载具产出!L$59,$AJ197-1,0)+($AI197*10-_xlfn.XLOOKUP($AJ197-1,载具产出!$D$59:$D$67,载具产出!$E$59:$E$67))/10*(10*OFFSET(载具产出!$D$45,MATCH(AM$6,$AK$6:$AN$6,0)-1,$AJ197)+OFFSET(载具产出!$D$49,MATCH(AM$6,$AK$6:$AN$6,0)-1,$AJ197)*OFFSET(载具产出!$N$49,MATCH(AM$6,$AK$6:$AN$6,0)-1,0)))</f>
        <v>916.30628571429</v>
      </c>
      <c r="AN197" s="44">
        <f ca="1">IF($AJ197=1,($AI197)*(10*OFFSET(载具产出!$D$45,MATCH(AN$6,$AK$6:$AN$6,0)-1,$AJ197)+OFFSET(载具产出!$D$49,MATCH(AN$6,$AK$6:$AN$6,0)-1,$AJ197)*OFFSET(载具产出!$N$49,MATCH(AN$6,$AK$6:$AN$6,0)-1,0)),OFFSET(载具产出!I$59,$AJ197-1,0)*10+OFFSET(载具产出!M$59,$AJ197-1,0)+($AI197*10-_xlfn.XLOOKUP($AJ197-1,载具产出!$D$59:$D$67,载具产出!$E$59:$E$67))/10*(10*OFFSET(载具产出!$D$45,MATCH(AN$6,$AK$6:$AN$6,0)-1,$AJ197)+OFFSET(载具产出!$D$49,MATCH(AN$6,$AK$6:$AN$6,0)-1,$AJ197)*OFFSET(载具产出!$N$49,MATCH(AN$6,$AK$6:$AN$6,0)-1,0)))</f>
        <v>280.61742857143</v>
      </c>
      <c r="AO197" s="44">
        <f ca="1" t="shared" si="41"/>
        <v>5400.01514285716</v>
      </c>
      <c r="AP197" s="44">
        <f ca="1" t="shared" si="42"/>
        <v>2962.42952380953</v>
      </c>
      <c r="AQ197" s="44">
        <f ca="1" t="shared" si="43"/>
        <v>1178.81295238096</v>
      </c>
      <c r="AR197" s="44">
        <f ca="1" t="shared" si="44"/>
        <v>280.61742857143</v>
      </c>
      <c r="AS197" s="45">
        <f ca="1">IFERROR(MATCH(AO197/载具产出!R$58,载具属性!$G$33:$G$92,1),0)</f>
        <v>34</v>
      </c>
      <c r="AT197" s="45">
        <f ca="1">IFERROR(MATCH(AP197/载具产出!S$58,载具属性!$G$33:$G$92,1),0)</f>
        <v>24</v>
      </c>
      <c r="AU197" s="45">
        <f ca="1">IFERROR(MATCH(AQ197/载具产出!T$58,载具属性!$G$33:$G$92,1),0)</f>
        <v>14</v>
      </c>
      <c r="AV197" s="45">
        <f ca="1">IFERROR(MATCH(AR197/载具产出!U$58,载具属性!$G$33:$G$92,1),0)</f>
        <v>5</v>
      </c>
      <c r="AW197" s="46" t="str">
        <f ca="1" t="shared" si="45"/>
        <v>[{62,1118},{63,134705},{2,384500},{6030001,3371},{6030002,3648},{6030003,753}]</v>
      </c>
      <c r="AX197" t="str">
        <f ca="1" t="shared" si="46"/>
        <v>{62,1118}</v>
      </c>
      <c r="AY197" t="str">
        <f ca="1" t="shared" si="47"/>
        <v>{63,134705}</v>
      </c>
      <c r="AZ197" t="str">
        <f ca="1" t="shared" si="48"/>
        <v>{2,384500}</v>
      </c>
      <c r="BA197" t="str">
        <f ca="1" t="shared" si="49"/>
        <v>{6030001,3371}</v>
      </c>
      <c r="BB197" t="str">
        <f ca="1" t="shared" si="50"/>
        <v>{6030002,3648}</v>
      </c>
      <c r="BC197" t="str">
        <f ca="1" t="shared" si="51"/>
        <v>{6030003,753}</v>
      </c>
      <c r="BD197" t="str">
        <f ca="1" t="shared" si="52"/>
        <v/>
      </c>
    </row>
    <row r="198" spans="3:56">
      <c r="C198">
        <f ca="1" t="shared" si="39"/>
        <v>120.271739130435</v>
      </c>
      <c r="D198" s="40">
        <v>192</v>
      </c>
      <c r="E198" s="40">
        <f t="shared" ref="E198:E229" si="56">F197-20</f>
        <v>120</v>
      </c>
      <c r="F198" s="40">
        <v>141</v>
      </c>
      <c r="G198" s="41">
        <f t="shared" si="55"/>
        <v>184</v>
      </c>
      <c r="H198" s="40">
        <f>H197</f>
        <v>238</v>
      </c>
      <c r="I198" s="40">
        <f t="shared" si="38"/>
        <v>410</v>
      </c>
      <c r="J198" s="40">
        <f t="shared" si="54"/>
        <v>410</v>
      </c>
      <c r="K198" s="40">
        <f ca="1">SUM(U$36:U198)-SUM(OFFSET(载具产出!H$399,0,0,$R198+1,1))</f>
        <v>1125</v>
      </c>
      <c r="L198" s="40">
        <f ca="1">SUM(T$36:T198)-SUM(OFFSET(载具产出!G$399,0,0,$R198+1,1))</f>
        <v>135745</v>
      </c>
      <c r="M198" s="40">
        <f ca="1">SUM(V$36:V198)/2-SUM(OFFSET(载具产出!I$399,0,0,$R198+1,1))</f>
        <v>387800</v>
      </c>
      <c r="N198" s="40">
        <f ca="1">SUM(AA$36:AA198)-SUM(OFFSET(载具产出!J$399,0,0,$R198+1,1))</f>
        <v>3389.6</v>
      </c>
      <c r="O198" s="40">
        <f ca="1">SUM(AB$36:AB198)-SUM(OFFSET(载具产出!K$399,0,0,$R198+1,1))</f>
        <v>3669.79999999998</v>
      </c>
      <c r="P198" s="40">
        <f ca="1">SUM(AC$36:AC198)-SUM(OFFSET(载具产出!L$399,0,0,$R198+1,1))</f>
        <v>763.839999999999</v>
      </c>
      <c r="Q198" s="40">
        <f ca="1">SUM(AD$36:AD198)-SUM(OFFSET(载具产出!M$399,0,0,$R198+1,1))</f>
        <v>-0.24</v>
      </c>
      <c r="R198" s="40">
        <v>16</v>
      </c>
      <c r="S198" s="40" t="str">
        <f ca="1">OFFSET(载具产出!$D$111,IFERROR(MATCH(OFFSET($D198,0,MATCH($D$5,$E$6:$H$6,0)),载具产出!$E$112:$E$151,1),0),0)</f>
        <v>珍惜Ⅳ</v>
      </c>
      <c r="T198" s="40">
        <f ca="1">OFFSET(载具产出!$F$399,IFERROR(MATCH(OFFSET($D198,0,MATCH($D$5,$E$6:$H$6,0)),载具产出!$E$400:$E$439,1),0),MATCH(T$6,载具产出!$G$399:$O$399,0))</f>
        <v>1040</v>
      </c>
      <c r="U198" s="40">
        <v>7</v>
      </c>
      <c r="V198" s="40">
        <f ca="1">OFFSET(载具产出!$F$399,IFERROR(MATCH(OFFSET($D198,0,MATCH($D$5,$E$6:$H$6,0)),载具产出!$E$400:$E$439,1),0),MATCH(V$6,载具产出!$G$399:$O$399,0))</f>
        <v>6600</v>
      </c>
      <c r="W198" s="43">
        <f ca="1">_xlfn.XLOOKUP(Z198,载具属性!$E$98:$E$497,载具属性!$G$98:$G$497)+6000+OFFSET(载具属性!L$33,AS198,0)*载具属性!M$30+OFFSET(载具属性!M$33,AT198,0)*载具属性!N$30+OFFSET(载具属性!N$33,AU198,0)*载具属性!O$30+OFFSET(载具属性!O$33,AV198,0)*载具属性!P$30</f>
        <v>22130</v>
      </c>
      <c r="X198" s="43">
        <f ca="1">_xlfn.XLOOKUP(Z198,载具属性!$E$98:$E$497,载具属性!$G$98:$G$497)</f>
        <v>9815</v>
      </c>
      <c r="Y198" s="43">
        <f ca="1">OFFSET(载具属性!L$33,AS198,0)*载具属性!M$30+OFFSET(载具属性!M$33,AT198,0)*载具属性!N$30+OFFSET(载具属性!N$33,AU198,0)*载具属性!O$30+OFFSET(载具属性!O$33,AV198,0)*载具属性!P$30</f>
        <v>6315</v>
      </c>
      <c r="Z198" s="40">
        <f ca="1">MATCH(SUM($T$7:T198),载具属性!$I$98:$I$497,1)</f>
        <v>149</v>
      </c>
      <c r="AA198" s="40">
        <f ca="1">OFFSET(载具产出!$F$399,IFERROR(MATCH(OFFSET($D198,0,MATCH($D$5,$E$6:$H$6,0)),载具产出!$E$112:$E$151,1),0),MATCH(AA$6,载具产出!$G$111:$O$111,0))*2</f>
        <v>18</v>
      </c>
      <c r="AB198" s="40">
        <f ca="1">OFFSET(载具产出!$F$399,IFERROR(MATCH(OFFSET($D198,0,MATCH($D$5,$E$6:$H$6,0)),载具产出!$E$112:$E$151,1),0),MATCH(AB$6,载具产出!$G$111:$O$111,0))*2</f>
        <v>21.2</v>
      </c>
      <c r="AC198" s="40">
        <f ca="1">OFFSET(载具产出!$F$399,IFERROR(MATCH(OFFSET($D198,0,MATCH($D$5,$E$6:$H$6,0)),载具产出!$E$112:$E$151,1),0),MATCH(AC$6,载具产出!$G$111:$O$111,0))*2</f>
        <v>10.8</v>
      </c>
      <c r="AD198" s="40">
        <f ca="1">OFFSET(载具产出!$F$399,IFERROR(MATCH(OFFSET($D198,0,MATCH($D$5,$E$6:$H$6,0)),载具产出!$E$112:$E$151,1),0),MATCH(AD$6,载具产出!$G$111:$O$111,0))*2</f>
        <v>0</v>
      </c>
      <c r="AE198" s="44">
        <f ca="1">SUM(AA$36:AA198)/3</f>
        <v>1196.8</v>
      </c>
      <c r="AF198" s="44">
        <f ca="1">SUM(AB$36:AB198)/3</f>
        <v>1277.09333333333</v>
      </c>
      <c r="AG198" s="44">
        <f ca="1">SUM(AC$36:AC198)/3</f>
        <v>266.106666666666</v>
      </c>
      <c r="AH198" s="44">
        <f ca="1">SUM(AD$36:AD198)/3</f>
        <v>0</v>
      </c>
      <c r="AI198" s="44">
        <f>_xlfn.XLOOKUP($D$5,载具产出!$D$71:$D$75,载具产出!$E$71:$E$75)*(D198-30+1)</f>
        <v>1917.19047619048</v>
      </c>
      <c r="AJ198" s="44">
        <f>IFERROR(MATCH(_xlfn.XLOOKUP($D$5,载具产出!$D$71:$D$75,载具产出!$E$71:$E$75)*(D198-30+1)*10,载具产出!$E$60:$E$67,1),0)+1</f>
        <v>7</v>
      </c>
      <c r="AK198" s="44">
        <f ca="1">IF($AJ198=1,($AI198)*(10*OFFSET(载具产出!$D$45,MATCH(AK$6,$AK$6:$AN$6,0)-1,$AJ198)+OFFSET(载具产出!$D$49,MATCH(AK$6,$AK$6:$AN$6,0)-1,$AJ198)*OFFSET(载具产出!$N$49,MATCH(AK$6,$AK$6:$AN$6,0)-1,0)),OFFSET(载具产出!F$59,$AJ198-1,0)*10+OFFSET(载具产出!J$59,$AJ198-1,0)+($AI198*10-_xlfn.XLOOKUP($AJ198-1,载具产出!$D$59:$D$67,载具产出!$E$59:$E$67))/10*(10*OFFSET(载具产出!$D$45,MATCH(AK$6,$AK$6:$AN$6,0)-1,$AJ198)+OFFSET(载具产出!$D$49,MATCH(AK$6,$AK$6:$AN$6,0)-1,$AJ198)*OFFSET(载具产出!$N$49,MATCH(AK$6,$AK$6:$AN$6,0)-1,0)))</f>
        <v>4234.05628571429</v>
      </c>
      <c r="AL198" s="44">
        <f ca="1">IF($AJ198=1,($AI198)*(10*OFFSET(载具产出!$D$45,MATCH(AL$6,$AK$6:$AN$6,0)-1,$AJ198)+OFFSET(载具产出!$D$49,MATCH(AL$6,$AK$6:$AN$6,0)-1,$AJ198)*OFFSET(载具产出!$N$49,MATCH(AL$6,$AK$6:$AN$6,0)-1,0)),OFFSET(载具产出!G$59,$AJ198-1,0)*10+OFFSET(载具产出!K$59,$AJ198-1,0)+($AI198*10-_xlfn.XLOOKUP($AJ198-1,载具产出!$D$59:$D$67,载具产出!$E$59:$E$67))/10*(10*OFFSET(载具产出!$D$45,MATCH(AL$6,$AK$6:$AN$6,0)-1,$AJ198)+OFFSET(载具产出!$D$49,MATCH(AL$6,$AK$6:$AN$6,0)-1,$AJ198)*OFFSET(载具产出!$N$49,MATCH(AL$6,$AK$6:$AN$6,0)-1,0)))</f>
        <v>1703.45904761905</v>
      </c>
      <c r="AM198" s="44">
        <f ca="1">IF($AJ198=1,($AI198)*(10*OFFSET(载具产出!$D$45,MATCH(AM$6,$AK$6:$AN$6,0)-1,$AJ198)+OFFSET(载具产出!$D$49,MATCH(AM$6,$AK$6:$AN$6,0)-1,$AJ198)*OFFSET(载具产出!$N$49,MATCH(AM$6,$AK$6:$AN$6,0)-1,0)),OFFSET(载具产出!H$59,$AJ198-1,0)*10+OFFSET(载具产出!L$59,$AJ198-1,0)+($AI198*10-_xlfn.XLOOKUP($AJ198-1,载具产出!$D$59:$D$67,载具产出!$E$59:$E$67))/10*(10*OFFSET(载具产出!$D$45,MATCH(AM$6,$AK$6:$AN$6,0)-1,$AJ198)+OFFSET(载具产出!$D$49,MATCH(AM$6,$AK$6:$AN$6,0)-1,$AJ198)*OFFSET(载具产出!$N$49,MATCH(AM$6,$AK$6:$AN$6,0)-1,0)))</f>
        <v>922.516571428573</v>
      </c>
      <c r="AN198" s="44">
        <f ca="1">IF($AJ198=1,($AI198)*(10*OFFSET(载具产出!$D$45,MATCH(AN$6,$AK$6:$AN$6,0)-1,$AJ198)+OFFSET(载具产出!$D$49,MATCH(AN$6,$AK$6:$AN$6,0)-1,$AJ198)*OFFSET(载具产出!$N$49,MATCH(AN$6,$AK$6:$AN$6,0)-1,0)),OFFSET(载具产出!I$59,$AJ198-1,0)*10+OFFSET(载具产出!M$59,$AJ198-1,0)+($AI198*10-_xlfn.XLOOKUP($AJ198-1,载具产出!$D$59:$D$67,载具产出!$E$59:$E$67))/10*(10*OFFSET(载具产出!$D$45,MATCH(AN$6,$AK$6:$AN$6,0)-1,$AJ198)+OFFSET(载具产出!$D$49,MATCH(AN$6,$AK$6:$AN$6,0)-1,$AJ198)*OFFSET(载具产出!$N$49,MATCH(AN$6,$AK$6:$AN$6,0)-1,0)))</f>
        <v>282.605190476191</v>
      </c>
      <c r="AO198" s="44">
        <f ca="1" t="shared" si="41"/>
        <v>5430.85628571429</v>
      </c>
      <c r="AP198" s="44">
        <f ca="1" t="shared" si="42"/>
        <v>2980.55238095238</v>
      </c>
      <c r="AQ198" s="44">
        <f ca="1" t="shared" si="43"/>
        <v>1188.62323809524</v>
      </c>
      <c r="AR198" s="44">
        <f ca="1" t="shared" si="44"/>
        <v>282.605190476191</v>
      </c>
      <c r="AS198" s="45">
        <f ca="1">IFERROR(MATCH(AO198/载具产出!R$58,载具属性!$G$33:$G$92,1),0)</f>
        <v>35</v>
      </c>
      <c r="AT198" s="45">
        <f ca="1">IFERROR(MATCH(AP198/载具产出!S$58,载具属性!$G$33:$G$92,1),0)</f>
        <v>24</v>
      </c>
      <c r="AU198" s="45">
        <f ca="1">IFERROR(MATCH(AQ198/载具产出!T$58,载具属性!$G$33:$G$92,1),0)</f>
        <v>14</v>
      </c>
      <c r="AV198" s="45">
        <f ca="1">IFERROR(MATCH(AR198/载具产出!U$58,载具属性!$G$33:$G$92,1),0)</f>
        <v>5</v>
      </c>
      <c r="AW198" s="46" t="str">
        <f ca="1" t="shared" si="45"/>
        <v>[{62,1125},{63,135745},{2,387800},{6030001,3389},{6030002,3669},{6030003,763}]</v>
      </c>
      <c r="AX198" t="str">
        <f ca="1" t="shared" si="46"/>
        <v>{62,1125}</v>
      </c>
      <c r="AY198" t="str">
        <f ca="1" t="shared" si="47"/>
        <v>{63,135745}</v>
      </c>
      <c r="AZ198" t="str">
        <f ca="1" t="shared" si="48"/>
        <v>{2,387800}</v>
      </c>
      <c r="BA198" t="str">
        <f ca="1" t="shared" si="49"/>
        <v>{6030001,3389}</v>
      </c>
      <c r="BB198" t="str">
        <f ca="1" t="shared" si="50"/>
        <v>{6030002,3669}</v>
      </c>
      <c r="BC198" t="str">
        <f ca="1" t="shared" si="51"/>
        <v>{6030003,763}</v>
      </c>
      <c r="BD198" t="str">
        <f ca="1" t="shared" si="52"/>
        <v/>
      </c>
    </row>
    <row r="199" spans="3:56">
      <c r="C199">
        <f ca="1" t="shared" si="39"/>
        <v>120.733695652174</v>
      </c>
      <c r="D199" s="40">
        <v>193</v>
      </c>
      <c r="E199" s="40">
        <f t="shared" si="56"/>
        <v>121</v>
      </c>
      <c r="F199" s="40">
        <v>141</v>
      </c>
      <c r="G199" s="41">
        <f t="shared" si="55"/>
        <v>184</v>
      </c>
      <c r="H199" s="40">
        <f>H198+1</f>
        <v>239</v>
      </c>
      <c r="I199" s="40">
        <f t="shared" si="38"/>
        <v>412</v>
      </c>
      <c r="J199" s="40">
        <f t="shared" si="54"/>
        <v>412</v>
      </c>
      <c r="K199" s="40">
        <f ca="1">SUM(U$36:U199)-SUM(OFFSET(载具产出!H$399,0,0,$R199+1,1))</f>
        <v>1132</v>
      </c>
      <c r="L199" s="40">
        <f ca="1">SUM(T$36:T199)-SUM(OFFSET(载具产出!G$399,0,0,$R199+1,1))</f>
        <v>136785</v>
      </c>
      <c r="M199" s="40">
        <f ca="1">SUM(V$36:V199)/2-SUM(OFFSET(载具产出!I$399,0,0,$R199+1,1))</f>
        <v>391100</v>
      </c>
      <c r="N199" s="40">
        <f ca="1">SUM(AA$36:AA199)-SUM(OFFSET(载具产出!J$399,0,0,$R199+1,1))</f>
        <v>3407.6</v>
      </c>
      <c r="O199" s="40">
        <f ca="1">SUM(AB$36:AB199)-SUM(OFFSET(载具产出!K$399,0,0,$R199+1,1))</f>
        <v>3690.99999999998</v>
      </c>
      <c r="P199" s="40">
        <f ca="1">SUM(AC$36:AC199)-SUM(OFFSET(载具产出!L$399,0,0,$R199+1,1))</f>
        <v>774.639999999999</v>
      </c>
      <c r="Q199" s="40">
        <f ca="1">SUM(AD$36:AD199)-SUM(OFFSET(载具产出!M$399,0,0,$R199+1,1))</f>
        <v>-0.24</v>
      </c>
      <c r="R199" s="40">
        <v>16</v>
      </c>
      <c r="S199" s="40" t="str">
        <f ca="1">OFFSET(载具产出!$D$111,IFERROR(MATCH(OFFSET($D199,0,MATCH($D$5,$E$6:$H$6,0)),载具产出!$E$112:$E$151,1),0),0)</f>
        <v>珍惜Ⅳ</v>
      </c>
      <c r="T199" s="40">
        <f ca="1">OFFSET(载具产出!$F$399,IFERROR(MATCH(OFFSET($D199,0,MATCH($D$5,$E$6:$H$6,0)),载具产出!$E$400:$E$439,1),0),MATCH(T$6,载具产出!$G$399:$O$399,0))</f>
        <v>1040</v>
      </c>
      <c r="U199" s="40">
        <v>7</v>
      </c>
      <c r="V199" s="40">
        <f ca="1">OFFSET(载具产出!$F$399,IFERROR(MATCH(OFFSET($D199,0,MATCH($D$5,$E$6:$H$6,0)),载具产出!$E$400:$E$439,1),0),MATCH(V$6,载具产出!$G$399:$O$399,0))</f>
        <v>6600</v>
      </c>
      <c r="W199" s="43">
        <f ca="1">_xlfn.XLOOKUP(Z199,载具属性!$E$98:$E$497,载具属性!$G$98:$G$497)+6000+OFFSET(载具属性!L$33,AS199,0)*载具属性!M$30+OFFSET(载具属性!M$33,AT199,0)*载具属性!N$30+OFFSET(载具属性!N$33,AU199,0)*载具属性!O$30+OFFSET(载具属性!O$33,AV199,0)*载具属性!P$30</f>
        <v>22215</v>
      </c>
      <c r="X199" s="43">
        <f ca="1">_xlfn.XLOOKUP(Z199,载具属性!$E$98:$E$497,载具属性!$G$98:$G$497)</f>
        <v>9900</v>
      </c>
      <c r="Y199" s="43">
        <f ca="1">OFFSET(载具属性!L$33,AS199,0)*载具属性!M$30+OFFSET(载具属性!M$33,AT199,0)*载具属性!N$30+OFFSET(载具属性!N$33,AU199,0)*载具属性!O$30+OFFSET(载具属性!O$33,AV199,0)*载具属性!P$30</f>
        <v>6315</v>
      </c>
      <c r="Z199" s="40">
        <f ca="1">MATCH(SUM($T$7:T199),载具属性!$I$98:$I$497,1)</f>
        <v>150</v>
      </c>
      <c r="AA199" s="40">
        <f ca="1">OFFSET(载具产出!$F$399,IFERROR(MATCH(OFFSET($D199,0,MATCH($D$5,$E$6:$H$6,0)),载具产出!$E$112:$E$151,1),0),MATCH(AA$6,载具产出!$G$111:$O$111,0))*2</f>
        <v>18</v>
      </c>
      <c r="AB199" s="40">
        <f ca="1">OFFSET(载具产出!$F$399,IFERROR(MATCH(OFFSET($D199,0,MATCH($D$5,$E$6:$H$6,0)),载具产出!$E$112:$E$151,1),0),MATCH(AB$6,载具产出!$G$111:$O$111,0))*2</f>
        <v>21.2</v>
      </c>
      <c r="AC199" s="40">
        <f ca="1">OFFSET(载具产出!$F$399,IFERROR(MATCH(OFFSET($D199,0,MATCH($D$5,$E$6:$H$6,0)),载具产出!$E$112:$E$151,1),0),MATCH(AC$6,载具产出!$G$111:$O$111,0))*2</f>
        <v>10.8</v>
      </c>
      <c r="AD199" s="40">
        <f ca="1">OFFSET(载具产出!$F$399,IFERROR(MATCH(OFFSET($D199,0,MATCH($D$5,$E$6:$H$6,0)),载具产出!$E$112:$E$151,1),0),MATCH(AD$6,载具产出!$G$111:$O$111,0))*2</f>
        <v>0</v>
      </c>
      <c r="AE199" s="44">
        <f ca="1">SUM(AA$36:AA199)/3</f>
        <v>1202.8</v>
      </c>
      <c r="AF199" s="44">
        <f ca="1">SUM(AB$36:AB199)/3</f>
        <v>1284.15999999999</v>
      </c>
      <c r="AG199" s="44">
        <f ca="1">SUM(AC$36:AC199)/3</f>
        <v>269.706666666666</v>
      </c>
      <c r="AH199" s="44">
        <f ca="1">SUM(AD$36:AD199)/3</f>
        <v>0</v>
      </c>
      <c r="AI199" s="44">
        <f>_xlfn.XLOOKUP($D$5,载具产出!$D$71:$D$75,载具产出!$E$71:$E$75)*(D199-30+1)</f>
        <v>1928.95238095239</v>
      </c>
      <c r="AJ199" s="44">
        <f>IFERROR(MATCH(_xlfn.XLOOKUP($D$5,载具产出!$D$71:$D$75,载具产出!$E$71:$E$75)*(D199-30+1)*10,载具产出!$E$60:$E$67,1),0)+1</f>
        <v>7</v>
      </c>
      <c r="AK199" s="44">
        <f ca="1">IF($AJ199=1,($AI199)*(10*OFFSET(载具产出!$D$45,MATCH(AK$6,$AK$6:$AN$6,0)-1,$AJ199)+OFFSET(载具产出!$D$49,MATCH(AK$6,$AK$6:$AN$6,0)-1,$AJ199)*OFFSET(载具产出!$N$49,MATCH(AK$6,$AK$6:$AN$6,0)-1,0)),OFFSET(载具产出!F$59,$AJ199-1,0)*10+OFFSET(载具产出!J$59,$AJ199-1,0)+($AI199*10-_xlfn.XLOOKUP($AJ199-1,载具产出!$D$59:$D$67,载具产出!$E$59:$E$67))/10*(10*OFFSET(载具产出!$D$45,MATCH(AK$6,$AK$6:$AN$6,0)-1,$AJ199)+OFFSET(载具产出!$D$49,MATCH(AK$6,$AK$6:$AN$6,0)-1,$AJ199)*OFFSET(载具产出!$N$49,MATCH(AK$6,$AK$6:$AN$6,0)-1,0)))</f>
        <v>4258.89742857145</v>
      </c>
      <c r="AL199" s="44">
        <f ca="1">IF($AJ199=1,($AI199)*(10*OFFSET(载具产出!$D$45,MATCH(AL$6,$AK$6:$AN$6,0)-1,$AJ199)+OFFSET(载具产出!$D$49,MATCH(AL$6,$AK$6:$AN$6,0)-1,$AJ199)*OFFSET(载具产出!$N$49,MATCH(AL$6,$AK$6:$AN$6,0)-1,0)),OFFSET(载具产出!G$59,$AJ199-1,0)*10+OFFSET(载具产出!K$59,$AJ199-1,0)+($AI199*10-_xlfn.XLOOKUP($AJ199-1,载具产出!$D$59:$D$67,载具产出!$E$59:$E$67))/10*(10*OFFSET(载具产出!$D$45,MATCH(AL$6,$AK$6:$AN$6,0)-1,$AJ199)+OFFSET(载具产出!$D$49,MATCH(AL$6,$AK$6:$AN$6,0)-1,$AJ199)*OFFSET(载具产出!$N$49,MATCH(AL$6,$AK$6:$AN$6,0)-1,0)))</f>
        <v>1714.51523809525</v>
      </c>
      <c r="AM199" s="44">
        <f ca="1">IF($AJ199=1,($AI199)*(10*OFFSET(载具产出!$D$45,MATCH(AM$6,$AK$6:$AN$6,0)-1,$AJ199)+OFFSET(载具产出!$D$49,MATCH(AM$6,$AK$6:$AN$6,0)-1,$AJ199)*OFFSET(载具产出!$N$49,MATCH(AM$6,$AK$6:$AN$6,0)-1,0)),OFFSET(载具产出!H$59,$AJ199-1,0)*10+OFFSET(载具产出!L$59,$AJ199-1,0)+($AI199*10-_xlfn.XLOOKUP($AJ199-1,载具产出!$D$59:$D$67,载具产出!$E$59:$E$67))/10*(10*OFFSET(载具产出!$D$45,MATCH(AM$6,$AK$6:$AN$6,0)-1,$AJ199)+OFFSET(载具产出!$D$49,MATCH(AM$6,$AK$6:$AN$6,0)-1,$AJ199)*OFFSET(载具产出!$N$49,MATCH(AM$6,$AK$6:$AN$6,0)-1,0)))</f>
        <v>928.726857142862</v>
      </c>
      <c r="AN199" s="44">
        <f ca="1">IF($AJ199=1,($AI199)*(10*OFFSET(载具产出!$D$45,MATCH(AN$6,$AK$6:$AN$6,0)-1,$AJ199)+OFFSET(载具产出!$D$49,MATCH(AN$6,$AK$6:$AN$6,0)-1,$AJ199)*OFFSET(载具产出!$N$49,MATCH(AN$6,$AK$6:$AN$6,0)-1,0)),OFFSET(载具产出!I$59,$AJ199-1,0)*10+OFFSET(载具产出!M$59,$AJ199-1,0)+($AI199*10-_xlfn.XLOOKUP($AJ199-1,载具产出!$D$59:$D$67,载具产出!$E$59:$E$67))/10*(10*OFFSET(载具产出!$D$45,MATCH(AN$6,$AK$6:$AN$6,0)-1,$AJ199)+OFFSET(载具产出!$D$49,MATCH(AN$6,$AK$6:$AN$6,0)-1,$AJ199)*OFFSET(载具产出!$N$49,MATCH(AN$6,$AK$6:$AN$6,0)-1,0)))</f>
        <v>284.592952380954</v>
      </c>
      <c r="AO199" s="44">
        <f ca="1" t="shared" si="41"/>
        <v>5461.69742857145</v>
      </c>
      <c r="AP199" s="44">
        <f ca="1" t="shared" si="42"/>
        <v>2998.67523809524</v>
      </c>
      <c r="AQ199" s="44">
        <f ca="1" t="shared" si="43"/>
        <v>1198.43352380953</v>
      </c>
      <c r="AR199" s="44">
        <f ca="1" t="shared" si="44"/>
        <v>284.592952380954</v>
      </c>
      <c r="AS199" s="45">
        <f ca="1">IFERROR(MATCH(AO199/载具产出!R$58,载具属性!$G$33:$G$92,1),0)</f>
        <v>35</v>
      </c>
      <c r="AT199" s="45">
        <f ca="1">IFERROR(MATCH(AP199/载具产出!S$58,载具属性!$G$33:$G$92,1),0)</f>
        <v>24</v>
      </c>
      <c r="AU199" s="45">
        <f ca="1">IFERROR(MATCH(AQ199/载具产出!T$58,载具属性!$G$33:$G$92,1),0)</f>
        <v>14</v>
      </c>
      <c r="AV199" s="45">
        <f ca="1">IFERROR(MATCH(AR199/载具产出!U$58,载具属性!$G$33:$G$92,1),0)</f>
        <v>5</v>
      </c>
      <c r="AW199" s="46" t="str">
        <f ca="1" t="shared" si="45"/>
        <v>[{62,1132},{63,136785},{2,391100},{6030001,3407},{6030002,3690},{6030003,774}]</v>
      </c>
      <c r="AX199" t="str">
        <f ca="1" t="shared" si="46"/>
        <v>{62,1132}</v>
      </c>
      <c r="AY199" t="str">
        <f ca="1" t="shared" si="47"/>
        <v>{63,136785}</v>
      </c>
      <c r="AZ199" t="str">
        <f ca="1" t="shared" si="48"/>
        <v>{2,391100}</v>
      </c>
      <c r="BA199" t="str">
        <f ca="1" t="shared" si="49"/>
        <v>{6030001,3407}</v>
      </c>
      <c r="BB199" t="str">
        <f ca="1" t="shared" si="50"/>
        <v>{6030002,3690}</v>
      </c>
      <c r="BC199" t="str">
        <f ca="1" t="shared" si="51"/>
        <v>{6030003,774}</v>
      </c>
      <c r="BD199" t="str">
        <f ca="1" t="shared" si="52"/>
        <v/>
      </c>
    </row>
    <row r="200" spans="3:56">
      <c r="C200">
        <f ca="1" t="shared" si="39"/>
        <v>120.081081081081</v>
      </c>
      <c r="D200" s="40">
        <v>194</v>
      </c>
      <c r="E200" s="40">
        <f t="shared" si="56"/>
        <v>121</v>
      </c>
      <c r="F200" s="40">
        <v>141</v>
      </c>
      <c r="G200" s="41">
        <f t="shared" si="55"/>
        <v>185</v>
      </c>
      <c r="H200" s="40">
        <f>H199</f>
        <v>239</v>
      </c>
      <c r="I200" s="40">
        <f t="shared" si="38"/>
        <v>414</v>
      </c>
      <c r="J200" s="40">
        <f t="shared" ref="J200:J231" si="57">MIN(INT(H200*(120-(D200-60))/120+(D200-60)/120*I200),I200)</f>
        <v>414</v>
      </c>
      <c r="K200" s="40">
        <f ca="1">SUM(U$36:U200)-SUM(OFFSET(载具产出!H$399,0,0,$R200+1,1))</f>
        <v>1139</v>
      </c>
      <c r="L200" s="40">
        <f ca="1">SUM(T$36:T200)-SUM(OFFSET(载具产出!G$399,0,0,$R200+1,1))</f>
        <v>137850</v>
      </c>
      <c r="M200" s="40">
        <f ca="1">SUM(V$36:V200)/2-SUM(OFFSET(载具产出!I$399,0,0,$R200+1,1))</f>
        <v>394500</v>
      </c>
      <c r="N200" s="40">
        <f ca="1">SUM(AA$36:AA200)-SUM(OFFSET(载具产出!J$399,0,0,$R200+1,1))</f>
        <v>3425.6</v>
      </c>
      <c r="O200" s="40">
        <f ca="1">SUM(AB$36:AB200)-SUM(OFFSET(载具产出!K$399,0,0,$R200+1,1))</f>
        <v>3711.71999999998</v>
      </c>
      <c r="P200" s="40">
        <f ca="1">SUM(AC$36:AC200)-SUM(OFFSET(载具产出!L$399,0,0,$R200+1,1))</f>
        <v>787.919999999999</v>
      </c>
      <c r="Q200" s="40">
        <f ca="1">SUM(AD$36:AD200)-SUM(OFFSET(载具产出!M$399,0,0,$R200+1,1))</f>
        <v>-0.24</v>
      </c>
      <c r="R200" s="40">
        <v>16</v>
      </c>
      <c r="S200" s="40" t="str">
        <f ca="1">OFFSET(载具产出!$D$111,IFERROR(MATCH(OFFSET($D200,0,MATCH($D$5,$E$6:$H$6,0)),载具产出!$E$112:$E$151,1),0),0)</f>
        <v>珍惜Ⅴ</v>
      </c>
      <c r="T200" s="40">
        <f ca="1">OFFSET(载具产出!$F$399,IFERROR(MATCH(OFFSET($D200,0,MATCH($D$5,$E$6:$H$6,0)),载具产出!$E$400:$E$439,1),0),MATCH(T$6,载具产出!$G$399:$O$399,0))</f>
        <v>1065</v>
      </c>
      <c r="U200" s="40">
        <v>7</v>
      </c>
      <c r="V200" s="40">
        <f ca="1">OFFSET(载具产出!$F$399,IFERROR(MATCH(OFFSET($D200,0,MATCH($D$5,$E$6:$H$6,0)),载具产出!$E$400:$E$439,1),0),MATCH(V$6,载具产出!$G$399:$O$399,0))</f>
        <v>6800</v>
      </c>
      <c r="W200" s="43">
        <f ca="1">_xlfn.XLOOKUP(Z200,载具属性!$E$98:$E$497,载具属性!$G$98:$G$497)+6000+OFFSET(载具属性!L$33,AS200,0)*载具属性!M$30+OFFSET(载具属性!M$33,AT200,0)*载具属性!N$30+OFFSET(载具属性!N$33,AU200,0)*载具属性!O$30+OFFSET(载具属性!O$33,AV200,0)*载具属性!P$30</f>
        <v>22215</v>
      </c>
      <c r="X200" s="43">
        <f ca="1">_xlfn.XLOOKUP(Z200,载具属性!$E$98:$E$497,载具属性!$G$98:$G$497)</f>
        <v>9900</v>
      </c>
      <c r="Y200" s="43">
        <f ca="1">OFFSET(载具属性!L$33,AS200,0)*载具属性!M$30+OFFSET(载具属性!M$33,AT200,0)*载具属性!N$30+OFFSET(载具属性!N$33,AU200,0)*载具属性!O$30+OFFSET(载具属性!O$33,AV200,0)*载具属性!P$30</f>
        <v>6315</v>
      </c>
      <c r="Z200" s="40">
        <f ca="1">MATCH(SUM($T$7:T200),载具属性!$I$98:$I$497,1)</f>
        <v>150</v>
      </c>
      <c r="AA200" s="40">
        <f ca="1">OFFSET(载具产出!$F$399,IFERROR(MATCH(OFFSET($D200,0,MATCH($D$5,$E$6:$H$6,0)),载具产出!$E$112:$E$151,1),0),MATCH(AA$6,载具产出!$G$111:$O$111,0))*2</f>
        <v>18</v>
      </c>
      <c r="AB200" s="40">
        <f ca="1">OFFSET(载具产出!$F$399,IFERROR(MATCH(OFFSET($D200,0,MATCH($D$5,$E$6:$H$6,0)),载具产出!$E$112:$E$151,1),0),MATCH(AB$6,载具产出!$G$111:$O$111,0))*2</f>
        <v>20.72</v>
      </c>
      <c r="AC200" s="40">
        <f ca="1">OFFSET(载具产出!$F$399,IFERROR(MATCH(OFFSET($D200,0,MATCH($D$5,$E$6:$H$6,0)),载具产出!$E$112:$E$151,1),0),MATCH(AC$6,载具产出!$G$111:$O$111,0))*2</f>
        <v>13.28</v>
      </c>
      <c r="AD200" s="40">
        <f ca="1">OFFSET(载具产出!$F$399,IFERROR(MATCH(OFFSET($D200,0,MATCH($D$5,$E$6:$H$6,0)),载具产出!$E$112:$E$151,1),0),MATCH(AD$6,载具产出!$G$111:$O$111,0))*2</f>
        <v>0</v>
      </c>
      <c r="AE200" s="44">
        <f ca="1">SUM(AA$36:AA200)/3</f>
        <v>1208.8</v>
      </c>
      <c r="AF200" s="44">
        <f ca="1">SUM(AB$36:AB200)/3</f>
        <v>1291.06666666666</v>
      </c>
      <c r="AG200" s="44">
        <f ca="1">SUM(AC$36:AC200)/3</f>
        <v>274.133333333333</v>
      </c>
      <c r="AH200" s="44">
        <f ca="1">SUM(AD$36:AD200)/3</f>
        <v>0</v>
      </c>
      <c r="AI200" s="44">
        <f>_xlfn.XLOOKUP($D$5,载具产出!$D$71:$D$75,载具产出!$E$71:$E$75)*(D200-30+1)</f>
        <v>1940.71428571429</v>
      </c>
      <c r="AJ200" s="44">
        <f>IFERROR(MATCH(_xlfn.XLOOKUP($D$5,载具产出!$D$71:$D$75,载具产出!$E$71:$E$75)*(D200-30+1)*10,载具产出!$E$60:$E$67,1),0)+1</f>
        <v>7</v>
      </c>
      <c r="AK200" s="44">
        <f ca="1">IF($AJ200=1,($AI200)*(10*OFFSET(载具产出!$D$45,MATCH(AK$6,$AK$6:$AN$6,0)-1,$AJ200)+OFFSET(载具产出!$D$49,MATCH(AK$6,$AK$6:$AN$6,0)-1,$AJ200)*OFFSET(载具产出!$N$49,MATCH(AK$6,$AK$6:$AN$6,0)-1,0)),OFFSET(载具产出!F$59,$AJ200-1,0)*10+OFFSET(载具产出!J$59,$AJ200-1,0)+($AI200*10-_xlfn.XLOOKUP($AJ200-1,载具产出!$D$59:$D$67,载具产出!$E$59:$E$67))/10*(10*OFFSET(载具产出!$D$45,MATCH(AK$6,$AK$6:$AN$6,0)-1,$AJ200)+OFFSET(载具产出!$D$49,MATCH(AK$6,$AK$6:$AN$6,0)-1,$AJ200)*OFFSET(载具产出!$N$49,MATCH(AK$6,$AK$6:$AN$6,0)-1,0)))</f>
        <v>4283.73857142858</v>
      </c>
      <c r="AL200" s="44">
        <f ca="1">IF($AJ200=1,($AI200)*(10*OFFSET(载具产出!$D$45,MATCH(AL$6,$AK$6:$AN$6,0)-1,$AJ200)+OFFSET(载具产出!$D$49,MATCH(AL$6,$AK$6:$AN$6,0)-1,$AJ200)*OFFSET(载具产出!$N$49,MATCH(AL$6,$AK$6:$AN$6,0)-1,0)),OFFSET(载具产出!G$59,$AJ200-1,0)*10+OFFSET(载具产出!K$59,$AJ200-1,0)+($AI200*10-_xlfn.XLOOKUP($AJ200-1,载具产出!$D$59:$D$67,载具产出!$E$59:$E$67))/10*(10*OFFSET(载具产出!$D$45,MATCH(AL$6,$AK$6:$AN$6,0)-1,$AJ200)+OFFSET(载具产出!$D$49,MATCH(AL$6,$AK$6:$AN$6,0)-1,$AJ200)*OFFSET(载具产出!$N$49,MATCH(AL$6,$AK$6:$AN$6,0)-1,0)))</f>
        <v>1725.57142857143</v>
      </c>
      <c r="AM200" s="44">
        <f ca="1">IF($AJ200=1,($AI200)*(10*OFFSET(载具产出!$D$45,MATCH(AM$6,$AK$6:$AN$6,0)-1,$AJ200)+OFFSET(载具产出!$D$49,MATCH(AM$6,$AK$6:$AN$6,0)-1,$AJ200)*OFFSET(载具产出!$N$49,MATCH(AM$6,$AK$6:$AN$6,0)-1,0)),OFFSET(载具产出!H$59,$AJ200-1,0)*10+OFFSET(载具产出!L$59,$AJ200-1,0)+($AI200*10-_xlfn.XLOOKUP($AJ200-1,载具产出!$D$59:$D$67,载具产出!$E$59:$E$67))/10*(10*OFFSET(载具产出!$D$45,MATCH(AM$6,$AK$6:$AN$6,0)-1,$AJ200)+OFFSET(载具产出!$D$49,MATCH(AM$6,$AK$6:$AN$6,0)-1,$AJ200)*OFFSET(载具产出!$N$49,MATCH(AM$6,$AK$6:$AN$6,0)-1,0)))</f>
        <v>934.937142857145</v>
      </c>
      <c r="AN200" s="44">
        <f ca="1">IF($AJ200=1,($AI200)*(10*OFFSET(载具产出!$D$45,MATCH(AN$6,$AK$6:$AN$6,0)-1,$AJ200)+OFFSET(载具产出!$D$49,MATCH(AN$6,$AK$6:$AN$6,0)-1,$AJ200)*OFFSET(载具产出!$N$49,MATCH(AN$6,$AK$6:$AN$6,0)-1,0)),OFFSET(载具产出!I$59,$AJ200-1,0)*10+OFFSET(载具产出!M$59,$AJ200-1,0)+($AI200*10-_xlfn.XLOOKUP($AJ200-1,载具产出!$D$59:$D$67,载具产出!$E$59:$E$67))/10*(10*OFFSET(载具产出!$D$45,MATCH(AN$6,$AK$6:$AN$6,0)-1,$AJ200)+OFFSET(载具产出!$D$49,MATCH(AN$6,$AK$6:$AN$6,0)-1,$AJ200)*OFFSET(载具产出!$N$49,MATCH(AN$6,$AK$6:$AN$6,0)-1,0)))</f>
        <v>286.580714285715</v>
      </c>
      <c r="AO200" s="44">
        <f ca="1" t="shared" si="41"/>
        <v>5492.53857142858</v>
      </c>
      <c r="AP200" s="44">
        <f ca="1" t="shared" si="42"/>
        <v>3016.63809523809</v>
      </c>
      <c r="AQ200" s="44">
        <f ca="1" t="shared" si="43"/>
        <v>1209.07047619048</v>
      </c>
      <c r="AR200" s="44">
        <f ca="1" t="shared" si="44"/>
        <v>286.580714285715</v>
      </c>
      <c r="AS200" s="45">
        <f ca="1">IFERROR(MATCH(AO200/载具产出!R$58,载具属性!$G$33:$G$92,1),0)</f>
        <v>35</v>
      </c>
      <c r="AT200" s="45">
        <f ca="1">IFERROR(MATCH(AP200/载具产出!S$58,载具属性!$G$33:$G$92,1),0)</f>
        <v>24</v>
      </c>
      <c r="AU200" s="45">
        <f ca="1">IFERROR(MATCH(AQ200/载具产出!T$58,载具属性!$G$33:$G$92,1),0)</f>
        <v>14</v>
      </c>
      <c r="AV200" s="45">
        <f ca="1">IFERROR(MATCH(AR200/载具产出!U$58,载具属性!$G$33:$G$92,1),0)</f>
        <v>5</v>
      </c>
      <c r="AW200" s="46" t="str">
        <f ca="1" t="shared" si="45"/>
        <v>[{62,1139},{63,137850},{2,394500},{6030001,3425},{6030002,3711},{6030003,787}]</v>
      </c>
      <c r="AX200" t="str">
        <f ca="1" t="shared" si="46"/>
        <v>{62,1139}</v>
      </c>
      <c r="AY200" t="str">
        <f ca="1" t="shared" si="47"/>
        <v>{63,137850}</v>
      </c>
      <c r="AZ200" t="str">
        <f ca="1" t="shared" si="48"/>
        <v>{2,394500}</v>
      </c>
      <c r="BA200" t="str">
        <f ca="1" t="shared" si="49"/>
        <v>{6030001,3425}</v>
      </c>
      <c r="BB200" t="str">
        <f ca="1" t="shared" si="50"/>
        <v>{6030002,3711}</v>
      </c>
      <c r="BC200" t="str">
        <f ca="1" t="shared" si="51"/>
        <v>{6030003,787}</v>
      </c>
      <c r="BD200" t="str">
        <f ca="1" t="shared" si="52"/>
        <v/>
      </c>
    </row>
    <row r="201" spans="3:56">
      <c r="C201">
        <f ca="1" t="shared" si="39"/>
        <v>120.540540540541</v>
      </c>
      <c r="D201" s="40">
        <v>195</v>
      </c>
      <c r="E201" s="40">
        <f t="shared" si="56"/>
        <v>121</v>
      </c>
      <c r="F201" s="40">
        <v>141</v>
      </c>
      <c r="G201" s="41">
        <f t="shared" si="55"/>
        <v>185</v>
      </c>
      <c r="H201" s="40">
        <f>H200+1</f>
        <v>240</v>
      </c>
      <c r="I201" s="40">
        <f t="shared" si="38"/>
        <v>416</v>
      </c>
      <c r="J201" s="40">
        <f t="shared" si="57"/>
        <v>416</v>
      </c>
      <c r="K201" s="40">
        <f ca="1">SUM(U$36:U201)-SUM(OFFSET(载具产出!H$399,0,0,$R201+1,1))</f>
        <v>1146</v>
      </c>
      <c r="L201" s="40">
        <f ca="1">SUM(T$36:T201)-SUM(OFFSET(载具产出!G$399,0,0,$R201+1,1))</f>
        <v>138915</v>
      </c>
      <c r="M201" s="40">
        <f ca="1">SUM(V$36:V201)/2-SUM(OFFSET(载具产出!I$399,0,0,$R201+1,1))</f>
        <v>397900</v>
      </c>
      <c r="N201" s="40">
        <f ca="1">SUM(AA$36:AA201)-SUM(OFFSET(载具产出!J$399,0,0,$R201+1,1))</f>
        <v>3443.6</v>
      </c>
      <c r="O201" s="40">
        <f ca="1">SUM(AB$36:AB201)-SUM(OFFSET(载具产出!K$399,0,0,$R201+1,1))</f>
        <v>3732.43999999998</v>
      </c>
      <c r="P201" s="40">
        <f ca="1">SUM(AC$36:AC201)-SUM(OFFSET(载具产出!L$399,0,0,$R201+1,1))</f>
        <v>801.199999999999</v>
      </c>
      <c r="Q201" s="40">
        <f ca="1">SUM(AD$36:AD201)-SUM(OFFSET(载具产出!M$399,0,0,$R201+1,1))</f>
        <v>-0.24</v>
      </c>
      <c r="R201" s="40">
        <v>16</v>
      </c>
      <c r="S201" s="40" t="str">
        <f ca="1">OFFSET(载具产出!$D$111,IFERROR(MATCH(OFFSET($D201,0,MATCH($D$5,$E$6:$H$6,0)),载具产出!$E$112:$E$151,1),0),0)</f>
        <v>珍惜Ⅴ</v>
      </c>
      <c r="T201" s="40">
        <f ca="1">OFFSET(载具产出!$F$399,IFERROR(MATCH(OFFSET($D201,0,MATCH($D$5,$E$6:$H$6,0)),载具产出!$E$400:$E$439,1),0),MATCH(T$6,载具产出!$G$399:$O$399,0))</f>
        <v>1065</v>
      </c>
      <c r="U201" s="40">
        <v>7</v>
      </c>
      <c r="V201" s="40">
        <f ca="1">OFFSET(载具产出!$F$399,IFERROR(MATCH(OFFSET($D201,0,MATCH($D$5,$E$6:$H$6,0)),载具产出!$E$400:$E$439,1),0),MATCH(V$6,载具产出!$G$399:$O$399,0))</f>
        <v>6800</v>
      </c>
      <c r="W201" s="43">
        <f ca="1">_xlfn.XLOOKUP(Z201,载具属性!$E$98:$E$497,载具属性!$G$98:$G$497)+6000+OFFSET(载具属性!L$33,AS201,0)*载具属性!M$30+OFFSET(载具属性!M$33,AT201,0)*载具属性!N$30+OFFSET(载具属性!N$33,AU201,0)*载具属性!O$30+OFFSET(载具属性!O$33,AV201,0)*载具属性!P$30</f>
        <v>22300</v>
      </c>
      <c r="X201" s="43">
        <f ca="1">_xlfn.XLOOKUP(Z201,载具属性!$E$98:$E$497,载具属性!$G$98:$G$497)</f>
        <v>9985</v>
      </c>
      <c r="Y201" s="43">
        <f ca="1">OFFSET(载具属性!L$33,AS201,0)*载具属性!M$30+OFFSET(载具属性!M$33,AT201,0)*载具属性!N$30+OFFSET(载具属性!N$33,AU201,0)*载具属性!O$30+OFFSET(载具属性!O$33,AV201,0)*载具属性!P$30</f>
        <v>6315</v>
      </c>
      <c r="Z201" s="40">
        <f ca="1">MATCH(SUM($T$7:T201),载具属性!$I$98:$I$497,1)</f>
        <v>151</v>
      </c>
      <c r="AA201" s="40">
        <f ca="1">OFFSET(载具产出!$F$399,IFERROR(MATCH(OFFSET($D201,0,MATCH($D$5,$E$6:$H$6,0)),载具产出!$E$112:$E$151,1),0),MATCH(AA$6,载具产出!$G$111:$O$111,0))*2</f>
        <v>18</v>
      </c>
      <c r="AB201" s="40">
        <f ca="1">OFFSET(载具产出!$F$399,IFERROR(MATCH(OFFSET($D201,0,MATCH($D$5,$E$6:$H$6,0)),载具产出!$E$112:$E$151,1),0),MATCH(AB$6,载具产出!$G$111:$O$111,0))*2</f>
        <v>20.72</v>
      </c>
      <c r="AC201" s="40">
        <f ca="1">OFFSET(载具产出!$F$399,IFERROR(MATCH(OFFSET($D201,0,MATCH($D$5,$E$6:$H$6,0)),载具产出!$E$112:$E$151,1),0),MATCH(AC$6,载具产出!$G$111:$O$111,0))*2</f>
        <v>13.28</v>
      </c>
      <c r="AD201" s="40">
        <f ca="1">OFFSET(载具产出!$F$399,IFERROR(MATCH(OFFSET($D201,0,MATCH($D$5,$E$6:$H$6,0)),载具产出!$E$112:$E$151,1),0),MATCH(AD$6,载具产出!$G$111:$O$111,0))*2</f>
        <v>0</v>
      </c>
      <c r="AE201" s="44">
        <f ca="1">SUM(AA$36:AA201)/3</f>
        <v>1214.8</v>
      </c>
      <c r="AF201" s="44">
        <f ca="1">SUM(AB$36:AB201)/3</f>
        <v>1297.97333333333</v>
      </c>
      <c r="AG201" s="44">
        <f ca="1">SUM(AC$36:AC201)/3</f>
        <v>278.56</v>
      </c>
      <c r="AH201" s="44">
        <f ca="1">SUM(AD$36:AD201)/3</f>
        <v>0</v>
      </c>
      <c r="AI201" s="44">
        <f>_xlfn.XLOOKUP($D$5,载具产出!$D$71:$D$75,载具产出!$E$71:$E$75)*(D201-30+1)</f>
        <v>1952.4761904762</v>
      </c>
      <c r="AJ201" s="44">
        <f>IFERROR(MATCH(_xlfn.XLOOKUP($D$5,载具产出!$D$71:$D$75,载具产出!$E$71:$E$75)*(D201-30+1)*10,载具产出!$E$60:$E$67,1),0)+1</f>
        <v>7</v>
      </c>
      <c r="AK201" s="44">
        <f ca="1">IF($AJ201=1,($AI201)*(10*OFFSET(载具产出!$D$45,MATCH(AK$6,$AK$6:$AN$6,0)-1,$AJ201)+OFFSET(载具产出!$D$49,MATCH(AK$6,$AK$6:$AN$6,0)-1,$AJ201)*OFFSET(载具产出!$N$49,MATCH(AK$6,$AK$6:$AN$6,0)-1,0)),OFFSET(载具产出!F$59,$AJ201-1,0)*10+OFFSET(载具产出!J$59,$AJ201-1,0)+($AI201*10-_xlfn.XLOOKUP($AJ201-1,载具产出!$D$59:$D$67,载具产出!$E$59:$E$67))/10*(10*OFFSET(载具产出!$D$45,MATCH(AK$6,$AK$6:$AN$6,0)-1,$AJ201)+OFFSET(载具产出!$D$49,MATCH(AK$6,$AK$6:$AN$6,0)-1,$AJ201)*OFFSET(载具产出!$N$49,MATCH(AK$6,$AK$6:$AN$6,0)-1,0)))</f>
        <v>4308.57971428573</v>
      </c>
      <c r="AL201" s="44">
        <f ca="1">IF($AJ201=1,($AI201)*(10*OFFSET(载具产出!$D$45,MATCH(AL$6,$AK$6:$AN$6,0)-1,$AJ201)+OFFSET(载具产出!$D$49,MATCH(AL$6,$AK$6:$AN$6,0)-1,$AJ201)*OFFSET(载具产出!$N$49,MATCH(AL$6,$AK$6:$AN$6,0)-1,0)),OFFSET(载具产出!G$59,$AJ201-1,0)*10+OFFSET(载具产出!K$59,$AJ201-1,0)+($AI201*10-_xlfn.XLOOKUP($AJ201-1,载具产出!$D$59:$D$67,载具产出!$E$59:$E$67))/10*(10*OFFSET(载具产出!$D$45,MATCH(AL$6,$AK$6:$AN$6,0)-1,$AJ201)+OFFSET(载具产出!$D$49,MATCH(AL$6,$AK$6:$AN$6,0)-1,$AJ201)*OFFSET(载具产出!$N$49,MATCH(AL$6,$AK$6:$AN$6,0)-1,0)))</f>
        <v>1736.62761904763</v>
      </c>
      <c r="AM201" s="44">
        <f ca="1">IF($AJ201=1,($AI201)*(10*OFFSET(载具产出!$D$45,MATCH(AM$6,$AK$6:$AN$6,0)-1,$AJ201)+OFFSET(载具产出!$D$49,MATCH(AM$6,$AK$6:$AN$6,0)-1,$AJ201)*OFFSET(载具产出!$N$49,MATCH(AM$6,$AK$6:$AN$6,0)-1,0)),OFFSET(载具产出!H$59,$AJ201-1,0)*10+OFFSET(载具产出!L$59,$AJ201-1,0)+($AI201*10-_xlfn.XLOOKUP($AJ201-1,载具产出!$D$59:$D$67,载具产出!$E$59:$E$67))/10*(10*OFFSET(载具产出!$D$45,MATCH(AM$6,$AK$6:$AN$6,0)-1,$AJ201)+OFFSET(载具产出!$D$49,MATCH(AM$6,$AK$6:$AN$6,0)-1,$AJ201)*OFFSET(载具产出!$N$49,MATCH(AM$6,$AK$6:$AN$6,0)-1,0)))</f>
        <v>941.147428571433</v>
      </c>
      <c r="AN201" s="44">
        <f ca="1">IF($AJ201=1,($AI201)*(10*OFFSET(载具产出!$D$45,MATCH(AN$6,$AK$6:$AN$6,0)-1,$AJ201)+OFFSET(载具产出!$D$49,MATCH(AN$6,$AK$6:$AN$6,0)-1,$AJ201)*OFFSET(载具产出!$N$49,MATCH(AN$6,$AK$6:$AN$6,0)-1,0)),OFFSET(载具产出!I$59,$AJ201-1,0)*10+OFFSET(载具产出!M$59,$AJ201-1,0)+($AI201*10-_xlfn.XLOOKUP($AJ201-1,载具产出!$D$59:$D$67,载具产出!$E$59:$E$67))/10*(10*OFFSET(载具产出!$D$45,MATCH(AN$6,$AK$6:$AN$6,0)-1,$AJ201)+OFFSET(载具产出!$D$49,MATCH(AN$6,$AK$6:$AN$6,0)-1,$AJ201)*OFFSET(载具产出!$N$49,MATCH(AN$6,$AK$6:$AN$6,0)-1,0)))</f>
        <v>288.568476190478</v>
      </c>
      <c r="AO201" s="44">
        <f ca="1" t="shared" si="41"/>
        <v>5523.37971428573</v>
      </c>
      <c r="AP201" s="44">
        <f ca="1" t="shared" si="42"/>
        <v>3034.60095238096</v>
      </c>
      <c r="AQ201" s="44">
        <f ca="1" t="shared" si="43"/>
        <v>1219.70742857143</v>
      </c>
      <c r="AR201" s="44">
        <f ca="1" t="shared" si="44"/>
        <v>288.568476190478</v>
      </c>
      <c r="AS201" s="45">
        <f ca="1">IFERROR(MATCH(AO201/载具产出!R$58,载具属性!$G$33:$G$92,1),0)</f>
        <v>35</v>
      </c>
      <c r="AT201" s="45">
        <f ca="1">IFERROR(MATCH(AP201/载具产出!S$58,载具属性!$G$33:$G$92,1),0)</f>
        <v>24</v>
      </c>
      <c r="AU201" s="45">
        <f ca="1">IFERROR(MATCH(AQ201/载具产出!T$58,载具属性!$G$33:$G$92,1),0)</f>
        <v>14</v>
      </c>
      <c r="AV201" s="45">
        <f ca="1">IFERROR(MATCH(AR201/载具产出!U$58,载具属性!$G$33:$G$92,1),0)</f>
        <v>5</v>
      </c>
      <c r="AW201" s="46" t="str">
        <f ca="1" t="shared" si="45"/>
        <v>[{62,1146},{63,138915},{2,397900},{6030001,3443},{6030002,3732},{6030003,801}]</v>
      </c>
      <c r="AX201" t="str">
        <f ca="1" t="shared" si="46"/>
        <v>{62,1146}</v>
      </c>
      <c r="AY201" t="str">
        <f ca="1" t="shared" si="47"/>
        <v>{63,138915}</v>
      </c>
      <c r="AZ201" t="str">
        <f ca="1" t="shared" si="48"/>
        <v>{2,397900}</v>
      </c>
      <c r="BA201" t="str">
        <f ca="1" t="shared" si="49"/>
        <v>{6030001,3443}</v>
      </c>
      <c r="BB201" t="str">
        <f ca="1" t="shared" si="50"/>
        <v>{6030002,3732}</v>
      </c>
      <c r="BC201" t="str">
        <f ca="1" t="shared" si="51"/>
        <v>{6030003,801}</v>
      </c>
      <c r="BD201" t="str">
        <f ca="1" t="shared" si="52"/>
        <v/>
      </c>
    </row>
    <row r="202" spans="3:56">
      <c r="C202">
        <f ca="1" t="shared" si="39"/>
        <v>120.537634408602</v>
      </c>
      <c r="D202" s="40">
        <v>196</v>
      </c>
      <c r="E202" s="40">
        <f t="shared" si="56"/>
        <v>121</v>
      </c>
      <c r="F202" s="40">
        <v>141</v>
      </c>
      <c r="G202" s="41">
        <f t="shared" si="55"/>
        <v>186</v>
      </c>
      <c r="H202" s="40">
        <f>H201</f>
        <v>240</v>
      </c>
      <c r="I202" s="40">
        <f t="shared" si="38"/>
        <v>418</v>
      </c>
      <c r="J202" s="40">
        <f t="shared" si="57"/>
        <v>418</v>
      </c>
      <c r="K202" s="40">
        <f ca="1">SUM(U$36:U202)-SUM(OFFSET(载具产出!H$399,0,0,$R202+1,1))</f>
        <v>1153</v>
      </c>
      <c r="L202" s="40">
        <f ca="1">SUM(T$36:T202)-SUM(OFFSET(载具产出!G$399,0,0,$R202+1,1))</f>
        <v>139980</v>
      </c>
      <c r="M202" s="40">
        <f ca="1">SUM(V$36:V202)/2-SUM(OFFSET(载具产出!I$399,0,0,$R202+1,1))</f>
        <v>401300</v>
      </c>
      <c r="N202" s="40">
        <f ca="1">SUM(AA$36:AA202)-SUM(OFFSET(载具产出!J$399,0,0,$R202+1,1))</f>
        <v>3461.6</v>
      </c>
      <c r="O202" s="40">
        <f ca="1">SUM(AB$36:AB202)-SUM(OFFSET(载具产出!K$399,0,0,$R202+1,1))</f>
        <v>3753.15999999998</v>
      </c>
      <c r="P202" s="40">
        <f ca="1">SUM(AC$36:AC202)-SUM(OFFSET(载具产出!L$399,0,0,$R202+1,1))</f>
        <v>814.479999999999</v>
      </c>
      <c r="Q202" s="40">
        <f ca="1">SUM(AD$36:AD202)-SUM(OFFSET(载具产出!M$399,0,0,$R202+1,1))</f>
        <v>-0.24</v>
      </c>
      <c r="R202" s="40">
        <v>16</v>
      </c>
      <c r="S202" s="40" t="str">
        <f ca="1">OFFSET(载具产出!$D$111,IFERROR(MATCH(OFFSET($D202,0,MATCH($D$5,$E$6:$H$6,0)),载具产出!$E$112:$E$151,1),0),0)</f>
        <v>珍惜Ⅴ</v>
      </c>
      <c r="T202" s="40">
        <f ca="1">OFFSET(载具产出!$F$399,IFERROR(MATCH(OFFSET($D202,0,MATCH($D$5,$E$6:$H$6,0)),载具产出!$E$400:$E$439,1),0),MATCH(T$6,载具产出!$G$399:$O$399,0))</f>
        <v>1065</v>
      </c>
      <c r="U202" s="40">
        <v>7</v>
      </c>
      <c r="V202" s="40">
        <f ca="1">OFFSET(载具产出!$F$399,IFERROR(MATCH(OFFSET($D202,0,MATCH($D$5,$E$6:$H$6,0)),载具产出!$E$400:$E$439,1),0),MATCH(V$6,载具产出!$G$399:$O$399,0))</f>
        <v>6800</v>
      </c>
      <c r="W202" s="43">
        <f ca="1">_xlfn.XLOOKUP(Z202,载具属性!$E$98:$E$497,载具属性!$G$98:$G$497)+6000+OFFSET(载具属性!L$33,AS202,0)*载具属性!M$30+OFFSET(载具属性!M$33,AT202,0)*载具属性!N$30+OFFSET(载具属性!N$33,AU202,0)*载具属性!O$30+OFFSET(载具属性!O$33,AV202,0)*载具属性!P$30</f>
        <v>22420</v>
      </c>
      <c r="X202" s="43">
        <f ca="1">_xlfn.XLOOKUP(Z202,载具属性!$E$98:$E$497,载具属性!$G$98:$G$497)</f>
        <v>9985</v>
      </c>
      <c r="Y202" s="43">
        <f ca="1">OFFSET(载具属性!L$33,AS202,0)*载具属性!M$30+OFFSET(载具属性!M$33,AT202,0)*载具属性!N$30+OFFSET(载具属性!N$33,AU202,0)*载具属性!O$30+OFFSET(载具属性!O$33,AV202,0)*载具属性!P$30</f>
        <v>6435</v>
      </c>
      <c r="Z202" s="40">
        <f ca="1">MATCH(SUM($T$7:T202),载具属性!$I$98:$I$497,1)</f>
        <v>151</v>
      </c>
      <c r="AA202" s="40">
        <f ca="1">OFFSET(载具产出!$F$399,IFERROR(MATCH(OFFSET($D202,0,MATCH($D$5,$E$6:$H$6,0)),载具产出!$E$112:$E$151,1),0),MATCH(AA$6,载具产出!$G$111:$O$111,0))*2</f>
        <v>18</v>
      </c>
      <c r="AB202" s="40">
        <f ca="1">OFFSET(载具产出!$F$399,IFERROR(MATCH(OFFSET($D202,0,MATCH($D$5,$E$6:$H$6,0)),载具产出!$E$112:$E$151,1),0),MATCH(AB$6,载具产出!$G$111:$O$111,0))*2</f>
        <v>20.72</v>
      </c>
      <c r="AC202" s="40">
        <f ca="1">OFFSET(载具产出!$F$399,IFERROR(MATCH(OFFSET($D202,0,MATCH($D$5,$E$6:$H$6,0)),载具产出!$E$112:$E$151,1),0),MATCH(AC$6,载具产出!$G$111:$O$111,0))*2</f>
        <v>13.28</v>
      </c>
      <c r="AD202" s="40">
        <f ca="1">OFFSET(载具产出!$F$399,IFERROR(MATCH(OFFSET($D202,0,MATCH($D$5,$E$6:$H$6,0)),载具产出!$E$112:$E$151,1),0),MATCH(AD$6,载具产出!$G$111:$O$111,0))*2</f>
        <v>0</v>
      </c>
      <c r="AE202" s="44">
        <f ca="1">SUM(AA$36:AA202)/3</f>
        <v>1220.8</v>
      </c>
      <c r="AF202" s="44">
        <f ca="1">SUM(AB$36:AB202)/3</f>
        <v>1304.87999999999</v>
      </c>
      <c r="AG202" s="44">
        <f ca="1">SUM(AC$36:AC202)/3</f>
        <v>282.986666666666</v>
      </c>
      <c r="AH202" s="44">
        <f ca="1">SUM(AD$36:AD202)/3</f>
        <v>0</v>
      </c>
      <c r="AI202" s="44">
        <f>_xlfn.XLOOKUP($D$5,载具产出!$D$71:$D$75,载具产出!$E$71:$E$75)*(D202-30+1)</f>
        <v>1964.2380952381</v>
      </c>
      <c r="AJ202" s="44">
        <f>IFERROR(MATCH(_xlfn.XLOOKUP($D$5,载具产出!$D$71:$D$75,载具产出!$E$71:$E$75)*(D202-30+1)*10,载具产出!$E$60:$E$67,1),0)+1</f>
        <v>7</v>
      </c>
      <c r="AK202" s="44">
        <f ca="1">IF($AJ202=1,($AI202)*(10*OFFSET(载具产出!$D$45,MATCH(AK$6,$AK$6:$AN$6,0)-1,$AJ202)+OFFSET(载具产出!$D$49,MATCH(AK$6,$AK$6:$AN$6,0)-1,$AJ202)*OFFSET(载具产出!$N$49,MATCH(AK$6,$AK$6:$AN$6,0)-1,0)),OFFSET(载具产出!F$59,$AJ202-1,0)*10+OFFSET(载具产出!J$59,$AJ202-1,0)+($AI202*10-_xlfn.XLOOKUP($AJ202-1,载具产出!$D$59:$D$67,载具产出!$E$59:$E$67))/10*(10*OFFSET(载具产出!$D$45,MATCH(AK$6,$AK$6:$AN$6,0)-1,$AJ202)+OFFSET(载具产出!$D$49,MATCH(AK$6,$AK$6:$AN$6,0)-1,$AJ202)*OFFSET(载具产出!$N$49,MATCH(AK$6,$AK$6:$AN$6,0)-1,0)))</f>
        <v>4333.42085714287</v>
      </c>
      <c r="AL202" s="44">
        <f ca="1">IF($AJ202=1,($AI202)*(10*OFFSET(载具产出!$D$45,MATCH(AL$6,$AK$6:$AN$6,0)-1,$AJ202)+OFFSET(载具产出!$D$49,MATCH(AL$6,$AK$6:$AN$6,0)-1,$AJ202)*OFFSET(载具产出!$N$49,MATCH(AL$6,$AK$6:$AN$6,0)-1,0)),OFFSET(载具产出!G$59,$AJ202-1,0)*10+OFFSET(载具产出!K$59,$AJ202-1,0)+($AI202*10-_xlfn.XLOOKUP($AJ202-1,载具产出!$D$59:$D$67,载具产出!$E$59:$E$67))/10*(10*OFFSET(载具产出!$D$45,MATCH(AL$6,$AK$6:$AN$6,0)-1,$AJ202)+OFFSET(载具产出!$D$49,MATCH(AL$6,$AK$6:$AN$6,0)-1,$AJ202)*OFFSET(载具产出!$N$49,MATCH(AL$6,$AK$6:$AN$6,0)-1,0)))</f>
        <v>1747.68380952381</v>
      </c>
      <c r="AM202" s="44">
        <f ca="1">IF($AJ202=1,($AI202)*(10*OFFSET(载具产出!$D$45,MATCH(AM$6,$AK$6:$AN$6,0)-1,$AJ202)+OFFSET(载具产出!$D$49,MATCH(AM$6,$AK$6:$AN$6,0)-1,$AJ202)*OFFSET(载具产出!$N$49,MATCH(AM$6,$AK$6:$AN$6,0)-1,0)),OFFSET(载具产出!H$59,$AJ202-1,0)*10+OFFSET(载具产出!L$59,$AJ202-1,0)+($AI202*10-_xlfn.XLOOKUP($AJ202-1,载具产出!$D$59:$D$67,载具产出!$E$59:$E$67))/10*(10*OFFSET(载具产出!$D$45,MATCH(AM$6,$AK$6:$AN$6,0)-1,$AJ202)+OFFSET(载具产出!$D$49,MATCH(AM$6,$AK$6:$AN$6,0)-1,$AJ202)*OFFSET(载具产出!$N$49,MATCH(AM$6,$AK$6:$AN$6,0)-1,0)))</f>
        <v>947.357714285717</v>
      </c>
      <c r="AN202" s="44">
        <f ca="1">IF($AJ202=1,($AI202)*(10*OFFSET(载具产出!$D$45,MATCH(AN$6,$AK$6:$AN$6,0)-1,$AJ202)+OFFSET(载具产出!$D$49,MATCH(AN$6,$AK$6:$AN$6,0)-1,$AJ202)*OFFSET(载具产出!$N$49,MATCH(AN$6,$AK$6:$AN$6,0)-1,0)),OFFSET(载具产出!I$59,$AJ202-1,0)*10+OFFSET(载具产出!M$59,$AJ202-1,0)+($AI202*10-_xlfn.XLOOKUP($AJ202-1,载具产出!$D$59:$D$67,载具产出!$E$59:$E$67))/10*(10*OFFSET(载具产出!$D$45,MATCH(AN$6,$AK$6:$AN$6,0)-1,$AJ202)+OFFSET(载具产出!$D$49,MATCH(AN$6,$AK$6:$AN$6,0)-1,$AJ202)*OFFSET(载具产出!$N$49,MATCH(AN$6,$AK$6:$AN$6,0)-1,0)))</f>
        <v>290.556238095239</v>
      </c>
      <c r="AO202" s="44">
        <f ca="1" t="shared" si="41"/>
        <v>5554.22085714287</v>
      </c>
      <c r="AP202" s="44">
        <f ca="1" t="shared" si="42"/>
        <v>3052.56380952381</v>
      </c>
      <c r="AQ202" s="44">
        <f ca="1" t="shared" si="43"/>
        <v>1230.34438095238</v>
      </c>
      <c r="AR202" s="44">
        <f ca="1" t="shared" si="44"/>
        <v>290.556238095239</v>
      </c>
      <c r="AS202" s="45">
        <f ca="1">IFERROR(MATCH(AO202/载具产出!R$58,载具属性!$G$33:$G$92,1),0)</f>
        <v>35</v>
      </c>
      <c r="AT202" s="45">
        <f ca="1">IFERROR(MATCH(AP202/载具产出!S$58,载具属性!$G$33:$G$92,1),0)</f>
        <v>24</v>
      </c>
      <c r="AU202" s="45">
        <f ca="1">IFERROR(MATCH(AQ202/载具产出!T$58,载具属性!$G$33:$G$92,1),0)</f>
        <v>15</v>
      </c>
      <c r="AV202" s="45">
        <f ca="1">IFERROR(MATCH(AR202/载具产出!U$58,载具属性!$G$33:$G$92,1),0)</f>
        <v>5</v>
      </c>
      <c r="AW202" s="46" t="str">
        <f ca="1" t="shared" si="45"/>
        <v>[{62,1153},{63,139980},{2,401300},{6030001,3461},{6030002,3753},{6030003,814}]</v>
      </c>
      <c r="AX202" t="str">
        <f ca="1" t="shared" si="46"/>
        <v>{62,1153}</v>
      </c>
      <c r="AY202" t="str">
        <f ca="1" t="shared" si="47"/>
        <v>{63,139980}</v>
      </c>
      <c r="AZ202" t="str">
        <f ca="1" t="shared" si="48"/>
        <v>{2,401300}</v>
      </c>
      <c r="BA202" t="str">
        <f ca="1" t="shared" si="49"/>
        <v>{6030001,3461}</v>
      </c>
      <c r="BB202" t="str">
        <f ca="1" t="shared" si="50"/>
        <v>{6030002,3753}</v>
      </c>
      <c r="BC202" t="str">
        <f ca="1" t="shared" si="51"/>
        <v>{6030003,814}</v>
      </c>
      <c r="BD202" t="str">
        <f ca="1" t="shared" si="52"/>
        <v/>
      </c>
    </row>
    <row r="203" spans="3:56">
      <c r="C203">
        <f ca="1" t="shared" si="39"/>
        <v>120.994623655914</v>
      </c>
      <c r="D203" s="40">
        <v>197</v>
      </c>
      <c r="E203" s="40">
        <f t="shared" si="56"/>
        <v>121</v>
      </c>
      <c r="F203" s="40">
        <v>141</v>
      </c>
      <c r="G203" s="41">
        <f t="shared" si="55"/>
        <v>186</v>
      </c>
      <c r="H203" s="40">
        <f>H202+1</f>
        <v>241</v>
      </c>
      <c r="I203" s="40">
        <f t="shared" si="38"/>
        <v>420</v>
      </c>
      <c r="J203" s="40">
        <f t="shared" si="57"/>
        <v>420</v>
      </c>
      <c r="K203" s="40">
        <f ca="1">SUM(U$36:U203)-SUM(OFFSET(载具产出!H$399,0,0,$R203+1,1))</f>
        <v>1160</v>
      </c>
      <c r="L203" s="40">
        <f ca="1">SUM(T$36:T203)-SUM(OFFSET(载具产出!G$399,0,0,$R203+1,1))</f>
        <v>141045</v>
      </c>
      <c r="M203" s="40">
        <f ca="1">SUM(V$36:V203)/2-SUM(OFFSET(载具产出!I$399,0,0,$R203+1,1))</f>
        <v>404700</v>
      </c>
      <c r="N203" s="40">
        <f ca="1">SUM(AA$36:AA203)-SUM(OFFSET(载具产出!J$399,0,0,$R203+1,1))</f>
        <v>3479.6</v>
      </c>
      <c r="O203" s="40">
        <f ca="1">SUM(AB$36:AB203)-SUM(OFFSET(载具产出!K$399,0,0,$R203+1,1))</f>
        <v>3773.87999999998</v>
      </c>
      <c r="P203" s="40">
        <f ca="1">SUM(AC$36:AC203)-SUM(OFFSET(载具产出!L$399,0,0,$R203+1,1))</f>
        <v>827.759999999999</v>
      </c>
      <c r="Q203" s="40">
        <f ca="1">SUM(AD$36:AD203)-SUM(OFFSET(载具产出!M$399,0,0,$R203+1,1))</f>
        <v>-0.24</v>
      </c>
      <c r="R203" s="40">
        <v>16</v>
      </c>
      <c r="S203" s="40" t="str">
        <f ca="1">OFFSET(载具产出!$D$111,IFERROR(MATCH(OFFSET($D203,0,MATCH($D$5,$E$6:$H$6,0)),载具产出!$E$112:$E$151,1),0),0)</f>
        <v>珍惜Ⅴ</v>
      </c>
      <c r="T203" s="40">
        <f ca="1">OFFSET(载具产出!$F$399,IFERROR(MATCH(OFFSET($D203,0,MATCH($D$5,$E$6:$H$6,0)),载具产出!$E$400:$E$439,1),0),MATCH(T$6,载具产出!$G$399:$O$399,0))</f>
        <v>1065</v>
      </c>
      <c r="U203" s="40">
        <v>7</v>
      </c>
      <c r="V203" s="40">
        <f ca="1">OFFSET(载具产出!$F$399,IFERROR(MATCH(OFFSET($D203,0,MATCH($D$5,$E$6:$H$6,0)),载具产出!$E$400:$E$439,1),0),MATCH(V$6,载具产出!$G$399:$O$399,0))</f>
        <v>6800</v>
      </c>
      <c r="W203" s="43">
        <f ca="1">_xlfn.XLOOKUP(Z203,载具属性!$E$98:$E$497,载具属性!$G$98:$G$497)+6000+OFFSET(载具属性!L$33,AS203,0)*载具属性!M$30+OFFSET(载具属性!M$33,AT203,0)*载具属性!N$30+OFFSET(载具属性!N$33,AU203,0)*载具属性!O$30+OFFSET(载具属性!O$33,AV203,0)*载具属性!P$30</f>
        <v>22505</v>
      </c>
      <c r="X203" s="43">
        <f ca="1">_xlfn.XLOOKUP(Z203,载具属性!$E$98:$E$497,载具属性!$G$98:$G$497)</f>
        <v>10070</v>
      </c>
      <c r="Y203" s="43">
        <f ca="1">OFFSET(载具属性!L$33,AS203,0)*载具属性!M$30+OFFSET(载具属性!M$33,AT203,0)*载具属性!N$30+OFFSET(载具属性!N$33,AU203,0)*载具属性!O$30+OFFSET(载具属性!O$33,AV203,0)*载具属性!P$30</f>
        <v>6435</v>
      </c>
      <c r="Z203" s="40">
        <f ca="1">MATCH(SUM($T$7:T203),载具属性!$I$98:$I$497,1)</f>
        <v>152</v>
      </c>
      <c r="AA203" s="40">
        <f ca="1">OFFSET(载具产出!$F$399,IFERROR(MATCH(OFFSET($D203,0,MATCH($D$5,$E$6:$H$6,0)),载具产出!$E$112:$E$151,1),0),MATCH(AA$6,载具产出!$G$111:$O$111,0))*2</f>
        <v>18</v>
      </c>
      <c r="AB203" s="40">
        <f ca="1">OFFSET(载具产出!$F$399,IFERROR(MATCH(OFFSET($D203,0,MATCH($D$5,$E$6:$H$6,0)),载具产出!$E$112:$E$151,1),0),MATCH(AB$6,载具产出!$G$111:$O$111,0))*2</f>
        <v>20.72</v>
      </c>
      <c r="AC203" s="40">
        <f ca="1">OFFSET(载具产出!$F$399,IFERROR(MATCH(OFFSET($D203,0,MATCH($D$5,$E$6:$H$6,0)),载具产出!$E$112:$E$151,1),0),MATCH(AC$6,载具产出!$G$111:$O$111,0))*2</f>
        <v>13.28</v>
      </c>
      <c r="AD203" s="40">
        <f ca="1">OFFSET(载具产出!$F$399,IFERROR(MATCH(OFFSET($D203,0,MATCH($D$5,$E$6:$H$6,0)),载具产出!$E$112:$E$151,1),0),MATCH(AD$6,载具产出!$G$111:$O$111,0))*2</f>
        <v>0</v>
      </c>
      <c r="AE203" s="44">
        <f ca="1">SUM(AA$36:AA203)/3</f>
        <v>1226.8</v>
      </c>
      <c r="AF203" s="44">
        <f ca="1">SUM(AB$36:AB203)/3</f>
        <v>1311.78666666666</v>
      </c>
      <c r="AG203" s="44">
        <f ca="1">SUM(AC$36:AC203)/3</f>
        <v>287.413333333333</v>
      </c>
      <c r="AH203" s="44">
        <f ca="1">SUM(AD$36:AD203)/3</f>
        <v>0</v>
      </c>
      <c r="AI203" s="44">
        <f>_xlfn.XLOOKUP($D$5,载具产出!$D$71:$D$75,载具产出!$E$71:$E$75)*(D203-30+1)</f>
        <v>1976.00000000001</v>
      </c>
      <c r="AJ203" s="44">
        <f>IFERROR(MATCH(_xlfn.XLOOKUP($D$5,载具产出!$D$71:$D$75,载具产出!$E$71:$E$75)*(D203-30+1)*10,载具产出!$E$60:$E$67,1),0)+1</f>
        <v>7</v>
      </c>
      <c r="AK203" s="44">
        <f ca="1">IF($AJ203=1,($AI203)*(10*OFFSET(载具产出!$D$45,MATCH(AK$6,$AK$6:$AN$6,0)-1,$AJ203)+OFFSET(载具产出!$D$49,MATCH(AK$6,$AK$6:$AN$6,0)-1,$AJ203)*OFFSET(载具产出!$N$49,MATCH(AK$6,$AK$6:$AN$6,0)-1,0)),OFFSET(载具产出!F$59,$AJ203-1,0)*10+OFFSET(载具产出!J$59,$AJ203-1,0)+($AI203*10-_xlfn.XLOOKUP($AJ203-1,载具产出!$D$59:$D$67,载具产出!$E$59:$E$67))/10*(10*OFFSET(载具产出!$D$45,MATCH(AK$6,$AK$6:$AN$6,0)-1,$AJ203)+OFFSET(载具产出!$D$49,MATCH(AK$6,$AK$6:$AN$6,0)-1,$AJ203)*OFFSET(载具产出!$N$49,MATCH(AK$6,$AK$6:$AN$6,0)-1,0)))</f>
        <v>4358.26200000002</v>
      </c>
      <c r="AL203" s="44">
        <f ca="1">IF($AJ203=1,($AI203)*(10*OFFSET(载具产出!$D$45,MATCH(AL$6,$AK$6:$AN$6,0)-1,$AJ203)+OFFSET(载具产出!$D$49,MATCH(AL$6,$AK$6:$AN$6,0)-1,$AJ203)*OFFSET(载具产出!$N$49,MATCH(AL$6,$AK$6:$AN$6,0)-1,0)),OFFSET(载具产出!G$59,$AJ203-1,0)*10+OFFSET(载具产出!K$59,$AJ203-1,0)+($AI203*10-_xlfn.XLOOKUP($AJ203-1,载具产出!$D$59:$D$67,载具产出!$E$59:$E$67))/10*(10*OFFSET(载具产出!$D$45,MATCH(AL$6,$AK$6:$AN$6,0)-1,$AJ203)+OFFSET(载具产出!$D$49,MATCH(AL$6,$AK$6:$AN$6,0)-1,$AJ203)*OFFSET(载具产出!$N$49,MATCH(AL$6,$AK$6:$AN$6,0)-1,0)))</f>
        <v>1758.74000000001</v>
      </c>
      <c r="AM203" s="44">
        <f ca="1">IF($AJ203=1,($AI203)*(10*OFFSET(载具产出!$D$45,MATCH(AM$6,$AK$6:$AN$6,0)-1,$AJ203)+OFFSET(载具产出!$D$49,MATCH(AM$6,$AK$6:$AN$6,0)-1,$AJ203)*OFFSET(载具产出!$N$49,MATCH(AM$6,$AK$6:$AN$6,0)-1,0)),OFFSET(载具产出!H$59,$AJ203-1,0)*10+OFFSET(载具产出!L$59,$AJ203-1,0)+($AI203*10-_xlfn.XLOOKUP($AJ203-1,载具产出!$D$59:$D$67,载具产出!$E$59:$E$67))/10*(10*OFFSET(载具产出!$D$45,MATCH(AM$6,$AK$6:$AN$6,0)-1,$AJ203)+OFFSET(载具产出!$D$49,MATCH(AM$6,$AK$6:$AN$6,0)-1,$AJ203)*OFFSET(载具产出!$N$49,MATCH(AM$6,$AK$6:$AN$6,0)-1,0)))</f>
        <v>953.568000000005</v>
      </c>
      <c r="AN203" s="44">
        <f ca="1">IF($AJ203=1,($AI203)*(10*OFFSET(载具产出!$D$45,MATCH(AN$6,$AK$6:$AN$6,0)-1,$AJ203)+OFFSET(载具产出!$D$49,MATCH(AN$6,$AK$6:$AN$6,0)-1,$AJ203)*OFFSET(载具产出!$N$49,MATCH(AN$6,$AK$6:$AN$6,0)-1,0)),OFFSET(载具产出!I$59,$AJ203-1,0)*10+OFFSET(载具产出!M$59,$AJ203-1,0)+($AI203*10-_xlfn.XLOOKUP($AJ203-1,载具产出!$D$59:$D$67,载具产出!$E$59:$E$67))/10*(10*OFFSET(载具产出!$D$45,MATCH(AN$6,$AK$6:$AN$6,0)-1,$AJ203)+OFFSET(载具产出!$D$49,MATCH(AN$6,$AK$6:$AN$6,0)-1,$AJ203)*OFFSET(载具产出!$N$49,MATCH(AN$6,$AK$6:$AN$6,0)-1,0)))</f>
        <v>292.544000000002</v>
      </c>
      <c r="AO203" s="44">
        <f ca="1" t="shared" si="41"/>
        <v>5585.06200000002</v>
      </c>
      <c r="AP203" s="44">
        <f ca="1" t="shared" si="42"/>
        <v>3070.52666666667</v>
      </c>
      <c r="AQ203" s="44">
        <f ca="1" t="shared" si="43"/>
        <v>1240.98133333334</v>
      </c>
      <c r="AR203" s="44">
        <f ca="1" t="shared" si="44"/>
        <v>292.544000000002</v>
      </c>
      <c r="AS203" s="45">
        <f ca="1">IFERROR(MATCH(AO203/载具产出!R$58,载具属性!$G$33:$G$92,1),0)</f>
        <v>35</v>
      </c>
      <c r="AT203" s="45">
        <f ca="1">IFERROR(MATCH(AP203/载具产出!S$58,载具属性!$G$33:$G$92,1),0)</f>
        <v>24</v>
      </c>
      <c r="AU203" s="45">
        <f ca="1">IFERROR(MATCH(AQ203/载具产出!T$58,载具属性!$G$33:$G$92,1),0)</f>
        <v>15</v>
      </c>
      <c r="AV203" s="45">
        <f ca="1">IFERROR(MATCH(AR203/载具产出!U$58,载具属性!$G$33:$G$92,1),0)</f>
        <v>5</v>
      </c>
      <c r="AW203" s="46" t="str">
        <f ca="1" t="shared" si="45"/>
        <v>[{62,1160},{63,141045},{2,404700},{6030001,3479},{6030002,3773},{6030003,827}]</v>
      </c>
      <c r="AX203" t="str">
        <f ca="1" t="shared" si="46"/>
        <v>{62,1160}</v>
      </c>
      <c r="AY203" t="str">
        <f ca="1" t="shared" si="47"/>
        <v>{63,141045}</v>
      </c>
      <c r="AZ203" t="str">
        <f ca="1" t="shared" si="48"/>
        <v>{2,404700}</v>
      </c>
      <c r="BA203" t="str">
        <f ca="1" t="shared" si="49"/>
        <v>{6030001,3479}</v>
      </c>
      <c r="BB203" t="str">
        <f ca="1" t="shared" si="50"/>
        <v>{6030002,3773}</v>
      </c>
      <c r="BC203" t="str">
        <f ca="1" t="shared" si="51"/>
        <v>{6030003,827}</v>
      </c>
      <c r="BD203" t="str">
        <f ca="1" t="shared" si="52"/>
        <v/>
      </c>
    </row>
    <row r="204" spans="3:56">
      <c r="C204">
        <f ca="1" t="shared" si="39"/>
        <v>120.802139037433</v>
      </c>
      <c r="D204" s="40">
        <v>198</v>
      </c>
      <c r="E204" s="40">
        <f t="shared" si="56"/>
        <v>121</v>
      </c>
      <c r="F204" s="40">
        <v>142</v>
      </c>
      <c r="G204" s="41">
        <f t="shared" si="55"/>
        <v>187</v>
      </c>
      <c r="H204" s="40">
        <f>H203</f>
        <v>241</v>
      </c>
      <c r="I204" s="40">
        <f t="shared" si="38"/>
        <v>422</v>
      </c>
      <c r="J204" s="40">
        <f t="shared" si="57"/>
        <v>422</v>
      </c>
      <c r="K204" s="40">
        <f ca="1">SUM(U$36:U204)-SUM(OFFSET(载具产出!H$399,0,0,$R204+1,1))</f>
        <v>1167</v>
      </c>
      <c r="L204" s="40">
        <f ca="1">SUM(T$36:T204)-SUM(OFFSET(载具产出!G$399,0,0,$R204+1,1))</f>
        <v>142110</v>
      </c>
      <c r="M204" s="40">
        <f ca="1">SUM(V$36:V204)/2-SUM(OFFSET(载具产出!I$399,0,0,$R204+1,1))</f>
        <v>408100</v>
      </c>
      <c r="N204" s="40">
        <f ca="1">SUM(AA$36:AA204)-SUM(OFFSET(载具产出!J$399,0,0,$R204+1,1))</f>
        <v>3497.6</v>
      </c>
      <c r="O204" s="40">
        <f ca="1">SUM(AB$36:AB204)-SUM(OFFSET(载具产出!K$399,0,0,$R204+1,1))</f>
        <v>3794.59999999998</v>
      </c>
      <c r="P204" s="40">
        <f ca="1">SUM(AC$36:AC204)-SUM(OFFSET(载具产出!L$399,0,0,$R204+1,1))</f>
        <v>841.039999999999</v>
      </c>
      <c r="Q204" s="40">
        <f ca="1">SUM(AD$36:AD204)-SUM(OFFSET(载具产出!M$399,0,0,$R204+1,1))</f>
        <v>-0.24</v>
      </c>
      <c r="R204" s="40">
        <v>16</v>
      </c>
      <c r="S204" s="40" t="str">
        <f ca="1">OFFSET(载具产出!$D$111,IFERROR(MATCH(OFFSET($D204,0,MATCH($D$5,$E$6:$H$6,0)),载具产出!$E$112:$E$151,1),0),0)</f>
        <v>珍惜Ⅴ</v>
      </c>
      <c r="T204" s="40">
        <f ca="1">OFFSET(载具产出!$F$399,IFERROR(MATCH(OFFSET($D204,0,MATCH($D$5,$E$6:$H$6,0)),载具产出!$E$400:$E$439,1),0),MATCH(T$6,载具产出!$G$399:$O$399,0))</f>
        <v>1065</v>
      </c>
      <c r="U204" s="40">
        <v>7</v>
      </c>
      <c r="V204" s="40">
        <f ca="1">OFFSET(载具产出!$F$399,IFERROR(MATCH(OFFSET($D204,0,MATCH($D$5,$E$6:$H$6,0)),载具产出!$E$400:$E$439,1),0),MATCH(V$6,载具产出!$G$399:$O$399,0))</f>
        <v>6800</v>
      </c>
      <c r="W204" s="43">
        <f ca="1">_xlfn.XLOOKUP(Z204,载具属性!$E$98:$E$497,载具属性!$G$98:$G$497)+6000+OFFSET(载具属性!L$33,AS204,0)*载具属性!M$30+OFFSET(载具属性!M$33,AT204,0)*载具属性!N$30+OFFSET(载具属性!N$33,AU204,0)*载具属性!O$30+OFFSET(载具属性!O$33,AV204,0)*载具属性!P$30</f>
        <v>22590</v>
      </c>
      <c r="X204" s="43">
        <f ca="1">_xlfn.XLOOKUP(Z204,载具属性!$E$98:$E$497,载具属性!$G$98:$G$497)</f>
        <v>10155</v>
      </c>
      <c r="Y204" s="43">
        <f ca="1">OFFSET(载具属性!L$33,AS204,0)*载具属性!M$30+OFFSET(载具属性!M$33,AT204,0)*载具属性!N$30+OFFSET(载具属性!N$33,AU204,0)*载具属性!O$30+OFFSET(载具属性!O$33,AV204,0)*载具属性!P$30</f>
        <v>6435</v>
      </c>
      <c r="Z204" s="40">
        <f ca="1">MATCH(SUM($T$7:T204),载具属性!$I$98:$I$497,1)</f>
        <v>153</v>
      </c>
      <c r="AA204" s="40">
        <f ca="1">OFFSET(载具产出!$F$399,IFERROR(MATCH(OFFSET($D204,0,MATCH($D$5,$E$6:$H$6,0)),载具产出!$E$112:$E$151,1),0),MATCH(AA$6,载具产出!$G$111:$O$111,0))*2</f>
        <v>18</v>
      </c>
      <c r="AB204" s="40">
        <f ca="1">OFFSET(载具产出!$F$399,IFERROR(MATCH(OFFSET($D204,0,MATCH($D$5,$E$6:$H$6,0)),载具产出!$E$112:$E$151,1),0),MATCH(AB$6,载具产出!$G$111:$O$111,0))*2</f>
        <v>20.72</v>
      </c>
      <c r="AC204" s="40">
        <f ca="1">OFFSET(载具产出!$F$399,IFERROR(MATCH(OFFSET($D204,0,MATCH($D$5,$E$6:$H$6,0)),载具产出!$E$112:$E$151,1),0),MATCH(AC$6,载具产出!$G$111:$O$111,0))*2</f>
        <v>13.28</v>
      </c>
      <c r="AD204" s="40">
        <f ca="1">OFFSET(载具产出!$F$399,IFERROR(MATCH(OFFSET($D204,0,MATCH($D$5,$E$6:$H$6,0)),载具产出!$E$112:$E$151,1),0),MATCH(AD$6,载具产出!$G$111:$O$111,0))*2</f>
        <v>0</v>
      </c>
      <c r="AE204" s="44">
        <f ca="1">SUM(AA$36:AA204)/3</f>
        <v>1232.8</v>
      </c>
      <c r="AF204" s="44">
        <f ca="1">SUM(AB$36:AB204)/3</f>
        <v>1318.69333333333</v>
      </c>
      <c r="AG204" s="44">
        <f ca="1">SUM(AC$36:AC204)/3</f>
        <v>291.84</v>
      </c>
      <c r="AH204" s="44">
        <f ca="1">SUM(AD$36:AD204)/3</f>
        <v>0</v>
      </c>
      <c r="AI204" s="44">
        <f>_xlfn.XLOOKUP($D$5,载具产出!$D$71:$D$75,载具产出!$E$71:$E$75)*(D204-30+1)</f>
        <v>1987.76190476191</v>
      </c>
      <c r="AJ204" s="44">
        <f>IFERROR(MATCH(_xlfn.XLOOKUP($D$5,载具产出!$D$71:$D$75,载具产出!$E$71:$E$75)*(D204-30+1)*10,载具产出!$E$60:$E$67,1),0)+1</f>
        <v>7</v>
      </c>
      <c r="AK204" s="44">
        <f ca="1">IF($AJ204=1,($AI204)*(10*OFFSET(载具产出!$D$45,MATCH(AK$6,$AK$6:$AN$6,0)-1,$AJ204)+OFFSET(载具产出!$D$49,MATCH(AK$6,$AK$6:$AN$6,0)-1,$AJ204)*OFFSET(载具产出!$N$49,MATCH(AK$6,$AK$6:$AN$6,0)-1,0)),OFFSET(载具产出!F$59,$AJ204-1,0)*10+OFFSET(载具产出!J$59,$AJ204-1,0)+($AI204*10-_xlfn.XLOOKUP($AJ204-1,载具产出!$D$59:$D$67,载具产出!$E$59:$E$67))/10*(10*OFFSET(载具产出!$D$45,MATCH(AK$6,$AK$6:$AN$6,0)-1,$AJ204)+OFFSET(载具产出!$D$49,MATCH(AK$6,$AK$6:$AN$6,0)-1,$AJ204)*OFFSET(载具产出!$N$49,MATCH(AK$6,$AK$6:$AN$6,0)-1,0)))</f>
        <v>4383.10314285715</v>
      </c>
      <c r="AL204" s="44">
        <f ca="1">IF($AJ204=1,($AI204)*(10*OFFSET(载具产出!$D$45,MATCH(AL$6,$AK$6:$AN$6,0)-1,$AJ204)+OFFSET(载具产出!$D$49,MATCH(AL$6,$AK$6:$AN$6,0)-1,$AJ204)*OFFSET(载具产出!$N$49,MATCH(AL$6,$AK$6:$AN$6,0)-1,0)),OFFSET(载具产出!G$59,$AJ204-1,0)*10+OFFSET(载具产出!K$59,$AJ204-1,0)+($AI204*10-_xlfn.XLOOKUP($AJ204-1,载具产出!$D$59:$D$67,载具产出!$E$59:$E$67))/10*(10*OFFSET(载具产出!$D$45,MATCH(AL$6,$AK$6:$AN$6,0)-1,$AJ204)+OFFSET(载具产出!$D$49,MATCH(AL$6,$AK$6:$AN$6,0)-1,$AJ204)*OFFSET(载具产出!$N$49,MATCH(AL$6,$AK$6:$AN$6,0)-1,0)))</f>
        <v>1769.7961904762</v>
      </c>
      <c r="AM204" s="44">
        <f ca="1">IF($AJ204=1,($AI204)*(10*OFFSET(载具产出!$D$45,MATCH(AM$6,$AK$6:$AN$6,0)-1,$AJ204)+OFFSET(载具产出!$D$49,MATCH(AM$6,$AK$6:$AN$6,0)-1,$AJ204)*OFFSET(载具产出!$N$49,MATCH(AM$6,$AK$6:$AN$6,0)-1,0)),OFFSET(载具产出!H$59,$AJ204-1,0)*10+OFFSET(载具产出!L$59,$AJ204-1,0)+($AI204*10-_xlfn.XLOOKUP($AJ204-1,载具产出!$D$59:$D$67,载具产出!$E$59:$E$67))/10*(10*OFFSET(载具产出!$D$45,MATCH(AM$6,$AK$6:$AN$6,0)-1,$AJ204)+OFFSET(载具产出!$D$49,MATCH(AM$6,$AK$6:$AN$6,0)-1,$AJ204)*OFFSET(载具产出!$N$49,MATCH(AM$6,$AK$6:$AN$6,0)-1,0)))</f>
        <v>959.778285714288</v>
      </c>
      <c r="AN204" s="44">
        <f ca="1">IF($AJ204=1,($AI204)*(10*OFFSET(载具产出!$D$45,MATCH(AN$6,$AK$6:$AN$6,0)-1,$AJ204)+OFFSET(载具产出!$D$49,MATCH(AN$6,$AK$6:$AN$6,0)-1,$AJ204)*OFFSET(载具产出!$N$49,MATCH(AN$6,$AK$6:$AN$6,0)-1,0)),OFFSET(载具产出!I$59,$AJ204-1,0)*10+OFFSET(载具产出!M$59,$AJ204-1,0)+($AI204*10-_xlfn.XLOOKUP($AJ204-1,载具产出!$D$59:$D$67,载具产出!$E$59:$E$67))/10*(10*OFFSET(载具产出!$D$45,MATCH(AN$6,$AK$6:$AN$6,0)-1,$AJ204)+OFFSET(载具产出!$D$49,MATCH(AN$6,$AK$6:$AN$6,0)-1,$AJ204)*OFFSET(载具产出!$N$49,MATCH(AN$6,$AK$6:$AN$6,0)-1,0)))</f>
        <v>294.531761904763</v>
      </c>
      <c r="AO204" s="44">
        <f ca="1" t="shared" si="41"/>
        <v>5615.90314285715</v>
      </c>
      <c r="AP204" s="44">
        <f ca="1" t="shared" si="42"/>
        <v>3088.48952380952</v>
      </c>
      <c r="AQ204" s="44">
        <f ca="1" t="shared" si="43"/>
        <v>1251.61828571429</v>
      </c>
      <c r="AR204" s="44">
        <f ca="1" t="shared" si="44"/>
        <v>294.531761904763</v>
      </c>
      <c r="AS204" s="45">
        <f ca="1">IFERROR(MATCH(AO204/载具产出!R$58,载具属性!$G$33:$G$92,1),0)</f>
        <v>35</v>
      </c>
      <c r="AT204" s="45">
        <f ca="1">IFERROR(MATCH(AP204/载具产出!S$58,载具属性!$G$33:$G$92,1),0)</f>
        <v>24</v>
      </c>
      <c r="AU204" s="45">
        <f ca="1">IFERROR(MATCH(AQ204/载具产出!T$58,载具属性!$G$33:$G$92,1),0)</f>
        <v>15</v>
      </c>
      <c r="AV204" s="45">
        <f ca="1">IFERROR(MATCH(AR204/载具产出!U$58,载具属性!$G$33:$G$92,1),0)</f>
        <v>5</v>
      </c>
      <c r="AW204" s="46" t="str">
        <f ca="1" t="shared" si="45"/>
        <v>[{62,1167},{63,142110},{2,408100},{6030001,3497},{6030002,3794},{6030003,841}]</v>
      </c>
      <c r="AX204" t="str">
        <f ca="1" t="shared" si="46"/>
        <v>{62,1167}</v>
      </c>
      <c r="AY204" t="str">
        <f ca="1" t="shared" si="47"/>
        <v>{63,142110}</v>
      </c>
      <c r="AZ204" t="str">
        <f ca="1" t="shared" si="48"/>
        <v>{2,408100}</v>
      </c>
      <c r="BA204" t="str">
        <f ca="1" t="shared" si="49"/>
        <v>{6030001,3497}</v>
      </c>
      <c r="BB204" t="str">
        <f ca="1" t="shared" si="50"/>
        <v>{6030002,3794}</v>
      </c>
      <c r="BC204" t="str">
        <f ca="1" t="shared" si="51"/>
        <v>{6030003,841}</v>
      </c>
      <c r="BD204" t="str">
        <f ca="1" t="shared" si="52"/>
        <v/>
      </c>
    </row>
    <row r="205" spans="3:56">
      <c r="C205">
        <f ca="1" t="shared" si="39"/>
        <v>120.802139037433</v>
      </c>
      <c r="D205" s="40">
        <v>199</v>
      </c>
      <c r="E205" s="40">
        <f t="shared" si="56"/>
        <v>122</v>
      </c>
      <c r="F205" s="40">
        <v>142</v>
      </c>
      <c r="G205" s="41">
        <f t="shared" si="55"/>
        <v>187</v>
      </c>
      <c r="H205" s="40">
        <f>H204+1</f>
        <v>242</v>
      </c>
      <c r="I205" s="40">
        <f t="shared" si="38"/>
        <v>424</v>
      </c>
      <c r="J205" s="40">
        <f t="shared" si="57"/>
        <v>424</v>
      </c>
      <c r="K205" s="40">
        <f ca="1">SUM(U$36:U205)-SUM(OFFSET(载具产出!H$399,0,0,$R205+1,1))</f>
        <v>1173</v>
      </c>
      <c r="L205" s="40">
        <f ca="1">SUM(T$36:T205)-SUM(OFFSET(载具产出!G$399,0,0,$R205+1,1))</f>
        <v>142050</v>
      </c>
      <c r="M205" s="40">
        <f ca="1">SUM(V$36:V205)/2-SUM(OFFSET(载具产出!I$399,0,0,$R205+1,1))</f>
        <v>404300</v>
      </c>
      <c r="N205" s="40">
        <f ca="1">SUM(AA$36:AA205)-SUM(OFFSET(载具产出!J$399,0,0,$R205+1,1))</f>
        <v>3506.6</v>
      </c>
      <c r="O205" s="40">
        <f ca="1">SUM(AB$36:AB205)-SUM(OFFSET(载具产出!K$399,0,0,$R205+1,1))</f>
        <v>3804.67999999998</v>
      </c>
      <c r="P205" s="40">
        <f ca="1">SUM(AC$36:AC205)-SUM(OFFSET(载具产出!L$399,0,0,$R205+1,1))</f>
        <v>846.439999999999</v>
      </c>
      <c r="Q205" s="40">
        <f ca="1">SUM(AD$36:AD205)-SUM(OFFSET(载具产出!M$399,0,0,$R205+1,1))</f>
        <v>-0.72</v>
      </c>
      <c r="R205" s="40">
        <v>17</v>
      </c>
      <c r="S205" s="40" t="str">
        <f ca="1">OFFSET(载具产出!$D$111,IFERROR(MATCH(OFFSET($D205,0,MATCH($D$5,$E$6:$H$6,0)),载具产出!$E$112:$E$151,1),0),0)</f>
        <v>珍惜Ⅴ</v>
      </c>
      <c r="T205" s="40">
        <f ca="1">OFFSET(载具产出!$F$399,IFERROR(MATCH(OFFSET($D205,0,MATCH($D$5,$E$6:$H$6,0)),载具产出!$E$400:$E$439,1),0),MATCH(T$6,载具产出!$G$399:$O$399,0))</f>
        <v>1065</v>
      </c>
      <c r="U205" s="40">
        <v>7</v>
      </c>
      <c r="V205" s="40">
        <f ca="1">OFFSET(载具产出!$F$399,IFERROR(MATCH(OFFSET($D205,0,MATCH($D$5,$E$6:$H$6,0)),载具产出!$E$400:$E$439,1),0),MATCH(V$6,载具产出!$G$399:$O$399,0))</f>
        <v>6800</v>
      </c>
      <c r="W205" s="43">
        <f ca="1">_xlfn.XLOOKUP(Z205,载具属性!$E$98:$E$497,载具属性!$G$98:$G$497)+6000+OFFSET(载具属性!L$33,AS205,0)*载具属性!M$30+OFFSET(载具属性!M$33,AT205,0)*载具属性!N$30+OFFSET(载具属性!N$33,AU205,0)*载具属性!O$30+OFFSET(载具属性!O$33,AV205,0)*载具属性!P$30</f>
        <v>22590</v>
      </c>
      <c r="X205" s="43">
        <f ca="1">_xlfn.XLOOKUP(Z205,载具属性!$E$98:$E$497,载具属性!$G$98:$G$497)</f>
        <v>10155</v>
      </c>
      <c r="Y205" s="43">
        <f ca="1">OFFSET(载具属性!L$33,AS205,0)*载具属性!M$30+OFFSET(载具属性!M$33,AT205,0)*载具属性!N$30+OFFSET(载具属性!N$33,AU205,0)*载具属性!O$30+OFFSET(载具属性!O$33,AV205,0)*载具属性!P$30</f>
        <v>6435</v>
      </c>
      <c r="Z205" s="40">
        <f ca="1">MATCH(SUM($T$7:T205),载具属性!$I$98:$I$497,1)</f>
        <v>153</v>
      </c>
      <c r="AA205" s="40">
        <f ca="1">OFFSET(载具产出!$F$399,IFERROR(MATCH(OFFSET($D205,0,MATCH($D$5,$E$6:$H$6,0)),载具产出!$E$112:$E$151,1),0),MATCH(AA$6,载具产出!$G$111:$O$111,0))*2</f>
        <v>18</v>
      </c>
      <c r="AB205" s="40">
        <f ca="1">OFFSET(载具产出!$F$399,IFERROR(MATCH(OFFSET($D205,0,MATCH($D$5,$E$6:$H$6,0)),载具产出!$E$112:$E$151,1),0),MATCH(AB$6,载具产出!$G$111:$O$111,0))*2</f>
        <v>20.72</v>
      </c>
      <c r="AC205" s="40">
        <f ca="1">OFFSET(载具产出!$F$399,IFERROR(MATCH(OFFSET($D205,0,MATCH($D$5,$E$6:$H$6,0)),载具产出!$E$112:$E$151,1),0),MATCH(AC$6,载具产出!$G$111:$O$111,0))*2</f>
        <v>13.28</v>
      </c>
      <c r="AD205" s="40">
        <f ca="1">OFFSET(载具产出!$F$399,IFERROR(MATCH(OFFSET($D205,0,MATCH($D$5,$E$6:$H$6,0)),载具产出!$E$112:$E$151,1),0),MATCH(AD$6,载具产出!$G$111:$O$111,0))*2</f>
        <v>0</v>
      </c>
      <c r="AE205" s="44">
        <f ca="1">SUM(AA$36:AA205)/3</f>
        <v>1238.8</v>
      </c>
      <c r="AF205" s="44">
        <f ca="1">SUM(AB$36:AB205)/3</f>
        <v>1325.59999999999</v>
      </c>
      <c r="AG205" s="44">
        <f ca="1">SUM(AC$36:AC205)/3</f>
        <v>296.266666666666</v>
      </c>
      <c r="AH205" s="44">
        <f ca="1">SUM(AD$36:AD205)/3</f>
        <v>0</v>
      </c>
      <c r="AI205" s="44">
        <f>_xlfn.XLOOKUP($D$5,载具产出!$D$71:$D$75,载具产出!$E$71:$E$75)*(D205-30+1)</f>
        <v>1999.52380952382</v>
      </c>
      <c r="AJ205" s="44">
        <f>IFERROR(MATCH(_xlfn.XLOOKUP($D$5,载具产出!$D$71:$D$75,载具产出!$E$71:$E$75)*(D205-30+1)*10,载具产出!$E$60:$E$67,1),0)+1</f>
        <v>7</v>
      </c>
      <c r="AK205" s="44">
        <f ca="1">IF($AJ205=1,($AI205)*(10*OFFSET(载具产出!$D$45,MATCH(AK$6,$AK$6:$AN$6,0)-1,$AJ205)+OFFSET(载具产出!$D$49,MATCH(AK$6,$AK$6:$AN$6,0)-1,$AJ205)*OFFSET(载具产出!$N$49,MATCH(AK$6,$AK$6:$AN$6,0)-1,0)),OFFSET(载具产出!F$59,$AJ205-1,0)*10+OFFSET(载具产出!J$59,$AJ205-1,0)+($AI205*10-_xlfn.XLOOKUP($AJ205-1,载具产出!$D$59:$D$67,载具产出!$E$59:$E$67))/10*(10*OFFSET(载具产出!$D$45,MATCH(AK$6,$AK$6:$AN$6,0)-1,$AJ205)+OFFSET(载具产出!$D$49,MATCH(AK$6,$AK$6:$AN$6,0)-1,$AJ205)*OFFSET(载具产出!$N$49,MATCH(AK$6,$AK$6:$AN$6,0)-1,0)))</f>
        <v>4407.94428571431</v>
      </c>
      <c r="AL205" s="44">
        <f ca="1">IF($AJ205=1,($AI205)*(10*OFFSET(载具产出!$D$45,MATCH(AL$6,$AK$6:$AN$6,0)-1,$AJ205)+OFFSET(载具产出!$D$49,MATCH(AL$6,$AK$6:$AN$6,0)-1,$AJ205)*OFFSET(载具产出!$N$49,MATCH(AL$6,$AK$6:$AN$6,0)-1,0)),OFFSET(载具产出!G$59,$AJ205-1,0)*10+OFFSET(载具产出!K$59,$AJ205-1,0)+($AI205*10-_xlfn.XLOOKUP($AJ205-1,载具产出!$D$59:$D$67,载具产出!$E$59:$E$67))/10*(10*OFFSET(载具产出!$D$45,MATCH(AL$6,$AK$6:$AN$6,0)-1,$AJ205)+OFFSET(载具产出!$D$49,MATCH(AL$6,$AK$6:$AN$6,0)-1,$AJ205)*OFFSET(载具产出!$N$49,MATCH(AL$6,$AK$6:$AN$6,0)-1,0)))</f>
        <v>1780.85238095239</v>
      </c>
      <c r="AM205" s="44">
        <f ca="1">IF($AJ205=1,($AI205)*(10*OFFSET(载具产出!$D$45,MATCH(AM$6,$AK$6:$AN$6,0)-1,$AJ205)+OFFSET(载具产出!$D$49,MATCH(AM$6,$AK$6:$AN$6,0)-1,$AJ205)*OFFSET(载具产出!$N$49,MATCH(AM$6,$AK$6:$AN$6,0)-1,0)),OFFSET(载具产出!H$59,$AJ205-1,0)*10+OFFSET(载具产出!L$59,$AJ205-1,0)+($AI205*10-_xlfn.XLOOKUP($AJ205-1,载具产出!$D$59:$D$67,载具产出!$E$59:$E$67))/10*(10*OFFSET(载具产出!$D$45,MATCH(AM$6,$AK$6:$AN$6,0)-1,$AJ205)+OFFSET(载具产出!$D$49,MATCH(AM$6,$AK$6:$AN$6,0)-1,$AJ205)*OFFSET(载具产出!$N$49,MATCH(AM$6,$AK$6:$AN$6,0)-1,0)))</f>
        <v>965.988571428577</v>
      </c>
      <c r="AN205" s="44">
        <f ca="1">IF($AJ205=1,($AI205)*(10*OFFSET(载具产出!$D$45,MATCH(AN$6,$AK$6:$AN$6,0)-1,$AJ205)+OFFSET(载具产出!$D$49,MATCH(AN$6,$AK$6:$AN$6,0)-1,$AJ205)*OFFSET(载具产出!$N$49,MATCH(AN$6,$AK$6:$AN$6,0)-1,0)),OFFSET(载具产出!I$59,$AJ205-1,0)*10+OFFSET(载具产出!M$59,$AJ205-1,0)+($AI205*10-_xlfn.XLOOKUP($AJ205-1,载具产出!$D$59:$D$67,载具产出!$E$59:$E$67))/10*(10*OFFSET(载具产出!$D$45,MATCH(AN$6,$AK$6:$AN$6,0)-1,$AJ205)+OFFSET(载具产出!$D$49,MATCH(AN$6,$AK$6:$AN$6,0)-1,$AJ205)*OFFSET(载具产出!$N$49,MATCH(AN$6,$AK$6:$AN$6,0)-1,0)))</f>
        <v>296.519523809526</v>
      </c>
      <c r="AO205" s="44">
        <f ca="1" t="shared" si="41"/>
        <v>5646.74428571431</v>
      </c>
      <c r="AP205" s="44">
        <f ca="1" t="shared" si="42"/>
        <v>3106.45238095239</v>
      </c>
      <c r="AQ205" s="44">
        <f ca="1" t="shared" si="43"/>
        <v>1262.25523809524</v>
      </c>
      <c r="AR205" s="44">
        <f ca="1" t="shared" si="44"/>
        <v>296.519523809526</v>
      </c>
      <c r="AS205" s="45">
        <f ca="1">IFERROR(MATCH(AO205/载具产出!R$58,载具属性!$G$33:$G$92,1),0)</f>
        <v>35</v>
      </c>
      <c r="AT205" s="45">
        <f ca="1">IFERROR(MATCH(AP205/载具产出!S$58,载具属性!$G$33:$G$92,1),0)</f>
        <v>24</v>
      </c>
      <c r="AU205" s="45">
        <f ca="1">IFERROR(MATCH(AQ205/载具产出!T$58,载具属性!$G$33:$G$92,1),0)</f>
        <v>15</v>
      </c>
      <c r="AV205" s="45">
        <f ca="1">IFERROR(MATCH(AR205/载具产出!U$58,载具属性!$G$33:$G$92,1),0)</f>
        <v>5</v>
      </c>
      <c r="AW205" s="46" t="str">
        <f ca="1" t="shared" si="45"/>
        <v>[{62,1173},{63,142050},{2,404300},{6030001,3506},{6030002,3804},{6030003,846}]</v>
      </c>
      <c r="AX205" t="str">
        <f ca="1" t="shared" si="46"/>
        <v>{62,1173}</v>
      </c>
      <c r="AY205" t="str">
        <f ca="1" t="shared" si="47"/>
        <v>{63,142050}</v>
      </c>
      <c r="AZ205" t="str">
        <f ca="1" t="shared" si="48"/>
        <v>{2,404300}</v>
      </c>
      <c r="BA205" t="str">
        <f ca="1" t="shared" si="49"/>
        <v>{6030001,3506}</v>
      </c>
      <c r="BB205" t="str">
        <f ca="1" t="shared" si="50"/>
        <v>{6030002,3804}</v>
      </c>
      <c r="BC205" t="str">
        <f ca="1" t="shared" si="51"/>
        <v>{6030003,846}</v>
      </c>
      <c r="BD205" t="str">
        <f ca="1" t="shared" si="52"/>
        <v/>
      </c>
    </row>
    <row r="206" spans="3:56">
      <c r="C206">
        <f ca="1" t="shared" si="39"/>
        <v>120.61170212766</v>
      </c>
      <c r="D206" s="40">
        <v>200</v>
      </c>
      <c r="E206" s="40">
        <f t="shared" si="56"/>
        <v>122</v>
      </c>
      <c r="F206" s="40">
        <v>142</v>
      </c>
      <c r="G206" s="41">
        <f t="shared" si="55"/>
        <v>188</v>
      </c>
      <c r="H206" s="40">
        <f>H205</f>
        <v>242</v>
      </c>
      <c r="I206" s="40">
        <f t="shared" si="38"/>
        <v>426</v>
      </c>
      <c r="J206" s="40">
        <f t="shared" si="57"/>
        <v>426</v>
      </c>
      <c r="K206" s="40">
        <f ca="1">SUM(U$36:U206)-SUM(OFFSET(载具产出!H$399,0,0,$R206+1,1))</f>
        <v>1180</v>
      </c>
      <c r="L206" s="40">
        <f ca="1">SUM(T$36:T206)-SUM(OFFSET(载具产出!G$399,0,0,$R206+1,1))</f>
        <v>143115</v>
      </c>
      <c r="M206" s="40">
        <f ca="1">SUM(V$36:V206)/2-SUM(OFFSET(载具产出!I$399,0,0,$R206+1,1))</f>
        <v>407700</v>
      </c>
      <c r="N206" s="40">
        <f ca="1">SUM(AA$36:AA206)-SUM(OFFSET(载具产出!J$399,0,0,$R206+1,1))</f>
        <v>3524.6</v>
      </c>
      <c r="O206" s="40">
        <f ca="1">SUM(AB$36:AB206)-SUM(OFFSET(载具产出!K$399,0,0,$R206+1,1))</f>
        <v>3825.39999999998</v>
      </c>
      <c r="P206" s="40">
        <f ca="1">SUM(AC$36:AC206)-SUM(OFFSET(载具产出!L$399,0,0,$R206+1,1))</f>
        <v>859.719999999999</v>
      </c>
      <c r="Q206" s="40">
        <f ca="1">SUM(AD$36:AD206)-SUM(OFFSET(载具产出!M$399,0,0,$R206+1,1))</f>
        <v>-0.72</v>
      </c>
      <c r="R206" s="40">
        <v>17</v>
      </c>
      <c r="S206" s="40" t="str">
        <f ca="1">OFFSET(载具产出!$D$111,IFERROR(MATCH(OFFSET($D206,0,MATCH($D$5,$E$6:$H$6,0)),载具产出!$E$112:$E$151,1),0),0)</f>
        <v>珍惜Ⅴ</v>
      </c>
      <c r="T206" s="40">
        <f ca="1">OFFSET(载具产出!$F$399,IFERROR(MATCH(OFFSET($D206,0,MATCH($D$5,$E$6:$H$6,0)),载具产出!$E$400:$E$439,1),0),MATCH(T$6,载具产出!$G$399:$O$399,0))</f>
        <v>1065</v>
      </c>
      <c r="U206" s="40">
        <v>7</v>
      </c>
      <c r="V206" s="40">
        <f ca="1">OFFSET(载具产出!$F$399,IFERROR(MATCH(OFFSET($D206,0,MATCH($D$5,$E$6:$H$6,0)),载具产出!$E$400:$E$439,1),0),MATCH(V$6,载具产出!$G$399:$O$399,0))</f>
        <v>6800</v>
      </c>
      <c r="W206" s="43">
        <f ca="1">_xlfn.XLOOKUP(Z206,载具属性!$E$98:$E$497,载具属性!$G$98:$G$497)+6000+OFFSET(载具属性!L$33,AS206,0)*载具属性!M$30+OFFSET(载具属性!M$33,AT206,0)*载具属性!N$30+OFFSET(载具属性!N$33,AU206,0)*载具属性!O$30+OFFSET(载具属性!O$33,AV206,0)*载具属性!P$30</f>
        <v>22675</v>
      </c>
      <c r="X206" s="43">
        <f ca="1">_xlfn.XLOOKUP(Z206,载具属性!$E$98:$E$497,载具属性!$G$98:$G$497)</f>
        <v>10240</v>
      </c>
      <c r="Y206" s="43">
        <f ca="1">OFFSET(载具属性!L$33,AS206,0)*载具属性!M$30+OFFSET(载具属性!M$33,AT206,0)*载具属性!N$30+OFFSET(载具属性!N$33,AU206,0)*载具属性!O$30+OFFSET(载具属性!O$33,AV206,0)*载具属性!P$30</f>
        <v>6435</v>
      </c>
      <c r="Z206" s="40">
        <f ca="1">MATCH(SUM($T$7:T206),载具属性!$I$98:$I$497,1)</f>
        <v>154</v>
      </c>
      <c r="AA206" s="40">
        <f ca="1">OFFSET(载具产出!$F$399,IFERROR(MATCH(OFFSET($D206,0,MATCH($D$5,$E$6:$H$6,0)),载具产出!$E$112:$E$151,1),0),MATCH(AA$6,载具产出!$G$111:$O$111,0))*2</f>
        <v>18</v>
      </c>
      <c r="AB206" s="40">
        <f ca="1">OFFSET(载具产出!$F$399,IFERROR(MATCH(OFFSET($D206,0,MATCH($D$5,$E$6:$H$6,0)),载具产出!$E$112:$E$151,1),0),MATCH(AB$6,载具产出!$G$111:$O$111,0))*2</f>
        <v>20.72</v>
      </c>
      <c r="AC206" s="40">
        <f ca="1">OFFSET(载具产出!$F$399,IFERROR(MATCH(OFFSET($D206,0,MATCH($D$5,$E$6:$H$6,0)),载具产出!$E$112:$E$151,1),0),MATCH(AC$6,载具产出!$G$111:$O$111,0))*2</f>
        <v>13.28</v>
      </c>
      <c r="AD206" s="40">
        <f ca="1">OFFSET(载具产出!$F$399,IFERROR(MATCH(OFFSET($D206,0,MATCH($D$5,$E$6:$H$6,0)),载具产出!$E$112:$E$151,1),0),MATCH(AD$6,载具产出!$G$111:$O$111,0))*2</f>
        <v>0</v>
      </c>
      <c r="AE206" s="44">
        <f ca="1">SUM(AA$36:AA206)/3</f>
        <v>1244.8</v>
      </c>
      <c r="AF206" s="44">
        <f ca="1">SUM(AB$36:AB206)/3</f>
        <v>1332.50666666666</v>
      </c>
      <c r="AG206" s="44">
        <f ca="1">SUM(AC$36:AC206)/3</f>
        <v>300.693333333333</v>
      </c>
      <c r="AH206" s="44">
        <f ca="1">SUM(AD$36:AD206)/3</f>
        <v>0</v>
      </c>
      <c r="AI206" s="44">
        <f>_xlfn.XLOOKUP($D$5,载具产出!$D$71:$D$75,载具产出!$E$71:$E$75)*(D206-30+1)</f>
        <v>2011.28571428572</v>
      </c>
      <c r="AJ206" s="44">
        <f>IFERROR(MATCH(_xlfn.XLOOKUP($D$5,载具产出!$D$71:$D$75,载具产出!$E$71:$E$75)*(D206-30+1)*10,载具产出!$E$60:$E$67,1),0)+1</f>
        <v>7</v>
      </c>
      <c r="AK206" s="44">
        <f ca="1">IF($AJ206=1,($AI206)*(10*OFFSET(载具产出!$D$45,MATCH(AK$6,$AK$6:$AN$6,0)-1,$AJ206)+OFFSET(载具产出!$D$49,MATCH(AK$6,$AK$6:$AN$6,0)-1,$AJ206)*OFFSET(载具产出!$N$49,MATCH(AK$6,$AK$6:$AN$6,0)-1,0)),OFFSET(载具产出!F$59,$AJ206-1,0)*10+OFFSET(载具产出!J$59,$AJ206-1,0)+($AI206*10-_xlfn.XLOOKUP($AJ206-1,载具产出!$D$59:$D$67,载具产出!$E$59:$E$67))/10*(10*OFFSET(载具产出!$D$45,MATCH(AK$6,$AK$6:$AN$6,0)-1,$AJ206)+OFFSET(载具产出!$D$49,MATCH(AK$6,$AK$6:$AN$6,0)-1,$AJ206)*OFFSET(载具产出!$N$49,MATCH(AK$6,$AK$6:$AN$6,0)-1,0)))</f>
        <v>4432.78542857144</v>
      </c>
      <c r="AL206" s="44">
        <f ca="1">IF($AJ206=1,($AI206)*(10*OFFSET(载具产出!$D$45,MATCH(AL$6,$AK$6:$AN$6,0)-1,$AJ206)+OFFSET(载具产出!$D$49,MATCH(AL$6,$AK$6:$AN$6,0)-1,$AJ206)*OFFSET(载具产出!$N$49,MATCH(AL$6,$AK$6:$AN$6,0)-1,0)),OFFSET(载具产出!G$59,$AJ206-1,0)*10+OFFSET(载具产出!K$59,$AJ206-1,0)+($AI206*10-_xlfn.XLOOKUP($AJ206-1,载具产出!$D$59:$D$67,载具产出!$E$59:$E$67))/10*(10*OFFSET(载具产出!$D$45,MATCH(AL$6,$AK$6:$AN$6,0)-1,$AJ206)+OFFSET(载具产出!$D$49,MATCH(AL$6,$AK$6:$AN$6,0)-1,$AJ206)*OFFSET(载具产出!$N$49,MATCH(AL$6,$AK$6:$AN$6,0)-1,0)))</f>
        <v>1791.90857142858</v>
      </c>
      <c r="AM206" s="44">
        <f ca="1">IF($AJ206=1,($AI206)*(10*OFFSET(载具产出!$D$45,MATCH(AM$6,$AK$6:$AN$6,0)-1,$AJ206)+OFFSET(载具产出!$D$49,MATCH(AM$6,$AK$6:$AN$6,0)-1,$AJ206)*OFFSET(载具产出!$N$49,MATCH(AM$6,$AK$6:$AN$6,0)-1,0)),OFFSET(载具产出!H$59,$AJ206-1,0)*10+OFFSET(载具产出!L$59,$AJ206-1,0)+($AI206*10-_xlfn.XLOOKUP($AJ206-1,载具产出!$D$59:$D$67,载具产出!$E$59:$E$67))/10*(10*OFFSET(载具产出!$D$45,MATCH(AM$6,$AK$6:$AN$6,0)-1,$AJ206)+OFFSET(载具产出!$D$49,MATCH(AM$6,$AK$6:$AN$6,0)-1,$AJ206)*OFFSET(载具产出!$N$49,MATCH(AM$6,$AK$6:$AN$6,0)-1,0)))</f>
        <v>972.19885714286</v>
      </c>
      <c r="AN206" s="44">
        <f ca="1">IF($AJ206=1,($AI206)*(10*OFFSET(载具产出!$D$45,MATCH(AN$6,$AK$6:$AN$6,0)-1,$AJ206)+OFFSET(载具产出!$D$49,MATCH(AN$6,$AK$6:$AN$6,0)-1,$AJ206)*OFFSET(载具产出!$N$49,MATCH(AN$6,$AK$6:$AN$6,0)-1,0)),OFFSET(载具产出!I$59,$AJ206-1,0)*10+OFFSET(载具产出!M$59,$AJ206-1,0)+($AI206*10-_xlfn.XLOOKUP($AJ206-1,载具产出!$D$59:$D$67,载具产出!$E$59:$E$67))/10*(10*OFFSET(载具产出!$D$45,MATCH(AN$6,$AK$6:$AN$6,0)-1,$AJ206)+OFFSET(载具产出!$D$49,MATCH(AN$6,$AK$6:$AN$6,0)-1,$AJ206)*OFFSET(载具产出!$N$49,MATCH(AN$6,$AK$6:$AN$6,0)-1,0)))</f>
        <v>298.507285714287</v>
      </c>
      <c r="AO206" s="44">
        <f ca="1" t="shared" si="41"/>
        <v>5677.58542857144</v>
      </c>
      <c r="AP206" s="44">
        <f ca="1" t="shared" si="42"/>
        <v>3124.41523809524</v>
      </c>
      <c r="AQ206" s="44">
        <f ca="1" t="shared" si="43"/>
        <v>1272.89219047619</v>
      </c>
      <c r="AR206" s="44">
        <f ca="1" t="shared" si="44"/>
        <v>298.507285714287</v>
      </c>
      <c r="AS206" s="45">
        <f ca="1">IFERROR(MATCH(AO206/载具产出!R$58,载具属性!$G$33:$G$92,1),0)</f>
        <v>35</v>
      </c>
      <c r="AT206" s="45">
        <f ca="1">IFERROR(MATCH(AP206/载具产出!S$58,载具属性!$G$33:$G$92,1),0)</f>
        <v>24</v>
      </c>
      <c r="AU206" s="45">
        <f ca="1">IFERROR(MATCH(AQ206/载具产出!T$58,载具属性!$G$33:$G$92,1),0)</f>
        <v>15</v>
      </c>
      <c r="AV206" s="45">
        <f ca="1">IFERROR(MATCH(AR206/载具产出!U$58,载具属性!$G$33:$G$92,1),0)</f>
        <v>5</v>
      </c>
      <c r="AW206" s="46" t="str">
        <f ca="1" t="shared" si="45"/>
        <v>[{62,1180},{63,143115},{2,407700},{6030001,3524},{6030002,3825},{6030003,859}]</v>
      </c>
      <c r="AX206" t="str">
        <f ca="1" t="shared" si="46"/>
        <v>{62,1180}</v>
      </c>
      <c r="AY206" t="str">
        <f ca="1" t="shared" si="47"/>
        <v>{63,143115}</v>
      </c>
      <c r="AZ206" t="str">
        <f ca="1" t="shared" si="48"/>
        <v>{2,407700}</v>
      </c>
      <c r="BA206" t="str">
        <f ca="1" t="shared" si="49"/>
        <v>{6030001,3524}</v>
      </c>
      <c r="BB206" t="str">
        <f ca="1" t="shared" si="50"/>
        <v>{6030002,3825}</v>
      </c>
      <c r="BC206" t="str">
        <f ca="1" t="shared" si="51"/>
        <v>{6030003,859}</v>
      </c>
      <c r="BD206" t="str">
        <f ca="1" t="shared" si="52"/>
        <v/>
      </c>
    </row>
    <row r="207" spans="3:56">
      <c r="C207">
        <f ca="1" t="shared" si="39"/>
        <v>120.61170212766</v>
      </c>
      <c r="D207" s="40">
        <v>201</v>
      </c>
      <c r="E207" s="40">
        <f t="shared" si="56"/>
        <v>122</v>
      </c>
      <c r="F207" s="40">
        <v>142</v>
      </c>
      <c r="G207" s="41">
        <f t="shared" si="55"/>
        <v>188</v>
      </c>
      <c r="H207" s="40">
        <f>H206+1</f>
        <v>243</v>
      </c>
      <c r="I207" s="40">
        <f t="shared" si="38"/>
        <v>428</v>
      </c>
      <c r="J207" s="40">
        <f t="shared" si="57"/>
        <v>428</v>
      </c>
      <c r="K207" s="40">
        <f ca="1">SUM(U$36:U207)-SUM(OFFSET(载具产出!H$399,0,0,$R207+1,1))</f>
        <v>1187</v>
      </c>
      <c r="L207" s="40">
        <f ca="1">SUM(T$36:T207)-SUM(OFFSET(载具产出!G$399,0,0,$R207+1,1))</f>
        <v>144180</v>
      </c>
      <c r="M207" s="40">
        <f ca="1">SUM(V$36:V207)/2-SUM(OFFSET(载具产出!I$399,0,0,$R207+1,1))</f>
        <v>411100</v>
      </c>
      <c r="N207" s="40">
        <f ca="1">SUM(AA$36:AA207)-SUM(OFFSET(载具产出!J$399,0,0,$R207+1,1))</f>
        <v>3542.6</v>
      </c>
      <c r="O207" s="40">
        <f ca="1">SUM(AB$36:AB207)-SUM(OFFSET(载具产出!K$399,0,0,$R207+1,1))</f>
        <v>3846.11999999998</v>
      </c>
      <c r="P207" s="40">
        <f ca="1">SUM(AC$36:AC207)-SUM(OFFSET(载具产出!L$399,0,0,$R207+1,1))</f>
        <v>872.999999999999</v>
      </c>
      <c r="Q207" s="40">
        <f ca="1">SUM(AD$36:AD207)-SUM(OFFSET(载具产出!M$399,0,0,$R207+1,1))</f>
        <v>-0.72</v>
      </c>
      <c r="R207" s="40">
        <v>17</v>
      </c>
      <c r="S207" s="40" t="str">
        <f ca="1">OFFSET(载具产出!$D$111,IFERROR(MATCH(OFFSET($D207,0,MATCH($D$5,$E$6:$H$6,0)),载具产出!$E$112:$E$151,1),0),0)</f>
        <v>珍惜Ⅴ</v>
      </c>
      <c r="T207" s="40">
        <f ca="1">OFFSET(载具产出!$F$399,IFERROR(MATCH(OFFSET($D207,0,MATCH($D$5,$E$6:$H$6,0)),载具产出!$E$400:$E$439,1),0),MATCH(T$6,载具产出!$G$399:$O$399,0))</f>
        <v>1065</v>
      </c>
      <c r="U207" s="40">
        <v>7</v>
      </c>
      <c r="V207" s="40">
        <f ca="1">OFFSET(载具产出!$F$399,IFERROR(MATCH(OFFSET($D207,0,MATCH($D$5,$E$6:$H$6,0)),载具产出!$E$400:$E$439,1),0),MATCH(V$6,载具产出!$G$399:$O$399,0))</f>
        <v>6800</v>
      </c>
      <c r="W207" s="43">
        <f ca="1">_xlfn.XLOOKUP(Z207,载具属性!$E$98:$E$497,载具属性!$G$98:$G$497)+6000+OFFSET(载具属性!L$33,AS207,0)*载具属性!M$30+OFFSET(载具属性!M$33,AT207,0)*载具属性!N$30+OFFSET(载具属性!N$33,AU207,0)*载具属性!O$30+OFFSET(载具属性!O$33,AV207,0)*载具属性!P$30</f>
        <v>22675</v>
      </c>
      <c r="X207" s="43">
        <f ca="1">_xlfn.XLOOKUP(Z207,载具属性!$E$98:$E$497,载具属性!$G$98:$G$497)</f>
        <v>10240</v>
      </c>
      <c r="Y207" s="43">
        <f ca="1">OFFSET(载具属性!L$33,AS207,0)*载具属性!M$30+OFFSET(载具属性!M$33,AT207,0)*载具属性!N$30+OFFSET(载具属性!N$33,AU207,0)*载具属性!O$30+OFFSET(载具属性!O$33,AV207,0)*载具属性!P$30</f>
        <v>6435</v>
      </c>
      <c r="Z207" s="40">
        <f ca="1">MATCH(SUM($T$7:T207),载具属性!$I$98:$I$497,1)</f>
        <v>154</v>
      </c>
      <c r="AA207" s="40">
        <f ca="1">OFFSET(载具产出!$F$399,IFERROR(MATCH(OFFSET($D207,0,MATCH($D$5,$E$6:$H$6,0)),载具产出!$E$112:$E$151,1),0),MATCH(AA$6,载具产出!$G$111:$O$111,0))*2</f>
        <v>18</v>
      </c>
      <c r="AB207" s="40">
        <f ca="1">OFFSET(载具产出!$F$399,IFERROR(MATCH(OFFSET($D207,0,MATCH($D$5,$E$6:$H$6,0)),载具产出!$E$112:$E$151,1),0),MATCH(AB$6,载具产出!$G$111:$O$111,0))*2</f>
        <v>20.72</v>
      </c>
      <c r="AC207" s="40">
        <f ca="1">OFFSET(载具产出!$F$399,IFERROR(MATCH(OFFSET($D207,0,MATCH($D$5,$E$6:$H$6,0)),载具产出!$E$112:$E$151,1),0),MATCH(AC$6,载具产出!$G$111:$O$111,0))*2</f>
        <v>13.28</v>
      </c>
      <c r="AD207" s="40">
        <f ca="1">OFFSET(载具产出!$F$399,IFERROR(MATCH(OFFSET($D207,0,MATCH($D$5,$E$6:$H$6,0)),载具产出!$E$112:$E$151,1),0),MATCH(AD$6,载具产出!$G$111:$O$111,0))*2</f>
        <v>0</v>
      </c>
      <c r="AE207" s="44">
        <f ca="1">SUM(AA$36:AA207)/3</f>
        <v>1250.8</v>
      </c>
      <c r="AF207" s="44">
        <f ca="1">SUM(AB$36:AB207)/3</f>
        <v>1339.41333333333</v>
      </c>
      <c r="AG207" s="44">
        <f ca="1">SUM(AC$36:AC207)/3</f>
        <v>305.12</v>
      </c>
      <c r="AH207" s="44">
        <f ca="1">SUM(AD$36:AD207)/3</f>
        <v>0</v>
      </c>
      <c r="AI207" s="44">
        <f>_xlfn.XLOOKUP($D$5,载具产出!$D$71:$D$75,载具产出!$E$71:$E$75)*(D207-30+1)</f>
        <v>2023.04761904763</v>
      </c>
      <c r="AJ207" s="44">
        <f>IFERROR(MATCH(_xlfn.XLOOKUP($D$5,载具产出!$D$71:$D$75,载具产出!$E$71:$E$75)*(D207-30+1)*10,载具产出!$E$60:$E$67,1),0)+1</f>
        <v>7</v>
      </c>
      <c r="AK207" s="44">
        <f ca="1">IF($AJ207=1,($AI207)*(10*OFFSET(载具产出!$D$45,MATCH(AK$6,$AK$6:$AN$6,0)-1,$AJ207)+OFFSET(载具产出!$D$49,MATCH(AK$6,$AK$6:$AN$6,0)-1,$AJ207)*OFFSET(载具产出!$N$49,MATCH(AK$6,$AK$6:$AN$6,0)-1,0)),OFFSET(载具产出!F$59,$AJ207-1,0)*10+OFFSET(载具产出!J$59,$AJ207-1,0)+($AI207*10-_xlfn.XLOOKUP($AJ207-1,载具产出!$D$59:$D$67,载具产出!$E$59:$E$67))/10*(10*OFFSET(载具产出!$D$45,MATCH(AK$6,$AK$6:$AN$6,0)-1,$AJ207)+OFFSET(载具产出!$D$49,MATCH(AK$6,$AK$6:$AN$6,0)-1,$AJ207)*OFFSET(载具产出!$N$49,MATCH(AK$6,$AK$6:$AN$6,0)-1,0)))</f>
        <v>4457.62657142859</v>
      </c>
      <c r="AL207" s="44">
        <f ca="1">IF($AJ207=1,($AI207)*(10*OFFSET(载具产出!$D$45,MATCH(AL$6,$AK$6:$AN$6,0)-1,$AJ207)+OFFSET(载具产出!$D$49,MATCH(AL$6,$AK$6:$AN$6,0)-1,$AJ207)*OFFSET(载具产出!$N$49,MATCH(AL$6,$AK$6:$AN$6,0)-1,0)),OFFSET(载具产出!G$59,$AJ207-1,0)*10+OFFSET(载具产出!K$59,$AJ207-1,0)+($AI207*10-_xlfn.XLOOKUP($AJ207-1,载具产出!$D$59:$D$67,载具产出!$E$59:$E$67))/10*(10*OFFSET(载具产出!$D$45,MATCH(AL$6,$AK$6:$AN$6,0)-1,$AJ207)+OFFSET(载具产出!$D$49,MATCH(AL$6,$AK$6:$AN$6,0)-1,$AJ207)*OFFSET(载具产出!$N$49,MATCH(AL$6,$AK$6:$AN$6,0)-1,0)))</f>
        <v>1802.96476190477</v>
      </c>
      <c r="AM207" s="44">
        <f ca="1">IF($AJ207=1,($AI207)*(10*OFFSET(载具产出!$D$45,MATCH(AM$6,$AK$6:$AN$6,0)-1,$AJ207)+OFFSET(载具产出!$D$49,MATCH(AM$6,$AK$6:$AN$6,0)-1,$AJ207)*OFFSET(载具产出!$N$49,MATCH(AM$6,$AK$6:$AN$6,0)-1,0)),OFFSET(载具产出!H$59,$AJ207-1,0)*10+OFFSET(载具产出!L$59,$AJ207-1,0)+($AI207*10-_xlfn.XLOOKUP($AJ207-1,载具产出!$D$59:$D$67,载具产出!$E$59:$E$67))/10*(10*OFFSET(载具产出!$D$45,MATCH(AM$6,$AK$6:$AN$6,0)-1,$AJ207)+OFFSET(载具产出!$D$49,MATCH(AM$6,$AK$6:$AN$6,0)-1,$AJ207)*OFFSET(载具产出!$N$49,MATCH(AM$6,$AK$6:$AN$6,0)-1,0)))</f>
        <v>978.409142857149</v>
      </c>
      <c r="AN207" s="44">
        <f ca="1">IF($AJ207=1,($AI207)*(10*OFFSET(载具产出!$D$45,MATCH(AN$6,$AK$6:$AN$6,0)-1,$AJ207)+OFFSET(载具产出!$D$49,MATCH(AN$6,$AK$6:$AN$6,0)-1,$AJ207)*OFFSET(载具产出!$N$49,MATCH(AN$6,$AK$6:$AN$6,0)-1,0)),OFFSET(载具产出!I$59,$AJ207-1,0)*10+OFFSET(载具产出!M$59,$AJ207-1,0)+($AI207*10-_xlfn.XLOOKUP($AJ207-1,载具产出!$D$59:$D$67,载具产出!$E$59:$E$67))/10*(10*OFFSET(载具产出!$D$45,MATCH(AN$6,$AK$6:$AN$6,0)-1,$AJ207)+OFFSET(载具产出!$D$49,MATCH(AN$6,$AK$6:$AN$6,0)-1,$AJ207)*OFFSET(载具产出!$N$49,MATCH(AN$6,$AK$6:$AN$6,0)-1,0)))</f>
        <v>300.495047619049</v>
      </c>
      <c r="AO207" s="44">
        <f ca="1" t="shared" si="41"/>
        <v>5708.42657142859</v>
      </c>
      <c r="AP207" s="44">
        <f ca="1" t="shared" si="42"/>
        <v>3142.3780952381</v>
      </c>
      <c r="AQ207" s="44">
        <f ca="1" t="shared" si="43"/>
        <v>1283.52914285715</v>
      </c>
      <c r="AR207" s="44">
        <f ca="1" t="shared" si="44"/>
        <v>300.495047619049</v>
      </c>
      <c r="AS207" s="45">
        <f ca="1">IFERROR(MATCH(AO207/载具产出!R$58,载具属性!$G$33:$G$92,1),0)</f>
        <v>35</v>
      </c>
      <c r="AT207" s="45">
        <f ca="1">IFERROR(MATCH(AP207/载具产出!S$58,载具属性!$G$33:$G$92,1),0)</f>
        <v>24</v>
      </c>
      <c r="AU207" s="45">
        <f ca="1">IFERROR(MATCH(AQ207/载具产出!T$58,载具属性!$G$33:$G$92,1),0)</f>
        <v>15</v>
      </c>
      <c r="AV207" s="45">
        <f ca="1">IFERROR(MATCH(AR207/载具产出!U$58,载具属性!$G$33:$G$92,1),0)</f>
        <v>5</v>
      </c>
      <c r="AW207" s="46" t="str">
        <f ca="1" t="shared" si="45"/>
        <v>[{62,1187},{63,144180},{2,411100},{6030001,3542},{6030002,3846},{6030003,872}]</v>
      </c>
      <c r="AX207" t="str">
        <f ca="1" t="shared" si="46"/>
        <v>{62,1187}</v>
      </c>
      <c r="AY207" t="str">
        <f ca="1" t="shared" si="47"/>
        <v>{63,144180}</v>
      </c>
      <c r="AZ207" t="str">
        <f ca="1" t="shared" si="48"/>
        <v>{2,411100}</v>
      </c>
      <c r="BA207" t="str">
        <f ca="1" t="shared" si="49"/>
        <v>{6030001,3542}</v>
      </c>
      <c r="BB207" t="str">
        <f ca="1" t="shared" si="50"/>
        <v>{6030002,3846}</v>
      </c>
      <c r="BC207" t="str">
        <f ca="1" t="shared" si="51"/>
        <v>{6030003,872}</v>
      </c>
      <c r="BD207" t="str">
        <f ca="1" t="shared" si="52"/>
        <v/>
      </c>
    </row>
    <row r="208" spans="3:56">
      <c r="C208">
        <f ca="1" t="shared" si="39"/>
        <v>120.42328042328</v>
      </c>
      <c r="D208" s="40">
        <v>202</v>
      </c>
      <c r="E208" s="40">
        <f t="shared" si="56"/>
        <v>122</v>
      </c>
      <c r="F208" s="40">
        <v>142</v>
      </c>
      <c r="G208" s="41">
        <f t="shared" si="55"/>
        <v>189</v>
      </c>
      <c r="H208" s="40">
        <f>H207</f>
        <v>243</v>
      </c>
      <c r="I208" s="40">
        <f t="shared" si="38"/>
        <v>430</v>
      </c>
      <c r="J208" s="40">
        <f t="shared" si="57"/>
        <v>430</v>
      </c>
      <c r="K208" s="40">
        <f ca="1">SUM(U$36:U208)-SUM(OFFSET(载具产出!H$399,0,0,$R208+1,1))</f>
        <v>1194</v>
      </c>
      <c r="L208" s="40">
        <f ca="1">SUM(T$36:T208)-SUM(OFFSET(载具产出!G$399,0,0,$R208+1,1))</f>
        <v>145245</v>
      </c>
      <c r="M208" s="40">
        <f ca="1">SUM(V$36:V208)/2-SUM(OFFSET(载具产出!I$399,0,0,$R208+1,1))</f>
        <v>414500</v>
      </c>
      <c r="N208" s="40">
        <f ca="1">SUM(AA$36:AA208)-SUM(OFFSET(载具产出!J$399,0,0,$R208+1,1))</f>
        <v>3560.6</v>
      </c>
      <c r="O208" s="40">
        <f ca="1">SUM(AB$36:AB208)-SUM(OFFSET(载具产出!K$399,0,0,$R208+1,1))</f>
        <v>3866.83999999998</v>
      </c>
      <c r="P208" s="40">
        <f ca="1">SUM(AC$36:AC208)-SUM(OFFSET(载具产出!L$399,0,0,$R208+1,1))</f>
        <v>886.279999999999</v>
      </c>
      <c r="Q208" s="40">
        <f ca="1">SUM(AD$36:AD208)-SUM(OFFSET(载具产出!M$399,0,0,$R208+1,1))</f>
        <v>-0.72</v>
      </c>
      <c r="R208" s="40">
        <v>17</v>
      </c>
      <c r="S208" s="40" t="str">
        <f ca="1">OFFSET(载具产出!$D$111,IFERROR(MATCH(OFFSET($D208,0,MATCH($D$5,$E$6:$H$6,0)),载具产出!$E$112:$E$151,1),0),0)</f>
        <v>珍惜Ⅴ</v>
      </c>
      <c r="T208" s="40">
        <f ca="1">OFFSET(载具产出!$F$399,IFERROR(MATCH(OFFSET($D208,0,MATCH($D$5,$E$6:$H$6,0)),载具产出!$E$400:$E$439,1),0),MATCH(T$6,载具产出!$G$399:$O$399,0))</f>
        <v>1065</v>
      </c>
      <c r="U208" s="40">
        <v>7</v>
      </c>
      <c r="V208" s="40">
        <f ca="1">OFFSET(载具产出!$F$399,IFERROR(MATCH(OFFSET($D208,0,MATCH($D$5,$E$6:$H$6,0)),载具产出!$E$400:$E$439,1),0),MATCH(V$6,载具产出!$G$399:$O$399,0))</f>
        <v>6800</v>
      </c>
      <c r="W208" s="43">
        <f ca="1">_xlfn.XLOOKUP(Z208,载具属性!$E$98:$E$497,载具属性!$G$98:$G$497)+6000+OFFSET(载具属性!L$33,AS208,0)*载具属性!M$30+OFFSET(载具属性!M$33,AT208,0)*载具属性!N$30+OFFSET(载具属性!N$33,AU208,0)*载具属性!O$30+OFFSET(载具属性!O$33,AV208,0)*载具属性!P$30</f>
        <v>22760</v>
      </c>
      <c r="X208" s="43">
        <f ca="1">_xlfn.XLOOKUP(Z208,载具属性!$E$98:$E$497,载具属性!$G$98:$G$497)</f>
        <v>10325</v>
      </c>
      <c r="Y208" s="43">
        <f ca="1">OFFSET(载具属性!L$33,AS208,0)*载具属性!M$30+OFFSET(载具属性!M$33,AT208,0)*载具属性!N$30+OFFSET(载具属性!N$33,AU208,0)*载具属性!O$30+OFFSET(载具属性!O$33,AV208,0)*载具属性!P$30</f>
        <v>6435</v>
      </c>
      <c r="Z208" s="40">
        <f ca="1">MATCH(SUM($T$7:T208),载具属性!$I$98:$I$497,1)</f>
        <v>155</v>
      </c>
      <c r="AA208" s="40">
        <f ca="1">OFFSET(载具产出!$F$399,IFERROR(MATCH(OFFSET($D208,0,MATCH($D$5,$E$6:$H$6,0)),载具产出!$E$112:$E$151,1),0),MATCH(AA$6,载具产出!$G$111:$O$111,0))*2</f>
        <v>18</v>
      </c>
      <c r="AB208" s="40">
        <f ca="1">OFFSET(载具产出!$F$399,IFERROR(MATCH(OFFSET($D208,0,MATCH($D$5,$E$6:$H$6,0)),载具产出!$E$112:$E$151,1),0),MATCH(AB$6,载具产出!$G$111:$O$111,0))*2</f>
        <v>20.72</v>
      </c>
      <c r="AC208" s="40">
        <f ca="1">OFFSET(载具产出!$F$399,IFERROR(MATCH(OFFSET($D208,0,MATCH($D$5,$E$6:$H$6,0)),载具产出!$E$112:$E$151,1),0),MATCH(AC$6,载具产出!$G$111:$O$111,0))*2</f>
        <v>13.28</v>
      </c>
      <c r="AD208" s="40">
        <f ca="1">OFFSET(载具产出!$F$399,IFERROR(MATCH(OFFSET($D208,0,MATCH($D$5,$E$6:$H$6,0)),载具产出!$E$112:$E$151,1),0),MATCH(AD$6,载具产出!$G$111:$O$111,0))*2</f>
        <v>0</v>
      </c>
      <c r="AE208" s="44">
        <f ca="1">SUM(AA$36:AA208)/3</f>
        <v>1256.8</v>
      </c>
      <c r="AF208" s="44">
        <f ca="1">SUM(AB$36:AB208)/3</f>
        <v>1346.31999999999</v>
      </c>
      <c r="AG208" s="44">
        <f ca="1">SUM(AC$36:AC208)/3</f>
        <v>309.546666666666</v>
      </c>
      <c r="AH208" s="44">
        <f ca="1">SUM(AD$36:AD208)/3</f>
        <v>0</v>
      </c>
      <c r="AI208" s="44">
        <f>_xlfn.XLOOKUP($D$5,载具产出!$D$71:$D$75,载具产出!$E$71:$E$75)*(D208-30+1)</f>
        <v>2034.80952380953</v>
      </c>
      <c r="AJ208" s="44">
        <f>IFERROR(MATCH(_xlfn.XLOOKUP($D$5,载具产出!$D$71:$D$75,载具产出!$E$71:$E$75)*(D208-30+1)*10,载具产出!$E$60:$E$67,1),0)+1</f>
        <v>7</v>
      </c>
      <c r="AK208" s="44">
        <f ca="1">IF($AJ208=1,($AI208)*(10*OFFSET(载具产出!$D$45,MATCH(AK$6,$AK$6:$AN$6,0)-1,$AJ208)+OFFSET(载具产出!$D$49,MATCH(AK$6,$AK$6:$AN$6,0)-1,$AJ208)*OFFSET(载具产出!$N$49,MATCH(AK$6,$AK$6:$AN$6,0)-1,0)),OFFSET(载具产出!F$59,$AJ208-1,0)*10+OFFSET(载具产出!J$59,$AJ208-1,0)+($AI208*10-_xlfn.XLOOKUP($AJ208-1,载具产出!$D$59:$D$67,载具产出!$E$59:$E$67))/10*(10*OFFSET(载具产出!$D$45,MATCH(AK$6,$AK$6:$AN$6,0)-1,$AJ208)+OFFSET(载具产出!$D$49,MATCH(AK$6,$AK$6:$AN$6,0)-1,$AJ208)*OFFSET(载具产出!$N$49,MATCH(AK$6,$AK$6:$AN$6,0)-1,0)))</f>
        <v>4482.46771428573</v>
      </c>
      <c r="AL208" s="44">
        <f ca="1">IF($AJ208=1,($AI208)*(10*OFFSET(载具产出!$D$45,MATCH(AL$6,$AK$6:$AN$6,0)-1,$AJ208)+OFFSET(载具产出!$D$49,MATCH(AL$6,$AK$6:$AN$6,0)-1,$AJ208)*OFFSET(载具产出!$N$49,MATCH(AL$6,$AK$6:$AN$6,0)-1,0)),OFFSET(载具产出!G$59,$AJ208-1,0)*10+OFFSET(载具产出!K$59,$AJ208-1,0)+($AI208*10-_xlfn.XLOOKUP($AJ208-1,载具产出!$D$59:$D$67,载具产出!$E$59:$E$67))/10*(10*OFFSET(载具产出!$D$45,MATCH(AL$6,$AK$6:$AN$6,0)-1,$AJ208)+OFFSET(载具产出!$D$49,MATCH(AL$6,$AK$6:$AN$6,0)-1,$AJ208)*OFFSET(载具产出!$N$49,MATCH(AL$6,$AK$6:$AN$6,0)-1,0)))</f>
        <v>1814.02095238096</v>
      </c>
      <c r="AM208" s="44">
        <f ca="1">IF($AJ208=1,($AI208)*(10*OFFSET(载具产出!$D$45,MATCH(AM$6,$AK$6:$AN$6,0)-1,$AJ208)+OFFSET(载具产出!$D$49,MATCH(AM$6,$AK$6:$AN$6,0)-1,$AJ208)*OFFSET(载具产出!$N$49,MATCH(AM$6,$AK$6:$AN$6,0)-1,0)),OFFSET(载具产出!H$59,$AJ208-1,0)*10+OFFSET(载具产出!L$59,$AJ208-1,0)+($AI208*10-_xlfn.XLOOKUP($AJ208-1,载具产出!$D$59:$D$67,载具产出!$E$59:$E$67))/10*(10*OFFSET(载具产出!$D$45,MATCH(AM$6,$AK$6:$AN$6,0)-1,$AJ208)+OFFSET(载具产出!$D$49,MATCH(AM$6,$AK$6:$AN$6,0)-1,$AJ208)*OFFSET(载具产出!$N$49,MATCH(AM$6,$AK$6:$AN$6,0)-1,0)))</f>
        <v>984.619428571432</v>
      </c>
      <c r="AN208" s="44">
        <f ca="1">IF($AJ208=1,($AI208)*(10*OFFSET(载具产出!$D$45,MATCH(AN$6,$AK$6:$AN$6,0)-1,$AJ208)+OFFSET(载具产出!$D$49,MATCH(AN$6,$AK$6:$AN$6,0)-1,$AJ208)*OFFSET(载具产出!$N$49,MATCH(AN$6,$AK$6:$AN$6,0)-1,0)),OFFSET(载具产出!I$59,$AJ208-1,0)*10+OFFSET(载具产出!M$59,$AJ208-1,0)+($AI208*10-_xlfn.XLOOKUP($AJ208-1,载具产出!$D$59:$D$67,载具产出!$E$59:$E$67))/10*(10*OFFSET(载具产出!$D$45,MATCH(AN$6,$AK$6:$AN$6,0)-1,$AJ208)+OFFSET(载具产出!$D$49,MATCH(AN$6,$AK$6:$AN$6,0)-1,$AJ208)*OFFSET(载具产出!$N$49,MATCH(AN$6,$AK$6:$AN$6,0)-1,0)))</f>
        <v>302.48280952381</v>
      </c>
      <c r="AO208" s="44">
        <f ca="1" t="shared" si="41"/>
        <v>5739.26771428573</v>
      </c>
      <c r="AP208" s="44">
        <f ca="1" t="shared" si="42"/>
        <v>3160.34095238095</v>
      </c>
      <c r="AQ208" s="44">
        <f ca="1" t="shared" si="43"/>
        <v>1294.1660952381</v>
      </c>
      <c r="AR208" s="44">
        <f ca="1" t="shared" si="44"/>
        <v>302.48280952381</v>
      </c>
      <c r="AS208" s="45">
        <f ca="1">IFERROR(MATCH(AO208/载具产出!R$58,载具属性!$G$33:$G$92,1),0)</f>
        <v>35</v>
      </c>
      <c r="AT208" s="45">
        <f ca="1">IFERROR(MATCH(AP208/载具产出!S$58,载具属性!$G$33:$G$92,1),0)</f>
        <v>24</v>
      </c>
      <c r="AU208" s="45">
        <f ca="1">IFERROR(MATCH(AQ208/载具产出!T$58,载具属性!$G$33:$G$92,1),0)</f>
        <v>15</v>
      </c>
      <c r="AV208" s="45">
        <f ca="1">IFERROR(MATCH(AR208/载具产出!U$58,载具属性!$G$33:$G$92,1),0)</f>
        <v>5</v>
      </c>
      <c r="AW208" s="46" t="str">
        <f ca="1" t="shared" si="45"/>
        <v>[{62,1194},{63,145245},{2,414500},{6030001,3560},{6030002,3866},{6030003,886}]</v>
      </c>
      <c r="AX208" t="str">
        <f ca="1" t="shared" si="46"/>
        <v>{62,1194}</v>
      </c>
      <c r="AY208" t="str">
        <f ca="1" t="shared" si="47"/>
        <v>{63,145245}</v>
      </c>
      <c r="AZ208" t="str">
        <f ca="1" t="shared" si="48"/>
        <v>{2,414500}</v>
      </c>
      <c r="BA208" t="str">
        <f ca="1" t="shared" si="49"/>
        <v>{6030001,3560}</v>
      </c>
      <c r="BB208" t="str">
        <f ca="1" t="shared" si="50"/>
        <v>{6030002,3866}</v>
      </c>
      <c r="BC208" t="str">
        <f ca="1" t="shared" si="51"/>
        <v>{6030003,886}</v>
      </c>
      <c r="BD208" t="str">
        <f ca="1" t="shared" si="52"/>
        <v/>
      </c>
    </row>
    <row r="209" spans="3:56">
      <c r="C209">
        <f ca="1" t="shared" si="39"/>
        <v>120.42328042328</v>
      </c>
      <c r="D209" s="40">
        <v>203</v>
      </c>
      <c r="E209" s="40">
        <f t="shared" si="56"/>
        <v>122</v>
      </c>
      <c r="F209" s="40">
        <v>142</v>
      </c>
      <c r="G209" s="41">
        <f t="shared" si="55"/>
        <v>189</v>
      </c>
      <c r="H209" s="40">
        <f>H208+1</f>
        <v>244</v>
      </c>
      <c r="I209" s="40">
        <f t="shared" si="38"/>
        <v>432</v>
      </c>
      <c r="J209" s="40">
        <f t="shared" si="57"/>
        <v>432</v>
      </c>
      <c r="K209" s="40">
        <f ca="1">SUM(U$36:U209)-SUM(OFFSET(载具产出!H$399,0,0,$R209+1,1))</f>
        <v>1201</v>
      </c>
      <c r="L209" s="40">
        <f ca="1">SUM(T$36:T209)-SUM(OFFSET(载具产出!G$399,0,0,$R209+1,1))</f>
        <v>146310</v>
      </c>
      <c r="M209" s="40">
        <f ca="1">SUM(V$36:V209)/2-SUM(OFFSET(载具产出!I$399,0,0,$R209+1,1))</f>
        <v>417900</v>
      </c>
      <c r="N209" s="40">
        <f ca="1">SUM(AA$36:AA209)-SUM(OFFSET(载具产出!J$399,0,0,$R209+1,1))</f>
        <v>3578.6</v>
      </c>
      <c r="O209" s="40">
        <f ca="1">SUM(AB$36:AB209)-SUM(OFFSET(载具产出!K$399,0,0,$R209+1,1))</f>
        <v>3887.55999999998</v>
      </c>
      <c r="P209" s="40">
        <f ca="1">SUM(AC$36:AC209)-SUM(OFFSET(载具产出!L$399,0,0,$R209+1,1))</f>
        <v>899.559999999999</v>
      </c>
      <c r="Q209" s="40">
        <f ca="1">SUM(AD$36:AD209)-SUM(OFFSET(载具产出!M$399,0,0,$R209+1,1))</f>
        <v>-0.72</v>
      </c>
      <c r="R209" s="40">
        <v>17</v>
      </c>
      <c r="S209" s="40" t="str">
        <f ca="1">OFFSET(载具产出!$D$111,IFERROR(MATCH(OFFSET($D209,0,MATCH($D$5,$E$6:$H$6,0)),载具产出!$E$112:$E$151,1),0),0)</f>
        <v>珍惜Ⅴ</v>
      </c>
      <c r="T209" s="40">
        <f ca="1">OFFSET(载具产出!$F$399,IFERROR(MATCH(OFFSET($D209,0,MATCH($D$5,$E$6:$H$6,0)),载具产出!$E$400:$E$439,1),0),MATCH(T$6,载具产出!$G$399:$O$399,0))</f>
        <v>1065</v>
      </c>
      <c r="U209" s="40">
        <v>7</v>
      </c>
      <c r="V209" s="40">
        <f ca="1">OFFSET(载具产出!$F$399,IFERROR(MATCH(OFFSET($D209,0,MATCH($D$5,$E$6:$H$6,0)),载具产出!$E$400:$E$439,1),0),MATCH(V$6,载具产出!$G$399:$O$399,0))</f>
        <v>6800</v>
      </c>
      <c r="W209" s="43">
        <f ca="1">_xlfn.XLOOKUP(Z209,载具属性!$E$98:$E$497,载具属性!$G$98:$G$497)+6000+OFFSET(载具属性!L$33,AS209,0)*载具属性!M$30+OFFSET(载具属性!M$33,AT209,0)*载具属性!N$30+OFFSET(载具属性!N$33,AU209,0)*载具属性!O$30+OFFSET(载具属性!O$33,AV209,0)*载具属性!P$30</f>
        <v>22760</v>
      </c>
      <c r="X209" s="43">
        <f ca="1">_xlfn.XLOOKUP(Z209,载具属性!$E$98:$E$497,载具属性!$G$98:$G$497)</f>
        <v>10325</v>
      </c>
      <c r="Y209" s="43">
        <f ca="1">OFFSET(载具属性!L$33,AS209,0)*载具属性!M$30+OFFSET(载具属性!M$33,AT209,0)*载具属性!N$30+OFFSET(载具属性!N$33,AU209,0)*载具属性!O$30+OFFSET(载具属性!O$33,AV209,0)*载具属性!P$30</f>
        <v>6435</v>
      </c>
      <c r="Z209" s="40">
        <f ca="1">MATCH(SUM($T$7:T209),载具属性!$I$98:$I$497,1)</f>
        <v>155</v>
      </c>
      <c r="AA209" s="40">
        <f ca="1">OFFSET(载具产出!$F$399,IFERROR(MATCH(OFFSET($D209,0,MATCH($D$5,$E$6:$H$6,0)),载具产出!$E$112:$E$151,1),0),MATCH(AA$6,载具产出!$G$111:$O$111,0))*2</f>
        <v>18</v>
      </c>
      <c r="AB209" s="40">
        <f ca="1">OFFSET(载具产出!$F$399,IFERROR(MATCH(OFFSET($D209,0,MATCH($D$5,$E$6:$H$6,0)),载具产出!$E$112:$E$151,1),0),MATCH(AB$6,载具产出!$G$111:$O$111,0))*2</f>
        <v>20.72</v>
      </c>
      <c r="AC209" s="40">
        <f ca="1">OFFSET(载具产出!$F$399,IFERROR(MATCH(OFFSET($D209,0,MATCH($D$5,$E$6:$H$6,0)),载具产出!$E$112:$E$151,1),0),MATCH(AC$6,载具产出!$G$111:$O$111,0))*2</f>
        <v>13.28</v>
      </c>
      <c r="AD209" s="40">
        <f ca="1">OFFSET(载具产出!$F$399,IFERROR(MATCH(OFFSET($D209,0,MATCH($D$5,$E$6:$H$6,0)),载具产出!$E$112:$E$151,1),0),MATCH(AD$6,载具产出!$G$111:$O$111,0))*2</f>
        <v>0</v>
      </c>
      <c r="AE209" s="44">
        <f ca="1">SUM(AA$36:AA209)/3</f>
        <v>1262.8</v>
      </c>
      <c r="AF209" s="44">
        <f ca="1">SUM(AB$36:AB209)/3</f>
        <v>1353.22666666666</v>
      </c>
      <c r="AG209" s="44">
        <f ca="1">SUM(AC$36:AC209)/3</f>
        <v>313.973333333333</v>
      </c>
      <c r="AH209" s="44">
        <f ca="1">SUM(AD$36:AD209)/3</f>
        <v>0</v>
      </c>
      <c r="AI209" s="44">
        <f>_xlfn.XLOOKUP($D$5,载具产出!$D$71:$D$75,载具产出!$E$71:$E$75)*(D209-30+1)</f>
        <v>2046.57142857144</v>
      </c>
      <c r="AJ209" s="44">
        <f>IFERROR(MATCH(_xlfn.XLOOKUP($D$5,载具产出!$D$71:$D$75,载具产出!$E$71:$E$75)*(D209-30+1)*10,载具产出!$E$60:$E$67,1),0)+1</f>
        <v>7</v>
      </c>
      <c r="AK209" s="44">
        <f ca="1">IF($AJ209=1,($AI209)*(10*OFFSET(载具产出!$D$45,MATCH(AK$6,$AK$6:$AN$6,0)-1,$AJ209)+OFFSET(载具产出!$D$49,MATCH(AK$6,$AK$6:$AN$6,0)-1,$AJ209)*OFFSET(载具产出!$N$49,MATCH(AK$6,$AK$6:$AN$6,0)-1,0)),OFFSET(载具产出!F$59,$AJ209-1,0)*10+OFFSET(载具产出!J$59,$AJ209-1,0)+($AI209*10-_xlfn.XLOOKUP($AJ209-1,载具产出!$D$59:$D$67,载具产出!$E$59:$E$67))/10*(10*OFFSET(载具产出!$D$45,MATCH(AK$6,$AK$6:$AN$6,0)-1,$AJ209)+OFFSET(载具产出!$D$49,MATCH(AK$6,$AK$6:$AN$6,0)-1,$AJ209)*OFFSET(载具产出!$N$49,MATCH(AK$6,$AK$6:$AN$6,0)-1,0)))</f>
        <v>4507.30885714288</v>
      </c>
      <c r="AL209" s="44">
        <f ca="1">IF($AJ209=1,($AI209)*(10*OFFSET(载具产出!$D$45,MATCH(AL$6,$AK$6:$AN$6,0)-1,$AJ209)+OFFSET(载具产出!$D$49,MATCH(AL$6,$AK$6:$AN$6,0)-1,$AJ209)*OFFSET(载具产出!$N$49,MATCH(AL$6,$AK$6:$AN$6,0)-1,0)),OFFSET(载具产出!G$59,$AJ209-1,0)*10+OFFSET(载具产出!K$59,$AJ209-1,0)+($AI209*10-_xlfn.XLOOKUP($AJ209-1,载具产出!$D$59:$D$67,载具产出!$E$59:$E$67))/10*(10*OFFSET(载具产出!$D$45,MATCH(AL$6,$AK$6:$AN$6,0)-1,$AJ209)+OFFSET(载具产出!$D$49,MATCH(AL$6,$AK$6:$AN$6,0)-1,$AJ209)*OFFSET(载具产出!$N$49,MATCH(AL$6,$AK$6:$AN$6,0)-1,0)))</f>
        <v>1825.07714285715</v>
      </c>
      <c r="AM209" s="44">
        <f ca="1">IF($AJ209=1,($AI209)*(10*OFFSET(载具产出!$D$45,MATCH(AM$6,$AK$6:$AN$6,0)-1,$AJ209)+OFFSET(载具产出!$D$49,MATCH(AM$6,$AK$6:$AN$6,0)-1,$AJ209)*OFFSET(载具产出!$N$49,MATCH(AM$6,$AK$6:$AN$6,0)-1,0)),OFFSET(载具产出!H$59,$AJ209-1,0)*10+OFFSET(载具产出!L$59,$AJ209-1,0)+($AI209*10-_xlfn.XLOOKUP($AJ209-1,载具产出!$D$59:$D$67,载具产出!$E$59:$E$67))/10*(10*OFFSET(载具产出!$D$45,MATCH(AM$6,$AK$6:$AN$6,0)-1,$AJ209)+OFFSET(载具产出!$D$49,MATCH(AM$6,$AK$6:$AN$6,0)-1,$AJ209)*OFFSET(载具产出!$N$49,MATCH(AM$6,$AK$6:$AN$6,0)-1,0)))</f>
        <v>990.82971428572</v>
      </c>
      <c r="AN209" s="44">
        <f ca="1">IF($AJ209=1,($AI209)*(10*OFFSET(载具产出!$D$45,MATCH(AN$6,$AK$6:$AN$6,0)-1,$AJ209)+OFFSET(载具产出!$D$49,MATCH(AN$6,$AK$6:$AN$6,0)-1,$AJ209)*OFFSET(载具产出!$N$49,MATCH(AN$6,$AK$6:$AN$6,0)-1,0)),OFFSET(载具产出!I$59,$AJ209-1,0)*10+OFFSET(载具产出!M$59,$AJ209-1,0)+($AI209*10-_xlfn.XLOOKUP($AJ209-1,载具产出!$D$59:$D$67,载具产出!$E$59:$E$67))/10*(10*OFFSET(载具产出!$D$45,MATCH(AN$6,$AK$6:$AN$6,0)-1,$AJ209)+OFFSET(载具产出!$D$49,MATCH(AN$6,$AK$6:$AN$6,0)-1,$AJ209)*OFFSET(载具产出!$N$49,MATCH(AN$6,$AK$6:$AN$6,0)-1,0)))</f>
        <v>304.470571428573</v>
      </c>
      <c r="AO209" s="44">
        <f ca="1" t="shared" si="41"/>
        <v>5770.10885714288</v>
      </c>
      <c r="AP209" s="44">
        <f ca="1" t="shared" si="42"/>
        <v>3178.30380952381</v>
      </c>
      <c r="AQ209" s="44">
        <f ca="1" t="shared" si="43"/>
        <v>1304.80304761905</v>
      </c>
      <c r="AR209" s="44">
        <f ca="1" t="shared" si="44"/>
        <v>304.470571428573</v>
      </c>
      <c r="AS209" s="45">
        <f ca="1">IFERROR(MATCH(AO209/载具产出!R$58,载具属性!$G$33:$G$92,1),0)</f>
        <v>35</v>
      </c>
      <c r="AT209" s="45">
        <f ca="1">IFERROR(MATCH(AP209/载具产出!S$58,载具属性!$G$33:$G$92,1),0)</f>
        <v>24</v>
      </c>
      <c r="AU209" s="45">
        <f ca="1">IFERROR(MATCH(AQ209/载具产出!T$58,载具属性!$G$33:$G$92,1),0)</f>
        <v>15</v>
      </c>
      <c r="AV209" s="45">
        <f ca="1">IFERROR(MATCH(AR209/载具产出!U$58,载具属性!$G$33:$G$92,1),0)</f>
        <v>5</v>
      </c>
      <c r="AW209" s="46" t="str">
        <f ca="1" t="shared" si="45"/>
        <v>[{62,1201},{63,146310},{2,417900},{6030001,3578},{6030002,3887},{6030003,899}]</v>
      </c>
      <c r="AX209" t="str">
        <f ca="1" t="shared" si="46"/>
        <v>{62,1201}</v>
      </c>
      <c r="AY209" t="str">
        <f ca="1" t="shared" si="47"/>
        <v>{63,146310}</v>
      </c>
      <c r="AZ209" t="str">
        <f ca="1" t="shared" si="48"/>
        <v>{2,417900}</v>
      </c>
      <c r="BA209" t="str">
        <f ca="1" t="shared" si="49"/>
        <v>{6030001,3578}</v>
      </c>
      <c r="BB209" t="str">
        <f ca="1" t="shared" si="50"/>
        <v>{6030002,3887}</v>
      </c>
      <c r="BC209" t="str">
        <f ca="1" t="shared" si="51"/>
        <v>{6030003,899}</v>
      </c>
      <c r="BD209" t="str">
        <f ca="1" t="shared" si="52"/>
        <v/>
      </c>
    </row>
    <row r="210" spans="3:56">
      <c r="C210">
        <f ca="1" t="shared" si="39"/>
        <v>120.236842105263</v>
      </c>
      <c r="D210" s="40">
        <v>204</v>
      </c>
      <c r="E210" s="40">
        <f t="shared" si="56"/>
        <v>122</v>
      </c>
      <c r="F210" s="40">
        <v>143</v>
      </c>
      <c r="G210" s="41">
        <f t="shared" si="55"/>
        <v>190</v>
      </c>
      <c r="H210" s="40">
        <f>H209</f>
        <v>244</v>
      </c>
      <c r="I210" s="40">
        <f t="shared" si="38"/>
        <v>434</v>
      </c>
      <c r="J210" s="40">
        <f t="shared" si="57"/>
        <v>434</v>
      </c>
      <c r="K210" s="40">
        <f ca="1">SUM(U$36:U210)-SUM(OFFSET(载具产出!H$399,0,0,$R210+1,1))</f>
        <v>1208</v>
      </c>
      <c r="L210" s="40">
        <f ca="1">SUM(T$36:T210)-SUM(OFFSET(载具产出!G$399,0,0,$R210+1,1))</f>
        <v>147375</v>
      </c>
      <c r="M210" s="40">
        <f ca="1">SUM(V$36:V210)/2-SUM(OFFSET(载具产出!I$399,0,0,$R210+1,1))</f>
        <v>421300</v>
      </c>
      <c r="N210" s="40">
        <f ca="1">SUM(AA$36:AA210)-SUM(OFFSET(载具产出!J$399,0,0,$R210+1,1))</f>
        <v>3596.6</v>
      </c>
      <c r="O210" s="40">
        <f ca="1">SUM(AB$36:AB210)-SUM(OFFSET(载具产出!K$399,0,0,$R210+1,1))</f>
        <v>3908.27999999998</v>
      </c>
      <c r="P210" s="40">
        <f ca="1">SUM(AC$36:AC210)-SUM(OFFSET(载具产出!L$399,0,0,$R210+1,1))</f>
        <v>912.839999999999</v>
      </c>
      <c r="Q210" s="40">
        <f ca="1">SUM(AD$36:AD210)-SUM(OFFSET(载具产出!M$399,0,0,$R210+1,1))</f>
        <v>-0.72</v>
      </c>
      <c r="R210" s="40">
        <v>17</v>
      </c>
      <c r="S210" s="40" t="str">
        <f ca="1">OFFSET(载具产出!$D$111,IFERROR(MATCH(OFFSET($D210,0,MATCH($D$5,$E$6:$H$6,0)),载具产出!$E$112:$E$151,1),0),0)</f>
        <v>珍惜Ⅴ</v>
      </c>
      <c r="T210" s="40">
        <f ca="1">OFFSET(载具产出!$F$399,IFERROR(MATCH(OFFSET($D210,0,MATCH($D$5,$E$6:$H$6,0)),载具产出!$E$400:$E$439,1),0),MATCH(T$6,载具产出!$G$399:$O$399,0))</f>
        <v>1065</v>
      </c>
      <c r="U210" s="40">
        <v>7</v>
      </c>
      <c r="V210" s="40">
        <f ca="1">OFFSET(载具产出!$F$399,IFERROR(MATCH(OFFSET($D210,0,MATCH($D$5,$E$6:$H$6,0)),载具产出!$E$400:$E$439,1),0),MATCH(V$6,载具产出!$G$399:$O$399,0))</f>
        <v>6800</v>
      </c>
      <c r="W210" s="43">
        <f ca="1">_xlfn.XLOOKUP(Z210,载具属性!$E$98:$E$497,载具属性!$G$98:$G$497)+6000+OFFSET(载具属性!L$33,AS210,0)*载具属性!M$30+OFFSET(载具属性!M$33,AT210,0)*载具属性!N$30+OFFSET(载具属性!N$33,AU210,0)*载具属性!O$30+OFFSET(载具属性!O$33,AV210,0)*载具属性!P$30</f>
        <v>22845</v>
      </c>
      <c r="X210" s="43">
        <f ca="1">_xlfn.XLOOKUP(Z210,载具属性!$E$98:$E$497,载具属性!$G$98:$G$497)</f>
        <v>10410</v>
      </c>
      <c r="Y210" s="43">
        <f ca="1">OFFSET(载具属性!L$33,AS210,0)*载具属性!M$30+OFFSET(载具属性!M$33,AT210,0)*载具属性!N$30+OFFSET(载具属性!N$33,AU210,0)*载具属性!O$30+OFFSET(载具属性!O$33,AV210,0)*载具属性!P$30</f>
        <v>6435</v>
      </c>
      <c r="Z210" s="40">
        <f ca="1">MATCH(SUM($T$7:T210),载具属性!$I$98:$I$497,1)</f>
        <v>156</v>
      </c>
      <c r="AA210" s="40">
        <f ca="1">OFFSET(载具产出!$F$399,IFERROR(MATCH(OFFSET($D210,0,MATCH($D$5,$E$6:$H$6,0)),载具产出!$E$112:$E$151,1),0),MATCH(AA$6,载具产出!$G$111:$O$111,0))*2</f>
        <v>18</v>
      </c>
      <c r="AB210" s="40">
        <f ca="1">OFFSET(载具产出!$F$399,IFERROR(MATCH(OFFSET($D210,0,MATCH($D$5,$E$6:$H$6,0)),载具产出!$E$112:$E$151,1),0),MATCH(AB$6,载具产出!$G$111:$O$111,0))*2</f>
        <v>20.72</v>
      </c>
      <c r="AC210" s="40">
        <f ca="1">OFFSET(载具产出!$F$399,IFERROR(MATCH(OFFSET($D210,0,MATCH($D$5,$E$6:$H$6,0)),载具产出!$E$112:$E$151,1),0),MATCH(AC$6,载具产出!$G$111:$O$111,0))*2</f>
        <v>13.28</v>
      </c>
      <c r="AD210" s="40">
        <f ca="1">OFFSET(载具产出!$F$399,IFERROR(MATCH(OFFSET($D210,0,MATCH($D$5,$E$6:$H$6,0)),载具产出!$E$112:$E$151,1),0),MATCH(AD$6,载具产出!$G$111:$O$111,0))*2</f>
        <v>0</v>
      </c>
      <c r="AE210" s="44">
        <f ca="1">SUM(AA$36:AA210)/3</f>
        <v>1268.8</v>
      </c>
      <c r="AF210" s="44">
        <f ca="1">SUM(AB$36:AB210)/3</f>
        <v>1360.13333333333</v>
      </c>
      <c r="AG210" s="44">
        <f ca="1">SUM(AC$36:AC210)/3</f>
        <v>318.4</v>
      </c>
      <c r="AH210" s="44">
        <f ca="1">SUM(AD$36:AD210)/3</f>
        <v>0</v>
      </c>
      <c r="AI210" s="44">
        <f>_xlfn.XLOOKUP($D$5,载具产出!$D$71:$D$75,载具产出!$E$71:$E$75)*(D210-30+1)</f>
        <v>2058.33333333334</v>
      </c>
      <c r="AJ210" s="44">
        <f>IFERROR(MATCH(_xlfn.XLOOKUP($D$5,载具产出!$D$71:$D$75,载具产出!$E$71:$E$75)*(D210-30+1)*10,载具产出!$E$60:$E$67,1),0)+1</f>
        <v>7</v>
      </c>
      <c r="AK210" s="44">
        <f ca="1">IF($AJ210=1,($AI210)*(10*OFFSET(载具产出!$D$45,MATCH(AK$6,$AK$6:$AN$6,0)-1,$AJ210)+OFFSET(载具产出!$D$49,MATCH(AK$6,$AK$6:$AN$6,0)-1,$AJ210)*OFFSET(载具产出!$N$49,MATCH(AK$6,$AK$6:$AN$6,0)-1,0)),OFFSET(载具产出!F$59,$AJ210-1,0)*10+OFFSET(载具产出!J$59,$AJ210-1,0)+($AI210*10-_xlfn.XLOOKUP($AJ210-1,载具产出!$D$59:$D$67,载具产出!$E$59:$E$67))/10*(10*OFFSET(载具产出!$D$45,MATCH(AK$6,$AK$6:$AN$6,0)-1,$AJ210)+OFFSET(载具产出!$D$49,MATCH(AK$6,$AK$6:$AN$6,0)-1,$AJ210)*OFFSET(载具产出!$N$49,MATCH(AK$6,$AK$6:$AN$6,0)-1,0)))</f>
        <v>4532.15000000001</v>
      </c>
      <c r="AL210" s="44">
        <f ca="1">IF($AJ210=1,($AI210)*(10*OFFSET(载具产出!$D$45,MATCH(AL$6,$AK$6:$AN$6,0)-1,$AJ210)+OFFSET(载具产出!$D$49,MATCH(AL$6,$AK$6:$AN$6,0)-1,$AJ210)*OFFSET(载具产出!$N$49,MATCH(AL$6,$AK$6:$AN$6,0)-1,0)),OFFSET(载具产出!G$59,$AJ210-1,0)*10+OFFSET(载具产出!K$59,$AJ210-1,0)+($AI210*10-_xlfn.XLOOKUP($AJ210-1,载具产出!$D$59:$D$67,载具产出!$E$59:$E$67))/10*(10*OFFSET(载具产出!$D$45,MATCH(AL$6,$AK$6:$AN$6,0)-1,$AJ210)+OFFSET(载具产出!$D$49,MATCH(AL$6,$AK$6:$AN$6,0)-1,$AJ210)*OFFSET(载具产出!$N$49,MATCH(AL$6,$AK$6:$AN$6,0)-1,0)))</f>
        <v>1836.13333333334</v>
      </c>
      <c r="AM210" s="44">
        <f ca="1">IF($AJ210=1,($AI210)*(10*OFFSET(载具产出!$D$45,MATCH(AM$6,$AK$6:$AN$6,0)-1,$AJ210)+OFFSET(载具产出!$D$49,MATCH(AM$6,$AK$6:$AN$6,0)-1,$AJ210)*OFFSET(载具产出!$N$49,MATCH(AM$6,$AK$6:$AN$6,0)-1,0)),OFFSET(载具产出!H$59,$AJ210-1,0)*10+OFFSET(载具产出!L$59,$AJ210-1,0)+($AI210*10-_xlfn.XLOOKUP($AJ210-1,载具产出!$D$59:$D$67,载具产出!$E$59:$E$67))/10*(10*OFFSET(载具产出!$D$45,MATCH(AM$6,$AK$6:$AN$6,0)-1,$AJ210)+OFFSET(载具产出!$D$49,MATCH(AM$6,$AK$6:$AN$6,0)-1,$AJ210)*OFFSET(载具产出!$N$49,MATCH(AM$6,$AK$6:$AN$6,0)-1,0)))</f>
        <v>997.040000000003</v>
      </c>
      <c r="AN210" s="44">
        <f ca="1">IF($AJ210=1,($AI210)*(10*OFFSET(载具产出!$D$45,MATCH(AN$6,$AK$6:$AN$6,0)-1,$AJ210)+OFFSET(载具产出!$D$49,MATCH(AN$6,$AK$6:$AN$6,0)-1,$AJ210)*OFFSET(载具产出!$N$49,MATCH(AN$6,$AK$6:$AN$6,0)-1,0)),OFFSET(载具产出!I$59,$AJ210-1,0)*10+OFFSET(载具产出!M$59,$AJ210-1,0)+($AI210*10-_xlfn.XLOOKUP($AJ210-1,载具产出!$D$59:$D$67,载具产出!$E$59:$E$67))/10*(10*OFFSET(载具产出!$D$45,MATCH(AN$6,$AK$6:$AN$6,0)-1,$AJ210)+OFFSET(载具产出!$D$49,MATCH(AN$6,$AK$6:$AN$6,0)-1,$AJ210)*OFFSET(载具产出!$N$49,MATCH(AN$6,$AK$6:$AN$6,0)-1,0)))</f>
        <v>306.458333333334</v>
      </c>
      <c r="AO210" s="44">
        <f ca="1" t="shared" si="41"/>
        <v>5800.95000000001</v>
      </c>
      <c r="AP210" s="44">
        <f ca="1" t="shared" si="42"/>
        <v>3196.26666666667</v>
      </c>
      <c r="AQ210" s="44">
        <f ca="1" t="shared" si="43"/>
        <v>1315.44</v>
      </c>
      <c r="AR210" s="44">
        <f ca="1" t="shared" si="44"/>
        <v>306.458333333334</v>
      </c>
      <c r="AS210" s="45">
        <f ca="1">IFERROR(MATCH(AO210/载具产出!R$58,载具属性!$G$33:$G$92,1),0)</f>
        <v>35</v>
      </c>
      <c r="AT210" s="45">
        <f ca="1">IFERROR(MATCH(AP210/载具产出!S$58,载具属性!$G$33:$G$92,1),0)</f>
        <v>24</v>
      </c>
      <c r="AU210" s="45">
        <f ca="1">IFERROR(MATCH(AQ210/载具产出!T$58,载具属性!$G$33:$G$92,1),0)</f>
        <v>15</v>
      </c>
      <c r="AV210" s="45">
        <f ca="1">IFERROR(MATCH(AR210/载具产出!U$58,载具属性!$G$33:$G$92,1),0)</f>
        <v>5</v>
      </c>
      <c r="AW210" s="46" t="str">
        <f ca="1" t="shared" si="45"/>
        <v>[{62,1208},{63,147375},{2,421300},{6030001,3596},{6030002,3908},{6030003,912}]</v>
      </c>
      <c r="AX210" t="str">
        <f ca="1" t="shared" si="46"/>
        <v>{62,1208}</v>
      </c>
      <c r="AY210" t="str">
        <f ca="1" t="shared" si="47"/>
        <v>{63,147375}</v>
      </c>
      <c r="AZ210" t="str">
        <f ca="1" t="shared" si="48"/>
        <v>{2,421300}</v>
      </c>
      <c r="BA210" t="str">
        <f ca="1" t="shared" si="49"/>
        <v>{6030001,3596}</v>
      </c>
      <c r="BB210" t="str">
        <f ca="1" t="shared" si="50"/>
        <v>{6030002,3908}</v>
      </c>
      <c r="BC210" t="str">
        <f ca="1" t="shared" si="51"/>
        <v>{6030003,912}</v>
      </c>
      <c r="BD210" t="str">
        <f ca="1" t="shared" si="52"/>
        <v/>
      </c>
    </row>
    <row r="211" spans="3:56">
      <c r="C211">
        <f ca="1" t="shared" si="39"/>
        <v>120.552631578947</v>
      </c>
      <c r="D211" s="40">
        <v>205</v>
      </c>
      <c r="E211" s="40">
        <f t="shared" si="56"/>
        <v>123</v>
      </c>
      <c r="F211" s="40">
        <v>143</v>
      </c>
      <c r="G211" s="41">
        <f t="shared" si="55"/>
        <v>190</v>
      </c>
      <c r="H211" s="40">
        <f>H210+1</f>
        <v>245</v>
      </c>
      <c r="I211" s="40">
        <f t="shared" si="38"/>
        <v>436</v>
      </c>
      <c r="J211" s="40">
        <f t="shared" si="57"/>
        <v>436</v>
      </c>
      <c r="K211" s="40">
        <f ca="1">SUM(U$36:U211)-SUM(OFFSET(载具产出!H$399,0,0,$R211+1,1))</f>
        <v>1215</v>
      </c>
      <c r="L211" s="40">
        <f ca="1">SUM(T$36:T211)-SUM(OFFSET(载具产出!G$399,0,0,$R211+1,1))</f>
        <v>148440</v>
      </c>
      <c r="M211" s="40">
        <f ca="1">SUM(V$36:V211)/2-SUM(OFFSET(载具产出!I$399,0,0,$R211+1,1))</f>
        <v>424700</v>
      </c>
      <c r="N211" s="40">
        <f ca="1">SUM(AA$36:AA211)-SUM(OFFSET(载具产出!J$399,0,0,$R211+1,1))</f>
        <v>3614.6</v>
      </c>
      <c r="O211" s="40">
        <f ca="1">SUM(AB$36:AB211)-SUM(OFFSET(载具产出!K$399,0,0,$R211+1,1))</f>
        <v>3928.99999999998</v>
      </c>
      <c r="P211" s="40">
        <f ca="1">SUM(AC$36:AC211)-SUM(OFFSET(载具产出!L$399,0,0,$R211+1,1))</f>
        <v>926.119999999999</v>
      </c>
      <c r="Q211" s="40">
        <f ca="1">SUM(AD$36:AD211)-SUM(OFFSET(载具产出!M$399,0,0,$R211+1,1))</f>
        <v>-0.72</v>
      </c>
      <c r="R211" s="40">
        <v>17</v>
      </c>
      <c r="S211" s="40" t="str">
        <f ca="1">OFFSET(载具产出!$D$111,IFERROR(MATCH(OFFSET($D211,0,MATCH($D$5,$E$6:$H$6,0)),载具产出!$E$112:$E$151,1),0),0)</f>
        <v>珍惜Ⅴ</v>
      </c>
      <c r="T211" s="40">
        <f ca="1">OFFSET(载具产出!$F$399,IFERROR(MATCH(OFFSET($D211,0,MATCH($D$5,$E$6:$H$6,0)),载具产出!$E$400:$E$439,1),0),MATCH(T$6,载具产出!$G$399:$O$399,0))</f>
        <v>1065</v>
      </c>
      <c r="U211" s="40">
        <v>7</v>
      </c>
      <c r="V211" s="40">
        <f ca="1">OFFSET(载具产出!$F$399,IFERROR(MATCH(OFFSET($D211,0,MATCH($D$5,$E$6:$H$6,0)),载具产出!$E$400:$E$439,1),0),MATCH(V$6,载具产出!$G$399:$O$399,0))</f>
        <v>6800</v>
      </c>
      <c r="W211" s="43">
        <f ca="1">_xlfn.XLOOKUP(Z211,载具属性!$E$98:$E$497,载具属性!$G$98:$G$497)+6000+OFFSET(载具属性!L$33,AS211,0)*载具属性!M$30+OFFSET(载具属性!M$33,AT211,0)*载具属性!N$30+OFFSET(载具属性!N$33,AU211,0)*载具属性!O$30+OFFSET(载具属性!O$33,AV211,0)*载具属性!P$30</f>
        <v>22905</v>
      </c>
      <c r="X211" s="43">
        <f ca="1">_xlfn.XLOOKUP(Z211,载具属性!$E$98:$E$497,载具属性!$G$98:$G$497)</f>
        <v>10410</v>
      </c>
      <c r="Y211" s="43">
        <f ca="1">OFFSET(载具属性!L$33,AS211,0)*载具属性!M$30+OFFSET(载具属性!M$33,AT211,0)*载具属性!N$30+OFFSET(载具属性!N$33,AU211,0)*载具属性!O$30+OFFSET(载具属性!O$33,AV211,0)*载具属性!P$30</f>
        <v>6495</v>
      </c>
      <c r="Z211" s="40">
        <f ca="1">MATCH(SUM($T$7:T211),载具属性!$I$98:$I$497,1)</f>
        <v>156</v>
      </c>
      <c r="AA211" s="40">
        <f ca="1">OFFSET(载具产出!$F$399,IFERROR(MATCH(OFFSET($D211,0,MATCH($D$5,$E$6:$H$6,0)),载具产出!$E$112:$E$151,1),0),MATCH(AA$6,载具产出!$G$111:$O$111,0))*2</f>
        <v>18</v>
      </c>
      <c r="AB211" s="40">
        <f ca="1">OFFSET(载具产出!$F$399,IFERROR(MATCH(OFFSET($D211,0,MATCH($D$5,$E$6:$H$6,0)),载具产出!$E$112:$E$151,1),0),MATCH(AB$6,载具产出!$G$111:$O$111,0))*2</f>
        <v>20.72</v>
      </c>
      <c r="AC211" s="40">
        <f ca="1">OFFSET(载具产出!$F$399,IFERROR(MATCH(OFFSET($D211,0,MATCH($D$5,$E$6:$H$6,0)),载具产出!$E$112:$E$151,1),0),MATCH(AC$6,载具产出!$G$111:$O$111,0))*2</f>
        <v>13.28</v>
      </c>
      <c r="AD211" s="40">
        <f ca="1">OFFSET(载具产出!$F$399,IFERROR(MATCH(OFFSET($D211,0,MATCH($D$5,$E$6:$H$6,0)),载具产出!$E$112:$E$151,1),0),MATCH(AD$6,载具产出!$G$111:$O$111,0))*2</f>
        <v>0</v>
      </c>
      <c r="AE211" s="44">
        <f ca="1">SUM(AA$36:AA211)/3</f>
        <v>1274.8</v>
      </c>
      <c r="AF211" s="44">
        <f ca="1">SUM(AB$36:AB211)/3</f>
        <v>1367.03999999999</v>
      </c>
      <c r="AG211" s="44">
        <f ca="1">SUM(AC$36:AC211)/3</f>
        <v>322.826666666666</v>
      </c>
      <c r="AH211" s="44">
        <f ca="1">SUM(AD$36:AD211)/3</f>
        <v>0</v>
      </c>
      <c r="AI211" s="44">
        <f>_xlfn.XLOOKUP($D$5,载具产出!$D$71:$D$75,载具产出!$E$71:$E$75)*(D211-30+1)</f>
        <v>2070.09523809524</v>
      </c>
      <c r="AJ211" s="44">
        <f>IFERROR(MATCH(_xlfn.XLOOKUP($D$5,载具产出!$D$71:$D$75,载具产出!$E$71:$E$75)*(D211-30+1)*10,载具产出!$E$60:$E$67,1),0)+1</f>
        <v>7</v>
      </c>
      <c r="AK211" s="44">
        <f ca="1">IF($AJ211=1,($AI211)*(10*OFFSET(载具产出!$D$45,MATCH(AK$6,$AK$6:$AN$6,0)-1,$AJ211)+OFFSET(载具产出!$D$49,MATCH(AK$6,$AK$6:$AN$6,0)-1,$AJ211)*OFFSET(载具产出!$N$49,MATCH(AK$6,$AK$6:$AN$6,0)-1,0)),OFFSET(载具产出!F$59,$AJ211-1,0)*10+OFFSET(载具产出!J$59,$AJ211-1,0)+($AI211*10-_xlfn.XLOOKUP($AJ211-1,载具产出!$D$59:$D$67,载具产出!$E$59:$E$67))/10*(10*OFFSET(载具产出!$D$45,MATCH(AK$6,$AK$6:$AN$6,0)-1,$AJ211)+OFFSET(载具产出!$D$49,MATCH(AK$6,$AK$6:$AN$6,0)-1,$AJ211)*OFFSET(载具产出!$N$49,MATCH(AK$6,$AK$6:$AN$6,0)-1,0)))</f>
        <v>4556.99114285715</v>
      </c>
      <c r="AL211" s="44">
        <f ca="1">IF($AJ211=1,($AI211)*(10*OFFSET(载具产出!$D$45,MATCH(AL$6,$AK$6:$AN$6,0)-1,$AJ211)+OFFSET(载具产出!$D$49,MATCH(AL$6,$AK$6:$AN$6,0)-1,$AJ211)*OFFSET(载具产出!$N$49,MATCH(AL$6,$AK$6:$AN$6,0)-1,0)),OFFSET(载具产出!G$59,$AJ211-1,0)*10+OFFSET(载具产出!K$59,$AJ211-1,0)+($AI211*10-_xlfn.XLOOKUP($AJ211-1,载具产出!$D$59:$D$67,载具产出!$E$59:$E$67))/10*(10*OFFSET(载具产出!$D$45,MATCH(AL$6,$AK$6:$AN$6,0)-1,$AJ211)+OFFSET(载具产出!$D$49,MATCH(AL$6,$AK$6:$AN$6,0)-1,$AJ211)*OFFSET(载具产出!$N$49,MATCH(AL$6,$AK$6:$AN$6,0)-1,0)))</f>
        <v>1847.18952380953</v>
      </c>
      <c r="AM211" s="44">
        <f ca="1">IF($AJ211=1,($AI211)*(10*OFFSET(载具产出!$D$45,MATCH(AM$6,$AK$6:$AN$6,0)-1,$AJ211)+OFFSET(载具产出!$D$49,MATCH(AM$6,$AK$6:$AN$6,0)-1,$AJ211)*OFFSET(载具产出!$N$49,MATCH(AM$6,$AK$6:$AN$6,0)-1,0)),OFFSET(载具产出!H$59,$AJ211-1,0)*10+OFFSET(载具产出!L$59,$AJ211-1,0)+($AI211*10-_xlfn.XLOOKUP($AJ211-1,载具产出!$D$59:$D$67,载具产出!$E$59:$E$67))/10*(10*OFFSET(载具产出!$D$45,MATCH(AM$6,$AK$6:$AN$6,0)-1,$AJ211)+OFFSET(载具产出!$D$49,MATCH(AM$6,$AK$6:$AN$6,0)-1,$AJ211)*OFFSET(载具产出!$N$49,MATCH(AM$6,$AK$6:$AN$6,0)-1,0)))</f>
        <v>1003.25028571429</v>
      </c>
      <c r="AN211" s="44">
        <f ca="1">IF($AJ211=1,($AI211)*(10*OFFSET(载具产出!$D$45,MATCH(AN$6,$AK$6:$AN$6,0)-1,$AJ211)+OFFSET(载具产出!$D$49,MATCH(AN$6,$AK$6:$AN$6,0)-1,$AJ211)*OFFSET(载具产出!$N$49,MATCH(AN$6,$AK$6:$AN$6,0)-1,0)),OFFSET(载具产出!I$59,$AJ211-1,0)*10+OFFSET(载具产出!M$59,$AJ211-1,0)+($AI211*10-_xlfn.XLOOKUP($AJ211-1,载具产出!$D$59:$D$67,载具产出!$E$59:$E$67))/10*(10*OFFSET(载具产出!$D$45,MATCH(AN$6,$AK$6:$AN$6,0)-1,$AJ211)+OFFSET(载具产出!$D$49,MATCH(AN$6,$AK$6:$AN$6,0)-1,$AJ211)*OFFSET(载具产出!$N$49,MATCH(AN$6,$AK$6:$AN$6,0)-1,0)))</f>
        <v>308.446095238095</v>
      </c>
      <c r="AO211" s="44">
        <f ca="1" t="shared" si="41"/>
        <v>5831.79114285715</v>
      </c>
      <c r="AP211" s="44">
        <f ca="1" t="shared" si="42"/>
        <v>3214.22952380952</v>
      </c>
      <c r="AQ211" s="44">
        <f ca="1" t="shared" si="43"/>
        <v>1326.07695238095</v>
      </c>
      <c r="AR211" s="44">
        <f ca="1" t="shared" si="44"/>
        <v>308.446095238095</v>
      </c>
      <c r="AS211" s="45">
        <f ca="1">IFERROR(MATCH(AO211/载具产出!R$58,载具属性!$G$33:$G$92,1),0)</f>
        <v>36</v>
      </c>
      <c r="AT211" s="45">
        <f ca="1">IFERROR(MATCH(AP211/载具产出!S$58,载具属性!$G$33:$G$92,1),0)</f>
        <v>24</v>
      </c>
      <c r="AU211" s="45">
        <f ca="1">IFERROR(MATCH(AQ211/载具产出!T$58,载具属性!$G$33:$G$92,1),0)</f>
        <v>15</v>
      </c>
      <c r="AV211" s="45">
        <f ca="1">IFERROR(MATCH(AR211/载具产出!U$58,载具属性!$G$33:$G$92,1),0)</f>
        <v>5</v>
      </c>
      <c r="AW211" s="46" t="str">
        <f ca="1" t="shared" si="45"/>
        <v>[{62,1215},{63,148440},{2,424700},{6030001,3614},{6030002,3928},{6030003,926}]</v>
      </c>
      <c r="AX211" t="str">
        <f ca="1" t="shared" si="46"/>
        <v>{62,1215}</v>
      </c>
      <c r="AY211" t="str">
        <f ca="1" t="shared" si="47"/>
        <v>{63,148440}</v>
      </c>
      <c r="AZ211" t="str">
        <f ca="1" t="shared" si="48"/>
        <v>{2,424700}</v>
      </c>
      <c r="BA211" t="str">
        <f ca="1" t="shared" si="49"/>
        <v>{6030001,3614}</v>
      </c>
      <c r="BB211" t="str">
        <f ca="1" t="shared" si="50"/>
        <v>{6030002,3928}</v>
      </c>
      <c r="BC211" t="str">
        <f ca="1" t="shared" si="51"/>
        <v>{6030003,926}</v>
      </c>
      <c r="BD211" t="str">
        <f ca="1" t="shared" si="52"/>
        <v/>
      </c>
    </row>
    <row r="212" spans="3:56">
      <c r="C212">
        <f ca="1" t="shared" si="39"/>
        <v>120.837696335079</v>
      </c>
      <c r="D212" s="40">
        <v>206</v>
      </c>
      <c r="E212" s="40">
        <f t="shared" si="56"/>
        <v>123</v>
      </c>
      <c r="F212" s="40">
        <v>143</v>
      </c>
      <c r="G212" s="41">
        <f t="shared" si="55"/>
        <v>191</v>
      </c>
      <c r="H212" s="40">
        <f>H211</f>
        <v>245</v>
      </c>
      <c r="I212" s="40">
        <f t="shared" si="38"/>
        <v>438</v>
      </c>
      <c r="J212" s="40">
        <f t="shared" si="57"/>
        <v>438</v>
      </c>
      <c r="K212" s="40">
        <f ca="1">SUM(U$36:U212)-SUM(OFFSET(载具产出!H$399,0,0,$R212+1,1))</f>
        <v>1222</v>
      </c>
      <c r="L212" s="40">
        <f ca="1">SUM(T$36:T212)-SUM(OFFSET(载具产出!G$399,0,0,$R212+1,1))</f>
        <v>149505</v>
      </c>
      <c r="M212" s="40">
        <f ca="1">SUM(V$36:V212)/2-SUM(OFFSET(载具产出!I$399,0,0,$R212+1,1))</f>
        <v>428100</v>
      </c>
      <c r="N212" s="40">
        <f ca="1">SUM(AA$36:AA212)-SUM(OFFSET(载具产出!J$399,0,0,$R212+1,1))</f>
        <v>3632.6</v>
      </c>
      <c r="O212" s="40">
        <f ca="1">SUM(AB$36:AB212)-SUM(OFFSET(载具产出!K$399,0,0,$R212+1,1))</f>
        <v>3949.71999999998</v>
      </c>
      <c r="P212" s="40">
        <f ca="1">SUM(AC$36:AC212)-SUM(OFFSET(载具产出!L$399,0,0,$R212+1,1))</f>
        <v>939.399999999999</v>
      </c>
      <c r="Q212" s="40">
        <f ca="1">SUM(AD$36:AD212)-SUM(OFFSET(载具产出!M$399,0,0,$R212+1,1))</f>
        <v>-0.72</v>
      </c>
      <c r="R212" s="40">
        <v>17</v>
      </c>
      <c r="S212" s="40" t="str">
        <f ca="1">OFFSET(载具产出!$D$111,IFERROR(MATCH(OFFSET($D212,0,MATCH($D$5,$E$6:$H$6,0)),载具产出!$E$112:$E$151,1),0),0)</f>
        <v>珍惜Ⅴ</v>
      </c>
      <c r="T212" s="40">
        <f ca="1">OFFSET(载具产出!$F$399,IFERROR(MATCH(OFFSET($D212,0,MATCH($D$5,$E$6:$H$6,0)),载具产出!$E$400:$E$439,1),0),MATCH(T$6,载具产出!$G$399:$O$399,0))</f>
        <v>1065</v>
      </c>
      <c r="U212" s="40">
        <v>7</v>
      </c>
      <c r="V212" s="40">
        <f ca="1">OFFSET(载具产出!$F$399,IFERROR(MATCH(OFFSET($D212,0,MATCH($D$5,$E$6:$H$6,0)),载具产出!$E$400:$E$439,1),0),MATCH(V$6,载具产出!$G$399:$O$399,0))</f>
        <v>6800</v>
      </c>
      <c r="W212" s="43">
        <f ca="1">_xlfn.XLOOKUP(Z212,载具属性!$E$98:$E$497,载具属性!$G$98:$G$497)+6000+OFFSET(载具属性!L$33,AS212,0)*载具属性!M$30+OFFSET(载具属性!M$33,AT212,0)*载具属性!N$30+OFFSET(载具属性!N$33,AU212,0)*载具属性!O$30+OFFSET(载具属性!O$33,AV212,0)*载具属性!P$30</f>
        <v>23080</v>
      </c>
      <c r="X212" s="43">
        <f ca="1">_xlfn.XLOOKUP(Z212,载具属性!$E$98:$E$497,载具属性!$G$98:$G$497)</f>
        <v>10495</v>
      </c>
      <c r="Y212" s="43">
        <f ca="1">OFFSET(载具属性!L$33,AS212,0)*载具属性!M$30+OFFSET(载具属性!M$33,AT212,0)*载具属性!N$30+OFFSET(载具属性!N$33,AU212,0)*载具属性!O$30+OFFSET(载具属性!O$33,AV212,0)*载具属性!P$30</f>
        <v>6585</v>
      </c>
      <c r="Z212" s="40">
        <f ca="1">MATCH(SUM($T$7:T212),载具属性!$I$98:$I$497,1)</f>
        <v>157</v>
      </c>
      <c r="AA212" s="40">
        <f ca="1">OFFSET(载具产出!$F$399,IFERROR(MATCH(OFFSET($D212,0,MATCH($D$5,$E$6:$H$6,0)),载具产出!$E$112:$E$151,1),0),MATCH(AA$6,载具产出!$G$111:$O$111,0))*2</f>
        <v>18</v>
      </c>
      <c r="AB212" s="40">
        <f ca="1">OFFSET(载具产出!$F$399,IFERROR(MATCH(OFFSET($D212,0,MATCH($D$5,$E$6:$H$6,0)),载具产出!$E$112:$E$151,1),0),MATCH(AB$6,载具产出!$G$111:$O$111,0))*2</f>
        <v>20.72</v>
      </c>
      <c r="AC212" s="40">
        <f ca="1">OFFSET(载具产出!$F$399,IFERROR(MATCH(OFFSET($D212,0,MATCH($D$5,$E$6:$H$6,0)),载具产出!$E$112:$E$151,1),0),MATCH(AC$6,载具产出!$G$111:$O$111,0))*2</f>
        <v>13.28</v>
      </c>
      <c r="AD212" s="40">
        <f ca="1">OFFSET(载具产出!$F$399,IFERROR(MATCH(OFFSET($D212,0,MATCH($D$5,$E$6:$H$6,0)),载具产出!$E$112:$E$151,1),0),MATCH(AD$6,载具产出!$G$111:$O$111,0))*2</f>
        <v>0</v>
      </c>
      <c r="AE212" s="44">
        <f ca="1">SUM(AA$36:AA212)/3</f>
        <v>1280.8</v>
      </c>
      <c r="AF212" s="44">
        <f ca="1">SUM(AB$36:AB212)/3</f>
        <v>1373.94666666666</v>
      </c>
      <c r="AG212" s="44">
        <f ca="1">SUM(AC$36:AC212)/3</f>
        <v>327.253333333333</v>
      </c>
      <c r="AH212" s="44">
        <f ca="1">SUM(AD$36:AD212)/3</f>
        <v>0</v>
      </c>
      <c r="AI212" s="44">
        <f>_xlfn.XLOOKUP($D$5,载具产出!$D$71:$D$75,载具产出!$E$71:$E$75)*(D212-30+1)</f>
        <v>2081.85714285715</v>
      </c>
      <c r="AJ212" s="44">
        <f>IFERROR(MATCH(_xlfn.XLOOKUP($D$5,载具产出!$D$71:$D$75,载具产出!$E$71:$E$75)*(D212-30+1)*10,载具产出!$E$60:$E$67,1),0)+1</f>
        <v>7</v>
      </c>
      <c r="AK212" s="44">
        <f ca="1">IF($AJ212=1,($AI212)*(10*OFFSET(载具产出!$D$45,MATCH(AK$6,$AK$6:$AN$6,0)-1,$AJ212)+OFFSET(载具产出!$D$49,MATCH(AK$6,$AK$6:$AN$6,0)-1,$AJ212)*OFFSET(载具产出!$N$49,MATCH(AK$6,$AK$6:$AN$6,0)-1,0)),OFFSET(载具产出!F$59,$AJ212-1,0)*10+OFFSET(载具产出!J$59,$AJ212-1,0)+($AI212*10-_xlfn.XLOOKUP($AJ212-1,载具产出!$D$59:$D$67,载具产出!$E$59:$E$67))/10*(10*OFFSET(载具产出!$D$45,MATCH(AK$6,$AK$6:$AN$6,0)-1,$AJ212)+OFFSET(载具产出!$D$49,MATCH(AK$6,$AK$6:$AN$6,0)-1,$AJ212)*OFFSET(载具产出!$N$49,MATCH(AK$6,$AK$6:$AN$6,0)-1,0)))</f>
        <v>4581.8322857143</v>
      </c>
      <c r="AL212" s="44">
        <f ca="1">IF($AJ212=1,($AI212)*(10*OFFSET(载具产出!$D$45,MATCH(AL$6,$AK$6:$AN$6,0)-1,$AJ212)+OFFSET(载具产出!$D$49,MATCH(AL$6,$AK$6:$AN$6,0)-1,$AJ212)*OFFSET(载具产出!$N$49,MATCH(AL$6,$AK$6:$AN$6,0)-1,0)),OFFSET(载具产出!G$59,$AJ212-1,0)*10+OFFSET(载具产出!K$59,$AJ212-1,0)+($AI212*10-_xlfn.XLOOKUP($AJ212-1,载具产出!$D$59:$D$67,载具产出!$E$59:$E$67))/10*(10*OFFSET(载具产出!$D$45,MATCH(AL$6,$AK$6:$AN$6,0)-1,$AJ212)+OFFSET(载具产出!$D$49,MATCH(AL$6,$AK$6:$AN$6,0)-1,$AJ212)*OFFSET(载具产出!$N$49,MATCH(AL$6,$AK$6:$AN$6,0)-1,0)))</f>
        <v>1858.24571428572</v>
      </c>
      <c r="AM212" s="44">
        <f ca="1">IF($AJ212=1,($AI212)*(10*OFFSET(载具产出!$D$45,MATCH(AM$6,$AK$6:$AN$6,0)-1,$AJ212)+OFFSET(载具产出!$D$49,MATCH(AM$6,$AK$6:$AN$6,0)-1,$AJ212)*OFFSET(载具产出!$N$49,MATCH(AM$6,$AK$6:$AN$6,0)-1,0)),OFFSET(载具产出!H$59,$AJ212-1,0)*10+OFFSET(载具产出!L$59,$AJ212-1,0)+($AI212*10-_xlfn.XLOOKUP($AJ212-1,载具产出!$D$59:$D$67,载具产出!$E$59:$E$67))/10*(10*OFFSET(载具产出!$D$45,MATCH(AM$6,$AK$6:$AN$6,0)-1,$AJ212)+OFFSET(载具产出!$D$49,MATCH(AM$6,$AK$6:$AN$6,0)-1,$AJ212)*OFFSET(载具产出!$N$49,MATCH(AM$6,$AK$6:$AN$6,0)-1,0)))</f>
        <v>1009.46057142858</v>
      </c>
      <c r="AN212" s="44">
        <f ca="1">IF($AJ212=1,($AI212)*(10*OFFSET(载具产出!$D$45,MATCH(AN$6,$AK$6:$AN$6,0)-1,$AJ212)+OFFSET(载具产出!$D$49,MATCH(AN$6,$AK$6:$AN$6,0)-1,$AJ212)*OFFSET(载具产出!$N$49,MATCH(AN$6,$AK$6:$AN$6,0)-1,0)),OFFSET(载具产出!I$59,$AJ212-1,0)*10+OFFSET(载具产出!M$59,$AJ212-1,0)+($AI212*10-_xlfn.XLOOKUP($AJ212-1,载具产出!$D$59:$D$67,载具产出!$E$59:$E$67))/10*(10*OFFSET(载具产出!$D$45,MATCH(AN$6,$AK$6:$AN$6,0)-1,$AJ212)+OFFSET(载具产出!$D$49,MATCH(AN$6,$AK$6:$AN$6,0)-1,$AJ212)*OFFSET(载具产出!$N$49,MATCH(AN$6,$AK$6:$AN$6,0)-1,0)))</f>
        <v>310.433857142858</v>
      </c>
      <c r="AO212" s="44">
        <f ca="1" t="shared" si="41"/>
        <v>5862.6322857143</v>
      </c>
      <c r="AP212" s="44">
        <f ca="1" t="shared" si="42"/>
        <v>3232.19238095238</v>
      </c>
      <c r="AQ212" s="44">
        <f ca="1" t="shared" si="43"/>
        <v>1336.71390476191</v>
      </c>
      <c r="AR212" s="44">
        <f ca="1" t="shared" si="44"/>
        <v>310.433857142858</v>
      </c>
      <c r="AS212" s="45">
        <f ca="1">IFERROR(MATCH(AO212/载具产出!R$58,载具属性!$G$33:$G$92,1),0)</f>
        <v>36</v>
      </c>
      <c r="AT212" s="45">
        <f ca="1">IFERROR(MATCH(AP212/载具产出!S$58,载具属性!$G$33:$G$92,1),0)</f>
        <v>25</v>
      </c>
      <c r="AU212" s="45">
        <f ca="1">IFERROR(MATCH(AQ212/载具产出!T$58,载具属性!$G$33:$G$92,1),0)</f>
        <v>15</v>
      </c>
      <c r="AV212" s="45">
        <f ca="1">IFERROR(MATCH(AR212/载具产出!U$58,载具属性!$G$33:$G$92,1),0)</f>
        <v>5</v>
      </c>
      <c r="AW212" s="46" t="str">
        <f ca="1" t="shared" si="45"/>
        <v>[{62,1222},{63,149505},{2,428100},{6030001,3632},{6030002,3949},{6030003,939}]</v>
      </c>
      <c r="AX212" t="str">
        <f ca="1" t="shared" si="46"/>
        <v>{62,1222}</v>
      </c>
      <c r="AY212" t="str">
        <f ca="1" t="shared" si="47"/>
        <v>{63,149505}</v>
      </c>
      <c r="AZ212" t="str">
        <f ca="1" t="shared" si="48"/>
        <v>{2,428100}</v>
      </c>
      <c r="BA212" t="str">
        <f ca="1" t="shared" si="49"/>
        <v>{6030001,3632}</v>
      </c>
      <c r="BB212" t="str">
        <f ca="1" t="shared" si="50"/>
        <v>{6030002,3949}</v>
      </c>
      <c r="BC212" t="str">
        <f ca="1" t="shared" si="51"/>
        <v>{6030003,939}</v>
      </c>
      <c r="BD212" t="str">
        <f ca="1" t="shared" si="52"/>
        <v/>
      </c>
    </row>
    <row r="213" spans="3:56">
      <c r="C213">
        <f ca="1" t="shared" si="39"/>
        <v>120.837696335079</v>
      </c>
      <c r="D213" s="40">
        <v>207</v>
      </c>
      <c r="E213" s="40">
        <f t="shared" si="56"/>
        <v>123</v>
      </c>
      <c r="F213" s="40">
        <v>143</v>
      </c>
      <c r="G213" s="41">
        <f t="shared" si="55"/>
        <v>191</v>
      </c>
      <c r="H213" s="40">
        <f>H212+1</f>
        <v>246</v>
      </c>
      <c r="I213" s="40">
        <f t="shared" si="38"/>
        <v>440</v>
      </c>
      <c r="J213" s="40">
        <f t="shared" si="57"/>
        <v>440</v>
      </c>
      <c r="K213" s="40">
        <f ca="1">SUM(U$36:U213)-SUM(OFFSET(载具产出!H$399,0,0,$R213+1,1))</f>
        <v>1229</v>
      </c>
      <c r="L213" s="40">
        <f ca="1">SUM(T$36:T213)-SUM(OFFSET(载具产出!G$399,0,0,$R213+1,1))</f>
        <v>150570</v>
      </c>
      <c r="M213" s="40">
        <f ca="1">SUM(V$36:V213)/2-SUM(OFFSET(载具产出!I$399,0,0,$R213+1,1))</f>
        <v>431500</v>
      </c>
      <c r="N213" s="40">
        <f ca="1">SUM(AA$36:AA213)-SUM(OFFSET(载具产出!J$399,0,0,$R213+1,1))</f>
        <v>3650.6</v>
      </c>
      <c r="O213" s="40">
        <f ca="1">SUM(AB$36:AB213)-SUM(OFFSET(载具产出!K$399,0,0,$R213+1,1))</f>
        <v>3970.43999999998</v>
      </c>
      <c r="P213" s="40">
        <f ca="1">SUM(AC$36:AC213)-SUM(OFFSET(载具产出!L$399,0,0,$R213+1,1))</f>
        <v>952.679999999999</v>
      </c>
      <c r="Q213" s="40">
        <f ca="1">SUM(AD$36:AD213)-SUM(OFFSET(载具产出!M$399,0,0,$R213+1,1))</f>
        <v>-0.72</v>
      </c>
      <c r="R213" s="40">
        <v>17</v>
      </c>
      <c r="S213" s="40" t="str">
        <f ca="1">OFFSET(载具产出!$D$111,IFERROR(MATCH(OFFSET($D213,0,MATCH($D$5,$E$6:$H$6,0)),载具产出!$E$112:$E$151,1),0),0)</f>
        <v>珍惜Ⅴ</v>
      </c>
      <c r="T213" s="40">
        <f ca="1">OFFSET(载具产出!$F$399,IFERROR(MATCH(OFFSET($D213,0,MATCH($D$5,$E$6:$H$6,0)),载具产出!$E$400:$E$439,1),0),MATCH(T$6,载具产出!$G$399:$O$399,0))</f>
        <v>1065</v>
      </c>
      <c r="U213" s="40">
        <v>7</v>
      </c>
      <c r="V213" s="40">
        <f ca="1">OFFSET(载具产出!$F$399,IFERROR(MATCH(OFFSET($D213,0,MATCH($D$5,$E$6:$H$6,0)),载具产出!$E$400:$E$439,1),0),MATCH(V$6,载具产出!$G$399:$O$399,0))</f>
        <v>6800</v>
      </c>
      <c r="W213" s="43">
        <f ca="1">_xlfn.XLOOKUP(Z213,载具属性!$E$98:$E$497,载具属性!$G$98:$G$497)+6000+OFFSET(载具属性!L$33,AS213,0)*载具属性!M$30+OFFSET(载具属性!M$33,AT213,0)*载具属性!N$30+OFFSET(载具属性!N$33,AU213,0)*载具属性!O$30+OFFSET(载具属性!O$33,AV213,0)*载具属性!P$30</f>
        <v>23080</v>
      </c>
      <c r="X213" s="43">
        <f ca="1">_xlfn.XLOOKUP(Z213,载具属性!$E$98:$E$497,载具属性!$G$98:$G$497)</f>
        <v>10495</v>
      </c>
      <c r="Y213" s="43">
        <f ca="1">OFFSET(载具属性!L$33,AS213,0)*载具属性!M$30+OFFSET(载具属性!M$33,AT213,0)*载具属性!N$30+OFFSET(载具属性!N$33,AU213,0)*载具属性!O$30+OFFSET(载具属性!O$33,AV213,0)*载具属性!P$30</f>
        <v>6585</v>
      </c>
      <c r="Z213" s="40">
        <f ca="1">MATCH(SUM($T$7:T213),载具属性!$I$98:$I$497,1)</f>
        <v>157</v>
      </c>
      <c r="AA213" s="40">
        <f ca="1">OFFSET(载具产出!$F$399,IFERROR(MATCH(OFFSET($D213,0,MATCH($D$5,$E$6:$H$6,0)),载具产出!$E$112:$E$151,1),0),MATCH(AA$6,载具产出!$G$111:$O$111,0))*2</f>
        <v>18</v>
      </c>
      <c r="AB213" s="40">
        <f ca="1">OFFSET(载具产出!$F$399,IFERROR(MATCH(OFFSET($D213,0,MATCH($D$5,$E$6:$H$6,0)),载具产出!$E$112:$E$151,1),0),MATCH(AB$6,载具产出!$G$111:$O$111,0))*2</f>
        <v>20.72</v>
      </c>
      <c r="AC213" s="40">
        <f ca="1">OFFSET(载具产出!$F$399,IFERROR(MATCH(OFFSET($D213,0,MATCH($D$5,$E$6:$H$6,0)),载具产出!$E$112:$E$151,1),0),MATCH(AC$6,载具产出!$G$111:$O$111,0))*2</f>
        <v>13.28</v>
      </c>
      <c r="AD213" s="40">
        <f ca="1">OFFSET(载具产出!$F$399,IFERROR(MATCH(OFFSET($D213,0,MATCH($D$5,$E$6:$H$6,0)),载具产出!$E$112:$E$151,1),0),MATCH(AD$6,载具产出!$G$111:$O$111,0))*2</f>
        <v>0</v>
      </c>
      <c r="AE213" s="44">
        <f ca="1">SUM(AA$36:AA213)/3</f>
        <v>1286.8</v>
      </c>
      <c r="AF213" s="44">
        <f ca="1">SUM(AB$36:AB213)/3</f>
        <v>1380.85333333333</v>
      </c>
      <c r="AG213" s="44">
        <f ca="1">SUM(AC$36:AC213)/3</f>
        <v>331.68</v>
      </c>
      <c r="AH213" s="44">
        <f ca="1">SUM(AD$36:AD213)/3</f>
        <v>0</v>
      </c>
      <c r="AI213" s="44">
        <f>_xlfn.XLOOKUP($D$5,载具产出!$D$71:$D$75,载具产出!$E$71:$E$75)*(D213-30+1)</f>
        <v>2093.61904761905</v>
      </c>
      <c r="AJ213" s="44">
        <f>IFERROR(MATCH(_xlfn.XLOOKUP($D$5,载具产出!$D$71:$D$75,载具产出!$E$71:$E$75)*(D213-30+1)*10,载具产出!$E$60:$E$67,1),0)+1</f>
        <v>7</v>
      </c>
      <c r="AK213" s="44">
        <f ca="1">IF($AJ213=1,($AI213)*(10*OFFSET(载具产出!$D$45,MATCH(AK$6,$AK$6:$AN$6,0)-1,$AJ213)+OFFSET(载具产出!$D$49,MATCH(AK$6,$AK$6:$AN$6,0)-1,$AJ213)*OFFSET(载具产出!$N$49,MATCH(AK$6,$AK$6:$AN$6,0)-1,0)),OFFSET(载具产出!F$59,$AJ213-1,0)*10+OFFSET(载具产出!J$59,$AJ213-1,0)+($AI213*10-_xlfn.XLOOKUP($AJ213-1,载具产出!$D$59:$D$67,载具产出!$E$59:$E$67))/10*(10*OFFSET(载具产出!$D$45,MATCH(AK$6,$AK$6:$AN$6,0)-1,$AJ213)+OFFSET(载具产出!$D$49,MATCH(AK$6,$AK$6:$AN$6,0)-1,$AJ213)*OFFSET(载具产出!$N$49,MATCH(AK$6,$AK$6:$AN$6,0)-1,0)))</f>
        <v>4606.67342857143</v>
      </c>
      <c r="AL213" s="44">
        <f ca="1">IF($AJ213=1,($AI213)*(10*OFFSET(载具产出!$D$45,MATCH(AL$6,$AK$6:$AN$6,0)-1,$AJ213)+OFFSET(载具产出!$D$49,MATCH(AL$6,$AK$6:$AN$6,0)-1,$AJ213)*OFFSET(载具产出!$N$49,MATCH(AL$6,$AK$6:$AN$6,0)-1,0)),OFFSET(载具产出!G$59,$AJ213-1,0)*10+OFFSET(载具产出!K$59,$AJ213-1,0)+($AI213*10-_xlfn.XLOOKUP($AJ213-1,载具产出!$D$59:$D$67,载具产出!$E$59:$E$67))/10*(10*OFFSET(载具产出!$D$45,MATCH(AL$6,$AK$6:$AN$6,0)-1,$AJ213)+OFFSET(载具产出!$D$49,MATCH(AL$6,$AK$6:$AN$6,0)-1,$AJ213)*OFFSET(载具产出!$N$49,MATCH(AL$6,$AK$6:$AN$6,0)-1,0)))</f>
        <v>1869.30190476191</v>
      </c>
      <c r="AM213" s="44">
        <f ca="1">IF($AJ213=1,($AI213)*(10*OFFSET(载具产出!$D$45,MATCH(AM$6,$AK$6:$AN$6,0)-1,$AJ213)+OFFSET(载具产出!$D$49,MATCH(AM$6,$AK$6:$AN$6,0)-1,$AJ213)*OFFSET(载具产出!$N$49,MATCH(AM$6,$AK$6:$AN$6,0)-1,0)),OFFSET(载具产出!H$59,$AJ213-1,0)*10+OFFSET(载具产出!L$59,$AJ213-1,0)+($AI213*10-_xlfn.XLOOKUP($AJ213-1,载具产出!$D$59:$D$67,载具产出!$E$59:$E$67))/10*(10*OFFSET(载具产出!$D$45,MATCH(AM$6,$AK$6:$AN$6,0)-1,$AJ213)+OFFSET(载具产出!$D$49,MATCH(AM$6,$AK$6:$AN$6,0)-1,$AJ213)*OFFSET(载具产出!$N$49,MATCH(AM$6,$AK$6:$AN$6,0)-1,0)))</f>
        <v>1015.67085714286</v>
      </c>
      <c r="AN213" s="44">
        <f ca="1">IF($AJ213=1,($AI213)*(10*OFFSET(载具产出!$D$45,MATCH(AN$6,$AK$6:$AN$6,0)-1,$AJ213)+OFFSET(载具产出!$D$49,MATCH(AN$6,$AK$6:$AN$6,0)-1,$AJ213)*OFFSET(载具产出!$N$49,MATCH(AN$6,$AK$6:$AN$6,0)-1,0)),OFFSET(载具产出!I$59,$AJ213-1,0)*10+OFFSET(载具产出!M$59,$AJ213-1,0)+($AI213*10-_xlfn.XLOOKUP($AJ213-1,载具产出!$D$59:$D$67,载具产出!$E$59:$E$67))/10*(10*OFFSET(载具产出!$D$45,MATCH(AN$6,$AK$6:$AN$6,0)-1,$AJ213)+OFFSET(载具产出!$D$49,MATCH(AN$6,$AK$6:$AN$6,0)-1,$AJ213)*OFFSET(载具产出!$N$49,MATCH(AN$6,$AK$6:$AN$6,0)-1,0)))</f>
        <v>312.421619047619</v>
      </c>
      <c r="AO213" s="44">
        <f ca="1" t="shared" si="41"/>
        <v>5893.47342857143</v>
      </c>
      <c r="AP213" s="44">
        <f ca="1" t="shared" si="42"/>
        <v>3250.15523809523</v>
      </c>
      <c r="AQ213" s="44">
        <f ca="1" t="shared" si="43"/>
        <v>1347.35085714286</v>
      </c>
      <c r="AR213" s="44">
        <f ca="1" t="shared" si="44"/>
        <v>312.421619047619</v>
      </c>
      <c r="AS213" s="45">
        <f ca="1">IFERROR(MATCH(AO213/载具产出!R$58,载具属性!$G$33:$G$92,1),0)</f>
        <v>36</v>
      </c>
      <c r="AT213" s="45">
        <f ca="1">IFERROR(MATCH(AP213/载具产出!S$58,载具属性!$G$33:$G$92,1),0)</f>
        <v>25</v>
      </c>
      <c r="AU213" s="45">
        <f ca="1">IFERROR(MATCH(AQ213/载具产出!T$58,载具属性!$G$33:$G$92,1),0)</f>
        <v>15</v>
      </c>
      <c r="AV213" s="45">
        <f ca="1">IFERROR(MATCH(AR213/载具产出!U$58,载具属性!$G$33:$G$92,1),0)</f>
        <v>5</v>
      </c>
      <c r="AW213" s="46" t="str">
        <f ca="1" t="shared" si="45"/>
        <v>[{62,1229},{63,150570},{2,431500},{6030001,3650},{6030002,3970},{6030003,952}]</v>
      </c>
      <c r="AX213" t="str">
        <f ca="1" t="shared" si="46"/>
        <v>{62,1229}</v>
      </c>
      <c r="AY213" t="str">
        <f ca="1" t="shared" si="47"/>
        <v>{63,150570}</v>
      </c>
      <c r="AZ213" t="str">
        <f ca="1" t="shared" si="48"/>
        <v>{2,431500}</v>
      </c>
      <c r="BA213" t="str">
        <f ca="1" t="shared" si="49"/>
        <v>{6030001,3650}</v>
      </c>
      <c r="BB213" t="str">
        <f ca="1" t="shared" si="50"/>
        <v>{6030002,3970}</v>
      </c>
      <c r="BC213" t="str">
        <f ca="1" t="shared" si="51"/>
        <v>{6030003,952}</v>
      </c>
      <c r="BD213" t="str">
        <f ca="1" t="shared" si="52"/>
        <v/>
      </c>
    </row>
    <row r="214" spans="3:56">
      <c r="C214">
        <f ca="1" t="shared" si="39"/>
        <v>120.651041666667</v>
      </c>
      <c r="D214" s="40">
        <v>208</v>
      </c>
      <c r="E214" s="40">
        <f t="shared" si="56"/>
        <v>123</v>
      </c>
      <c r="F214" s="40">
        <v>143</v>
      </c>
      <c r="G214" s="41">
        <f t="shared" si="55"/>
        <v>192</v>
      </c>
      <c r="H214" s="40">
        <f>H213</f>
        <v>246</v>
      </c>
      <c r="I214" s="40">
        <f t="shared" si="38"/>
        <v>442</v>
      </c>
      <c r="J214" s="40">
        <f t="shared" si="57"/>
        <v>442</v>
      </c>
      <c r="K214" s="40">
        <f ca="1">SUM(U$36:U214)-SUM(OFFSET(载具产出!H$399,0,0,$R214+1,1))</f>
        <v>1236</v>
      </c>
      <c r="L214" s="40">
        <f ca="1">SUM(T$36:T214)-SUM(OFFSET(载具产出!G$399,0,0,$R214+1,1))</f>
        <v>151635</v>
      </c>
      <c r="M214" s="40">
        <f ca="1">SUM(V$36:V214)/2-SUM(OFFSET(载具产出!I$399,0,0,$R214+1,1))</f>
        <v>434900</v>
      </c>
      <c r="N214" s="40">
        <f ca="1">SUM(AA$36:AA214)-SUM(OFFSET(载具产出!J$399,0,0,$R214+1,1))</f>
        <v>3668.6</v>
      </c>
      <c r="O214" s="40">
        <f ca="1">SUM(AB$36:AB214)-SUM(OFFSET(载具产出!K$399,0,0,$R214+1,1))</f>
        <v>3991.15999999998</v>
      </c>
      <c r="P214" s="40">
        <f ca="1">SUM(AC$36:AC214)-SUM(OFFSET(载具产出!L$399,0,0,$R214+1,1))</f>
        <v>965.959999999999</v>
      </c>
      <c r="Q214" s="40">
        <f ca="1">SUM(AD$36:AD214)-SUM(OFFSET(载具产出!M$399,0,0,$R214+1,1))</f>
        <v>-0.72</v>
      </c>
      <c r="R214" s="40">
        <v>17</v>
      </c>
      <c r="S214" s="40" t="str">
        <f ca="1">OFFSET(载具产出!$D$111,IFERROR(MATCH(OFFSET($D214,0,MATCH($D$5,$E$6:$H$6,0)),载具产出!$E$112:$E$151,1),0),0)</f>
        <v>珍惜Ⅴ</v>
      </c>
      <c r="T214" s="40">
        <f ca="1">OFFSET(载具产出!$F$399,IFERROR(MATCH(OFFSET($D214,0,MATCH($D$5,$E$6:$H$6,0)),载具产出!$E$400:$E$439,1),0),MATCH(T$6,载具产出!$G$399:$O$399,0))</f>
        <v>1065</v>
      </c>
      <c r="U214" s="40">
        <v>7</v>
      </c>
      <c r="V214" s="40">
        <f ca="1">OFFSET(载具产出!$F$399,IFERROR(MATCH(OFFSET($D214,0,MATCH($D$5,$E$6:$H$6,0)),载具产出!$E$400:$E$439,1),0),MATCH(V$6,载具产出!$G$399:$O$399,0))</f>
        <v>6800</v>
      </c>
      <c r="W214" s="43">
        <f ca="1">_xlfn.XLOOKUP(Z214,载具属性!$E$98:$E$497,载具属性!$G$98:$G$497)+6000+OFFSET(载具属性!L$33,AS214,0)*载具属性!M$30+OFFSET(载具属性!M$33,AT214,0)*载具属性!N$30+OFFSET(载具属性!N$33,AU214,0)*载具属性!O$30+OFFSET(载具属性!O$33,AV214,0)*载具属性!P$30</f>
        <v>23165</v>
      </c>
      <c r="X214" s="43">
        <f ca="1">_xlfn.XLOOKUP(Z214,载具属性!$E$98:$E$497,载具属性!$G$98:$G$497)</f>
        <v>10580</v>
      </c>
      <c r="Y214" s="43">
        <f ca="1">OFFSET(载具属性!L$33,AS214,0)*载具属性!M$30+OFFSET(载具属性!M$33,AT214,0)*载具属性!N$30+OFFSET(载具属性!N$33,AU214,0)*载具属性!O$30+OFFSET(载具属性!O$33,AV214,0)*载具属性!P$30</f>
        <v>6585</v>
      </c>
      <c r="Z214" s="40">
        <f ca="1">MATCH(SUM($T$7:T214),载具属性!$I$98:$I$497,1)</f>
        <v>158</v>
      </c>
      <c r="AA214" s="40">
        <f ca="1">OFFSET(载具产出!$F$399,IFERROR(MATCH(OFFSET($D214,0,MATCH($D$5,$E$6:$H$6,0)),载具产出!$E$112:$E$151,1),0),MATCH(AA$6,载具产出!$G$111:$O$111,0))*2</f>
        <v>18</v>
      </c>
      <c r="AB214" s="40">
        <f ca="1">OFFSET(载具产出!$F$399,IFERROR(MATCH(OFFSET($D214,0,MATCH($D$5,$E$6:$H$6,0)),载具产出!$E$112:$E$151,1),0),MATCH(AB$6,载具产出!$G$111:$O$111,0))*2</f>
        <v>20.72</v>
      </c>
      <c r="AC214" s="40">
        <f ca="1">OFFSET(载具产出!$F$399,IFERROR(MATCH(OFFSET($D214,0,MATCH($D$5,$E$6:$H$6,0)),载具产出!$E$112:$E$151,1),0),MATCH(AC$6,载具产出!$G$111:$O$111,0))*2</f>
        <v>13.28</v>
      </c>
      <c r="AD214" s="40">
        <f ca="1">OFFSET(载具产出!$F$399,IFERROR(MATCH(OFFSET($D214,0,MATCH($D$5,$E$6:$H$6,0)),载具产出!$E$112:$E$151,1),0),MATCH(AD$6,载具产出!$G$111:$O$111,0))*2</f>
        <v>0</v>
      </c>
      <c r="AE214" s="44">
        <f ca="1">SUM(AA$36:AA214)/3</f>
        <v>1292.8</v>
      </c>
      <c r="AF214" s="44">
        <f ca="1">SUM(AB$36:AB214)/3</f>
        <v>1387.75999999999</v>
      </c>
      <c r="AG214" s="44">
        <f ca="1">SUM(AC$36:AC214)/3</f>
        <v>336.106666666666</v>
      </c>
      <c r="AH214" s="44">
        <f ca="1">SUM(AD$36:AD214)/3</f>
        <v>0</v>
      </c>
      <c r="AI214" s="44">
        <f>_xlfn.XLOOKUP($D$5,载具产出!$D$71:$D$75,载具产出!$E$71:$E$75)*(D214-30+1)</f>
        <v>2105.38095238096</v>
      </c>
      <c r="AJ214" s="44">
        <f>IFERROR(MATCH(_xlfn.XLOOKUP($D$5,载具产出!$D$71:$D$75,载具产出!$E$71:$E$75)*(D214-30+1)*10,载具产出!$E$60:$E$67,1),0)+1</f>
        <v>7</v>
      </c>
      <c r="AK214" s="44">
        <f ca="1">IF($AJ214=1,($AI214)*(10*OFFSET(载具产出!$D$45,MATCH(AK$6,$AK$6:$AN$6,0)-1,$AJ214)+OFFSET(载具产出!$D$49,MATCH(AK$6,$AK$6:$AN$6,0)-1,$AJ214)*OFFSET(载具产出!$N$49,MATCH(AK$6,$AK$6:$AN$6,0)-1,0)),OFFSET(载具产出!F$59,$AJ214-1,0)*10+OFFSET(载具产出!J$59,$AJ214-1,0)+($AI214*10-_xlfn.XLOOKUP($AJ214-1,载具产出!$D$59:$D$67,载具产出!$E$59:$E$67))/10*(10*OFFSET(载具产出!$D$45,MATCH(AK$6,$AK$6:$AN$6,0)-1,$AJ214)+OFFSET(载具产出!$D$49,MATCH(AK$6,$AK$6:$AN$6,0)-1,$AJ214)*OFFSET(载具产出!$N$49,MATCH(AK$6,$AK$6:$AN$6,0)-1,0)))</f>
        <v>4631.51457142859</v>
      </c>
      <c r="AL214" s="44">
        <f ca="1">IF($AJ214=1,($AI214)*(10*OFFSET(载具产出!$D$45,MATCH(AL$6,$AK$6:$AN$6,0)-1,$AJ214)+OFFSET(载具产出!$D$49,MATCH(AL$6,$AK$6:$AN$6,0)-1,$AJ214)*OFFSET(载具产出!$N$49,MATCH(AL$6,$AK$6:$AN$6,0)-1,0)),OFFSET(载具产出!G$59,$AJ214-1,0)*10+OFFSET(载具产出!K$59,$AJ214-1,0)+($AI214*10-_xlfn.XLOOKUP($AJ214-1,载具产出!$D$59:$D$67,载具产出!$E$59:$E$67))/10*(10*OFFSET(载具产出!$D$45,MATCH(AL$6,$AK$6:$AN$6,0)-1,$AJ214)+OFFSET(载具产出!$D$49,MATCH(AL$6,$AK$6:$AN$6,0)-1,$AJ214)*OFFSET(载具产出!$N$49,MATCH(AL$6,$AK$6:$AN$6,0)-1,0)))</f>
        <v>1880.3580952381</v>
      </c>
      <c r="AM214" s="44">
        <f ca="1">IF($AJ214=1,($AI214)*(10*OFFSET(载具产出!$D$45,MATCH(AM$6,$AK$6:$AN$6,0)-1,$AJ214)+OFFSET(载具产出!$D$49,MATCH(AM$6,$AK$6:$AN$6,0)-1,$AJ214)*OFFSET(载具产出!$N$49,MATCH(AM$6,$AK$6:$AN$6,0)-1,0)),OFFSET(载具产出!H$59,$AJ214-1,0)*10+OFFSET(载具产出!L$59,$AJ214-1,0)+($AI214*10-_xlfn.XLOOKUP($AJ214-1,载具产出!$D$59:$D$67,载具产出!$E$59:$E$67))/10*(10*OFFSET(载具产出!$D$45,MATCH(AM$6,$AK$6:$AN$6,0)-1,$AJ214)+OFFSET(载具产出!$D$49,MATCH(AM$6,$AK$6:$AN$6,0)-1,$AJ214)*OFFSET(载具产出!$N$49,MATCH(AM$6,$AK$6:$AN$6,0)-1,0)))</f>
        <v>1021.88114285715</v>
      </c>
      <c r="AN214" s="44">
        <f ca="1">IF($AJ214=1,($AI214)*(10*OFFSET(载具产出!$D$45,MATCH(AN$6,$AK$6:$AN$6,0)-1,$AJ214)+OFFSET(载具产出!$D$49,MATCH(AN$6,$AK$6:$AN$6,0)-1,$AJ214)*OFFSET(载具产出!$N$49,MATCH(AN$6,$AK$6:$AN$6,0)-1,0)),OFFSET(载具产出!I$59,$AJ214-1,0)*10+OFFSET(载具产出!M$59,$AJ214-1,0)+($AI214*10-_xlfn.XLOOKUP($AJ214-1,载具产出!$D$59:$D$67,载具产出!$E$59:$E$67))/10*(10*OFFSET(载具产出!$D$45,MATCH(AN$6,$AK$6:$AN$6,0)-1,$AJ214)+OFFSET(载具产出!$D$49,MATCH(AN$6,$AK$6:$AN$6,0)-1,$AJ214)*OFFSET(载具产出!$N$49,MATCH(AN$6,$AK$6:$AN$6,0)-1,0)))</f>
        <v>314.409380952382</v>
      </c>
      <c r="AO214" s="44">
        <f ca="1" t="shared" si="41"/>
        <v>5924.31457142859</v>
      </c>
      <c r="AP214" s="44">
        <f ca="1" t="shared" si="42"/>
        <v>3268.1180952381</v>
      </c>
      <c r="AQ214" s="44">
        <f ca="1" t="shared" si="43"/>
        <v>1357.98780952381</v>
      </c>
      <c r="AR214" s="44">
        <f ca="1" t="shared" si="44"/>
        <v>314.409380952382</v>
      </c>
      <c r="AS214" s="45">
        <f ca="1">IFERROR(MATCH(AO214/载具产出!R$58,载具属性!$G$33:$G$92,1),0)</f>
        <v>36</v>
      </c>
      <c r="AT214" s="45">
        <f ca="1">IFERROR(MATCH(AP214/载具产出!S$58,载具属性!$G$33:$G$92,1),0)</f>
        <v>25</v>
      </c>
      <c r="AU214" s="45">
        <f ca="1">IFERROR(MATCH(AQ214/载具产出!T$58,载具属性!$G$33:$G$92,1),0)</f>
        <v>15</v>
      </c>
      <c r="AV214" s="45">
        <f ca="1">IFERROR(MATCH(AR214/载具产出!U$58,载具属性!$G$33:$G$92,1),0)</f>
        <v>5</v>
      </c>
      <c r="AW214" s="46" t="str">
        <f ca="1" t="shared" si="45"/>
        <v>[{62,1236},{63,151635},{2,434900},{6030001,3668},{6030002,3991},{6030003,965}]</v>
      </c>
      <c r="AX214" t="str">
        <f ca="1" t="shared" si="46"/>
        <v>{62,1236}</v>
      </c>
      <c r="AY214" t="str">
        <f ca="1" t="shared" si="47"/>
        <v>{63,151635}</v>
      </c>
      <c r="AZ214" t="str">
        <f ca="1" t="shared" si="48"/>
        <v>{2,434900}</v>
      </c>
      <c r="BA214" t="str">
        <f ca="1" t="shared" si="49"/>
        <v>{6030001,3668}</v>
      </c>
      <c r="BB214" t="str">
        <f ca="1" t="shared" si="50"/>
        <v>{6030002,3991}</v>
      </c>
      <c r="BC214" t="str">
        <f ca="1" t="shared" si="51"/>
        <v>{6030003,965}</v>
      </c>
      <c r="BD214" t="str">
        <f ca="1" t="shared" si="52"/>
        <v/>
      </c>
    </row>
    <row r="215" spans="3:56">
      <c r="C215">
        <f ca="1" t="shared" si="39"/>
        <v>120.651041666667</v>
      </c>
      <c r="D215" s="40">
        <v>209</v>
      </c>
      <c r="E215" s="40">
        <f t="shared" si="56"/>
        <v>123</v>
      </c>
      <c r="F215" s="40">
        <v>143</v>
      </c>
      <c r="G215" s="41">
        <f t="shared" si="55"/>
        <v>192</v>
      </c>
      <c r="H215" s="40">
        <f>H214+1</f>
        <v>247</v>
      </c>
      <c r="I215" s="40">
        <f t="shared" si="38"/>
        <v>444</v>
      </c>
      <c r="J215" s="40">
        <f t="shared" si="57"/>
        <v>444</v>
      </c>
      <c r="K215" s="40">
        <f ca="1">SUM(U$36:U215)-SUM(OFFSET(载具产出!H$399,0,0,$R215+1,1))</f>
        <v>1243</v>
      </c>
      <c r="L215" s="40">
        <f ca="1">SUM(T$36:T215)-SUM(OFFSET(载具产出!G$399,0,0,$R215+1,1))</f>
        <v>152700</v>
      </c>
      <c r="M215" s="40">
        <f ca="1">SUM(V$36:V215)/2-SUM(OFFSET(载具产出!I$399,0,0,$R215+1,1))</f>
        <v>438300</v>
      </c>
      <c r="N215" s="40">
        <f ca="1">SUM(AA$36:AA215)-SUM(OFFSET(载具产出!J$399,0,0,$R215+1,1))</f>
        <v>3686.6</v>
      </c>
      <c r="O215" s="40">
        <f ca="1">SUM(AB$36:AB215)-SUM(OFFSET(载具产出!K$399,0,0,$R215+1,1))</f>
        <v>4011.87999999998</v>
      </c>
      <c r="P215" s="40">
        <f ca="1">SUM(AC$36:AC215)-SUM(OFFSET(载具产出!L$399,0,0,$R215+1,1))</f>
        <v>979.239999999999</v>
      </c>
      <c r="Q215" s="40">
        <f ca="1">SUM(AD$36:AD215)-SUM(OFFSET(载具产出!M$399,0,0,$R215+1,1))</f>
        <v>-0.72</v>
      </c>
      <c r="R215" s="40">
        <v>17</v>
      </c>
      <c r="S215" s="40" t="str">
        <f ca="1">OFFSET(载具产出!$D$111,IFERROR(MATCH(OFFSET($D215,0,MATCH($D$5,$E$6:$H$6,0)),载具产出!$E$112:$E$151,1),0),0)</f>
        <v>珍惜Ⅴ</v>
      </c>
      <c r="T215" s="40">
        <f ca="1">OFFSET(载具产出!$F$399,IFERROR(MATCH(OFFSET($D215,0,MATCH($D$5,$E$6:$H$6,0)),载具产出!$E$400:$E$439,1),0),MATCH(T$6,载具产出!$G$399:$O$399,0))</f>
        <v>1065</v>
      </c>
      <c r="U215" s="40">
        <v>7</v>
      </c>
      <c r="V215" s="40">
        <f ca="1">OFFSET(载具产出!$F$399,IFERROR(MATCH(OFFSET($D215,0,MATCH($D$5,$E$6:$H$6,0)),载具产出!$E$400:$E$439,1),0),MATCH(V$6,载具产出!$G$399:$O$399,0))</f>
        <v>6800</v>
      </c>
      <c r="W215" s="43">
        <f ca="1">_xlfn.XLOOKUP(Z215,载具属性!$E$98:$E$497,载具属性!$G$98:$G$497)+6000+OFFSET(载具属性!L$33,AS215,0)*载具属性!M$30+OFFSET(载具属性!M$33,AT215,0)*载具属性!N$30+OFFSET(载具属性!N$33,AU215,0)*载具属性!O$30+OFFSET(载具属性!O$33,AV215,0)*载具属性!P$30</f>
        <v>23165</v>
      </c>
      <c r="X215" s="43">
        <f ca="1">_xlfn.XLOOKUP(Z215,载具属性!$E$98:$E$497,载具属性!$G$98:$G$497)</f>
        <v>10580</v>
      </c>
      <c r="Y215" s="43">
        <f ca="1">OFFSET(载具属性!L$33,AS215,0)*载具属性!M$30+OFFSET(载具属性!M$33,AT215,0)*载具属性!N$30+OFFSET(载具属性!N$33,AU215,0)*载具属性!O$30+OFFSET(载具属性!O$33,AV215,0)*载具属性!P$30</f>
        <v>6585</v>
      </c>
      <c r="Z215" s="40">
        <f ca="1">MATCH(SUM($T$7:T215),载具属性!$I$98:$I$497,1)</f>
        <v>158</v>
      </c>
      <c r="AA215" s="40">
        <f ca="1">OFFSET(载具产出!$F$399,IFERROR(MATCH(OFFSET($D215,0,MATCH($D$5,$E$6:$H$6,0)),载具产出!$E$112:$E$151,1),0),MATCH(AA$6,载具产出!$G$111:$O$111,0))*2</f>
        <v>18</v>
      </c>
      <c r="AB215" s="40">
        <f ca="1">OFFSET(载具产出!$F$399,IFERROR(MATCH(OFFSET($D215,0,MATCH($D$5,$E$6:$H$6,0)),载具产出!$E$112:$E$151,1),0),MATCH(AB$6,载具产出!$G$111:$O$111,0))*2</f>
        <v>20.72</v>
      </c>
      <c r="AC215" s="40">
        <f ca="1">OFFSET(载具产出!$F$399,IFERROR(MATCH(OFFSET($D215,0,MATCH($D$5,$E$6:$H$6,0)),载具产出!$E$112:$E$151,1),0),MATCH(AC$6,载具产出!$G$111:$O$111,0))*2</f>
        <v>13.28</v>
      </c>
      <c r="AD215" s="40">
        <f ca="1">OFFSET(载具产出!$F$399,IFERROR(MATCH(OFFSET($D215,0,MATCH($D$5,$E$6:$H$6,0)),载具产出!$E$112:$E$151,1),0),MATCH(AD$6,载具产出!$G$111:$O$111,0))*2</f>
        <v>0</v>
      </c>
      <c r="AE215" s="44">
        <f ca="1">SUM(AA$36:AA215)/3</f>
        <v>1298.8</v>
      </c>
      <c r="AF215" s="44">
        <f ca="1">SUM(AB$36:AB215)/3</f>
        <v>1394.66666666666</v>
      </c>
      <c r="AG215" s="44">
        <f ca="1">SUM(AC$36:AC215)/3</f>
        <v>340.533333333333</v>
      </c>
      <c r="AH215" s="44">
        <f ca="1">SUM(AD$36:AD215)/3</f>
        <v>0</v>
      </c>
      <c r="AI215" s="44">
        <f>_xlfn.XLOOKUP($D$5,载具产出!$D$71:$D$75,载具产出!$E$71:$E$75)*(D215-30+1)</f>
        <v>2117.14285714286</v>
      </c>
      <c r="AJ215" s="44">
        <f>IFERROR(MATCH(_xlfn.XLOOKUP($D$5,载具产出!$D$71:$D$75,载具产出!$E$71:$E$75)*(D215-30+1)*10,载具产出!$E$60:$E$67,1),0)+1</f>
        <v>7</v>
      </c>
      <c r="AK215" s="44">
        <f ca="1">IF($AJ215=1,($AI215)*(10*OFFSET(载具产出!$D$45,MATCH(AK$6,$AK$6:$AN$6,0)-1,$AJ215)+OFFSET(载具产出!$D$49,MATCH(AK$6,$AK$6:$AN$6,0)-1,$AJ215)*OFFSET(载具产出!$N$49,MATCH(AK$6,$AK$6:$AN$6,0)-1,0)),OFFSET(载具产出!F$59,$AJ215-1,0)*10+OFFSET(载具产出!J$59,$AJ215-1,0)+($AI215*10-_xlfn.XLOOKUP($AJ215-1,载具产出!$D$59:$D$67,载具产出!$E$59:$E$67))/10*(10*OFFSET(载具产出!$D$45,MATCH(AK$6,$AK$6:$AN$6,0)-1,$AJ215)+OFFSET(载具产出!$D$49,MATCH(AK$6,$AK$6:$AN$6,0)-1,$AJ215)*OFFSET(载具产出!$N$49,MATCH(AK$6,$AK$6:$AN$6,0)-1,0)))</f>
        <v>4656.35571428572</v>
      </c>
      <c r="AL215" s="44">
        <f ca="1">IF($AJ215=1,($AI215)*(10*OFFSET(载具产出!$D$45,MATCH(AL$6,$AK$6:$AN$6,0)-1,$AJ215)+OFFSET(载具产出!$D$49,MATCH(AL$6,$AK$6:$AN$6,0)-1,$AJ215)*OFFSET(载具产出!$N$49,MATCH(AL$6,$AK$6:$AN$6,0)-1,0)),OFFSET(载具产出!G$59,$AJ215-1,0)*10+OFFSET(载具产出!K$59,$AJ215-1,0)+($AI215*10-_xlfn.XLOOKUP($AJ215-1,载具产出!$D$59:$D$67,载具产出!$E$59:$E$67))/10*(10*OFFSET(载具产出!$D$45,MATCH(AL$6,$AK$6:$AN$6,0)-1,$AJ215)+OFFSET(载具产出!$D$49,MATCH(AL$6,$AK$6:$AN$6,0)-1,$AJ215)*OFFSET(载具产出!$N$49,MATCH(AL$6,$AK$6:$AN$6,0)-1,0)))</f>
        <v>1891.41428571429</v>
      </c>
      <c r="AM215" s="44">
        <f ca="1">IF($AJ215=1,($AI215)*(10*OFFSET(载具产出!$D$45,MATCH(AM$6,$AK$6:$AN$6,0)-1,$AJ215)+OFFSET(载具产出!$D$49,MATCH(AM$6,$AK$6:$AN$6,0)-1,$AJ215)*OFFSET(载具产出!$N$49,MATCH(AM$6,$AK$6:$AN$6,0)-1,0)),OFFSET(载具产出!H$59,$AJ215-1,0)*10+OFFSET(载具产出!L$59,$AJ215-1,0)+($AI215*10-_xlfn.XLOOKUP($AJ215-1,载具产出!$D$59:$D$67,载具产出!$E$59:$E$67))/10*(10*OFFSET(载具产出!$D$45,MATCH(AM$6,$AK$6:$AN$6,0)-1,$AJ215)+OFFSET(载具产出!$D$49,MATCH(AM$6,$AK$6:$AN$6,0)-1,$AJ215)*OFFSET(载具产出!$N$49,MATCH(AM$6,$AK$6:$AN$6,0)-1,0)))</f>
        <v>1028.09142857143</v>
      </c>
      <c r="AN215" s="44">
        <f ca="1">IF($AJ215=1,($AI215)*(10*OFFSET(载具产出!$D$45,MATCH(AN$6,$AK$6:$AN$6,0)-1,$AJ215)+OFFSET(载具产出!$D$49,MATCH(AN$6,$AK$6:$AN$6,0)-1,$AJ215)*OFFSET(载具产出!$N$49,MATCH(AN$6,$AK$6:$AN$6,0)-1,0)),OFFSET(载具产出!I$59,$AJ215-1,0)*10+OFFSET(载具产出!M$59,$AJ215-1,0)+($AI215*10-_xlfn.XLOOKUP($AJ215-1,载具产出!$D$59:$D$67,载具产出!$E$59:$E$67))/10*(10*OFFSET(载具产出!$D$45,MATCH(AN$6,$AK$6:$AN$6,0)-1,$AJ215)+OFFSET(载具产出!$D$49,MATCH(AN$6,$AK$6:$AN$6,0)-1,$AJ215)*OFFSET(载具产出!$N$49,MATCH(AN$6,$AK$6:$AN$6,0)-1,0)))</f>
        <v>316.397142857143</v>
      </c>
      <c r="AO215" s="44">
        <f ca="1" t="shared" si="41"/>
        <v>5955.15571428572</v>
      </c>
      <c r="AP215" s="44">
        <f ca="1" t="shared" si="42"/>
        <v>3286.08095238095</v>
      </c>
      <c r="AQ215" s="44">
        <f ca="1" t="shared" si="43"/>
        <v>1368.62476190476</v>
      </c>
      <c r="AR215" s="44">
        <f ca="1" t="shared" si="44"/>
        <v>316.397142857143</v>
      </c>
      <c r="AS215" s="45">
        <f ca="1">IFERROR(MATCH(AO215/载具产出!R$58,载具属性!$G$33:$G$92,1),0)</f>
        <v>36</v>
      </c>
      <c r="AT215" s="45">
        <f ca="1">IFERROR(MATCH(AP215/载具产出!S$58,载具属性!$G$33:$G$92,1),0)</f>
        <v>25</v>
      </c>
      <c r="AU215" s="45">
        <f ca="1">IFERROR(MATCH(AQ215/载具产出!T$58,载具属性!$G$33:$G$92,1),0)</f>
        <v>15</v>
      </c>
      <c r="AV215" s="45">
        <f ca="1">IFERROR(MATCH(AR215/载具产出!U$58,载具属性!$G$33:$G$92,1),0)</f>
        <v>5</v>
      </c>
      <c r="AW215" s="46" t="str">
        <f ca="1" t="shared" si="45"/>
        <v>[{62,1243},{63,152700},{2,438300},{6030001,3686},{6030002,4011},{6030003,979}]</v>
      </c>
      <c r="AX215" t="str">
        <f ca="1" t="shared" si="46"/>
        <v>{62,1243}</v>
      </c>
      <c r="AY215" t="str">
        <f ca="1" t="shared" si="47"/>
        <v>{63,152700}</v>
      </c>
      <c r="AZ215" t="str">
        <f ca="1" t="shared" si="48"/>
        <v>{2,438300}</v>
      </c>
      <c r="BA215" t="str">
        <f ca="1" t="shared" si="49"/>
        <v>{6030001,3686}</v>
      </c>
      <c r="BB215" t="str">
        <f ca="1" t="shared" si="50"/>
        <v>{6030002,4011}</v>
      </c>
      <c r="BC215" t="str">
        <f ca="1" t="shared" si="51"/>
        <v>{6030003,979}</v>
      </c>
      <c r="BD215" t="str">
        <f ca="1" t="shared" si="52"/>
        <v/>
      </c>
    </row>
    <row r="216" spans="3:56">
      <c r="C216">
        <f ca="1" t="shared" si="39"/>
        <v>120.466321243523</v>
      </c>
      <c r="D216" s="40">
        <v>210</v>
      </c>
      <c r="E216" s="40">
        <f t="shared" si="56"/>
        <v>123</v>
      </c>
      <c r="F216" s="40">
        <v>144</v>
      </c>
      <c r="G216" s="41">
        <f t="shared" si="55"/>
        <v>193</v>
      </c>
      <c r="H216" s="40">
        <f>H215</f>
        <v>247</v>
      </c>
      <c r="I216" s="40">
        <f t="shared" si="38"/>
        <v>446</v>
      </c>
      <c r="J216" s="40">
        <f t="shared" si="57"/>
        <v>446</v>
      </c>
      <c r="K216" s="40">
        <f ca="1">SUM(U$36:U216)-SUM(OFFSET(载具产出!H$399,0,0,$R216+1,1))</f>
        <v>1250</v>
      </c>
      <c r="L216" s="40">
        <f ca="1">SUM(T$36:T216)-SUM(OFFSET(载具产出!G$399,0,0,$R216+1,1))</f>
        <v>153765</v>
      </c>
      <c r="M216" s="40">
        <f ca="1">SUM(V$36:V216)/2-SUM(OFFSET(载具产出!I$399,0,0,$R216+1,1))</f>
        <v>441700</v>
      </c>
      <c r="N216" s="40">
        <f ca="1">SUM(AA$36:AA216)-SUM(OFFSET(载具产出!J$399,0,0,$R216+1,1))</f>
        <v>3704.6</v>
      </c>
      <c r="O216" s="40">
        <f ca="1">SUM(AB$36:AB216)-SUM(OFFSET(载具产出!K$399,0,0,$R216+1,1))</f>
        <v>4032.59999999998</v>
      </c>
      <c r="P216" s="40">
        <f ca="1">SUM(AC$36:AC216)-SUM(OFFSET(载具产出!L$399,0,0,$R216+1,1))</f>
        <v>992.519999999999</v>
      </c>
      <c r="Q216" s="40">
        <f ca="1">SUM(AD$36:AD216)-SUM(OFFSET(载具产出!M$399,0,0,$R216+1,1))</f>
        <v>-0.72</v>
      </c>
      <c r="R216" s="40">
        <v>17</v>
      </c>
      <c r="S216" s="40" t="str">
        <f ca="1">OFFSET(载具产出!$D$111,IFERROR(MATCH(OFFSET($D216,0,MATCH($D$5,$E$6:$H$6,0)),载具产出!$E$112:$E$151,1),0),0)</f>
        <v>珍惜Ⅴ</v>
      </c>
      <c r="T216" s="40">
        <f ca="1">OFFSET(载具产出!$F$399,IFERROR(MATCH(OFFSET($D216,0,MATCH($D$5,$E$6:$H$6,0)),载具产出!$E$400:$E$439,1),0),MATCH(T$6,载具产出!$G$399:$O$399,0))</f>
        <v>1065</v>
      </c>
      <c r="U216" s="40">
        <v>7</v>
      </c>
      <c r="V216" s="40">
        <f ca="1">OFFSET(载具产出!$F$399,IFERROR(MATCH(OFFSET($D216,0,MATCH($D$5,$E$6:$H$6,0)),载具产出!$E$400:$E$439,1),0),MATCH(V$6,载具产出!$G$399:$O$399,0))</f>
        <v>6800</v>
      </c>
      <c r="W216" s="43">
        <f ca="1">_xlfn.XLOOKUP(Z216,载具属性!$E$98:$E$497,载具属性!$G$98:$G$497)+6000+OFFSET(载具属性!L$33,AS216,0)*载具属性!M$30+OFFSET(载具属性!M$33,AT216,0)*载具属性!N$30+OFFSET(载具属性!N$33,AU216,0)*载具属性!O$30+OFFSET(载具属性!O$33,AV216,0)*载具属性!P$30</f>
        <v>23250</v>
      </c>
      <c r="X216" s="43">
        <f ca="1">_xlfn.XLOOKUP(Z216,载具属性!$E$98:$E$497,载具属性!$G$98:$G$497)</f>
        <v>10665</v>
      </c>
      <c r="Y216" s="43">
        <f ca="1">OFFSET(载具属性!L$33,AS216,0)*载具属性!M$30+OFFSET(载具属性!M$33,AT216,0)*载具属性!N$30+OFFSET(载具属性!N$33,AU216,0)*载具属性!O$30+OFFSET(载具属性!O$33,AV216,0)*载具属性!P$30</f>
        <v>6585</v>
      </c>
      <c r="Z216" s="40">
        <f ca="1">MATCH(SUM($T$7:T216),载具属性!$I$98:$I$497,1)</f>
        <v>159</v>
      </c>
      <c r="AA216" s="40">
        <f ca="1">OFFSET(载具产出!$F$399,IFERROR(MATCH(OFFSET($D216,0,MATCH($D$5,$E$6:$H$6,0)),载具产出!$E$112:$E$151,1),0),MATCH(AA$6,载具产出!$G$111:$O$111,0))*2</f>
        <v>18</v>
      </c>
      <c r="AB216" s="40">
        <f ca="1">OFFSET(载具产出!$F$399,IFERROR(MATCH(OFFSET($D216,0,MATCH($D$5,$E$6:$H$6,0)),载具产出!$E$112:$E$151,1),0),MATCH(AB$6,载具产出!$G$111:$O$111,0))*2</f>
        <v>20.72</v>
      </c>
      <c r="AC216" s="40">
        <f ca="1">OFFSET(载具产出!$F$399,IFERROR(MATCH(OFFSET($D216,0,MATCH($D$5,$E$6:$H$6,0)),载具产出!$E$112:$E$151,1),0),MATCH(AC$6,载具产出!$G$111:$O$111,0))*2</f>
        <v>13.28</v>
      </c>
      <c r="AD216" s="40">
        <f ca="1">OFFSET(载具产出!$F$399,IFERROR(MATCH(OFFSET($D216,0,MATCH($D$5,$E$6:$H$6,0)),载具产出!$E$112:$E$151,1),0),MATCH(AD$6,载具产出!$G$111:$O$111,0))*2</f>
        <v>0</v>
      </c>
      <c r="AE216" s="44">
        <f ca="1">SUM(AA$36:AA216)/3</f>
        <v>1304.8</v>
      </c>
      <c r="AF216" s="44">
        <f ca="1">SUM(AB$36:AB216)/3</f>
        <v>1401.57333333333</v>
      </c>
      <c r="AG216" s="44">
        <f ca="1">SUM(AC$36:AC216)/3</f>
        <v>344.96</v>
      </c>
      <c r="AH216" s="44">
        <f ca="1">SUM(AD$36:AD216)/3</f>
        <v>0</v>
      </c>
      <c r="AI216" s="44">
        <f>_xlfn.XLOOKUP($D$5,载具产出!$D$71:$D$75,载具产出!$E$71:$E$75)*(D216-30+1)</f>
        <v>2128.90476190477</v>
      </c>
      <c r="AJ216" s="44">
        <f>IFERROR(MATCH(_xlfn.XLOOKUP($D$5,载具产出!$D$71:$D$75,载具产出!$E$71:$E$75)*(D216-30+1)*10,载具产出!$E$60:$E$67,1),0)+1</f>
        <v>7</v>
      </c>
      <c r="AK216" s="44">
        <f ca="1">IF($AJ216=1,($AI216)*(10*OFFSET(载具产出!$D$45,MATCH(AK$6,$AK$6:$AN$6,0)-1,$AJ216)+OFFSET(载具产出!$D$49,MATCH(AK$6,$AK$6:$AN$6,0)-1,$AJ216)*OFFSET(载具产出!$N$49,MATCH(AK$6,$AK$6:$AN$6,0)-1,0)),OFFSET(载具产出!F$59,$AJ216-1,0)*10+OFFSET(载具产出!J$59,$AJ216-1,0)+($AI216*10-_xlfn.XLOOKUP($AJ216-1,载具产出!$D$59:$D$67,载具产出!$E$59:$E$67))/10*(10*OFFSET(载具产出!$D$45,MATCH(AK$6,$AK$6:$AN$6,0)-1,$AJ216)+OFFSET(载具产出!$D$49,MATCH(AK$6,$AK$6:$AN$6,0)-1,$AJ216)*OFFSET(载具产出!$N$49,MATCH(AK$6,$AK$6:$AN$6,0)-1,0)))</f>
        <v>4681.19685714288</v>
      </c>
      <c r="AL216" s="44">
        <f ca="1">IF($AJ216=1,($AI216)*(10*OFFSET(载具产出!$D$45,MATCH(AL$6,$AK$6:$AN$6,0)-1,$AJ216)+OFFSET(载具产出!$D$49,MATCH(AL$6,$AK$6:$AN$6,0)-1,$AJ216)*OFFSET(载具产出!$N$49,MATCH(AL$6,$AK$6:$AN$6,0)-1,0)),OFFSET(载具产出!G$59,$AJ216-1,0)*10+OFFSET(载具产出!K$59,$AJ216-1,0)+($AI216*10-_xlfn.XLOOKUP($AJ216-1,载具产出!$D$59:$D$67,载具产出!$E$59:$E$67))/10*(10*OFFSET(载具产出!$D$45,MATCH(AL$6,$AK$6:$AN$6,0)-1,$AJ216)+OFFSET(载具产出!$D$49,MATCH(AL$6,$AK$6:$AN$6,0)-1,$AJ216)*OFFSET(载具产出!$N$49,MATCH(AL$6,$AK$6:$AN$6,0)-1,0)))</f>
        <v>1902.47047619048</v>
      </c>
      <c r="AM216" s="44">
        <f ca="1">IF($AJ216=1,($AI216)*(10*OFFSET(载具产出!$D$45,MATCH(AM$6,$AK$6:$AN$6,0)-1,$AJ216)+OFFSET(载具产出!$D$49,MATCH(AM$6,$AK$6:$AN$6,0)-1,$AJ216)*OFFSET(载具产出!$N$49,MATCH(AM$6,$AK$6:$AN$6,0)-1,0)),OFFSET(载具产出!H$59,$AJ216-1,0)*10+OFFSET(载具产出!L$59,$AJ216-1,0)+($AI216*10-_xlfn.XLOOKUP($AJ216-1,载具产出!$D$59:$D$67,载具产出!$E$59:$E$67))/10*(10*OFFSET(载具产出!$D$45,MATCH(AM$6,$AK$6:$AN$6,0)-1,$AJ216)+OFFSET(载具产出!$D$49,MATCH(AM$6,$AK$6:$AN$6,0)-1,$AJ216)*OFFSET(载具产出!$N$49,MATCH(AM$6,$AK$6:$AN$6,0)-1,0)))</f>
        <v>1034.30171428572</v>
      </c>
      <c r="AN216" s="44">
        <f ca="1">IF($AJ216=1,($AI216)*(10*OFFSET(载具产出!$D$45,MATCH(AN$6,$AK$6:$AN$6,0)-1,$AJ216)+OFFSET(载具产出!$D$49,MATCH(AN$6,$AK$6:$AN$6,0)-1,$AJ216)*OFFSET(载具产出!$N$49,MATCH(AN$6,$AK$6:$AN$6,0)-1,0)),OFFSET(载具产出!I$59,$AJ216-1,0)*10+OFFSET(载具产出!M$59,$AJ216-1,0)+($AI216*10-_xlfn.XLOOKUP($AJ216-1,载具产出!$D$59:$D$67,载具产出!$E$59:$E$67))/10*(10*OFFSET(载具产出!$D$45,MATCH(AN$6,$AK$6:$AN$6,0)-1,$AJ216)+OFFSET(载具产出!$D$49,MATCH(AN$6,$AK$6:$AN$6,0)-1,$AJ216)*OFFSET(载具产出!$N$49,MATCH(AN$6,$AK$6:$AN$6,0)-1,0)))</f>
        <v>318.384904761906</v>
      </c>
      <c r="AO216" s="44">
        <f ca="1" t="shared" si="41"/>
        <v>5985.99685714288</v>
      </c>
      <c r="AP216" s="44">
        <f ca="1" t="shared" si="42"/>
        <v>3304.04380952381</v>
      </c>
      <c r="AQ216" s="44">
        <f ca="1" t="shared" si="43"/>
        <v>1379.26171428572</v>
      </c>
      <c r="AR216" s="44">
        <f ca="1" t="shared" si="44"/>
        <v>318.384904761906</v>
      </c>
      <c r="AS216" s="45">
        <f ca="1">IFERROR(MATCH(AO216/载具产出!R$58,载具属性!$G$33:$G$92,1),0)</f>
        <v>36</v>
      </c>
      <c r="AT216" s="45">
        <f ca="1">IFERROR(MATCH(AP216/载具产出!S$58,载具属性!$G$33:$G$92,1),0)</f>
        <v>25</v>
      </c>
      <c r="AU216" s="45">
        <f ca="1">IFERROR(MATCH(AQ216/载具产出!T$58,载具属性!$G$33:$G$92,1),0)</f>
        <v>15</v>
      </c>
      <c r="AV216" s="45">
        <f ca="1">IFERROR(MATCH(AR216/载具产出!U$58,载具属性!$G$33:$G$92,1),0)</f>
        <v>5</v>
      </c>
      <c r="AW216" s="46" t="str">
        <f ca="1" t="shared" si="45"/>
        <v>[{62,1250},{63,153765},{2,441700},{6030001,3704},{6030002,4032},{6030003,992}]</v>
      </c>
      <c r="AX216" t="str">
        <f ca="1" t="shared" si="46"/>
        <v>{62,1250}</v>
      </c>
      <c r="AY216" t="str">
        <f ca="1" t="shared" si="47"/>
        <v>{63,153765}</v>
      </c>
      <c r="AZ216" t="str">
        <f ca="1" t="shared" si="48"/>
        <v>{2,441700}</v>
      </c>
      <c r="BA216" t="str">
        <f ca="1" t="shared" si="49"/>
        <v>{6030001,3704}</v>
      </c>
      <c r="BB216" t="str">
        <f ca="1" t="shared" si="50"/>
        <v>{6030002,4032}</v>
      </c>
      <c r="BC216" t="str">
        <f ca="1" t="shared" si="51"/>
        <v>{6030003,992}</v>
      </c>
      <c r="BD216" t="str">
        <f ca="1" t="shared" si="52"/>
        <v/>
      </c>
    </row>
    <row r="217" spans="3:56">
      <c r="C217">
        <f ca="1" t="shared" si="39"/>
        <v>120.854922279793</v>
      </c>
      <c r="D217" s="40">
        <v>211</v>
      </c>
      <c r="E217" s="40">
        <f t="shared" si="56"/>
        <v>124</v>
      </c>
      <c r="F217" s="40">
        <v>144</v>
      </c>
      <c r="G217" s="41">
        <f t="shared" si="55"/>
        <v>193</v>
      </c>
      <c r="H217" s="40">
        <f>H216+1</f>
        <v>248</v>
      </c>
      <c r="I217" s="40">
        <f t="shared" si="38"/>
        <v>448</v>
      </c>
      <c r="J217" s="40">
        <f t="shared" si="57"/>
        <v>448</v>
      </c>
      <c r="K217" s="40">
        <f ca="1">SUM(U$36:U217)-SUM(OFFSET(载具产出!H$399,0,0,$R217+1,1))</f>
        <v>1257</v>
      </c>
      <c r="L217" s="40">
        <f ca="1">SUM(T$36:T217)-SUM(OFFSET(载具产出!G$399,0,0,$R217+1,1))</f>
        <v>154830</v>
      </c>
      <c r="M217" s="40">
        <f ca="1">SUM(V$36:V217)/2-SUM(OFFSET(载具产出!I$399,0,0,$R217+1,1))</f>
        <v>445100</v>
      </c>
      <c r="N217" s="40">
        <f ca="1">SUM(AA$36:AA217)-SUM(OFFSET(载具产出!J$399,0,0,$R217+1,1))</f>
        <v>3722.6</v>
      </c>
      <c r="O217" s="40">
        <f ca="1">SUM(AB$36:AB217)-SUM(OFFSET(载具产出!K$399,0,0,$R217+1,1))</f>
        <v>4053.31999999998</v>
      </c>
      <c r="P217" s="40">
        <f ca="1">SUM(AC$36:AC217)-SUM(OFFSET(载具产出!L$399,0,0,$R217+1,1))</f>
        <v>1005.8</v>
      </c>
      <c r="Q217" s="40">
        <f ca="1">SUM(AD$36:AD217)-SUM(OFFSET(载具产出!M$399,0,0,$R217+1,1))</f>
        <v>-0.72</v>
      </c>
      <c r="R217" s="40">
        <v>17</v>
      </c>
      <c r="S217" s="40" t="str">
        <f ca="1">OFFSET(载具产出!$D$111,IFERROR(MATCH(OFFSET($D217,0,MATCH($D$5,$E$6:$H$6,0)),载具产出!$E$112:$E$151,1),0),0)</f>
        <v>珍惜Ⅴ</v>
      </c>
      <c r="T217" s="40">
        <f ca="1">OFFSET(载具产出!$F$399,IFERROR(MATCH(OFFSET($D217,0,MATCH($D$5,$E$6:$H$6,0)),载具产出!$E$400:$E$439,1),0),MATCH(T$6,载具产出!$G$399:$O$399,0))</f>
        <v>1065</v>
      </c>
      <c r="U217" s="40">
        <v>7</v>
      </c>
      <c r="V217" s="40">
        <f ca="1">OFFSET(载具产出!$F$399,IFERROR(MATCH(OFFSET($D217,0,MATCH($D$5,$E$6:$H$6,0)),载具产出!$E$400:$E$439,1),0),MATCH(V$6,载具产出!$G$399:$O$399,0))</f>
        <v>6800</v>
      </c>
      <c r="W217" s="43">
        <f ca="1">_xlfn.XLOOKUP(Z217,载具属性!$E$98:$E$497,载具属性!$G$98:$G$497)+6000+OFFSET(载具属性!L$33,AS217,0)*载具属性!M$30+OFFSET(载具属性!M$33,AT217,0)*载具属性!N$30+OFFSET(载具属性!N$33,AU217,0)*载具属性!O$30+OFFSET(载具属性!O$33,AV217,0)*载具属性!P$30</f>
        <v>23325</v>
      </c>
      <c r="X217" s="43">
        <f ca="1">_xlfn.XLOOKUP(Z217,载具属性!$E$98:$E$497,载具属性!$G$98:$G$497)</f>
        <v>10665</v>
      </c>
      <c r="Y217" s="43">
        <f ca="1">OFFSET(载具属性!L$33,AS217,0)*载具属性!M$30+OFFSET(载具属性!M$33,AT217,0)*载具属性!N$30+OFFSET(载具属性!N$33,AU217,0)*载具属性!O$30+OFFSET(载具属性!O$33,AV217,0)*载具属性!P$30</f>
        <v>6660</v>
      </c>
      <c r="Z217" s="40">
        <f ca="1">MATCH(SUM($T$7:T217),载具属性!$I$98:$I$497,1)</f>
        <v>159</v>
      </c>
      <c r="AA217" s="40">
        <f ca="1">OFFSET(载具产出!$F$399,IFERROR(MATCH(OFFSET($D217,0,MATCH($D$5,$E$6:$H$6,0)),载具产出!$E$112:$E$151,1),0),MATCH(AA$6,载具产出!$G$111:$O$111,0))*2</f>
        <v>18</v>
      </c>
      <c r="AB217" s="40">
        <f ca="1">OFFSET(载具产出!$F$399,IFERROR(MATCH(OFFSET($D217,0,MATCH($D$5,$E$6:$H$6,0)),载具产出!$E$112:$E$151,1),0),MATCH(AB$6,载具产出!$G$111:$O$111,0))*2</f>
        <v>20.72</v>
      </c>
      <c r="AC217" s="40">
        <f ca="1">OFFSET(载具产出!$F$399,IFERROR(MATCH(OFFSET($D217,0,MATCH($D$5,$E$6:$H$6,0)),载具产出!$E$112:$E$151,1),0),MATCH(AC$6,载具产出!$G$111:$O$111,0))*2</f>
        <v>13.28</v>
      </c>
      <c r="AD217" s="40">
        <f ca="1">OFFSET(载具产出!$F$399,IFERROR(MATCH(OFFSET($D217,0,MATCH($D$5,$E$6:$H$6,0)),载具产出!$E$112:$E$151,1),0),MATCH(AD$6,载具产出!$G$111:$O$111,0))*2</f>
        <v>0</v>
      </c>
      <c r="AE217" s="44">
        <f ca="1">SUM(AA$36:AA217)/3</f>
        <v>1310.8</v>
      </c>
      <c r="AF217" s="44">
        <f ca="1">SUM(AB$36:AB217)/3</f>
        <v>1408.47999999999</v>
      </c>
      <c r="AG217" s="44">
        <f ca="1">SUM(AC$36:AC217)/3</f>
        <v>349.386666666666</v>
      </c>
      <c r="AH217" s="44">
        <f ca="1">SUM(AD$36:AD217)/3</f>
        <v>0</v>
      </c>
      <c r="AI217" s="44">
        <f>_xlfn.XLOOKUP($D$5,载具产出!$D$71:$D$75,载具产出!$E$71:$E$75)*(D217-30+1)</f>
        <v>2140.66666666667</v>
      </c>
      <c r="AJ217" s="44">
        <f>IFERROR(MATCH(_xlfn.XLOOKUP($D$5,载具产出!$D$71:$D$75,载具产出!$E$71:$E$75)*(D217-30+1)*10,载具产出!$E$60:$E$67,1),0)+1</f>
        <v>7</v>
      </c>
      <c r="AK217" s="44">
        <f ca="1">IF($AJ217=1,($AI217)*(10*OFFSET(载具产出!$D$45,MATCH(AK$6,$AK$6:$AN$6,0)-1,$AJ217)+OFFSET(载具产出!$D$49,MATCH(AK$6,$AK$6:$AN$6,0)-1,$AJ217)*OFFSET(载具产出!$N$49,MATCH(AK$6,$AK$6:$AN$6,0)-1,0)),OFFSET(载具产出!F$59,$AJ217-1,0)*10+OFFSET(载具产出!J$59,$AJ217-1,0)+($AI217*10-_xlfn.XLOOKUP($AJ217-1,载具产出!$D$59:$D$67,载具产出!$E$59:$E$67))/10*(10*OFFSET(载具产出!$D$45,MATCH(AK$6,$AK$6:$AN$6,0)-1,$AJ217)+OFFSET(载具产出!$D$49,MATCH(AK$6,$AK$6:$AN$6,0)-1,$AJ217)*OFFSET(载具产出!$N$49,MATCH(AK$6,$AK$6:$AN$6,0)-1,0)))</f>
        <v>4706.03800000001</v>
      </c>
      <c r="AL217" s="44">
        <f ca="1">IF($AJ217=1,($AI217)*(10*OFFSET(载具产出!$D$45,MATCH(AL$6,$AK$6:$AN$6,0)-1,$AJ217)+OFFSET(载具产出!$D$49,MATCH(AL$6,$AK$6:$AN$6,0)-1,$AJ217)*OFFSET(载具产出!$N$49,MATCH(AL$6,$AK$6:$AN$6,0)-1,0)),OFFSET(载具产出!G$59,$AJ217-1,0)*10+OFFSET(载具产出!K$59,$AJ217-1,0)+($AI217*10-_xlfn.XLOOKUP($AJ217-1,载具产出!$D$59:$D$67,载具产出!$E$59:$E$67))/10*(10*OFFSET(载具产出!$D$45,MATCH(AL$6,$AK$6:$AN$6,0)-1,$AJ217)+OFFSET(载具产出!$D$49,MATCH(AL$6,$AK$6:$AN$6,0)-1,$AJ217)*OFFSET(载具产出!$N$49,MATCH(AL$6,$AK$6:$AN$6,0)-1,0)))</f>
        <v>1913.52666666667</v>
      </c>
      <c r="AM217" s="44">
        <f ca="1">IF($AJ217=1,($AI217)*(10*OFFSET(载具产出!$D$45,MATCH(AM$6,$AK$6:$AN$6,0)-1,$AJ217)+OFFSET(载具产出!$D$49,MATCH(AM$6,$AK$6:$AN$6,0)-1,$AJ217)*OFFSET(载具产出!$N$49,MATCH(AM$6,$AK$6:$AN$6,0)-1,0)),OFFSET(载具产出!H$59,$AJ217-1,0)*10+OFFSET(载具产出!L$59,$AJ217-1,0)+($AI217*10-_xlfn.XLOOKUP($AJ217-1,载具产出!$D$59:$D$67,载具产出!$E$59:$E$67))/10*(10*OFFSET(载具产出!$D$45,MATCH(AM$6,$AK$6:$AN$6,0)-1,$AJ217)+OFFSET(载具产出!$D$49,MATCH(AM$6,$AK$6:$AN$6,0)-1,$AJ217)*OFFSET(载具产出!$N$49,MATCH(AM$6,$AK$6:$AN$6,0)-1,0)))</f>
        <v>1040.512</v>
      </c>
      <c r="AN217" s="44">
        <f ca="1">IF($AJ217=1,($AI217)*(10*OFFSET(载具产出!$D$45,MATCH(AN$6,$AK$6:$AN$6,0)-1,$AJ217)+OFFSET(载具产出!$D$49,MATCH(AN$6,$AK$6:$AN$6,0)-1,$AJ217)*OFFSET(载具产出!$N$49,MATCH(AN$6,$AK$6:$AN$6,0)-1,0)),OFFSET(载具产出!I$59,$AJ217-1,0)*10+OFFSET(载具产出!M$59,$AJ217-1,0)+($AI217*10-_xlfn.XLOOKUP($AJ217-1,载具产出!$D$59:$D$67,载具产出!$E$59:$E$67))/10*(10*OFFSET(载具产出!$D$45,MATCH(AN$6,$AK$6:$AN$6,0)-1,$AJ217)+OFFSET(载具产出!$D$49,MATCH(AN$6,$AK$6:$AN$6,0)-1,$AJ217)*OFFSET(载具产出!$N$49,MATCH(AN$6,$AK$6:$AN$6,0)-1,0)))</f>
        <v>320.372666666667</v>
      </c>
      <c r="AO217" s="44">
        <f ca="1" t="shared" si="41"/>
        <v>6016.83800000001</v>
      </c>
      <c r="AP217" s="44">
        <f ca="1" t="shared" si="42"/>
        <v>3322.00666666666</v>
      </c>
      <c r="AQ217" s="44">
        <f ca="1" t="shared" si="43"/>
        <v>1389.89866666667</v>
      </c>
      <c r="AR217" s="44">
        <f ca="1" t="shared" si="44"/>
        <v>320.372666666667</v>
      </c>
      <c r="AS217" s="45">
        <f ca="1">IFERROR(MATCH(AO217/载具产出!R$58,载具属性!$G$33:$G$92,1),0)</f>
        <v>36</v>
      </c>
      <c r="AT217" s="45">
        <f ca="1">IFERROR(MATCH(AP217/载具产出!S$58,载具属性!$G$33:$G$92,1),0)</f>
        <v>25</v>
      </c>
      <c r="AU217" s="45">
        <f ca="1">IFERROR(MATCH(AQ217/载具产出!T$58,载具属性!$G$33:$G$92,1),0)</f>
        <v>15</v>
      </c>
      <c r="AV217" s="45">
        <f ca="1">IFERROR(MATCH(AR217/载具产出!U$58,载具属性!$G$33:$G$92,1),0)</f>
        <v>6</v>
      </c>
      <c r="AW217" s="46" t="str">
        <f ca="1" t="shared" si="45"/>
        <v>[{62,1257},{63,154830},{2,445100},{6030001,3722},{6030002,4053},{6030003,1005}]</v>
      </c>
      <c r="AX217" t="str">
        <f ca="1" t="shared" si="46"/>
        <v>{62,1257}</v>
      </c>
      <c r="AY217" t="str">
        <f ca="1" t="shared" si="47"/>
        <v>{63,154830}</v>
      </c>
      <c r="AZ217" t="str">
        <f ca="1" t="shared" si="48"/>
        <v>{2,445100}</v>
      </c>
      <c r="BA217" t="str">
        <f ca="1" t="shared" si="49"/>
        <v>{6030001,3722}</v>
      </c>
      <c r="BB217" t="str">
        <f ca="1" t="shared" si="50"/>
        <v>{6030002,4053}</v>
      </c>
      <c r="BC217" t="str">
        <f ca="1" t="shared" si="51"/>
        <v>{6030003,1005}</v>
      </c>
      <c r="BD217" t="str">
        <f ca="1" t="shared" si="52"/>
        <v/>
      </c>
    </row>
    <row r="218" spans="3:56">
      <c r="C218">
        <f ca="1" t="shared" si="39"/>
        <v>120.670103092784</v>
      </c>
      <c r="D218" s="40">
        <v>212</v>
      </c>
      <c r="E218" s="40">
        <f t="shared" si="56"/>
        <v>124</v>
      </c>
      <c r="F218" s="40">
        <v>144</v>
      </c>
      <c r="G218" s="41">
        <f t="shared" si="55"/>
        <v>194</v>
      </c>
      <c r="H218" s="40">
        <f>H217</f>
        <v>248</v>
      </c>
      <c r="I218" s="40">
        <f t="shared" si="38"/>
        <v>450</v>
      </c>
      <c r="J218" s="40">
        <f t="shared" si="57"/>
        <v>450</v>
      </c>
      <c r="K218" s="40">
        <f ca="1">SUM(U$36:U218)-SUM(OFFSET(载具产出!H$399,0,0,$R218+1,1))</f>
        <v>1264</v>
      </c>
      <c r="L218" s="40">
        <f ca="1">SUM(T$36:T218)-SUM(OFFSET(载具产出!G$399,0,0,$R218+1,1))</f>
        <v>155895</v>
      </c>
      <c r="M218" s="40">
        <f ca="1">SUM(V$36:V218)/2-SUM(OFFSET(载具产出!I$399,0,0,$R218+1,1))</f>
        <v>448500</v>
      </c>
      <c r="N218" s="40">
        <f ca="1">SUM(AA$36:AA218)-SUM(OFFSET(载具产出!J$399,0,0,$R218+1,1))</f>
        <v>3740.6</v>
      </c>
      <c r="O218" s="40">
        <f ca="1">SUM(AB$36:AB218)-SUM(OFFSET(载具产出!K$399,0,0,$R218+1,1))</f>
        <v>4074.03999999998</v>
      </c>
      <c r="P218" s="40">
        <f ca="1">SUM(AC$36:AC218)-SUM(OFFSET(载具产出!L$399,0,0,$R218+1,1))</f>
        <v>1019.08</v>
      </c>
      <c r="Q218" s="40">
        <f ca="1">SUM(AD$36:AD218)-SUM(OFFSET(载具产出!M$399,0,0,$R218+1,1))</f>
        <v>-0.72</v>
      </c>
      <c r="R218" s="40">
        <v>17</v>
      </c>
      <c r="S218" s="40" t="str">
        <f ca="1">OFFSET(载具产出!$D$111,IFERROR(MATCH(OFFSET($D218,0,MATCH($D$5,$E$6:$H$6,0)),载具产出!$E$112:$E$151,1),0),0)</f>
        <v>珍惜Ⅴ</v>
      </c>
      <c r="T218" s="40">
        <f ca="1">OFFSET(载具产出!$F$399,IFERROR(MATCH(OFFSET($D218,0,MATCH($D$5,$E$6:$H$6,0)),载具产出!$E$400:$E$439,1),0),MATCH(T$6,载具产出!$G$399:$O$399,0))</f>
        <v>1065</v>
      </c>
      <c r="U218" s="40">
        <v>7</v>
      </c>
      <c r="V218" s="40">
        <f ca="1">OFFSET(载具产出!$F$399,IFERROR(MATCH(OFFSET($D218,0,MATCH($D$5,$E$6:$H$6,0)),载具产出!$E$400:$E$439,1),0),MATCH(V$6,载具产出!$G$399:$O$399,0))</f>
        <v>6800</v>
      </c>
      <c r="W218" s="43">
        <f ca="1">_xlfn.XLOOKUP(Z218,载具属性!$E$98:$E$497,载具属性!$G$98:$G$497)+6000+OFFSET(载具属性!L$33,AS218,0)*载具属性!M$30+OFFSET(载具属性!M$33,AT218,0)*载具属性!N$30+OFFSET(载具属性!N$33,AU218,0)*载具属性!O$30+OFFSET(载具属性!O$33,AV218,0)*载具属性!P$30</f>
        <v>23410</v>
      </c>
      <c r="X218" s="43">
        <f ca="1">_xlfn.XLOOKUP(Z218,载具属性!$E$98:$E$497,载具属性!$G$98:$G$497)</f>
        <v>10750</v>
      </c>
      <c r="Y218" s="43">
        <f ca="1">OFFSET(载具属性!L$33,AS218,0)*载具属性!M$30+OFFSET(载具属性!M$33,AT218,0)*载具属性!N$30+OFFSET(载具属性!N$33,AU218,0)*载具属性!O$30+OFFSET(载具属性!O$33,AV218,0)*载具属性!P$30</f>
        <v>6660</v>
      </c>
      <c r="Z218" s="40">
        <f ca="1">MATCH(SUM($T$7:T218),载具属性!$I$98:$I$497,1)</f>
        <v>160</v>
      </c>
      <c r="AA218" s="40">
        <f ca="1">OFFSET(载具产出!$F$399,IFERROR(MATCH(OFFSET($D218,0,MATCH($D$5,$E$6:$H$6,0)),载具产出!$E$112:$E$151,1),0),MATCH(AA$6,载具产出!$G$111:$O$111,0))*2</f>
        <v>18</v>
      </c>
      <c r="AB218" s="40">
        <f ca="1">OFFSET(载具产出!$F$399,IFERROR(MATCH(OFFSET($D218,0,MATCH($D$5,$E$6:$H$6,0)),载具产出!$E$112:$E$151,1),0),MATCH(AB$6,载具产出!$G$111:$O$111,0))*2</f>
        <v>20.72</v>
      </c>
      <c r="AC218" s="40">
        <f ca="1">OFFSET(载具产出!$F$399,IFERROR(MATCH(OFFSET($D218,0,MATCH($D$5,$E$6:$H$6,0)),载具产出!$E$112:$E$151,1),0),MATCH(AC$6,载具产出!$G$111:$O$111,0))*2</f>
        <v>13.28</v>
      </c>
      <c r="AD218" s="40">
        <f ca="1">OFFSET(载具产出!$F$399,IFERROR(MATCH(OFFSET($D218,0,MATCH($D$5,$E$6:$H$6,0)),载具产出!$E$112:$E$151,1),0),MATCH(AD$6,载具产出!$G$111:$O$111,0))*2</f>
        <v>0</v>
      </c>
      <c r="AE218" s="44">
        <f ca="1">SUM(AA$36:AA218)/3</f>
        <v>1316.8</v>
      </c>
      <c r="AF218" s="44">
        <f ca="1">SUM(AB$36:AB218)/3</f>
        <v>1415.38666666666</v>
      </c>
      <c r="AG218" s="44">
        <f ca="1">SUM(AC$36:AC218)/3</f>
        <v>353.813333333333</v>
      </c>
      <c r="AH218" s="44">
        <f ca="1">SUM(AD$36:AD218)/3</f>
        <v>0</v>
      </c>
      <c r="AI218" s="44">
        <f>_xlfn.XLOOKUP($D$5,载具产出!$D$71:$D$75,载具产出!$E$71:$E$75)*(D218-30+1)</f>
        <v>2152.42857142858</v>
      </c>
      <c r="AJ218" s="44">
        <f>IFERROR(MATCH(_xlfn.XLOOKUP($D$5,载具产出!$D$71:$D$75,载具产出!$E$71:$E$75)*(D218-30+1)*10,载具产出!$E$60:$E$67,1),0)+1</f>
        <v>7</v>
      </c>
      <c r="AK218" s="44">
        <f ca="1">IF($AJ218=1,($AI218)*(10*OFFSET(载具产出!$D$45,MATCH(AK$6,$AK$6:$AN$6,0)-1,$AJ218)+OFFSET(载具产出!$D$49,MATCH(AK$6,$AK$6:$AN$6,0)-1,$AJ218)*OFFSET(载具产出!$N$49,MATCH(AK$6,$AK$6:$AN$6,0)-1,0)),OFFSET(载具产出!F$59,$AJ218-1,0)*10+OFFSET(载具产出!J$59,$AJ218-1,0)+($AI218*10-_xlfn.XLOOKUP($AJ218-1,载具产出!$D$59:$D$67,载具产出!$E$59:$E$67))/10*(10*OFFSET(载具产出!$D$45,MATCH(AK$6,$AK$6:$AN$6,0)-1,$AJ218)+OFFSET(载具产出!$D$49,MATCH(AK$6,$AK$6:$AN$6,0)-1,$AJ218)*OFFSET(载具产出!$N$49,MATCH(AK$6,$AK$6:$AN$6,0)-1,0)))</f>
        <v>4730.87914285716</v>
      </c>
      <c r="AL218" s="44">
        <f ca="1">IF($AJ218=1,($AI218)*(10*OFFSET(载具产出!$D$45,MATCH(AL$6,$AK$6:$AN$6,0)-1,$AJ218)+OFFSET(载具产出!$D$49,MATCH(AL$6,$AK$6:$AN$6,0)-1,$AJ218)*OFFSET(载具产出!$N$49,MATCH(AL$6,$AK$6:$AN$6,0)-1,0)),OFFSET(载具产出!G$59,$AJ218-1,0)*10+OFFSET(载具产出!K$59,$AJ218-1,0)+($AI218*10-_xlfn.XLOOKUP($AJ218-1,载具产出!$D$59:$D$67,载具产出!$E$59:$E$67))/10*(10*OFFSET(载具产出!$D$45,MATCH(AL$6,$AK$6:$AN$6,0)-1,$AJ218)+OFFSET(载具产出!$D$49,MATCH(AL$6,$AK$6:$AN$6,0)-1,$AJ218)*OFFSET(载具产出!$N$49,MATCH(AL$6,$AK$6:$AN$6,0)-1,0)))</f>
        <v>1924.58285714287</v>
      </c>
      <c r="AM218" s="44">
        <f ca="1">IF($AJ218=1,($AI218)*(10*OFFSET(载具产出!$D$45,MATCH(AM$6,$AK$6:$AN$6,0)-1,$AJ218)+OFFSET(载具产出!$D$49,MATCH(AM$6,$AK$6:$AN$6,0)-1,$AJ218)*OFFSET(载具产出!$N$49,MATCH(AM$6,$AK$6:$AN$6,0)-1,0)),OFFSET(载具产出!H$59,$AJ218-1,0)*10+OFFSET(载具产出!L$59,$AJ218-1,0)+($AI218*10-_xlfn.XLOOKUP($AJ218-1,载具产出!$D$59:$D$67,载具产出!$E$59:$E$67))/10*(10*OFFSET(载具产出!$D$45,MATCH(AM$6,$AK$6:$AN$6,0)-1,$AJ218)+OFFSET(载具产出!$D$49,MATCH(AM$6,$AK$6:$AN$6,0)-1,$AJ218)*OFFSET(载具产出!$N$49,MATCH(AM$6,$AK$6:$AN$6,0)-1,0)))</f>
        <v>1046.72228571429</v>
      </c>
      <c r="AN218" s="44">
        <f ca="1">IF($AJ218=1,($AI218)*(10*OFFSET(载具产出!$D$45,MATCH(AN$6,$AK$6:$AN$6,0)-1,$AJ218)+OFFSET(载具产出!$D$49,MATCH(AN$6,$AK$6:$AN$6,0)-1,$AJ218)*OFFSET(载具产出!$N$49,MATCH(AN$6,$AK$6:$AN$6,0)-1,0)),OFFSET(载具产出!I$59,$AJ218-1,0)*10+OFFSET(载具产出!M$59,$AJ218-1,0)+($AI218*10-_xlfn.XLOOKUP($AJ218-1,载具产出!$D$59:$D$67,载具产出!$E$59:$E$67))/10*(10*OFFSET(载具产出!$D$45,MATCH(AN$6,$AK$6:$AN$6,0)-1,$AJ218)+OFFSET(载具产出!$D$49,MATCH(AN$6,$AK$6:$AN$6,0)-1,$AJ218)*OFFSET(载具产出!$N$49,MATCH(AN$6,$AK$6:$AN$6,0)-1,0)))</f>
        <v>322.36042857143</v>
      </c>
      <c r="AO218" s="44">
        <f ca="1" t="shared" si="41"/>
        <v>6047.67914285716</v>
      </c>
      <c r="AP218" s="44">
        <f ca="1" t="shared" si="42"/>
        <v>3339.96952380953</v>
      </c>
      <c r="AQ218" s="44">
        <f ca="1" t="shared" si="43"/>
        <v>1400.53561904762</v>
      </c>
      <c r="AR218" s="44">
        <f ca="1" t="shared" si="44"/>
        <v>322.36042857143</v>
      </c>
      <c r="AS218" s="45">
        <f ca="1">IFERROR(MATCH(AO218/载具产出!R$58,载具属性!$G$33:$G$92,1),0)</f>
        <v>36</v>
      </c>
      <c r="AT218" s="45">
        <f ca="1">IFERROR(MATCH(AP218/载具产出!S$58,载具属性!$G$33:$G$92,1),0)</f>
        <v>25</v>
      </c>
      <c r="AU218" s="45">
        <f ca="1">IFERROR(MATCH(AQ218/载具产出!T$58,载具属性!$G$33:$G$92,1),0)</f>
        <v>15</v>
      </c>
      <c r="AV218" s="45">
        <f ca="1">IFERROR(MATCH(AR218/载具产出!U$58,载具属性!$G$33:$G$92,1),0)</f>
        <v>6</v>
      </c>
      <c r="AW218" s="46" t="str">
        <f ca="1" t="shared" si="45"/>
        <v>[{62,1264},{63,155895},{2,448500},{6030001,3740},{6030002,4074},{6030003,1019}]</v>
      </c>
      <c r="AX218" t="str">
        <f ca="1" t="shared" si="46"/>
        <v>{62,1264}</v>
      </c>
      <c r="AY218" t="str">
        <f ca="1" t="shared" si="47"/>
        <v>{63,155895}</v>
      </c>
      <c r="AZ218" t="str">
        <f ca="1" t="shared" si="48"/>
        <v>{2,448500}</v>
      </c>
      <c r="BA218" t="str">
        <f ca="1" t="shared" si="49"/>
        <v>{6030001,3740}</v>
      </c>
      <c r="BB218" t="str">
        <f ca="1" t="shared" si="50"/>
        <v>{6030002,4074}</v>
      </c>
      <c r="BC218" t="str">
        <f ca="1" t="shared" si="51"/>
        <v>{6030003,1019}</v>
      </c>
      <c r="BD218" t="str">
        <f ca="1" t="shared" si="52"/>
        <v/>
      </c>
    </row>
    <row r="219" spans="3:56">
      <c r="C219">
        <f ca="1" t="shared" si="39"/>
        <v>120.670103092784</v>
      </c>
      <c r="D219" s="40">
        <v>213</v>
      </c>
      <c r="E219" s="40">
        <f t="shared" si="56"/>
        <v>124</v>
      </c>
      <c r="F219" s="40">
        <v>144</v>
      </c>
      <c r="G219" s="41">
        <f t="shared" si="55"/>
        <v>194</v>
      </c>
      <c r="H219" s="40">
        <f>H218+1</f>
        <v>249</v>
      </c>
      <c r="I219" s="40">
        <f t="shared" si="38"/>
        <v>452</v>
      </c>
      <c r="J219" s="40">
        <f t="shared" si="57"/>
        <v>452</v>
      </c>
      <c r="K219" s="40">
        <f ca="1">SUM(U$36:U219)-SUM(OFFSET(载具产出!H$399,0,0,$R219+1,1))</f>
        <v>1271</v>
      </c>
      <c r="L219" s="40">
        <f ca="1">SUM(T$36:T219)-SUM(OFFSET(载具产出!G$399,0,0,$R219+1,1))</f>
        <v>156960</v>
      </c>
      <c r="M219" s="40">
        <f ca="1">SUM(V$36:V219)/2-SUM(OFFSET(载具产出!I$399,0,0,$R219+1,1))</f>
        <v>451900</v>
      </c>
      <c r="N219" s="40">
        <f ca="1">SUM(AA$36:AA219)-SUM(OFFSET(载具产出!J$399,0,0,$R219+1,1))</f>
        <v>3758.6</v>
      </c>
      <c r="O219" s="40">
        <f ca="1">SUM(AB$36:AB219)-SUM(OFFSET(载具产出!K$399,0,0,$R219+1,1))</f>
        <v>4094.75999999998</v>
      </c>
      <c r="P219" s="40">
        <f ca="1">SUM(AC$36:AC219)-SUM(OFFSET(载具产出!L$399,0,0,$R219+1,1))</f>
        <v>1032.36</v>
      </c>
      <c r="Q219" s="40">
        <f ca="1">SUM(AD$36:AD219)-SUM(OFFSET(载具产出!M$399,0,0,$R219+1,1))</f>
        <v>-0.72</v>
      </c>
      <c r="R219" s="40">
        <v>17</v>
      </c>
      <c r="S219" s="40" t="str">
        <f ca="1">OFFSET(载具产出!$D$111,IFERROR(MATCH(OFFSET($D219,0,MATCH($D$5,$E$6:$H$6,0)),载具产出!$E$112:$E$151,1),0),0)</f>
        <v>珍惜Ⅴ</v>
      </c>
      <c r="T219" s="40">
        <f ca="1">OFFSET(载具产出!$F$399,IFERROR(MATCH(OFFSET($D219,0,MATCH($D$5,$E$6:$H$6,0)),载具产出!$E$400:$E$439,1),0),MATCH(T$6,载具产出!$G$399:$O$399,0))</f>
        <v>1065</v>
      </c>
      <c r="U219" s="40">
        <v>7</v>
      </c>
      <c r="V219" s="40">
        <f ca="1">OFFSET(载具产出!$F$399,IFERROR(MATCH(OFFSET($D219,0,MATCH($D$5,$E$6:$H$6,0)),载具产出!$E$400:$E$439,1),0),MATCH(V$6,载具产出!$G$399:$O$399,0))</f>
        <v>6800</v>
      </c>
      <c r="W219" s="43">
        <f ca="1">_xlfn.XLOOKUP(Z219,载具属性!$E$98:$E$497,载具属性!$G$98:$G$497)+6000+OFFSET(载具属性!L$33,AS219,0)*载具属性!M$30+OFFSET(载具属性!M$33,AT219,0)*载具属性!N$30+OFFSET(载具属性!N$33,AU219,0)*载具属性!O$30+OFFSET(载具属性!O$33,AV219,0)*载具属性!P$30</f>
        <v>23410</v>
      </c>
      <c r="X219" s="43">
        <f ca="1">_xlfn.XLOOKUP(Z219,载具属性!$E$98:$E$497,载具属性!$G$98:$G$497)</f>
        <v>10750</v>
      </c>
      <c r="Y219" s="43">
        <f ca="1">OFFSET(载具属性!L$33,AS219,0)*载具属性!M$30+OFFSET(载具属性!M$33,AT219,0)*载具属性!N$30+OFFSET(载具属性!N$33,AU219,0)*载具属性!O$30+OFFSET(载具属性!O$33,AV219,0)*载具属性!P$30</f>
        <v>6660</v>
      </c>
      <c r="Z219" s="40">
        <f ca="1">MATCH(SUM($T$7:T219),载具属性!$I$98:$I$497,1)</f>
        <v>160</v>
      </c>
      <c r="AA219" s="40">
        <f ca="1">OFFSET(载具产出!$F$399,IFERROR(MATCH(OFFSET($D219,0,MATCH($D$5,$E$6:$H$6,0)),载具产出!$E$112:$E$151,1),0),MATCH(AA$6,载具产出!$G$111:$O$111,0))*2</f>
        <v>18</v>
      </c>
      <c r="AB219" s="40">
        <f ca="1">OFFSET(载具产出!$F$399,IFERROR(MATCH(OFFSET($D219,0,MATCH($D$5,$E$6:$H$6,0)),载具产出!$E$112:$E$151,1),0),MATCH(AB$6,载具产出!$G$111:$O$111,0))*2</f>
        <v>20.72</v>
      </c>
      <c r="AC219" s="40">
        <f ca="1">OFFSET(载具产出!$F$399,IFERROR(MATCH(OFFSET($D219,0,MATCH($D$5,$E$6:$H$6,0)),载具产出!$E$112:$E$151,1),0),MATCH(AC$6,载具产出!$G$111:$O$111,0))*2</f>
        <v>13.28</v>
      </c>
      <c r="AD219" s="40">
        <f ca="1">OFFSET(载具产出!$F$399,IFERROR(MATCH(OFFSET($D219,0,MATCH($D$5,$E$6:$H$6,0)),载具产出!$E$112:$E$151,1),0),MATCH(AD$6,载具产出!$G$111:$O$111,0))*2</f>
        <v>0</v>
      </c>
      <c r="AE219" s="44">
        <f ca="1">SUM(AA$36:AA219)/3</f>
        <v>1322.8</v>
      </c>
      <c r="AF219" s="44">
        <f ca="1">SUM(AB$36:AB219)/3</f>
        <v>1422.29333333333</v>
      </c>
      <c r="AG219" s="44">
        <f ca="1">SUM(AC$36:AC219)/3</f>
        <v>358.24</v>
      </c>
      <c r="AH219" s="44">
        <f ca="1">SUM(AD$36:AD219)/3</f>
        <v>0</v>
      </c>
      <c r="AI219" s="44">
        <f>_xlfn.XLOOKUP($D$5,载具产出!$D$71:$D$75,载具产出!$E$71:$E$75)*(D219-30+1)</f>
        <v>2164.19047619048</v>
      </c>
      <c r="AJ219" s="44">
        <f>IFERROR(MATCH(_xlfn.XLOOKUP($D$5,载具产出!$D$71:$D$75,载具产出!$E$71:$E$75)*(D219-30+1)*10,载具产出!$E$60:$E$67,1),0)+1</f>
        <v>7</v>
      </c>
      <c r="AK219" s="44">
        <f ca="1">IF($AJ219=1,($AI219)*(10*OFFSET(载具产出!$D$45,MATCH(AK$6,$AK$6:$AN$6,0)-1,$AJ219)+OFFSET(载具产出!$D$49,MATCH(AK$6,$AK$6:$AN$6,0)-1,$AJ219)*OFFSET(载具产出!$N$49,MATCH(AK$6,$AK$6:$AN$6,0)-1,0)),OFFSET(载具产出!F$59,$AJ219-1,0)*10+OFFSET(载具产出!J$59,$AJ219-1,0)+($AI219*10-_xlfn.XLOOKUP($AJ219-1,载具产出!$D$59:$D$67,载具产出!$E$59:$E$67))/10*(10*OFFSET(载具产出!$D$45,MATCH(AK$6,$AK$6:$AN$6,0)-1,$AJ219)+OFFSET(载具产出!$D$49,MATCH(AK$6,$AK$6:$AN$6,0)-1,$AJ219)*OFFSET(载具产出!$N$49,MATCH(AK$6,$AK$6:$AN$6,0)-1,0)))</f>
        <v>4755.72028571429</v>
      </c>
      <c r="AL219" s="44">
        <f ca="1">IF($AJ219=1,($AI219)*(10*OFFSET(载具产出!$D$45,MATCH(AL$6,$AK$6:$AN$6,0)-1,$AJ219)+OFFSET(载具产出!$D$49,MATCH(AL$6,$AK$6:$AN$6,0)-1,$AJ219)*OFFSET(载具产出!$N$49,MATCH(AL$6,$AK$6:$AN$6,0)-1,0)),OFFSET(载具产出!G$59,$AJ219-1,0)*10+OFFSET(载具产出!K$59,$AJ219-1,0)+($AI219*10-_xlfn.XLOOKUP($AJ219-1,载具产出!$D$59:$D$67,载具产出!$E$59:$E$67))/10*(10*OFFSET(载具产出!$D$45,MATCH(AL$6,$AK$6:$AN$6,0)-1,$AJ219)+OFFSET(载具产出!$D$49,MATCH(AL$6,$AK$6:$AN$6,0)-1,$AJ219)*OFFSET(载具产出!$N$49,MATCH(AL$6,$AK$6:$AN$6,0)-1,0)))</f>
        <v>1935.63904761905</v>
      </c>
      <c r="AM219" s="44">
        <f ca="1">IF($AJ219=1,($AI219)*(10*OFFSET(载具产出!$D$45,MATCH(AM$6,$AK$6:$AN$6,0)-1,$AJ219)+OFFSET(载具产出!$D$49,MATCH(AM$6,$AK$6:$AN$6,0)-1,$AJ219)*OFFSET(载具产出!$N$49,MATCH(AM$6,$AK$6:$AN$6,0)-1,0)),OFFSET(载具产出!H$59,$AJ219-1,0)*10+OFFSET(载具产出!L$59,$AJ219-1,0)+($AI219*10-_xlfn.XLOOKUP($AJ219-1,载具产出!$D$59:$D$67,载具产出!$E$59:$E$67))/10*(10*OFFSET(载具产出!$D$45,MATCH(AM$6,$AK$6:$AN$6,0)-1,$AJ219)+OFFSET(载具产出!$D$49,MATCH(AM$6,$AK$6:$AN$6,0)-1,$AJ219)*OFFSET(载具产出!$N$49,MATCH(AM$6,$AK$6:$AN$6,0)-1,0)))</f>
        <v>1052.93257142857</v>
      </c>
      <c r="AN219" s="44">
        <f ca="1">IF($AJ219=1,($AI219)*(10*OFFSET(载具产出!$D$45,MATCH(AN$6,$AK$6:$AN$6,0)-1,$AJ219)+OFFSET(载具产出!$D$49,MATCH(AN$6,$AK$6:$AN$6,0)-1,$AJ219)*OFFSET(载具产出!$N$49,MATCH(AN$6,$AK$6:$AN$6,0)-1,0)),OFFSET(载具产出!I$59,$AJ219-1,0)*10+OFFSET(载具产出!M$59,$AJ219-1,0)+($AI219*10-_xlfn.XLOOKUP($AJ219-1,载具产出!$D$59:$D$67,载具产出!$E$59:$E$67))/10*(10*OFFSET(载具产出!$D$45,MATCH(AN$6,$AK$6:$AN$6,0)-1,$AJ219)+OFFSET(载具产出!$D$49,MATCH(AN$6,$AK$6:$AN$6,0)-1,$AJ219)*OFFSET(载具产出!$N$49,MATCH(AN$6,$AK$6:$AN$6,0)-1,0)))</f>
        <v>324.348190476191</v>
      </c>
      <c r="AO219" s="44">
        <f ca="1" t="shared" si="41"/>
        <v>6078.52028571429</v>
      </c>
      <c r="AP219" s="44">
        <f ca="1" t="shared" si="42"/>
        <v>3357.93238095238</v>
      </c>
      <c r="AQ219" s="44">
        <f ca="1" t="shared" si="43"/>
        <v>1411.17257142857</v>
      </c>
      <c r="AR219" s="44">
        <f ca="1" t="shared" si="44"/>
        <v>324.348190476191</v>
      </c>
      <c r="AS219" s="45">
        <f ca="1">IFERROR(MATCH(AO219/载具产出!R$58,载具属性!$G$33:$G$92,1),0)</f>
        <v>36</v>
      </c>
      <c r="AT219" s="45">
        <f ca="1">IFERROR(MATCH(AP219/载具产出!S$58,载具属性!$G$33:$G$92,1),0)</f>
        <v>25</v>
      </c>
      <c r="AU219" s="45">
        <f ca="1">IFERROR(MATCH(AQ219/载具产出!T$58,载具属性!$G$33:$G$92,1),0)</f>
        <v>15</v>
      </c>
      <c r="AV219" s="45">
        <f ca="1">IFERROR(MATCH(AR219/载具产出!U$58,载具属性!$G$33:$G$92,1),0)</f>
        <v>6</v>
      </c>
      <c r="AW219" s="46" t="str">
        <f ca="1" t="shared" si="45"/>
        <v>[{62,1271},{63,156960},{2,451900},{6030001,3758},{6030002,4094},{6030003,1032}]</v>
      </c>
      <c r="AX219" t="str">
        <f ca="1" t="shared" si="46"/>
        <v>{62,1271}</v>
      </c>
      <c r="AY219" t="str">
        <f ca="1" t="shared" si="47"/>
        <v>{63,156960}</v>
      </c>
      <c r="AZ219" t="str">
        <f ca="1" t="shared" si="48"/>
        <v>{2,451900}</v>
      </c>
      <c r="BA219" t="str">
        <f ca="1" t="shared" si="49"/>
        <v>{6030001,3758}</v>
      </c>
      <c r="BB219" t="str">
        <f ca="1" t="shared" si="50"/>
        <v>{6030002,4094}</v>
      </c>
      <c r="BC219" t="str">
        <f ca="1" t="shared" si="51"/>
        <v>{6030003,1032}</v>
      </c>
      <c r="BD219" t="str">
        <f ca="1" t="shared" si="52"/>
        <v/>
      </c>
    </row>
    <row r="220" spans="3:56">
      <c r="C220">
        <f ca="1" t="shared" si="39"/>
        <v>120.512820512821</v>
      </c>
      <c r="D220" s="40">
        <v>214</v>
      </c>
      <c r="E220" s="40">
        <f t="shared" si="56"/>
        <v>124</v>
      </c>
      <c r="F220" s="40">
        <v>144</v>
      </c>
      <c r="G220" s="41">
        <f t="shared" si="55"/>
        <v>195</v>
      </c>
      <c r="H220" s="40">
        <f>H219</f>
        <v>249</v>
      </c>
      <c r="I220" s="40">
        <f t="shared" si="38"/>
        <v>454</v>
      </c>
      <c r="J220" s="40">
        <f t="shared" si="57"/>
        <v>454</v>
      </c>
      <c r="K220" s="40">
        <f ca="1">SUM(U$36:U220)-SUM(OFFSET(载具产出!H$399,0,0,$R220+1,1))</f>
        <v>1278</v>
      </c>
      <c r="L220" s="40">
        <f ca="1">SUM(T$36:T220)-SUM(OFFSET(载具产出!G$399,0,0,$R220+1,1))</f>
        <v>158065</v>
      </c>
      <c r="M220" s="40">
        <f ca="1">SUM(V$36:V220)/2-SUM(OFFSET(载具产出!I$399,0,0,$R220+1,1))</f>
        <v>455400</v>
      </c>
      <c r="N220" s="40">
        <f ca="1">SUM(AA$36:AA220)-SUM(OFFSET(载具产出!J$399,0,0,$R220+1,1))</f>
        <v>3776.6</v>
      </c>
      <c r="O220" s="40">
        <f ca="1">SUM(AB$36:AB220)-SUM(OFFSET(载具产出!K$399,0,0,$R220+1,1))</f>
        <v>4116.99999999998</v>
      </c>
      <c r="P220" s="40">
        <f ca="1">SUM(AC$36:AC220)-SUM(OFFSET(载具产出!L$399,0,0,$R220+1,1))</f>
        <v>1045.64</v>
      </c>
      <c r="Q220" s="40">
        <f ca="1">SUM(AD$36:AD220)-SUM(OFFSET(载具产出!M$399,0,0,$R220+1,1))</f>
        <v>-0.24</v>
      </c>
      <c r="R220" s="40">
        <v>17</v>
      </c>
      <c r="S220" s="40" t="str">
        <f ca="1">OFFSET(载具产出!$D$111,IFERROR(MATCH(OFFSET($D220,0,MATCH($D$5,$E$6:$H$6,0)),载具产出!$E$112:$E$151,1),0),0)</f>
        <v>卓越Ⅰ</v>
      </c>
      <c r="T220" s="40">
        <f ca="1">OFFSET(载具产出!$F$399,IFERROR(MATCH(OFFSET($D220,0,MATCH($D$5,$E$6:$H$6,0)),载具产出!$E$400:$E$439,1),0),MATCH(T$6,载具产出!$G$399:$O$399,0))</f>
        <v>1105</v>
      </c>
      <c r="U220" s="40">
        <v>7</v>
      </c>
      <c r="V220" s="40">
        <f ca="1">OFFSET(载具产出!$F$399,IFERROR(MATCH(OFFSET($D220,0,MATCH($D$5,$E$6:$H$6,0)),载具产出!$E$400:$E$439,1),0),MATCH(V$6,载具产出!$G$399:$O$399,0))</f>
        <v>7000</v>
      </c>
      <c r="W220" s="43">
        <f ca="1">_xlfn.XLOOKUP(Z220,载具属性!$E$98:$E$497,载具属性!$G$98:$G$497)+6000+OFFSET(载具属性!L$33,AS220,0)*载具属性!M$30+OFFSET(载具属性!M$33,AT220,0)*载具属性!N$30+OFFSET(载具属性!N$33,AU220,0)*载具属性!O$30+OFFSET(载具属性!O$33,AV220,0)*载具属性!P$30</f>
        <v>23500</v>
      </c>
      <c r="X220" s="43">
        <f ca="1">_xlfn.XLOOKUP(Z220,载具属性!$E$98:$E$497,载具属性!$G$98:$G$497)</f>
        <v>10840</v>
      </c>
      <c r="Y220" s="43">
        <f ca="1">OFFSET(载具属性!L$33,AS220,0)*载具属性!M$30+OFFSET(载具属性!M$33,AT220,0)*载具属性!N$30+OFFSET(载具属性!N$33,AU220,0)*载具属性!O$30+OFFSET(载具属性!O$33,AV220,0)*载具属性!P$30</f>
        <v>6660</v>
      </c>
      <c r="Z220" s="40">
        <f ca="1">MATCH(SUM($T$7:T220),载具属性!$I$98:$I$497,1)</f>
        <v>161</v>
      </c>
      <c r="AA220" s="40">
        <f ca="1">OFFSET(载具产出!$F$399,IFERROR(MATCH(OFFSET($D220,0,MATCH($D$5,$E$6:$H$6,0)),载具产出!$E$112:$E$151,1),0),MATCH(AA$6,载具产出!$G$111:$O$111,0))*2</f>
        <v>18</v>
      </c>
      <c r="AB220" s="40">
        <f ca="1">OFFSET(载具产出!$F$399,IFERROR(MATCH(OFFSET($D220,0,MATCH($D$5,$E$6:$H$6,0)),载具产出!$E$112:$E$151,1),0),MATCH(AB$6,载具产出!$G$111:$O$111,0))*2</f>
        <v>22.24</v>
      </c>
      <c r="AC220" s="40">
        <f ca="1">OFFSET(载具产出!$F$399,IFERROR(MATCH(OFFSET($D220,0,MATCH($D$5,$E$6:$H$6,0)),载具产出!$E$112:$E$151,1),0),MATCH(AC$6,载具产出!$G$111:$O$111,0))*2</f>
        <v>13.28</v>
      </c>
      <c r="AD220" s="40">
        <f ca="1">OFFSET(载具产出!$F$399,IFERROR(MATCH(OFFSET($D220,0,MATCH($D$5,$E$6:$H$6,0)),载具产出!$E$112:$E$151,1),0),MATCH(AD$6,载具产出!$G$111:$O$111,0))*2</f>
        <v>0.48</v>
      </c>
      <c r="AE220" s="44">
        <f ca="1">SUM(AA$36:AA220)/3</f>
        <v>1328.8</v>
      </c>
      <c r="AF220" s="44">
        <f ca="1">SUM(AB$36:AB220)/3</f>
        <v>1429.70666666666</v>
      </c>
      <c r="AG220" s="44">
        <f ca="1">SUM(AC$36:AC220)/3</f>
        <v>362.666666666666</v>
      </c>
      <c r="AH220" s="44">
        <f ca="1">SUM(AD$36:AD220)/3</f>
        <v>0.16</v>
      </c>
      <c r="AI220" s="44">
        <f>_xlfn.XLOOKUP($D$5,载具产出!$D$71:$D$75,载具产出!$E$71:$E$75)*(D220-30+1)</f>
        <v>2175.95238095239</v>
      </c>
      <c r="AJ220" s="44">
        <f>IFERROR(MATCH(_xlfn.XLOOKUP($D$5,载具产出!$D$71:$D$75,载具产出!$E$71:$E$75)*(D220-30+1)*10,载具产出!$E$60:$E$67,1),0)+1</f>
        <v>7</v>
      </c>
      <c r="AK220" s="44">
        <f ca="1">IF($AJ220=1,($AI220)*(10*OFFSET(载具产出!$D$45,MATCH(AK$6,$AK$6:$AN$6,0)-1,$AJ220)+OFFSET(载具产出!$D$49,MATCH(AK$6,$AK$6:$AN$6,0)-1,$AJ220)*OFFSET(载具产出!$N$49,MATCH(AK$6,$AK$6:$AN$6,0)-1,0)),OFFSET(载具产出!F$59,$AJ220-1,0)*10+OFFSET(载具产出!J$59,$AJ220-1,0)+($AI220*10-_xlfn.XLOOKUP($AJ220-1,载具产出!$D$59:$D$67,载具产出!$E$59:$E$67))/10*(10*OFFSET(载具产出!$D$45,MATCH(AK$6,$AK$6:$AN$6,0)-1,$AJ220)+OFFSET(载具产出!$D$49,MATCH(AK$6,$AK$6:$AN$6,0)-1,$AJ220)*OFFSET(载具产出!$N$49,MATCH(AK$6,$AK$6:$AN$6,0)-1,0)))</f>
        <v>4780.56142857145</v>
      </c>
      <c r="AL220" s="44">
        <f ca="1">IF($AJ220=1,($AI220)*(10*OFFSET(载具产出!$D$45,MATCH(AL$6,$AK$6:$AN$6,0)-1,$AJ220)+OFFSET(载具产出!$D$49,MATCH(AL$6,$AK$6:$AN$6,0)-1,$AJ220)*OFFSET(载具产出!$N$49,MATCH(AL$6,$AK$6:$AN$6,0)-1,0)),OFFSET(载具产出!G$59,$AJ220-1,0)*10+OFFSET(载具产出!K$59,$AJ220-1,0)+($AI220*10-_xlfn.XLOOKUP($AJ220-1,载具产出!$D$59:$D$67,载具产出!$E$59:$E$67))/10*(10*OFFSET(载具产出!$D$45,MATCH(AL$6,$AK$6:$AN$6,0)-1,$AJ220)+OFFSET(载具产出!$D$49,MATCH(AL$6,$AK$6:$AN$6,0)-1,$AJ220)*OFFSET(载具产出!$N$49,MATCH(AL$6,$AK$6:$AN$6,0)-1,0)))</f>
        <v>1946.69523809525</v>
      </c>
      <c r="AM220" s="44">
        <f ca="1">IF($AJ220=1,($AI220)*(10*OFFSET(载具产出!$D$45,MATCH(AM$6,$AK$6:$AN$6,0)-1,$AJ220)+OFFSET(载具产出!$D$49,MATCH(AM$6,$AK$6:$AN$6,0)-1,$AJ220)*OFFSET(载具产出!$N$49,MATCH(AM$6,$AK$6:$AN$6,0)-1,0)),OFFSET(载具产出!H$59,$AJ220-1,0)*10+OFFSET(载具产出!L$59,$AJ220-1,0)+($AI220*10-_xlfn.XLOOKUP($AJ220-1,载具产出!$D$59:$D$67,载具产出!$E$59:$E$67))/10*(10*OFFSET(载具产出!$D$45,MATCH(AM$6,$AK$6:$AN$6,0)-1,$AJ220)+OFFSET(载具产出!$D$49,MATCH(AM$6,$AK$6:$AN$6,0)-1,$AJ220)*OFFSET(载具产出!$N$49,MATCH(AM$6,$AK$6:$AN$6,0)-1,0)))</f>
        <v>1059.14285714286</v>
      </c>
      <c r="AN220" s="44">
        <f ca="1">IF($AJ220=1,($AI220)*(10*OFFSET(载具产出!$D$45,MATCH(AN$6,$AK$6:$AN$6,0)-1,$AJ220)+OFFSET(载具产出!$D$49,MATCH(AN$6,$AK$6:$AN$6,0)-1,$AJ220)*OFFSET(载具产出!$N$49,MATCH(AN$6,$AK$6:$AN$6,0)-1,0)),OFFSET(载具产出!I$59,$AJ220-1,0)*10+OFFSET(载具产出!M$59,$AJ220-1,0)+($AI220*10-_xlfn.XLOOKUP($AJ220-1,载具产出!$D$59:$D$67,载具产出!$E$59:$E$67))/10*(10*OFFSET(载具产出!$D$45,MATCH(AN$6,$AK$6:$AN$6,0)-1,$AJ220)+OFFSET(载具产出!$D$49,MATCH(AN$6,$AK$6:$AN$6,0)-1,$AJ220)*OFFSET(载具产出!$N$49,MATCH(AN$6,$AK$6:$AN$6,0)-1,0)))</f>
        <v>326.335952380954</v>
      </c>
      <c r="AO220" s="44">
        <f ca="1" t="shared" si="41"/>
        <v>6109.36142857145</v>
      </c>
      <c r="AP220" s="44">
        <f ca="1" t="shared" si="42"/>
        <v>3376.40190476191</v>
      </c>
      <c r="AQ220" s="44">
        <f ca="1" t="shared" si="43"/>
        <v>1421.80952380953</v>
      </c>
      <c r="AR220" s="44">
        <f ca="1" t="shared" si="44"/>
        <v>326.495952380954</v>
      </c>
      <c r="AS220" s="45">
        <f ca="1">IFERROR(MATCH(AO220/载具产出!R$58,载具属性!$G$33:$G$92,1),0)</f>
        <v>36</v>
      </c>
      <c r="AT220" s="45">
        <f ca="1">IFERROR(MATCH(AP220/载具产出!S$58,载具属性!$G$33:$G$92,1),0)</f>
        <v>25</v>
      </c>
      <c r="AU220" s="45">
        <f ca="1">IFERROR(MATCH(AQ220/载具产出!T$58,载具属性!$G$33:$G$92,1),0)</f>
        <v>15</v>
      </c>
      <c r="AV220" s="45">
        <f ca="1">IFERROR(MATCH(AR220/载具产出!U$58,载具属性!$G$33:$G$92,1),0)</f>
        <v>6</v>
      </c>
      <c r="AW220" s="46" t="str">
        <f ca="1" t="shared" si="45"/>
        <v>[{62,1278},{63,158065},{2,455400},{6030001,3776},{6030002,4116},{6030003,1045}]</v>
      </c>
      <c r="AX220" t="str">
        <f ca="1" t="shared" si="46"/>
        <v>{62,1278}</v>
      </c>
      <c r="AY220" t="str">
        <f ca="1" t="shared" si="47"/>
        <v>{63,158065}</v>
      </c>
      <c r="AZ220" t="str">
        <f ca="1" t="shared" si="48"/>
        <v>{2,455400}</v>
      </c>
      <c r="BA220" t="str">
        <f ca="1" t="shared" si="49"/>
        <v>{6030001,3776}</v>
      </c>
      <c r="BB220" t="str">
        <f ca="1" t="shared" si="50"/>
        <v>{6030002,4116}</v>
      </c>
      <c r="BC220" t="str">
        <f ca="1" t="shared" si="51"/>
        <v>{6030003,1045}</v>
      </c>
      <c r="BD220" t="str">
        <f ca="1" t="shared" si="52"/>
        <v/>
      </c>
    </row>
    <row r="221" spans="3:56">
      <c r="C221">
        <f ca="1" t="shared" si="39"/>
        <v>120.974358974359</v>
      </c>
      <c r="D221" s="40">
        <v>215</v>
      </c>
      <c r="E221" s="40">
        <f t="shared" si="56"/>
        <v>124</v>
      </c>
      <c r="F221" s="40">
        <v>144</v>
      </c>
      <c r="G221" s="41">
        <f t="shared" si="55"/>
        <v>195</v>
      </c>
      <c r="H221" s="40">
        <f>H220+1</f>
        <v>250</v>
      </c>
      <c r="I221" s="40">
        <f t="shared" si="38"/>
        <v>456</v>
      </c>
      <c r="J221" s="40">
        <f t="shared" si="57"/>
        <v>456</v>
      </c>
      <c r="K221" s="40">
        <f ca="1">SUM(U$36:U221)-SUM(OFFSET(载具产出!H$399,0,0,$R221+1,1))</f>
        <v>1285</v>
      </c>
      <c r="L221" s="40">
        <f ca="1">SUM(T$36:T221)-SUM(OFFSET(载具产出!G$399,0,0,$R221+1,1))</f>
        <v>159170</v>
      </c>
      <c r="M221" s="40">
        <f ca="1">SUM(V$36:V221)/2-SUM(OFFSET(载具产出!I$399,0,0,$R221+1,1))</f>
        <v>458900</v>
      </c>
      <c r="N221" s="40">
        <f ca="1">SUM(AA$36:AA221)-SUM(OFFSET(载具产出!J$399,0,0,$R221+1,1))</f>
        <v>3794.6</v>
      </c>
      <c r="O221" s="40">
        <f ca="1">SUM(AB$36:AB221)-SUM(OFFSET(载具产出!K$399,0,0,$R221+1,1))</f>
        <v>4139.23999999998</v>
      </c>
      <c r="P221" s="40">
        <f ca="1">SUM(AC$36:AC221)-SUM(OFFSET(载具产出!L$399,0,0,$R221+1,1))</f>
        <v>1058.92</v>
      </c>
      <c r="Q221" s="40">
        <f ca="1">SUM(AD$36:AD221)-SUM(OFFSET(载具产出!M$399,0,0,$R221+1,1))</f>
        <v>0.24</v>
      </c>
      <c r="R221" s="40">
        <v>17</v>
      </c>
      <c r="S221" s="40" t="str">
        <f ca="1">OFFSET(载具产出!$D$111,IFERROR(MATCH(OFFSET($D221,0,MATCH($D$5,$E$6:$H$6,0)),载具产出!$E$112:$E$151,1),0),0)</f>
        <v>卓越Ⅰ</v>
      </c>
      <c r="T221" s="40">
        <f ca="1">OFFSET(载具产出!$F$399,IFERROR(MATCH(OFFSET($D221,0,MATCH($D$5,$E$6:$H$6,0)),载具产出!$E$400:$E$439,1),0),MATCH(T$6,载具产出!$G$399:$O$399,0))</f>
        <v>1105</v>
      </c>
      <c r="U221" s="40">
        <v>7</v>
      </c>
      <c r="V221" s="40">
        <f ca="1">OFFSET(载具产出!$F$399,IFERROR(MATCH(OFFSET($D221,0,MATCH($D$5,$E$6:$H$6,0)),载具产出!$E$400:$E$439,1),0),MATCH(V$6,载具产出!$G$399:$O$399,0))</f>
        <v>7000</v>
      </c>
      <c r="W221" s="43">
        <f ca="1">_xlfn.XLOOKUP(Z221,载具属性!$E$98:$E$497,载具属性!$G$98:$G$497)+6000+OFFSET(载具属性!L$33,AS221,0)*载具属性!M$30+OFFSET(载具属性!M$33,AT221,0)*载具属性!N$30+OFFSET(载具属性!N$33,AU221,0)*载具属性!O$30+OFFSET(载具属性!O$33,AV221,0)*载具属性!P$30</f>
        <v>23590</v>
      </c>
      <c r="X221" s="43">
        <f ca="1">_xlfn.XLOOKUP(Z221,载具属性!$E$98:$E$497,载具属性!$G$98:$G$497)</f>
        <v>10930</v>
      </c>
      <c r="Y221" s="43">
        <f ca="1">OFFSET(载具属性!L$33,AS221,0)*载具属性!M$30+OFFSET(载具属性!M$33,AT221,0)*载具属性!N$30+OFFSET(载具属性!N$33,AU221,0)*载具属性!O$30+OFFSET(载具属性!O$33,AV221,0)*载具属性!P$30</f>
        <v>6660</v>
      </c>
      <c r="Z221" s="40">
        <f ca="1">MATCH(SUM($T$7:T221),载具属性!$I$98:$I$497,1)</f>
        <v>162</v>
      </c>
      <c r="AA221" s="40">
        <f ca="1">OFFSET(载具产出!$F$399,IFERROR(MATCH(OFFSET($D221,0,MATCH($D$5,$E$6:$H$6,0)),载具产出!$E$112:$E$151,1),0),MATCH(AA$6,载具产出!$G$111:$O$111,0))*2</f>
        <v>18</v>
      </c>
      <c r="AB221" s="40">
        <f ca="1">OFFSET(载具产出!$F$399,IFERROR(MATCH(OFFSET($D221,0,MATCH($D$5,$E$6:$H$6,0)),载具产出!$E$112:$E$151,1),0),MATCH(AB$6,载具产出!$G$111:$O$111,0))*2</f>
        <v>22.24</v>
      </c>
      <c r="AC221" s="40">
        <f ca="1">OFFSET(载具产出!$F$399,IFERROR(MATCH(OFFSET($D221,0,MATCH($D$5,$E$6:$H$6,0)),载具产出!$E$112:$E$151,1),0),MATCH(AC$6,载具产出!$G$111:$O$111,0))*2</f>
        <v>13.28</v>
      </c>
      <c r="AD221" s="40">
        <f ca="1">OFFSET(载具产出!$F$399,IFERROR(MATCH(OFFSET($D221,0,MATCH($D$5,$E$6:$H$6,0)),载具产出!$E$112:$E$151,1),0),MATCH(AD$6,载具产出!$G$111:$O$111,0))*2</f>
        <v>0.48</v>
      </c>
      <c r="AE221" s="44">
        <f ca="1">SUM(AA$36:AA221)/3</f>
        <v>1334.8</v>
      </c>
      <c r="AF221" s="44">
        <f ca="1">SUM(AB$36:AB221)/3</f>
        <v>1437.11999999999</v>
      </c>
      <c r="AG221" s="44">
        <f ca="1">SUM(AC$36:AC221)/3</f>
        <v>367.093333333333</v>
      </c>
      <c r="AH221" s="44">
        <f ca="1">SUM(AD$36:AD221)/3</f>
        <v>0.32</v>
      </c>
      <c r="AI221" s="44">
        <f>_xlfn.XLOOKUP($D$5,载具产出!$D$71:$D$75,载具产出!$E$71:$E$75)*(D221-30+1)</f>
        <v>2187.71428571429</v>
      </c>
      <c r="AJ221" s="44">
        <f>IFERROR(MATCH(_xlfn.XLOOKUP($D$5,载具产出!$D$71:$D$75,载具产出!$E$71:$E$75)*(D221-30+1)*10,载具产出!$E$60:$E$67,1),0)+1</f>
        <v>7</v>
      </c>
      <c r="AK221" s="44">
        <f ca="1">IF($AJ221=1,($AI221)*(10*OFFSET(载具产出!$D$45,MATCH(AK$6,$AK$6:$AN$6,0)-1,$AJ221)+OFFSET(载具产出!$D$49,MATCH(AK$6,$AK$6:$AN$6,0)-1,$AJ221)*OFFSET(载具产出!$N$49,MATCH(AK$6,$AK$6:$AN$6,0)-1,0)),OFFSET(载具产出!F$59,$AJ221-1,0)*10+OFFSET(载具产出!J$59,$AJ221-1,0)+($AI221*10-_xlfn.XLOOKUP($AJ221-1,载具产出!$D$59:$D$67,载具产出!$E$59:$E$67))/10*(10*OFFSET(载具产出!$D$45,MATCH(AK$6,$AK$6:$AN$6,0)-1,$AJ221)+OFFSET(载具产出!$D$49,MATCH(AK$6,$AK$6:$AN$6,0)-1,$AJ221)*OFFSET(载具产出!$N$49,MATCH(AK$6,$AK$6:$AN$6,0)-1,0)))</f>
        <v>4805.40257142858</v>
      </c>
      <c r="AL221" s="44">
        <f ca="1">IF($AJ221=1,($AI221)*(10*OFFSET(载具产出!$D$45,MATCH(AL$6,$AK$6:$AN$6,0)-1,$AJ221)+OFFSET(载具产出!$D$49,MATCH(AL$6,$AK$6:$AN$6,0)-1,$AJ221)*OFFSET(载具产出!$N$49,MATCH(AL$6,$AK$6:$AN$6,0)-1,0)),OFFSET(载具产出!G$59,$AJ221-1,0)*10+OFFSET(载具产出!K$59,$AJ221-1,0)+($AI221*10-_xlfn.XLOOKUP($AJ221-1,载具产出!$D$59:$D$67,载具产出!$E$59:$E$67))/10*(10*OFFSET(载具产出!$D$45,MATCH(AL$6,$AK$6:$AN$6,0)-1,$AJ221)+OFFSET(载具产出!$D$49,MATCH(AL$6,$AK$6:$AN$6,0)-1,$AJ221)*OFFSET(载具产出!$N$49,MATCH(AL$6,$AK$6:$AN$6,0)-1,0)))</f>
        <v>1957.75142857143</v>
      </c>
      <c r="AM221" s="44">
        <f ca="1">IF($AJ221=1,($AI221)*(10*OFFSET(载具产出!$D$45,MATCH(AM$6,$AK$6:$AN$6,0)-1,$AJ221)+OFFSET(载具产出!$D$49,MATCH(AM$6,$AK$6:$AN$6,0)-1,$AJ221)*OFFSET(载具产出!$N$49,MATCH(AM$6,$AK$6:$AN$6,0)-1,0)),OFFSET(载具产出!H$59,$AJ221-1,0)*10+OFFSET(载具产出!L$59,$AJ221-1,0)+($AI221*10-_xlfn.XLOOKUP($AJ221-1,载具产出!$D$59:$D$67,载具产出!$E$59:$E$67))/10*(10*OFFSET(载具产出!$D$45,MATCH(AM$6,$AK$6:$AN$6,0)-1,$AJ221)+OFFSET(载具产出!$D$49,MATCH(AM$6,$AK$6:$AN$6,0)-1,$AJ221)*OFFSET(载具产出!$N$49,MATCH(AM$6,$AK$6:$AN$6,0)-1,0)))</f>
        <v>1065.35314285715</v>
      </c>
      <c r="AN221" s="44">
        <f ca="1">IF($AJ221=1,($AI221)*(10*OFFSET(载具产出!$D$45,MATCH(AN$6,$AK$6:$AN$6,0)-1,$AJ221)+OFFSET(载具产出!$D$49,MATCH(AN$6,$AK$6:$AN$6,0)-1,$AJ221)*OFFSET(载具产出!$N$49,MATCH(AN$6,$AK$6:$AN$6,0)-1,0)),OFFSET(载具产出!I$59,$AJ221-1,0)*10+OFFSET(载具产出!M$59,$AJ221-1,0)+($AI221*10-_xlfn.XLOOKUP($AJ221-1,载具产出!$D$59:$D$67,载具产出!$E$59:$E$67))/10*(10*OFFSET(载具产出!$D$45,MATCH(AN$6,$AK$6:$AN$6,0)-1,$AJ221)+OFFSET(载具产出!$D$49,MATCH(AN$6,$AK$6:$AN$6,0)-1,$AJ221)*OFFSET(载具产出!$N$49,MATCH(AN$6,$AK$6:$AN$6,0)-1,0)))</f>
        <v>328.323714285715</v>
      </c>
      <c r="AO221" s="44">
        <f ca="1" t="shared" si="41"/>
        <v>6140.20257142858</v>
      </c>
      <c r="AP221" s="44">
        <f ca="1" t="shared" si="42"/>
        <v>3394.87142857143</v>
      </c>
      <c r="AQ221" s="44">
        <f ca="1" t="shared" si="43"/>
        <v>1432.44647619048</v>
      </c>
      <c r="AR221" s="44">
        <f ca="1" t="shared" si="44"/>
        <v>328.643714285715</v>
      </c>
      <c r="AS221" s="45">
        <f ca="1">IFERROR(MATCH(AO221/载具产出!R$58,载具属性!$G$33:$G$92,1),0)</f>
        <v>36</v>
      </c>
      <c r="AT221" s="45">
        <f ca="1">IFERROR(MATCH(AP221/载具产出!S$58,载具属性!$G$33:$G$92,1),0)</f>
        <v>25</v>
      </c>
      <c r="AU221" s="45">
        <f ca="1">IFERROR(MATCH(AQ221/载具产出!T$58,载具属性!$G$33:$G$92,1),0)</f>
        <v>15</v>
      </c>
      <c r="AV221" s="45">
        <f ca="1">IFERROR(MATCH(AR221/载具产出!U$58,载具属性!$G$33:$G$92,1),0)</f>
        <v>6</v>
      </c>
      <c r="AW221" s="46" t="str">
        <f ca="1" t="shared" si="45"/>
        <v>[{62,1285},{63,159170},{2,458900},{6030001,3794},{6030002,4139},{6030003,1058}]</v>
      </c>
      <c r="AX221" t="str">
        <f ca="1" t="shared" si="46"/>
        <v>{62,1285}</v>
      </c>
      <c r="AY221" t="str">
        <f ca="1" t="shared" si="47"/>
        <v>{63,159170}</v>
      </c>
      <c r="AZ221" t="str">
        <f ca="1" t="shared" si="48"/>
        <v>{2,458900}</v>
      </c>
      <c r="BA221" t="str">
        <f ca="1" t="shared" si="49"/>
        <v>{6030001,3794}</v>
      </c>
      <c r="BB221" t="str">
        <f ca="1" t="shared" si="50"/>
        <v>{6030002,4139}</v>
      </c>
      <c r="BC221" t="str">
        <f ca="1" t="shared" si="51"/>
        <v>{6030003,1058}</v>
      </c>
      <c r="BD221" t="str">
        <f ca="1" t="shared" si="52"/>
        <v/>
      </c>
    </row>
    <row r="222" spans="3:56">
      <c r="C222">
        <f ca="1" t="shared" si="39"/>
        <v>120.357142857143</v>
      </c>
      <c r="D222" s="40">
        <v>216</v>
      </c>
      <c r="E222" s="40">
        <f t="shared" si="56"/>
        <v>124</v>
      </c>
      <c r="F222" s="40">
        <v>145</v>
      </c>
      <c r="G222" s="41">
        <f t="shared" si="55"/>
        <v>196</v>
      </c>
      <c r="H222" s="40">
        <f>H221</f>
        <v>250</v>
      </c>
      <c r="I222" s="40">
        <f t="shared" si="38"/>
        <v>458</v>
      </c>
      <c r="J222" s="40">
        <f t="shared" si="57"/>
        <v>458</v>
      </c>
      <c r="K222" s="40">
        <f ca="1">SUM(U$36:U222)-SUM(OFFSET(载具产出!H$399,0,0,$R222+1,1))</f>
        <v>1292</v>
      </c>
      <c r="L222" s="40">
        <f ca="1">SUM(T$36:T222)-SUM(OFFSET(载具产出!G$399,0,0,$R222+1,1))</f>
        <v>160275</v>
      </c>
      <c r="M222" s="40">
        <f ca="1">SUM(V$36:V222)/2-SUM(OFFSET(载具产出!I$399,0,0,$R222+1,1))</f>
        <v>462400</v>
      </c>
      <c r="N222" s="40">
        <f ca="1">SUM(AA$36:AA222)-SUM(OFFSET(载具产出!J$399,0,0,$R222+1,1))</f>
        <v>3812.6</v>
      </c>
      <c r="O222" s="40">
        <f ca="1">SUM(AB$36:AB222)-SUM(OFFSET(载具产出!K$399,0,0,$R222+1,1))</f>
        <v>4161.47999999998</v>
      </c>
      <c r="P222" s="40">
        <f ca="1">SUM(AC$36:AC222)-SUM(OFFSET(载具产出!L$399,0,0,$R222+1,1))</f>
        <v>1072.2</v>
      </c>
      <c r="Q222" s="40">
        <f ca="1">SUM(AD$36:AD222)-SUM(OFFSET(载具产出!M$399,0,0,$R222+1,1))</f>
        <v>0.72</v>
      </c>
      <c r="R222" s="40">
        <v>17</v>
      </c>
      <c r="S222" s="40" t="str">
        <f ca="1">OFFSET(载具产出!$D$111,IFERROR(MATCH(OFFSET($D222,0,MATCH($D$5,$E$6:$H$6,0)),载具产出!$E$112:$E$151,1),0),0)</f>
        <v>卓越Ⅰ</v>
      </c>
      <c r="T222" s="40">
        <f ca="1">OFFSET(载具产出!$F$399,IFERROR(MATCH(OFFSET($D222,0,MATCH($D$5,$E$6:$H$6,0)),载具产出!$E$400:$E$439,1),0),MATCH(T$6,载具产出!$G$399:$O$399,0))</f>
        <v>1105</v>
      </c>
      <c r="U222" s="40">
        <v>7</v>
      </c>
      <c r="V222" s="40">
        <f ca="1">OFFSET(载具产出!$F$399,IFERROR(MATCH(OFFSET($D222,0,MATCH($D$5,$E$6:$H$6,0)),载具产出!$E$400:$E$439,1),0),MATCH(V$6,载具产出!$G$399:$O$399,0))</f>
        <v>7000</v>
      </c>
      <c r="W222" s="43">
        <f ca="1">_xlfn.XLOOKUP(Z222,载具属性!$E$98:$E$497,载具属性!$G$98:$G$497)+6000+OFFSET(载具属性!L$33,AS222,0)*载具属性!M$30+OFFSET(载具属性!M$33,AT222,0)*载具属性!N$30+OFFSET(载具属性!N$33,AU222,0)*载具属性!O$30+OFFSET(载具属性!O$33,AV222,0)*载具属性!P$30</f>
        <v>23590</v>
      </c>
      <c r="X222" s="43">
        <f ca="1">_xlfn.XLOOKUP(Z222,载具属性!$E$98:$E$497,载具属性!$G$98:$G$497)</f>
        <v>10930</v>
      </c>
      <c r="Y222" s="43">
        <f ca="1">OFFSET(载具属性!L$33,AS222,0)*载具属性!M$30+OFFSET(载具属性!M$33,AT222,0)*载具属性!N$30+OFFSET(载具属性!N$33,AU222,0)*载具属性!O$30+OFFSET(载具属性!O$33,AV222,0)*载具属性!P$30</f>
        <v>6660</v>
      </c>
      <c r="Z222" s="40">
        <f ca="1">MATCH(SUM($T$7:T222),载具属性!$I$98:$I$497,1)</f>
        <v>162</v>
      </c>
      <c r="AA222" s="40">
        <f ca="1">OFFSET(载具产出!$F$399,IFERROR(MATCH(OFFSET($D222,0,MATCH($D$5,$E$6:$H$6,0)),载具产出!$E$112:$E$151,1),0),MATCH(AA$6,载具产出!$G$111:$O$111,0))*2</f>
        <v>18</v>
      </c>
      <c r="AB222" s="40">
        <f ca="1">OFFSET(载具产出!$F$399,IFERROR(MATCH(OFFSET($D222,0,MATCH($D$5,$E$6:$H$6,0)),载具产出!$E$112:$E$151,1),0),MATCH(AB$6,载具产出!$G$111:$O$111,0))*2</f>
        <v>22.24</v>
      </c>
      <c r="AC222" s="40">
        <f ca="1">OFFSET(载具产出!$F$399,IFERROR(MATCH(OFFSET($D222,0,MATCH($D$5,$E$6:$H$6,0)),载具产出!$E$112:$E$151,1),0),MATCH(AC$6,载具产出!$G$111:$O$111,0))*2</f>
        <v>13.28</v>
      </c>
      <c r="AD222" s="40">
        <f ca="1">OFFSET(载具产出!$F$399,IFERROR(MATCH(OFFSET($D222,0,MATCH($D$5,$E$6:$H$6,0)),载具产出!$E$112:$E$151,1),0),MATCH(AD$6,载具产出!$G$111:$O$111,0))*2</f>
        <v>0.48</v>
      </c>
      <c r="AE222" s="44">
        <f ca="1">SUM(AA$36:AA222)/3</f>
        <v>1340.8</v>
      </c>
      <c r="AF222" s="44">
        <f ca="1">SUM(AB$36:AB222)/3</f>
        <v>1444.53333333333</v>
      </c>
      <c r="AG222" s="44">
        <f ca="1">SUM(AC$36:AC222)/3</f>
        <v>371.52</v>
      </c>
      <c r="AH222" s="44">
        <f ca="1">SUM(AD$36:AD222)/3</f>
        <v>0.48</v>
      </c>
      <c r="AI222" s="44">
        <f>_xlfn.XLOOKUP($D$5,载具产出!$D$71:$D$75,载具产出!$E$71:$E$75)*(D222-30+1)</f>
        <v>2199.4761904762</v>
      </c>
      <c r="AJ222" s="44">
        <f>IFERROR(MATCH(_xlfn.XLOOKUP($D$5,载具产出!$D$71:$D$75,载具产出!$E$71:$E$75)*(D222-30+1)*10,载具产出!$E$60:$E$67,1),0)+1</f>
        <v>7</v>
      </c>
      <c r="AK222" s="44">
        <f ca="1">IF($AJ222=1,($AI222)*(10*OFFSET(载具产出!$D$45,MATCH(AK$6,$AK$6:$AN$6,0)-1,$AJ222)+OFFSET(载具产出!$D$49,MATCH(AK$6,$AK$6:$AN$6,0)-1,$AJ222)*OFFSET(载具产出!$N$49,MATCH(AK$6,$AK$6:$AN$6,0)-1,0)),OFFSET(载具产出!F$59,$AJ222-1,0)*10+OFFSET(载具产出!J$59,$AJ222-1,0)+($AI222*10-_xlfn.XLOOKUP($AJ222-1,载具产出!$D$59:$D$67,载具产出!$E$59:$E$67))/10*(10*OFFSET(载具产出!$D$45,MATCH(AK$6,$AK$6:$AN$6,0)-1,$AJ222)+OFFSET(载具产出!$D$49,MATCH(AK$6,$AK$6:$AN$6,0)-1,$AJ222)*OFFSET(载具产出!$N$49,MATCH(AK$6,$AK$6:$AN$6,0)-1,0)))</f>
        <v>4830.24371428573</v>
      </c>
      <c r="AL222" s="44">
        <f ca="1">IF($AJ222=1,($AI222)*(10*OFFSET(载具产出!$D$45,MATCH(AL$6,$AK$6:$AN$6,0)-1,$AJ222)+OFFSET(载具产出!$D$49,MATCH(AL$6,$AK$6:$AN$6,0)-1,$AJ222)*OFFSET(载具产出!$N$49,MATCH(AL$6,$AK$6:$AN$6,0)-1,0)),OFFSET(载具产出!G$59,$AJ222-1,0)*10+OFFSET(载具产出!K$59,$AJ222-1,0)+($AI222*10-_xlfn.XLOOKUP($AJ222-1,载具产出!$D$59:$D$67,载具产出!$E$59:$E$67))/10*(10*OFFSET(载具产出!$D$45,MATCH(AL$6,$AK$6:$AN$6,0)-1,$AJ222)+OFFSET(载具产出!$D$49,MATCH(AL$6,$AK$6:$AN$6,0)-1,$AJ222)*OFFSET(载具产出!$N$49,MATCH(AL$6,$AK$6:$AN$6,0)-1,0)))</f>
        <v>1968.80761904763</v>
      </c>
      <c r="AM222" s="44">
        <f ca="1">IF($AJ222=1,($AI222)*(10*OFFSET(载具产出!$D$45,MATCH(AM$6,$AK$6:$AN$6,0)-1,$AJ222)+OFFSET(载具产出!$D$49,MATCH(AM$6,$AK$6:$AN$6,0)-1,$AJ222)*OFFSET(载具产出!$N$49,MATCH(AM$6,$AK$6:$AN$6,0)-1,0)),OFFSET(载具产出!H$59,$AJ222-1,0)*10+OFFSET(载具产出!L$59,$AJ222-1,0)+($AI222*10-_xlfn.XLOOKUP($AJ222-1,载具产出!$D$59:$D$67,载具产出!$E$59:$E$67))/10*(10*OFFSET(载具产出!$D$45,MATCH(AM$6,$AK$6:$AN$6,0)-1,$AJ222)+OFFSET(载具产出!$D$49,MATCH(AM$6,$AK$6:$AN$6,0)-1,$AJ222)*OFFSET(载具产出!$N$49,MATCH(AM$6,$AK$6:$AN$6,0)-1,0)))</f>
        <v>1071.56342857143</v>
      </c>
      <c r="AN222" s="44">
        <f ca="1">IF($AJ222=1,($AI222)*(10*OFFSET(载具产出!$D$45,MATCH(AN$6,$AK$6:$AN$6,0)-1,$AJ222)+OFFSET(载具产出!$D$49,MATCH(AN$6,$AK$6:$AN$6,0)-1,$AJ222)*OFFSET(载具产出!$N$49,MATCH(AN$6,$AK$6:$AN$6,0)-1,0)),OFFSET(载具产出!I$59,$AJ222-1,0)*10+OFFSET(载具产出!M$59,$AJ222-1,0)+($AI222*10-_xlfn.XLOOKUP($AJ222-1,载具产出!$D$59:$D$67,载具产出!$E$59:$E$67))/10*(10*OFFSET(载具产出!$D$45,MATCH(AN$6,$AK$6:$AN$6,0)-1,$AJ222)+OFFSET(载具产出!$D$49,MATCH(AN$6,$AK$6:$AN$6,0)-1,$AJ222)*OFFSET(载具产出!$N$49,MATCH(AN$6,$AK$6:$AN$6,0)-1,0)))</f>
        <v>330.311476190478</v>
      </c>
      <c r="AO222" s="44">
        <f ca="1" t="shared" si="41"/>
        <v>6171.04371428573</v>
      </c>
      <c r="AP222" s="44">
        <f ca="1" t="shared" si="42"/>
        <v>3413.34095238096</v>
      </c>
      <c r="AQ222" s="44">
        <f ca="1" t="shared" si="43"/>
        <v>1443.08342857143</v>
      </c>
      <c r="AR222" s="44">
        <f ca="1" t="shared" si="44"/>
        <v>330.791476190478</v>
      </c>
      <c r="AS222" s="45">
        <f ca="1">IFERROR(MATCH(AO222/载具产出!R$58,载具属性!$G$33:$G$92,1),0)</f>
        <v>36</v>
      </c>
      <c r="AT222" s="45">
        <f ca="1">IFERROR(MATCH(AP222/载具产出!S$58,载具属性!$G$33:$G$92,1),0)</f>
        <v>25</v>
      </c>
      <c r="AU222" s="45">
        <f ca="1">IFERROR(MATCH(AQ222/载具产出!T$58,载具属性!$G$33:$G$92,1),0)</f>
        <v>15</v>
      </c>
      <c r="AV222" s="45">
        <f ca="1">IFERROR(MATCH(AR222/载具产出!U$58,载具属性!$G$33:$G$92,1),0)</f>
        <v>6</v>
      </c>
      <c r="AW222" s="46" t="str">
        <f ca="1" t="shared" si="45"/>
        <v>[{62,1292},{63,160275},{2,462400},{6030001,3812},{6030002,4161},{6030003,1072}]</v>
      </c>
      <c r="AX222" t="str">
        <f ca="1" t="shared" si="46"/>
        <v>{62,1292}</v>
      </c>
      <c r="AY222" t="str">
        <f ca="1" t="shared" si="47"/>
        <v>{63,160275}</v>
      </c>
      <c r="AZ222" t="str">
        <f ca="1" t="shared" si="48"/>
        <v>{2,462400}</v>
      </c>
      <c r="BA222" t="str">
        <f ca="1" t="shared" si="49"/>
        <v>{6030001,3812}</v>
      </c>
      <c r="BB222" t="str">
        <f ca="1" t="shared" si="50"/>
        <v>{6030002,4161}</v>
      </c>
      <c r="BC222" t="str">
        <f ca="1" t="shared" si="51"/>
        <v>{6030003,1072}</v>
      </c>
      <c r="BD222" t="str">
        <f ca="1" t="shared" si="52"/>
        <v/>
      </c>
    </row>
    <row r="223" spans="3:56">
      <c r="C223">
        <f ca="1" t="shared" si="39"/>
        <v>121.122448979592</v>
      </c>
      <c r="D223" s="40">
        <v>217</v>
      </c>
      <c r="E223" s="40">
        <f t="shared" si="56"/>
        <v>125</v>
      </c>
      <c r="F223" s="40">
        <v>145</v>
      </c>
      <c r="G223" s="41">
        <f t="shared" si="55"/>
        <v>196</v>
      </c>
      <c r="H223" s="40">
        <f>H222+1</f>
        <v>251</v>
      </c>
      <c r="I223" s="40">
        <f t="shared" si="38"/>
        <v>460</v>
      </c>
      <c r="J223" s="40">
        <f t="shared" si="57"/>
        <v>460</v>
      </c>
      <c r="K223" s="40">
        <f ca="1">SUM(U$36:U223)-SUM(OFFSET(载具产出!H$399,0,0,$R223+1,1))</f>
        <v>1299</v>
      </c>
      <c r="L223" s="40">
        <f ca="1">SUM(T$36:T223)-SUM(OFFSET(载具产出!G$399,0,0,$R223+1,1))</f>
        <v>161380</v>
      </c>
      <c r="M223" s="40">
        <f ca="1">SUM(V$36:V223)/2-SUM(OFFSET(载具产出!I$399,0,0,$R223+1,1))</f>
        <v>465900</v>
      </c>
      <c r="N223" s="40">
        <f ca="1">SUM(AA$36:AA223)-SUM(OFFSET(载具产出!J$399,0,0,$R223+1,1))</f>
        <v>3830.6</v>
      </c>
      <c r="O223" s="40">
        <f ca="1">SUM(AB$36:AB223)-SUM(OFFSET(载具产出!K$399,0,0,$R223+1,1))</f>
        <v>4183.71999999998</v>
      </c>
      <c r="P223" s="40">
        <f ca="1">SUM(AC$36:AC223)-SUM(OFFSET(载具产出!L$399,0,0,$R223+1,1))</f>
        <v>1085.48</v>
      </c>
      <c r="Q223" s="40">
        <f ca="1">SUM(AD$36:AD223)-SUM(OFFSET(载具产出!M$399,0,0,$R223+1,1))</f>
        <v>1.2</v>
      </c>
      <c r="R223" s="40">
        <v>17</v>
      </c>
      <c r="S223" s="40" t="str">
        <f ca="1">OFFSET(载具产出!$D$111,IFERROR(MATCH(OFFSET($D223,0,MATCH($D$5,$E$6:$H$6,0)),载具产出!$E$112:$E$151,1),0),0)</f>
        <v>卓越Ⅰ</v>
      </c>
      <c r="T223" s="40">
        <f ca="1">OFFSET(载具产出!$F$399,IFERROR(MATCH(OFFSET($D223,0,MATCH($D$5,$E$6:$H$6,0)),载具产出!$E$400:$E$439,1),0),MATCH(T$6,载具产出!$G$399:$O$399,0))</f>
        <v>1105</v>
      </c>
      <c r="U223" s="40">
        <v>7</v>
      </c>
      <c r="V223" s="40">
        <f ca="1">OFFSET(载具产出!$F$399,IFERROR(MATCH(OFFSET($D223,0,MATCH($D$5,$E$6:$H$6,0)),载具产出!$E$400:$E$439,1),0),MATCH(V$6,载具产出!$G$399:$O$399,0))</f>
        <v>7000</v>
      </c>
      <c r="W223" s="43">
        <f ca="1">_xlfn.XLOOKUP(Z223,载具属性!$E$98:$E$497,载具属性!$G$98:$G$497)+6000+OFFSET(载具属性!L$33,AS223,0)*载具属性!M$30+OFFSET(载具属性!M$33,AT223,0)*载具属性!N$30+OFFSET(载具属性!N$33,AU223,0)*载具属性!O$30+OFFSET(载具属性!O$33,AV223,0)*载具属性!P$30</f>
        <v>23740</v>
      </c>
      <c r="X223" s="43">
        <f ca="1">_xlfn.XLOOKUP(Z223,载具属性!$E$98:$E$497,载具属性!$G$98:$G$497)</f>
        <v>11020</v>
      </c>
      <c r="Y223" s="43">
        <f ca="1">OFFSET(载具属性!L$33,AS223,0)*载具属性!M$30+OFFSET(载具属性!M$33,AT223,0)*载具属性!N$30+OFFSET(载具属性!N$33,AU223,0)*载具属性!O$30+OFFSET(载具属性!O$33,AV223,0)*载具属性!P$30</f>
        <v>6720</v>
      </c>
      <c r="Z223" s="40">
        <f ca="1">MATCH(SUM($T$7:T223),载具属性!$I$98:$I$497,1)</f>
        <v>163</v>
      </c>
      <c r="AA223" s="40">
        <f ca="1">OFFSET(载具产出!$F$399,IFERROR(MATCH(OFFSET($D223,0,MATCH($D$5,$E$6:$H$6,0)),载具产出!$E$112:$E$151,1),0),MATCH(AA$6,载具产出!$G$111:$O$111,0))*2</f>
        <v>18</v>
      </c>
      <c r="AB223" s="40">
        <f ca="1">OFFSET(载具产出!$F$399,IFERROR(MATCH(OFFSET($D223,0,MATCH($D$5,$E$6:$H$6,0)),载具产出!$E$112:$E$151,1),0),MATCH(AB$6,载具产出!$G$111:$O$111,0))*2</f>
        <v>22.24</v>
      </c>
      <c r="AC223" s="40">
        <f ca="1">OFFSET(载具产出!$F$399,IFERROR(MATCH(OFFSET($D223,0,MATCH($D$5,$E$6:$H$6,0)),载具产出!$E$112:$E$151,1),0),MATCH(AC$6,载具产出!$G$111:$O$111,0))*2</f>
        <v>13.28</v>
      </c>
      <c r="AD223" s="40">
        <f ca="1">OFFSET(载具产出!$F$399,IFERROR(MATCH(OFFSET($D223,0,MATCH($D$5,$E$6:$H$6,0)),载具产出!$E$112:$E$151,1),0),MATCH(AD$6,载具产出!$G$111:$O$111,0))*2</f>
        <v>0.48</v>
      </c>
      <c r="AE223" s="44">
        <f ca="1">SUM(AA$36:AA223)/3</f>
        <v>1346.8</v>
      </c>
      <c r="AF223" s="44">
        <f ca="1">SUM(AB$36:AB223)/3</f>
        <v>1451.94666666666</v>
      </c>
      <c r="AG223" s="44">
        <f ca="1">SUM(AC$36:AC223)/3</f>
        <v>375.946666666666</v>
      </c>
      <c r="AH223" s="44">
        <f ca="1">SUM(AD$36:AD223)/3</f>
        <v>0.64</v>
      </c>
      <c r="AI223" s="44">
        <f>_xlfn.XLOOKUP($D$5,载具产出!$D$71:$D$75,载具产出!$E$71:$E$75)*(D223-30+1)</f>
        <v>2211.2380952381</v>
      </c>
      <c r="AJ223" s="44">
        <f>IFERROR(MATCH(_xlfn.XLOOKUP($D$5,载具产出!$D$71:$D$75,载具产出!$E$71:$E$75)*(D223-30+1)*10,载具产出!$E$60:$E$67,1),0)+1</f>
        <v>7</v>
      </c>
      <c r="AK223" s="44">
        <f ca="1">IF($AJ223=1,($AI223)*(10*OFFSET(载具产出!$D$45,MATCH(AK$6,$AK$6:$AN$6,0)-1,$AJ223)+OFFSET(载具产出!$D$49,MATCH(AK$6,$AK$6:$AN$6,0)-1,$AJ223)*OFFSET(载具产出!$N$49,MATCH(AK$6,$AK$6:$AN$6,0)-1,0)),OFFSET(载具产出!F$59,$AJ223-1,0)*10+OFFSET(载具产出!J$59,$AJ223-1,0)+($AI223*10-_xlfn.XLOOKUP($AJ223-1,载具产出!$D$59:$D$67,载具产出!$E$59:$E$67))/10*(10*OFFSET(载具产出!$D$45,MATCH(AK$6,$AK$6:$AN$6,0)-1,$AJ223)+OFFSET(载具产出!$D$49,MATCH(AK$6,$AK$6:$AN$6,0)-1,$AJ223)*OFFSET(载具产出!$N$49,MATCH(AK$6,$AK$6:$AN$6,0)-1,0)))</f>
        <v>4855.08485714287</v>
      </c>
      <c r="AL223" s="44">
        <f ca="1">IF($AJ223=1,($AI223)*(10*OFFSET(载具产出!$D$45,MATCH(AL$6,$AK$6:$AN$6,0)-1,$AJ223)+OFFSET(载具产出!$D$49,MATCH(AL$6,$AK$6:$AN$6,0)-1,$AJ223)*OFFSET(载具产出!$N$49,MATCH(AL$6,$AK$6:$AN$6,0)-1,0)),OFFSET(载具产出!G$59,$AJ223-1,0)*10+OFFSET(载具产出!K$59,$AJ223-1,0)+($AI223*10-_xlfn.XLOOKUP($AJ223-1,载具产出!$D$59:$D$67,载具产出!$E$59:$E$67))/10*(10*OFFSET(载具产出!$D$45,MATCH(AL$6,$AK$6:$AN$6,0)-1,$AJ223)+OFFSET(载具产出!$D$49,MATCH(AL$6,$AK$6:$AN$6,0)-1,$AJ223)*OFFSET(载具产出!$N$49,MATCH(AL$6,$AK$6:$AN$6,0)-1,0)))</f>
        <v>1979.86380952381</v>
      </c>
      <c r="AM223" s="44">
        <f ca="1">IF($AJ223=1,($AI223)*(10*OFFSET(载具产出!$D$45,MATCH(AM$6,$AK$6:$AN$6,0)-1,$AJ223)+OFFSET(载具产出!$D$49,MATCH(AM$6,$AK$6:$AN$6,0)-1,$AJ223)*OFFSET(载具产出!$N$49,MATCH(AM$6,$AK$6:$AN$6,0)-1,0)),OFFSET(载具产出!H$59,$AJ223-1,0)*10+OFFSET(载具产出!L$59,$AJ223-1,0)+($AI223*10-_xlfn.XLOOKUP($AJ223-1,载具产出!$D$59:$D$67,载具产出!$E$59:$E$67))/10*(10*OFFSET(载具产出!$D$45,MATCH(AM$6,$AK$6:$AN$6,0)-1,$AJ223)+OFFSET(载具产出!$D$49,MATCH(AM$6,$AK$6:$AN$6,0)-1,$AJ223)*OFFSET(载具产出!$N$49,MATCH(AM$6,$AK$6:$AN$6,0)-1,0)))</f>
        <v>1077.77371428572</v>
      </c>
      <c r="AN223" s="44">
        <f ca="1">IF($AJ223=1,($AI223)*(10*OFFSET(载具产出!$D$45,MATCH(AN$6,$AK$6:$AN$6,0)-1,$AJ223)+OFFSET(载具产出!$D$49,MATCH(AN$6,$AK$6:$AN$6,0)-1,$AJ223)*OFFSET(载具产出!$N$49,MATCH(AN$6,$AK$6:$AN$6,0)-1,0)),OFFSET(载具产出!I$59,$AJ223-1,0)*10+OFFSET(载具产出!M$59,$AJ223-1,0)+($AI223*10-_xlfn.XLOOKUP($AJ223-1,载具产出!$D$59:$D$67,载具产出!$E$59:$E$67))/10*(10*OFFSET(载具产出!$D$45,MATCH(AN$6,$AK$6:$AN$6,0)-1,$AJ223)+OFFSET(载具产出!$D$49,MATCH(AN$6,$AK$6:$AN$6,0)-1,$AJ223)*OFFSET(载具产出!$N$49,MATCH(AN$6,$AK$6:$AN$6,0)-1,0)))</f>
        <v>332.299238095239</v>
      </c>
      <c r="AO223" s="44">
        <f ca="1" t="shared" si="41"/>
        <v>6201.88485714287</v>
      </c>
      <c r="AP223" s="44">
        <f ca="1" t="shared" si="42"/>
        <v>3431.81047619048</v>
      </c>
      <c r="AQ223" s="44">
        <f ca="1" t="shared" si="43"/>
        <v>1453.72038095238</v>
      </c>
      <c r="AR223" s="44">
        <f ca="1" t="shared" si="44"/>
        <v>332.939238095239</v>
      </c>
      <c r="AS223" s="45">
        <f ca="1">IFERROR(MATCH(AO223/载具产出!R$58,载具属性!$G$33:$G$92,1),0)</f>
        <v>37</v>
      </c>
      <c r="AT223" s="45">
        <f ca="1">IFERROR(MATCH(AP223/载具产出!S$58,载具属性!$G$33:$G$92,1),0)</f>
        <v>25</v>
      </c>
      <c r="AU223" s="45">
        <f ca="1">IFERROR(MATCH(AQ223/载具产出!T$58,载具属性!$G$33:$G$92,1),0)</f>
        <v>15</v>
      </c>
      <c r="AV223" s="45">
        <f ca="1">IFERROR(MATCH(AR223/载具产出!U$58,载具属性!$G$33:$G$92,1),0)</f>
        <v>6</v>
      </c>
      <c r="AW223" s="46" t="str">
        <f ca="1" t="shared" si="45"/>
        <v>[{62,1299},{63,161380},{2,465900},{6030001,3830},{6030002,4183},{6030003,1085},{6030004,1}]</v>
      </c>
      <c r="AX223" t="str">
        <f ca="1" t="shared" si="46"/>
        <v>{62,1299}</v>
      </c>
      <c r="AY223" t="str">
        <f ca="1" t="shared" si="47"/>
        <v>{63,161380}</v>
      </c>
      <c r="AZ223" t="str">
        <f ca="1" t="shared" si="48"/>
        <v>{2,465900}</v>
      </c>
      <c r="BA223" t="str">
        <f ca="1" t="shared" si="49"/>
        <v>{6030001,3830}</v>
      </c>
      <c r="BB223" t="str">
        <f ca="1" t="shared" si="50"/>
        <v>{6030002,4183}</v>
      </c>
      <c r="BC223" t="str">
        <f ca="1" t="shared" si="51"/>
        <v>{6030003,1085}</v>
      </c>
      <c r="BD223" t="str">
        <f ca="1" t="shared" si="52"/>
        <v>{6030004,1}</v>
      </c>
    </row>
    <row r="224" spans="3:56">
      <c r="C224">
        <f ca="1" t="shared" si="39"/>
        <v>120.507614213198</v>
      </c>
      <c r="D224" s="40">
        <v>218</v>
      </c>
      <c r="E224" s="40">
        <f t="shared" si="56"/>
        <v>125</v>
      </c>
      <c r="F224" s="40">
        <v>145</v>
      </c>
      <c r="G224" s="41">
        <f t="shared" si="55"/>
        <v>197</v>
      </c>
      <c r="H224" s="40">
        <f>H223</f>
        <v>251</v>
      </c>
      <c r="I224" s="40">
        <f t="shared" si="38"/>
        <v>462</v>
      </c>
      <c r="J224" s="40">
        <f t="shared" si="57"/>
        <v>462</v>
      </c>
      <c r="K224" s="40">
        <f ca="1">SUM(U$36:U224)-SUM(OFFSET(载具产出!H$399,0,0,$R224+1,1))</f>
        <v>1306</v>
      </c>
      <c r="L224" s="40">
        <f ca="1">SUM(T$36:T224)-SUM(OFFSET(载具产出!G$399,0,0,$R224+1,1))</f>
        <v>162485</v>
      </c>
      <c r="M224" s="40">
        <f ca="1">SUM(V$36:V224)/2-SUM(OFFSET(载具产出!I$399,0,0,$R224+1,1))</f>
        <v>469400</v>
      </c>
      <c r="N224" s="40">
        <f ca="1">SUM(AA$36:AA224)-SUM(OFFSET(载具产出!J$399,0,0,$R224+1,1))</f>
        <v>3848.6</v>
      </c>
      <c r="O224" s="40">
        <f ca="1">SUM(AB$36:AB224)-SUM(OFFSET(载具产出!K$399,0,0,$R224+1,1))</f>
        <v>4205.95999999998</v>
      </c>
      <c r="P224" s="40">
        <f ca="1">SUM(AC$36:AC224)-SUM(OFFSET(载具产出!L$399,0,0,$R224+1,1))</f>
        <v>1098.76</v>
      </c>
      <c r="Q224" s="40">
        <f ca="1">SUM(AD$36:AD224)-SUM(OFFSET(载具产出!M$399,0,0,$R224+1,1))</f>
        <v>1.68</v>
      </c>
      <c r="R224" s="40">
        <v>17</v>
      </c>
      <c r="S224" s="40" t="str">
        <f ca="1">OFFSET(载具产出!$D$111,IFERROR(MATCH(OFFSET($D224,0,MATCH($D$5,$E$6:$H$6,0)),载具产出!$E$112:$E$151,1),0),0)</f>
        <v>卓越Ⅰ</v>
      </c>
      <c r="T224" s="40">
        <f ca="1">OFFSET(载具产出!$F$399,IFERROR(MATCH(OFFSET($D224,0,MATCH($D$5,$E$6:$H$6,0)),载具产出!$E$400:$E$439,1),0),MATCH(T$6,载具产出!$G$399:$O$399,0))</f>
        <v>1105</v>
      </c>
      <c r="U224" s="40">
        <v>7</v>
      </c>
      <c r="V224" s="40">
        <f ca="1">OFFSET(载具产出!$F$399,IFERROR(MATCH(OFFSET($D224,0,MATCH($D$5,$E$6:$H$6,0)),载具产出!$E$400:$E$439,1),0),MATCH(V$6,载具产出!$G$399:$O$399,0))</f>
        <v>7000</v>
      </c>
      <c r="W224" s="43">
        <f ca="1">_xlfn.XLOOKUP(Z224,载具属性!$E$98:$E$497,载具属性!$G$98:$G$497)+6000+OFFSET(载具属性!L$33,AS224,0)*载具属性!M$30+OFFSET(载具属性!M$33,AT224,0)*载具属性!N$30+OFFSET(载具属性!N$33,AU224,0)*载具属性!O$30+OFFSET(载具属性!O$33,AV224,0)*载具属性!P$30</f>
        <v>23740</v>
      </c>
      <c r="X224" s="43">
        <f ca="1">_xlfn.XLOOKUP(Z224,载具属性!$E$98:$E$497,载具属性!$G$98:$G$497)</f>
        <v>11020</v>
      </c>
      <c r="Y224" s="43">
        <f ca="1">OFFSET(载具属性!L$33,AS224,0)*载具属性!M$30+OFFSET(载具属性!M$33,AT224,0)*载具属性!N$30+OFFSET(载具属性!N$33,AU224,0)*载具属性!O$30+OFFSET(载具属性!O$33,AV224,0)*载具属性!P$30</f>
        <v>6720</v>
      </c>
      <c r="Z224" s="40">
        <f ca="1">MATCH(SUM($T$7:T224),载具属性!$I$98:$I$497,1)</f>
        <v>163</v>
      </c>
      <c r="AA224" s="40">
        <f ca="1">OFFSET(载具产出!$F$399,IFERROR(MATCH(OFFSET($D224,0,MATCH($D$5,$E$6:$H$6,0)),载具产出!$E$112:$E$151,1),0),MATCH(AA$6,载具产出!$G$111:$O$111,0))*2</f>
        <v>18</v>
      </c>
      <c r="AB224" s="40">
        <f ca="1">OFFSET(载具产出!$F$399,IFERROR(MATCH(OFFSET($D224,0,MATCH($D$5,$E$6:$H$6,0)),载具产出!$E$112:$E$151,1),0),MATCH(AB$6,载具产出!$G$111:$O$111,0))*2</f>
        <v>22.24</v>
      </c>
      <c r="AC224" s="40">
        <f ca="1">OFFSET(载具产出!$F$399,IFERROR(MATCH(OFFSET($D224,0,MATCH($D$5,$E$6:$H$6,0)),载具产出!$E$112:$E$151,1),0),MATCH(AC$6,载具产出!$G$111:$O$111,0))*2</f>
        <v>13.28</v>
      </c>
      <c r="AD224" s="40">
        <f ca="1">OFFSET(载具产出!$F$399,IFERROR(MATCH(OFFSET($D224,0,MATCH($D$5,$E$6:$H$6,0)),载具产出!$E$112:$E$151,1),0),MATCH(AD$6,载具产出!$G$111:$O$111,0))*2</f>
        <v>0.48</v>
      </c>
      <c r="AE224" s="44">
        <f ca="1">SUM(AA$36:AA224)/3</f>
        <v>1352.8</v>
      </c>
      <c r="AF224" s="44">
        <f ca="1">SUM(AB$36:AB224)/3</f>
        <v>1459.35999999999</v>
      </c>
      <c r="AG224" s="44">
        <f ca="1">SUM(AC$36:AC224)/3</f>
        <v>380.373333333333</v>
      </c>
      <c r="AH224" s="44">
        <f ca="1">SUM(AD$36:AD224)/3</f>
        <v>0.8</v>
      </c>
      <c r="AI224" s="44">
        <f>_xlfn.XLOOKUP($D$5,载具产出!$D$71:$D$75,载具产出!$E$71:$E$75)*(D224-30+1)</f>
        <v>2223.00000000001</v>
      </c>
      <c r="AJ224" s="44">
        <f>IFERROR(MATCH(_xlfn.XLOOKUP($D$5,载具产出!$D$71:$D$75,载具产出!$E$71:$E$75)*(D224-30+1)*10,载具产出!$E$60:$E$67,1),0)+1</f>
        <v>7</v>
      </c>
      <c r="AK224" s="44">
        <f ca="1">IF($AJ224=1,($AI224)*(10*OFFSET(载具产出!$D$45,MATCH(AK$6,$AK$6:$AN$6,0)-1,$AJ224)+OFFSET(载具产出!$D$49,MATCH(AK$6,$AK$6:$AN$6,0)-1,$AJ224)*OFFSET(载具产出!$N$49,MATCH(AK$6,$AK$6:$AN$6,0)-1,0)),OFFSET(载具产出!F$59,$AJ224-1,0)*10+OFFSET(载具产出!J$59,$AJ224-1,0)+($AI224*10-_xlfn.XLOOKUP($AJ224-1,载具产出!$D$59:$D$67,载具产出!$E$59:$E$67))/10*(10*OFFSET(载具产出!$D$45,MATCH(AK$6,$AK$6:$AN$6,0)-1,$AJ224)+OFFSET(载具产出!$D$49,MATCH(AK$6,$AK$6:$AN$6,0)-1,$AJ224)*OFFSET(载具产出!$N$49,MATCH(AK$6,$AK$6:$AN$6,0)-1,0)))</f>
        <v>4879.92600000002</v>
      </c>
      <c r="AL224" s="44">
        <f ca="1">IF($AJ224=1,($AI224)*(10*OFFSET(载具产出!$D$45,MATCH(AL$6,$AK$6:$AN$6,0)-1,$AJ224)+OFFSET(载具产出!$D$49,MATCH(AL$6,$AK$6:$AN$6,0)-1,$AJ224)*OFFSET(载具产出!$N$49,MATCH(AL$6,$AK$6:$AN$6,0)-1,0)),OFFSET(载具产出!G$59,$AJ224-1,0)*10+OFFSET(载具产出!K$59,$AJ224-1,0)+($AI224*10-_xlfn.XLOOKUP($AJ224-1,载具产出!$D$59:$D$67,载具产出!$E$59:$E$67))/10*(10*OFFSET(载具产出!$D$45,MATCH(AL$6,$AK$6:$AN$6,0)-1,$AJ224)+OFFSET(载具产出!$D$49,MATCH(AL$6,$AK$6:$AN$6,0)-1,$AJ224)*OFFSET(载具产出!$N$49,MATCH(AL$6,$AK$6:$AN$6,0)-1,0)))</f>
        <v>1990.92000000001</v>
      </c>
      <c r="AM224" s="44">
        <f ca="1">IF($AJ224=1,($AI224)*(10*OFFSET(载具产出!$D$45,MATCH(AM$6,$AK$6:$AN$6,0)-1,$AJ224)+OFFSET(载具产出!$D$49,MATCH(AM$6,$AK$6:$AN$6,0)-1,$AJ224)*OFFSET(载具产出!$N$49,MATCH(AM$6,$AK$6:$AN$6,0)-1,0)),OFFSET(载具产出!H$59,$AJ224-1,0)*10+OFFSET(载具产出!L$59,$AJ224-1,0)+($AI224*10-_xlfn.XLOOKUP($AJ224-1,载具产出!$D$59:$D$67,载具产出!$E$59:$E$67))/10*(10*OFFSET(载具产出!$D$45,MATCH(AM$6,$AK$6:$AN$6,0)-1,$AJ224)+OFFSET(载具产出!$D$49,MATCH(AM$6,$AK$6:$AN$6,0)-1,$AJ224)*OFFSET(载具产出!$N$49,MATCH(AM$6,$AK$6:$AN$6,0)-1,0)))</f>
        <v>1083.98400000001</v>
      </c>
      <c r="AN224" s="44">
        <f ca="1">IF($AJ224=1,($AI224)*(10*OFFSET(载具产出!$D$45,MATCH(AN$6,$AK$6:$AN$6,0)-1,$AJ224)+OFFSET(载具产出!$D$49,MATCH(AN$6,$AK$6:$AN$6,0)-1,$AJ224)*OFFSET(载具产出!$N$49,MATCH(AN$6,$AK$6:$AN$6,0)-1,0)),OFFSET(载具产出!I$59,$AJ224-1,0)*10+OFFSET(载具产出!M$59,$AJ224-1,0)+($AI224*10-_xlfn.XLOOKUP($AJ224-1,载具产出!$D$59:$D$67,载具产出!$E$59:$E$67))/10*(10*OFFSET(载具产出!$D$45,MATCH(AN$6,$AK$6:$AN$6,0)-1,$AJ224)+OFFSET(载具产出!$D$49,MATCH(AN$6,$AK$6:$AN$6,0)-1,$AJ224)*OFFSET(载具产出!$N$49,MATCH(AN$6,$AK$6:$AN$6,0)-1,0)))</f>
        <v>334.287000000002</v>
      </c>
      <c r="AO224" s="44">
        <f ca="1" t="shared" si="41"/>
        <v>6232.72600000002</v>
      </c>
      <c r="AP224" s="44">
        <f ca="1" t="shared" si="42"/>
        <v>3450.28</v>
      </c>
      <c r="AQ224" s="44">
        <f ca="1" t="shared" si="43"/>
        <v>1464.35733333334</v>
      </c>
      <c r="AR224" s="44">
        <f ca="1" t="shared" si="44"/>
        <v>335.087000000002</v>
      </c>
      <c r="AS224" s="45">
        <f ca="1">IFERROR(MATCH(AO224/载具产出!R$58,载具属性!$G$33:$G$92,1),0)</f>
        <v>37</v>
      </c>
      <c r="AT224" s="45">
        <f ca="1">IFERROR(MATCH(AP224/载具产出!S$58,载具属性!$G$33:$G$92,1),0)</f>
        <v>25</v>
      </c>
      <c r="AU224" s="45">
        <f ca="1">IFERROR(MATCH(AQ224/载具产出!T$58,载具属性!$G$33:$G$92,1),0)</f>
        <v>15</v>
      </c>
      <c r="AV224" s="45">
        <f ca="1">IFERROR(MATCH(AR224/载具产出!U$58,载具属性!$G$33:$G$92,1),0)</f>
        <v>6</v>
      </c>
      <c r="AW224" s="46" t="str">
        <f ca="1" t="shared" si="45"/>
        <v>[{62,1306},{63,162485},{2,469400},{6030001,3848},{6030002,4205},{6030003,1098},{6030004,1}]</v>
      </c>
      <c r="AX224" t="str">
        <f ca="1" t="shared" si="46"/>
        <v>{62,1306}</v>
      </c>
      <c r="AY224" t="str">
        <f ca="1" t="shared" si="47"/>
        <v>{63,162485}</v>
      </c>
      <c r="AZ224" t="str">
        <f ca="1" t="shared" si="48"/>
        <v>{2,469400}</v>
      </c>
      <c r="BA224" t="str">
        <f ca="1" t="shared" si="49"/>
        <v>{6030001,3848}</v>
      </c>
      <c r="BB224" t="str">
        <f ca="1" t="shared" si="50"/>
        <v>{6030002,4205}</v>
      </c>
      <c r="BC224" t="str">
        <f ca="1" t="shared" si="51"/>
        <v>{6030003,1098}</v>
      </c>
      <c r="BD224" t="str">
        <f ca="1" t="shared" si="52"/>
        <v>{6030004,1}</v>
      </c>
    </row>
    <row r="225" spans="3:56">
      <c r="C225">
        <f ca="1" t="shared" si="39"/>
        <v>120.964467005076</v>
      </c>
      <c r="D225" s="40">
        <v>219</v>
      </c>
      <c r="E225" s="40">
        <f t="shared" si="56"/>
        <v>125</v>
      </c>
      <c r="F225" s="40">
        <v>145</v>
      </c>
      <c r="G225" s="41">
        <f t="shared" si="55"/>
        <v>197</v>
      </c>
      <c r="H225" s="40">
        <f>H224+1</f>
        <v>252</v>
      </c>
      <c r="I225" s="40">
        <f t="shared" si="38"/>
        <v>464</v>
      </c>
      <c r="J225" s="40">
        <f t="shared" si="57"/>
        <v>464</v>
      </c>
      <c r="K225" s="40">
        <f ca="1">SUM(U$36:U225)-SUM(OFFSET(载具产出!H$399,0,0,$R225+1,1))</f>
        <v>1312</v>
      </c>
      <c r="L225" s="40">
        <f ca="1">SUM(T$36:T225)-SUM(OFFSET(载具产出!G$399,0,0,$R225+1,1))</f>
        <v>162425</v>
      </c>
      <c r="M225" s="40">
        <f ca="1">SUM(V$36:V225)/2-SUM(OFFSET(载具产出!I$399,0,0,$R225+1,1))</f>
        <v>465500</v>
      </c>
      <c r="N225" s="40">
        <f ca="1">SUM(AA$36:AA225)-SUM(OFFSET(载具产出!J$399,0,0,$R225+1,1))</f>
        <v>3857.6</v>
      </c>
      <c r="O225" s="40">
        <f ca="1">SUM(AB$36:AB225)-SUM(OFFSET(载具产出!K$399,0,0,$R225+1,1))</f>
        <v>4218.03999999998</v>
      </c>
      <c r="P225" s="40">
        <f ca="1">SUM(AC$36:AC225)-SUM(OFFSET(载具产出!L$399,0,0,$R225+1,1))</f>
        <v>1103.92</v>
      </c>
      <c r="Q225" s="40">
        <f ca="1">SUM(AD$36:AD225)-SUM(OFFSET(载具产出!M$399,0,0,$R225+1,1))</f>
        <v>1.44</v>
      </c>
      <c r="R225" s="40">
        <v>18</v>
      </c>
      <c r="S225" s="40" t="str">
        <f ca="1">OFFSET(载具产出!$D$111,IFERROR(MATCH(OFFSET($D225,0,MATCH($D$5,$E$6:$H$6,0)),载具产出!$E$112:$E$151,1),0),0)</f>
        <v>卓越Ⅰ</v>
      </c>
      <c r="T225" s="40">
        <f ca="1">OFFSET(载具产出!$F$399,IFERROR(MATCH(OFFSET($D225,0,MATCH($D$5,$E$6:$H$6,0)),载具产出!$E$400:$E$439,1),0),MATCH(T$6,载具产出!$G$399:$O$399,0))</f>
        <v>1105</v>
      </c>
      <c r="U225" s="40">
        <v>7</v>
      </c>
      <c r="V225" s="40">
        <f ca="1">OFFSET(载具产出!$F$399,IFERROR(MATCH(OFFSET($D225,0,MATCH($D$5,$E$6:$H$6,0)),载具产出!$E$400:$E$439,1),0),MATCH(V$6,载具产出!$G$399:$O$399,0))</f>
        <v>7000</v>
      </c>
      <c r="W225" s="43">
        <f ca="1">_xlfn.XLOOKUP(Z225,载具属性!$E$98:$E$497,载具属性!$G$98:$G$497)+6000+OFFSET(载具属性!L$33,AS225,0)*载具属性!M$30+OFFSET(载具属性!M$33,AT225,0)*载具属性!N$30+OFFSET(载具属性!N$33,AU225,0)*载具属性!O$30+OFFSET(载具属性!O$33,AV225,0)*载具属性!P$30</f>
        <v>23830</v>
      </c>
      <c r="X225" s="43">
        <f ca="1">_xlfn.XLOOKUP(Z225,载具属性!$E$98:$E$497,载具属性!$G$98:$G$497)</f>
        <v>11110</v>
      </c>
      <c r="Y225" s="43">
        <f ca="1">OFFSET(载具属性!L$33,AS225,0)*载具属性!M$30+OFFSET(载具属性!M$33,AT225,0)*载具属性!N$30+OFFSET(载具属性!N$33,AU225,0)*载具属性!O$30+OFFSET(载具属性!O$33,AV225,0)*载具属性!P$30</f>
        <v>6720</v>
      </c>
      <c r="Z225" s="40">
        <f ca="1">MATCH(SUM($T$7:T225),载具属性!$I$98:$I$497,1)</f>
        <v>164</v>
      </c>
      <c r="AA225" s="40">
        <f ca="1">OFFSET(载具产出!$F$399,IFERROR(MATCH(OFFSET($D225,0,MATCH($D$5,$E$6:$H$6,0)),载具产出!$E$112:$E$151,1),0),MATCH(AA$6,载具产出!$G$111:$O$111,0))*2</f>
        <v>18</v>
      </c>
      <c r="AB225" s="40">
        <f ca="1">OFFSET(载具产出!$F$399,IFERROR(MATCH(OFFSET($D225,0,MATCH($D$5,$E$6:$H$6,0)),载具产出!$E$112:$E$151,1),0),MATCH(AB$6,载具产出!$G$111:$O$111,0))*2</f>
        <v>22.24</v>
      </c>
      <c r="AC225" s="40">
        <f ca="1">OFFSET(载具产出!$F$399,IFERROR(MATCH(OFFSET($D225,0,MATCH($D$5,$E$6:$H$6,0)),载具产出!$E$112:$E$151,1),0),MATCH(AC$6,载具产出!$G$111:$O$111,0))*2</f>
        <v>13.28</v>
      </c>
      <c r="AD225" s="40">
        <f ca="1">OFFSET(载具产出!$F$399,IFERROR(MATCH(OFFSET($D225,0,MATCH($D$5,$E$6:$H$6,0)),载具产出!$E$112:$E$151,1),0),MATCH(AD$6,载具产出!$G$111:$O$111,0))*2</f>
        <v>0.48</v>
      </c>
      <c r="AE225" s="44">
        <f ca="1">SUM(AA$36:AA225)/3</f>
        <v>1358.8</v>
      </c>
      <c r="AF225" s="44">
        <f ca="1">SUM(AB$36:AB225)/3</f>
        <v>1466.77333333333</v>
      </c>
      <c r="AG225" s="44">
        <f ca="1">SUM(AC$36:AC225)/3</f>
        <v>384.8</v>
      </c>
      <c r="AH225" s="44">
        <f ca="1">SUM(AD$36:AD225)/3</f>
        <v>0.96</v>
      </c>
      <c r="AI225" s="44">
        <f>_xlfn.XLOOKUP($D$5,载具产出!$D$71:$D$75,载具产出!$E$71:$E$75)*(D225-30+1)</f>
        <v>2234.76190476191</v>
      </c>
      <c r="AJ225" s="44">
        <f>IFERROR(MATCH(_xlfn.XLOOKUP($D$5,载具产出!$D$71:$D$75,载具产出!$E$71:$E$75)*(D225-30+1)*10,载具产出!$E$60:$E$67,1),0)+1</f>
        <v>7</v>
      </c>
      <c r="AK225" s="44">
        <f ca="1">IF($AJ225=1,($AI225)*(10*OFFSET(载具产出!$D$45,MATCH(AK$6,$AK$6:$AN$6,0)-1,$AJ225)+OFFSET(载具产出!$D$49,MATCH(AK$6,$AK$6:$AN$6,0)-1,$AJ225)*OFFSET(载具产出!$N$49,MATCH(AK$6,$AK$6:$AN$6,0)-1,0)),OFFSET(载具产出!F$59,$AJ225-1,0)*10+OFFSET(载具产出!J$59,$AJ225-1,0)+($AI225*10-_xlfn.XLOOKUP($AJ225-1,载具产出!$D$59:$D$67,载具产出!$E$59:$E$67))/10*(10*OFFSET(载具产出!$D$45,MATCH(AK$6,$AK$6:$AN$6,0)-1,$AJ225)+OFFSET(载具产出!$D$49,MATCH(AK$6,$AK$6:$AN$6,0)-1,$AJ225)*OFFSET(载具产出!$N$49,MATCH(AK$6,$AK$6:$AN$6,0)-1,0)))</f>
        <v>4904.76714285715</v>
      </c>
      <c r="AL225" s="44">
        <f ca="1">IF($AJ225=1,($AI225)*(10*OFFSET(载具产出!$D$45,MATCH(AL$6,$AK$6:$AN$6,0)-1,$AJ225)+OFFSET(载具产出!$D$49,MATCH(AL$6,$AK$6:$AN$6,0)-1,$AJ225)*OFFSET(载具产出!$N$49,MATCH(AL$6,$AK$6:$AN$6,0)-1,0)),OFFSET(载具产出!G$59,$AJ225-1,0)*10+OFFSET(载具产出!K$59,$AJ225-1,0)+($AI225*10-_xlfn.XLOOKUP($AJ225-1,载具产出!$D$59:$D$67,载具产出!$E$59:$E$67))/10*(10*OFFSET(载具产出!$D$45,MATCH(AL$6,$AK$6:$AN$6,0)-1,$AJ225)+OFFSET(载具产出!$D$49,MATCH(AL$6,$AK$6:$AN$6,0)-1,$AJ225)*OFFSET(载具产出!$N$49,MATCH(AL$6,$AK$6:$AN$6,0)-1,0)))</f>
        <v>2001.9761904762</v>
      </c>
      <c r="AM225" s="44">
        <f ca="1">IF($AJ225=1,($AI225)*(10*OFFSET(载具产出!$D$45,MATCH(AM$6,$AK$6:$AN$6,0)-1,$AJ225)+OFFSET(载具产出!$D$49,MATCH(AM$6,$AK$6:$AN$6,0)-1,$AJ225)*OFFSET(载具产出!$N$49,MATCH(AM$6,$AK$6:$AN$6,0)-1,0)),OFFSET(载具产出!H$59,$AJ225-1,0)*10+OFFSET(载具产出!L$59,$AJ225-1,0)+($AI225*10-_xlfn.XLOOKUP($AJ225-1,载具产出!$D$59:$D$67,载具产出!$E$59:$E$67))/10*(10*OFFSET(载具产出!$D$45,MATCH(AM$6,$AK$6:$AN$6,0)-1,$AJ225)+OFFSET(载具产出!$D$49,MATCH(AM$6,$AK$6:$AN$6,0)-1,$AJ225)*OFFSET(载具产出!$N$49,MATCH(AM$6,$AK$6:$AN$6,0)-1,0)))</f>
        <v>1090.19428571429</v>
      </c>
      <c r="AN225" s="44">
        <f ca="1">IF($AJ225=1,($AI225)*(10*OFFSET(载具产出!$D$45,MATCH(AN$6,$AK$6:$AN$6,0)-1,$AJ225)+OFFSET(载具产出!$D$49,MATCH(AN$6,$AK$6:$AN$6,0)-1,$AJ225)*OFFSET(载具产出!$N$49,MATCH(AN$6,$AK$6:$AN$6,0)-1,0)),OFFSET(载具产出!I$59,$AJ225-1,0)*10+OFFSET(载具产出!M$59,$AJ225-1,0)+($AI225*10-_xlfn.XLOOKUP($AJ225-1,载具产出!$D$59:$D$67,载具产出!$E$59:$E$67))/10*(10*OFFSET(载具产出!$D$45,MATCH(AN$6,$AK$6:$AN$6,0)-1,$AJ225)+OFFSET(载具产出!$D$49,MATCH(AN$6,$AK$6:$AN$6,0)-1,$AJ225)*OFFSET(载具产出!$N$49,MATCH(AN$6,$AK$6:$AN$6,0)-1,0)))</f>
        <v>336.274761904763</v>
      </c>
      <c r="AO225" s="44">
        <f ca="1" t="shared" si="41"/>
        <v>6263.56714285715</v>
      </c>
      <c r="AP225" s="44">
        <f ca="1" t="shared" si="42"/>
        <v>3468.74952380952</v>
      </c>
      <c r="AQ225" s="44">
        <f ca="1" t="shared" si="43"/>
        <v>1474.99428571429</v>
      </c>
      <c r="AR225" s="44">
        <f ca="1" t="shared" si="44"/>
        <v>337.234761904763</v>
      </c>
      <c r="AS225" s="45">
        <f ca="1">IFERROR(MATCH(AO225/载具产出!R$58,载具属性!$G$33:$G$92,1),0)</f>
        <v>37</v>
      </c>
      <c r="AT225" s="45">
        <f ca="1">IFERROR(MATCH(AP225/载具产出!S$58,载具属性!$G$33:$G$92,1),0)</f>
        <v>25</v>
      </c>
      <c r="AU225" s="45">
        <f ca="1">IFERROR(MATCH(AQ225/载具产出!T$58,载具属性!$G$33:$G$92,1),0)</f>
        <v>15</v>
      </c>
      <c r="AV225" s="45">
        <f ca="1">IFERROR(MATCH(AR225/载具产出!U$58,载具属性!$G$33:$G$92,1),0)</f>
        <v>6</v>
      </c>
      <c r="AW225" s="46" t="str">
        <f ca="1" t="shared" si="45"/>
        <v>[{62,1312},{63,162425},{2,465500},{6030001,3857},{6030002,4218},{6030003,1103},{6030004,1}]</v>
      </c>
      <c r="AX225" t="str">
        <f ca="1" t="shared" si="46"/>
        <v>{62,1312}</v>
      </c>
      <c r="AY225" t="str">
        <f ca="1" t="shared" si="47"/>
        <v>{63,162425}</v>
      </c>
      <c r="AZ225" t="str">
        <f ca="1" t="shared" si="48"/>
        <v>{2,465500}</v>
      </c>
      <c r="BA225" t="str">
        <f ca="1" t="shared" si="49"/>
        <v>{6030001,3857}</v>
      </c>
      <c r="BB225" t="str">
        <f ca="1" t="shared" si="50"/>
        <v>{6030002,4218}</v>
      </c>
      <c r="BC225" t="str">
        <f ca="1" t="shared" si="51"/>
        <v>{6030003,1103}</v>
      </c>
      <c r="BD225" t="str">
        <f ca="1" t="shared" si="52"/>
        <v>{6030004,1}</v>
      </c>
    </row>
    <row r="226" spans="3:56">
      <c r="C226">
        <f ca="1" t="shared" si="39"/>
        <v>120.353535353535</v>
      </c>
      <c r="D226" s="40">
        <v>220</v>
      </c>
      <c r="E226" s="40">
        <f t="shared" si="56"/>
        <v>125</v>
      </c>
      <c r="F226" s="40">
        <v>145</v>
      </c>
      <c r="G226" s="41">
        <f t="shared" si="55"/>
        <v>198</v>
      </c>
      <c r="H226" s="40">
        <f>H225</f>
        <v>252</v>
      </c>
      <c r="I226" s="40">
        <f t="shared" ref="I226:I289" si="58">I225+2</f>
        <v>466</v>
      </c>
      <c r="J226" s="40">
        <f t="shared" si="57"/>
        <v>466</v>
      </c>
      <c r="K226" s="40">
        <f ca="1">SUM(U$36:U226)-SUM(OFFSET(载具产出!H$399,0,0,$R226+1,1))</f>
        <v>1319</v>
      </c>
      <c r="L226" s="40">
        <f ca="1">SUM(T$36:T226)-SUM(OFFSET(载具产出!G$399,0,0,$R226+1,1))</f>
        <v>163530</v>
      </c>
      <c r="M226" s="40">
        <f ca="1">SUM(V$36:V226)/2-SUM(OFFSET(载具产出!I$399,0,0,$R226+1,1))</f>
        <v>469000</v>
      </c>
      <c r="N226" s="40">
        <f ca="1">SUM(AA$36:AA226)-SUM(OFFSET(载具产出!J$399,0,0,$R226+1,1))</f>
        <v>3875.6</v>
      </c>
      <c r="O226" s="40">
        <f ca="1">SUM(AB$36:AB226)-SUM(OFFSET(载具产出!K$399,0,0,$R226+1,1))</f>
        <v>4240.27999999998</v>
      </c>
      <c r="P226" s="40">
        <f ca="1">SUM(AC$36:AC226)-SUM(OFFSET(载具产出!L$399,0,0,$R226+1,1))</f>
        <v>1117.2</v>
      </c>
      <c r="Q226" s="40">
        <f ca="1">SUM(AD$36:AD226)-SUM(OFFSET(载具产出!M$399,0,0,$R226+1,1))</f>
        <v>1.92</v>
      </c>
      <c r="R226" s="40">
        <v>18</v>
      </c>
      <c r="S226" s="40" t="str">
        <f ca="1">OFFSET(载具产出!$D$111,IFERROR(MATCH(OFFSET($D226,0,MATCH($D$5,$E$6:$H$6,0)),载具产出!$E$112:$E$151,1),0),0)</f>
        <v>卓越Ⅰ</v>
      </c>
      <c r="T226" s="40">
        <f ca="1">OFFSET(载具产出!$F$399,IFERROR(MATCH(OFFSET($D226,0,MATCH($D$5,$E$6:$H$6,0)),载具产出!$E$400:$E$439,1),0),MATCH(T$6,载具产出!$G$399:$O$399,0))</f>
        <v>1105</v>
      </c>
      <c r="U226" s="40">
        <v>7</v>
      </c>
      <c r="V226" s="40">
        <f ca="1">OFFSET(载具产出!$F$399,IFERROR(MATCH(OFFSET($D226,0,MATCH($D$5,$E$6:$H$6,0)),载具产出!$E$400:$E$439,1),0),MATCH(V$6,载具产出!$G$399:$O$399,0))</f>
        <v>7000</v>
      </c>
      <c r="W226" s="43">
        <f ca="1">_xlfn.XLOOKUP(Z226,载具属性!$E$98:$E$497,载具属性!$G$98:$G$497)+6000+OFFSET(载具属性!L$33,AS226,0)*载具属性!M$30+OFFSET(载具属性!M$33,AT226,0)*载具属性!N$30+OFFSET(载具属性!N$33,AU226,0)*载具属性!O$30+OFFSET(载具属性!O$33,AV226,0)*载具属性!P$30</f>
        <v>23830</v>
      </c>
      <c r="X226" s="43">
        <f ca="1">_xlfn.XLOOKUP(Z226,载具属性!$E$98:$E$497,载具属性!$G$98:$G$497)</f>
        <v>11110</v>
      </c>
      <c r="Y226" s="43">
        <f ca="1">OFFSET(载具属性!L$33,AS226,0)*载具属性!M$30+OFFSET(载具属性!M$33,AT226,0)*载具属性!N$30+OFFSET(载具属性!N$33,AU226,0)*载具属性!O$30+OFFSET(载具属性!O$33,AV226,0)*载具属性!P$30</f>
        <v>6720</v>
      </c>
      <c r="Z226" s="40">
        <f ca="1">MATCH(SUM($T$7:T226),载具属性!$I$98:$I$497,1)</f>
        <v>164</v>
      </c>
      <c r="AA226" s="40">
        <f ca="1">OFFSET(载具产出!$F$399,IFERROR(MATCH(OFFSET($D226,0,MATCH($D$5,$E$6:$H$6,0)),载具产出!$E$112:$E$151,1),0),MATCH(AA$6,载具产出!$G$111:$O$111,0))*2</f>
        <v>18</v>
      </c>
      <c r="AB226" s="40">
        <f ca="1">OFFSET(载具产出!$F$399,IFERROR(MATCH(OFFSET($D226,0,MATCH($D$5,$E$6:$H$6,0)),载具产出!$E$112:$E$151,1),0),MATCH(AB$6,载具产出!$G$111:$O$111,0))*2</f>
        <v>22.24</v>
      </c>
      <c r="AC226" s="40">
        <f ca="1">OFFSET(载具产出!$F$399,IFERROR(MATCH(OFFSET($D226,0,MATCH($D$5,$E$6:$H$6,0)),载具产出!$E$112:$E$151,1),0),MATCH(AC$6,载具产出!$G$111:$O$111,0))*2</f>
        <v>13.28</v>
      </c>
      <c r="AD226" s="40">
        <f ca="1">OFFSET(载具产出!$F$399,IFERROR(MATCH(OFFSET($D226,0,MATCH($D$5,$E$6:$H$6,0)),载具产出!$E$112:$E$151,1),0),MATCH(AD$6,载具产出!$G$111:$O$111,0))*2</f>
        <v>0.48</v>
      </c>
      <c r="AE226" s="44">
        <f ca="1">SUM(AA$36:AA226)/3</f>
        <v>1364.8</v>
      </c>
      <c r="AF226" s="44">
        <f ca="1">SUM(AB$36:AB226)/3</f>
        <v>1474.18666666666</v>
      </c>
      <c r="AG226" s="44">
        <f ca="1">SUM(AC$36:AC226)/3</f>
        <v>389.226666666666</v>
      </c>
      <c r="AH226" s="44">
        <f ca="1">SUM(AD$36:AD226)/3</f>
        <v>1.12</v>
      </c>
      <c r="AI226" s="44">
        <f>_xlfn.XLOOKUP($D$5,载具产出!$D$71:$D$75,载具产出!$E$71:$E$75)*(D226-30+1)</f>
        <v>2246.52380952382</v>
      </c>
      <c r="AJ226" s="44">
        <f>IFERROR(MATCH(_xlfn.XLOOKUP($D$5,载具产出!$D$71:$D$75,载具产出!$E$71:$E$75)*(D226-30+1)*10,载具产出!$E$60:$E$67,1),0)+1</f>
        <v>7</v>
      </c>
      <c r="AK226" s="44">
        <f ca="1">IF($AJ226=1,($AI226)*(10*OFFSET(载具产出!$D$45,MATCH(AK$6,$AK$6:$AN$6,0)-1,$AJ226)+OFFSET(载具产出!$D$49,MATCH(AK$6,$AK$6:$AN$6,0)-1,$AJ226)*OFFSET(载具产出!$N$49,MATCH(AK$6,$AK$6:$AN$6,0)-1,0)),OFFSET(载具产出!F$59,$AJ226-1,0)*10+OFFSET(载具产出!J$59,$AJ226-1,0)+($AI226*10-_xlfn.XLOOKUP($AJ226-1,载具产出!$D$59:$D$67,载具产出!$E$59:$E$67))/10*(10*OFFSET(载具产出!$D$45,MATCH(AK$6,$AK$6:$AN$6,0)-1,$AJ226)+OFFSET(载具产出!$D$49,MATCH(AK$6,$AK$6:$AN$6,0)-1,$AJ226)*OFFSET(载具产出!$N$49,MATCH(AK$6,$AK$6:$AN$6,0)-1,0)))</f>
        <v>4929.60828571431</v>
      </c>
      <c r="AL226" s="44">
        <f ca="1">IF($AJ226=1,($AI226)*(10*OFFSET(载具产出!$D$45,MATCH(AL$6,$AK$6:$AN$6,0)-1,$AJ226)+OFFSET(载具产出!$D$49,MATCH(AL$6,$AK$6:$AN$6,0)-1,$AJ226)*OFFSET(载具产出!$N$49,MATCH(AL$6,$AK$6:$AN$6,0)-1,0)),OFFSET(载具产出!G$59,$AJ226-1,0)*10+OFFSET(载具产出!K$59,$AJ226-1,0)+($AI226*10-_xlfn.XLOOKUP($AJ226-1,载具产出!$D$59:$D$67,载具产出!$E$59:$E$67))/10*(10*OFFSET(载具产出!$D$45,MATCH(AL$6,$AK$6:$AN$6,0)-1,$AJ226)+OFFSET(载具产出!$D$49,MATCH(AL$6,$AK$6:$AN$6,0)-1,$AJ226)*OFFSET(载具产出!$N$49,MATCH(AL$6,$AK$6:$AN$6,0)-1,0)))</f>
        <v>2013.03238095239</v>
      </c>
      <c r="AM226" s="44">
        <f ca="1">IF($AJ226=1,($AI226)*(10*OFFSET(载具产出!$D$45,MATCH(AM$6,$AK$6:$AN$6,0)-1,$AJ226)+OFFSET(载具产出!$D$49,MATCH(AM$6,$AK$6:$AN$6,0)-1,$AJ226)*OFFSET(载具产出!$N$49,MATCH(AM$6,$AK$6:$AN$6,0)-1,0)),OFFSET(载具产出!H$59,$AJ226-1,0)*10+OFFSET(载具产出!L$59,$AJ226-1,0)+($AI226*10-_xlfn.XLOOKUP($AJ226-1,载具产出!$D$59:$D$67,载具产出!$E$59:$E$67))/10*(10*OFFSET(载具产出!$D$45,MATCH(AM$6,$AK$6:$AN$6,0)-1,$AJ226)+OFFSET(载具产出!$D$49,MATCH(AM$6,$AK$6:$AN$6,0)-1,$AJ226)*OFFSET(载具产出!$N$49,MATCH(AM$6,$AK$6:$AN$6,0)-1,0)))</f>
        <v>1096.40457142858</v>
      </c>
      <c r="AN226" s="44">
        <f ca="1">IF($AJ226=1,($AI226)*(10*OFFSET(载具产出!$D$45,MATCH(AN$6,$AK$6:$AN$6,0)-1,$AJ226)+OFFSET(载具产出!$D$49,MATCH(AN$6,$AK$6:$AN$6,0)-1,$AJ226)*OFFSET(载具产出!$N$49,MATCH(AN$6,$AK$6:$AN$6,0)-1,0)),OFFSET(载具产出!I$59,$AJ226-1,0)*10+OFFSET(载具产出!M$59,$AJ226-1,0)+($AI226*10-_xlfn.XLOOKUP($AJ226-1,载具产出!$D$59:$D$67,载具产出!$E$59:$E$67))/10*(10*OFFSET(载具产出!$D$45,MATCH(AN$6,$AK$6:$AN$6,0)-1,$AJ226)+OFFSET(载具产出!$D$49,MATCH(AN$6,$AK$6:$AN$6,0)-1,$AJ226)*OFFSET(载具产出!$N$49,MATCH(AN$6,$AK$6:$AN$6,0)-1,0)))</f>
        <v>338.262523809526</v>
      </c>
      <c r="AO226" s="44">
        <f ca="1" t="shared" si="41"/>
        <v>6294.40828571431</v>
      </c>
      <c r="AP226" s="44">
        <f ca="1" t="shared" si="42"/>
        <v>3487.21904761905</v>
      </c>
      <c r="AQ226" s="44">
        <f ca="1" t="shared" si="43"/>
        <v>1485.63123809524</v>
      </c>
      <c r="AR226" s="44">
        <f ca="1" t="shared" si="44"/>
        <v>339.382523809526</v>
      </c>
      <c r="AS226" s="45">
        <f ca="1">IFERROR(MATCH(AO226/载具产出!R$58,载具属性!$G$33:$G$92,1),0)</f>
        <v>37</v>
      </c>
      <c r="AT226" s="45">
        <f ca="1">IFERROR(MATCH(AP226/载具产出!S$58,载具属性!$G$33:$G$92,1),0)</f>
        <v>25</v>
      </c>
      <c r="AU226" s="45">
        <f ca="1">IFERROR(MATCH(AQ226/载具产出!T$58,载具属性!$G$33:$G$92,1),0)</f>
        <v>15</v>
      </c>
      <c r="AV226" s="45">
        <f ca="1">IFERROR(MATCH(AR226/载具产出!U$58,载具属性!$G$33:$G$92,1),0)</f>
        <v>6</v>
      </c>
      <c r="AW226" s="46" t="str">
        <f ca="1" t="shared" si="45"/>
        <v>[{62,1319},{63,163530},{2,469000},{6030001,3875},{6030002,4240},{6030003,1117},{6030004,1}]</v>
      </c>
      <c r="AX226" t="str">
        <f ca="1" t="shared" si="46"/>
        <v>{62,1319}</v>
      </c>
      <c r="AY226" t="str">
        <f ca="1" t="shared" si="47"/>
        <v>{63,163530}</v>
      </c>
      <c r="AZ226" t="str">
        <f ca="1" t="shared" si="48"/>
        <v>{2,469000}</v>
      </c>
      <c r="BA226" t="str">
        <f ca="1" t="shared" si="49"/>
        <v>{6030001,3875}</v>
      </c>
      <c r="BB226" t="str">
        <f ca="1" t="shared" si="50"/>
        <v>{6030002,4240}</v>
      </c>
      <c r="BC226" t="str">
        <f ca="1" t="shared" si="51"/>
        <v>{6030003,1117}</v>
      </c>
      <c r="BD226" t="str">
        <f ca="1" t="shared" si="52"/>
        <v>{6030004,1}</v>
      </c>
    </row>
    <row r="227" spans="3:56">
      <c r="C227">
        <f ca="1" t="shared" si="39"/>
        <v>120.808080808081</v>
      </c>
      <c r="D227" s="40">
        <v>221</v>
      </c>
      <c r="E227" s="40">
        <f t="shared" si="56"/>
        <v>125</v>
      </c>
      <c r="F227" s="40">
        <v>145</v>
      </c>
      <c r="G227" s="41">
        <f t="shared" si="55"/>
        <v>198</v>
      </c>
      <c r="H227" s="40">
        <f>H226+1</f>
        <v>253</v>
      </c>
      <c r="I227" s="40">
        <f t="shared" si="58"/>
        <v>468</v>
      </c>
      <c r="J227" s="40">
        <f t="shared" si="57"/>
        <v>468</v>
      </c>
      <c r="K227" s="40">
        <f ca="1">SUM(U$36:U227)-SUM(OFFSET(载具产出!H$399,0,0,$R227+1,1))</f>
        <v>1326</v>
      </c>
      <c r="L227" s="40">
        <f ca="1">SUM(T$36:T227)-SUM(OFFSET(载具产出!G$399,0,0,$R227+1,1))</f>
        <v>164635</v>
      </c>
      <c r="M227" s="40">
        <f ca="1">SUM(V$36:V227)/2-SUM(OFFSET(载具产出!I$399,0,0,$R227+1,1))</f>
        <v>472500</v>
      </c>
      <c r="N227" s="40">
        <f ca="1">SUM(AA$36:AA227)-SUM(OFFSET(载具产出!J$399,0,0,$R227+1,1))</f>
        <v>3893.6</v>
      </c>
      <c r="O227" s="40">
        <f ca="1">SUM(AB$36:AB227)-SUM(OFFSET(载具产出!K$399,0,0,$R227+1,1))</f>
        <v>4262.51999999998</v>
      </c>
      <c r="P227" s="40">
        <f ca="1">SUM(AC$36:AC227)-SUM(OFFSET(载具产出!L$399,0,0,$R227+1,1))</f>
        <v>1130.48</v>
      </c>
      <c r="Q227" s="40">
        <f ca="1">SUM(AD$36:AD227)-SUM(OFFSET(载具产出!M$399,0,0,$R227+1,1))</f>
        <v>2.4</v>
      </c>
      <c r="R227" s="40">
        <v>18</v>
      </c>
      <c r="S227" s="40" t="str">
        <f ca="1">OFFSET(载具产出!$D$111,IFERROR(MATCH(OFFSET($D227,0,MATCH($D$5,$E$6:$H$6,0)),载具产出!$E$112:$E$151,1),0),0)</f>
        <v>卓越Ⅰ</v>
      </c>
      <c r="T227" s="40">
        <f ca="1">OFFSET(载具产出!$F$399,IFERROR(MATCH(OFFSET($D227,0,MATCH($D$5,$E$6:$H$6,0)),载具产出!$E$400:$E$439,1),0),MATCH(T$6,载具产出!$G$399:$O$399,0))</f>
        <v>1105</v>
      </c>
      <c r="U227" s="40">
        <v>7</v>
      </c>
      <c r="V227" s="40">
        <f ca="1">OFFSET(载具产出!$F$399,IFERROR(MATCH(OFFSET($D227,0,MATCH($D$5,$E$6:$H$6,0)),载具产出!$E$400:$E$439,1),0),MATCH(V$6,载具产出!$G$399:$O$399,0))</f>
        <v>7000</v>
      </c>
      <c r="W227" s="43">
        <f ca="1">_xlfn.XLOOKUP(Z227,载具属性!$E$98:$E$497,载具属性!$G$98:$G$497)+6000+OFFSET(载具属性!L$33,AS227,0)*载具属性!M$30+OFFSET(载具属性!M$33,AT227,0)*载具属性!N$30+OFFSET(载具属性!N$33,AU227,0)*载具属性!O$30+OFFSET(载具属性!O$33,AV227,0)*载具属性!P$30</f>
        <v>23920</v>
      </c>
      <c r="X227" s="43">
        <f ca="1">_xlfn.XLOOKUP(Z227,载具属性!$E$98:$E$497,载具属性!$G$98:$G$497)</f>
        <v>11200</v>
      </c>
      <c r="Y227" s="43">
        <f ca="1">OFFSET(载具属性!L$33,AS227,0)*载具属性!M$30+OFFSET(载具属性!M$33,AT227,0)*载具属性!N$30+OFFSET(载具属性!N$33,AU227,0)*载具属性!O$30+OFFSET(载具属性!O$33,AV227,0)*载具属性!P$30</f>
        <v>6720</v>
      </c>
      <c r="Z227" s="40">
        <f ca="1">MATCH(SUM($T$7:T227),载具属性!$I$98:$I$497,1)</f>
        <v>165</v>
      </c>
      <c r="AA227" s="40">
        <f ca="1">OFFSET(载具产出!$F$399,IFERROR(MATCH(OFFSET($D227,0,MATCH($D$5,$E$6:$H$6,0)),载具产出!$E$112:$E$151,1),0),MATCH(AA$6,载具产出!$G$111:$O$111,0))*2</f>
        <v>18</v>
      </c>
      <c r="AB227" s="40">
        <f ca="1">OFFSET(载具产出!$F$399,IFERROR(MATCH(OFFSET($D227,0,MATCH($D$5,$E$6:$H$6,0)),载具产出!$E$112:$E$151,1),0),MATCH(AB$6,载具产出!$G$111:$O$111,0))*2</f>
        <v>22.24</v>
      </c>
      <c r="AC227" s="40">
        <f ca="1">OFFSET(载具产出!$F$399,IFERROR(MATCH(OFFSET($D227,0,MATCH($D$5,$E$6:$H$6,0)),载具产出!$E$112:$E$151,1),0),MATCH(AC$6,载具产出!$G$111:$O$111,0))*2</f>
        <v>13.28</v>
      </c>
      <c r="AD227" s="40">
        <f ca="1">OFFSET(载具产出!$F$399,IFERROR(MATCH(OFFSET($D227,0,MATCH($D$5,$E$6:$H$6,0)),载具产出!$E$112:$E$151,1),0),MATCH(AD$6,载具产出!$G$111:$O$111,0))*2</f>
        <v>0.48</v>
      </c>
      <c r="AE227" s="44">
        <f ca="1">SUM(AA$36:AA227)/3</f>
        <v>1370.8</v>
      </c>
      <c r="AF227" s="44">
        <f ca="1">SUM(AB$36:AB227)/3</f>
        <v>1481.59999999999</v>
      </c>
      <c r="AG227" s="44">
        <f ca="1">SUM(AC$36:AC227)/3</f>
        <v>393.653333333333</v>
      </c>
      <c r="AH227" s="44">
        <f ca="1">SUM(AD$36:AD227)/3</f>
        <v>1.28</v>
      </c>
      <c r="AI227" s="44">
        <f>_xlfn.XLOOKUP($D$5,载具产出!$D$71:$D$75,载具产出!$E$71:$E$75)*(D227-30+1)</f>
        <v>2258.28571428572</v>
      </c>
      <c r="AJ227" s="44">
        <f>IFERROR(MATCH(_xlfn.XLOOKUP($D$5,载具产出!$D$71:$D$75,载具产出!$E$71:$E$75)*(D227-30+1)*10,载具产出!$E$60:$E$67,1),0)+1</f>
        <v>7</v>
      </c>
      <c r="AK227" s="44">
        <f ca="1">IF($AJ227=1,($AI227)*(10*OFFSET(载具产出!$D$45,MATCH(AK$6,$AK$6:$AN$6,0)-1,$AJ227)+OFFSET(载具产出!$D$49,MATCH(AK$6,$AK$6:$AN$6,0)-1,$AJ227)*OFFSET(载具产出!$N$49,MATCH(AK$6,$AK$6:$AN$6,0)-1,0)),OFFSET(载具产出!F$59,$AJ227-1,0)*10+OFFSET(载具产出!J$59,$AJ227-1,0)+($AI227*10-_xlfn.XLOOKUP($AJ227-1,载具产出!$D$59:$D$67,载具产出!$E$59:$E$67))/10*(10*OFFSET(载具产出!$D$45,MATCH(AK$6,$AK$6:$AN$6,0)-1,$AJ227)+OFFSET(载具产出!$D$49,MATCH(AK$6,$AK$6:$AN$6,0)-1,$AJ227)*OFFSET(载具产出!$N$49,MATCH(AK$6,$AK$6:$AN$6,0)-1,0)))</f>
        <v>4954.44942857144</v>
      </c>
      <c r="AL227" s="44">
        <f ca="1">IF($AJ227=1,($AI227)*(10*OFFSET(载具产出!$D$45,MATCH(AL$6,$AK$6:$AN$6,0)-1,$AJ227)+OFFSET(载具产出!$D$49,MATCH(AL$6,$AK$6:$AN$6,0)-1,$AJ227)*OFFSET(载具产出!$N$49,MATCH(AL$6,$AK$6:$AN$6,0)-1,0)),OFFSET(载具产出!G$59,$AJ227-1,0)*10+OFFSET(载具产出!K$59,$AJ227-1,0)+($AI227*10-_xlfn.XLOOKUP($AJ227-1,载具产出!$D$59:$D$67,载具产出!$E$59:$E$67))/10*(10*OFFSET(载具产出!$D$45,MATCH(AL$6,$AK$6:$AN$6,0)-1,$AJ227)+OFFSET(载具产出!$D$49,MATCH(AL$6,$AK$6:$AN$6,0)-1,$AJ227)*OFFSET(载具产出!$N$49,MATCH(AL$6,$AK$6:$AN$6,0)-1,0)))</f>
        <v>2024.08857142858</v>
      </c>
      <c r="AM227" s="44">
        <f ca="1">IF($AJ227=1,($AI227)*(10*OFFSET(载具产出!$D$45,MATCH(AM$6,$AK$6:$AN$6,0)-1,$AJ227)+OFFSET(载具产出!$D$49,MATCH(AM$6,$AK$6:$AN$6,0)-1,$AJ227)*OFFSET(载具产出!$N$49,MATCH(AM$6,$AK$6:$AN$6,0)-1,0)),OFFSET(载具产出!H$59,$AJ227-1,0)*10+OFFSET(载具产出!L$59,$AJ227-1,0)+($AI227*10-_xlfn.XLOOKUP($AJ227-1,载具产出!$D$59:$D$67,载具产出!$E$59:$E$67))/10*(10*OFFSET(载具产出!$D$45,MATCH(AM$6,$AK$6:$AN$6,0)-1,$AJ227)+OFFSET(载具产出!$D$49,MATCH(AM$6,$AK$6:$AN$6,0)-1,$AJ227)*OFFSET(载具产出!$N$49,MATCH(AM$6,$AK$6:$AN$6,0)-1,0)))</f>
        <v>1102.61485714286</v>
      </c>
      <c r="AN227" s="44">
        <f ca="1">IF($AJ227=1,($AI227)*(10*OFFSET(载具产出!$D$45,MATCH(AN$6,$AK$6:$AN$6,0)-1,$AJ227)+OFFSET(载具产出!$D$49,MATCH(AN$6,$AK$6:$AN$6,0)-1,$AJ227)*OFFSET(载具产出!$N$49,MATCH(AN$6,$AK$6:$AN$6,0)-1,0)),OFFSET(载具产出!I$59,$AJ227-1,0)*10+OFFSET(载具产出!M$59,$AJ227-1,0)+($AI227*10-_xlfn.XLOOKUP($AJ227-1,载具产出!$D$59:$D$67,载具产出!$E$59:$E$67))/10*(10*OFFSET(载具产出!$D$45,MATCH(AN$6,$AK$6:$AN$6,0)-1,$AJ227)+OFFSET(载具产出!$D$49,MATCH(AN$6,$AK$6:$AN$6,0)-1,$AJ227)*OFFSET(载具产出!$N$49,MATCH(AN$6,$AK$6:$AN$6,0)-1,0)))</f>
        <v>340.250285714287</v>
      </c>
      <c r="AO227" s="44">
        <f ca="1" t="shared" si="41"/>
        <v>6325.24942857144</v>
      </c>
      <c r="AP227" s="44">
        <f ca="1" t="shared" si="42"/>
        <v>3505.68857142857</v>
      </c>
      <c r="AQ227" s="44">
        <f ca="1" t="shared" si="43"/>
        <v>1496.26819047619</v>
      </c>
      <c r="AR227" s="44">
        <f ca="1" t="shared" si="44"/>
        <v>341.530285714287</v>
      </c>
      <c r="AS227" s="45">
        <f ca="1">IFERROR(MATCH(AO227/载具产出!R$58,载具属性!$G$33:$G$92,1),0)</f>
        <v>37</v>
      </c>
      <c r="AT227" s="45">
        <f ca="1">IFERROR(MATCH(AP227/载具产出!S$58,载具属性!$G$33:$G$92,1),0)</f>
        <v>25</v>
      </c>
      <c r="AU227" s="45">
        <f ca="1">IFERROR(MATCH(AQ227/载具产出!T$58,载具属性!$G$33:$G$92,1),0)</f>
        <v>15</v>
      </c>
      <c r="AV227" s="45">
        <f ca="1">IFERROR(MATCH(AR227/载具产出!U$58,载具属性!$G$33:$G$92,1),0)</f>
        <v>6</v>
      </c>
      <c r="AW227" s="46" t="str">
        <f ca="1" t="shared" si="45"/>
        <v>[{62,1326},{63,164635},{2,472500},{6030001,3893},{6030002,4262},{6030003,1130},{6030004,2}]</v>
      </c>
      <c r="AX227" t="str">
        <f ca="1" t="shared" si="46"/>
        <v>{62,1326}</v>
      </c>
      <c r="AY227" t="str">
        <f ca="1" t="shared" si="47"/>
        <v>{63,164635}</v>
      </c>
      <c r="AZ227" t="str">
        <f ca="1" t="shared" si="48"/>
        <v>{2,472500}</v>
      </c>
      <c r="BA227" t="str">
        <f ca="1" t="shared" si="49"/>
        <v>{6030001,3893}</v>
      </c>
      <c r="BB227" t="str">
        <f ca="1" t="shared" si="50"/>
        <v>{6030002,4262}</v>
      </c>
      <c r="BC227" t="str">
        <f ca="1" t="shared" si="51"/>
        <v>{6030003,1130}</v>
      </c>
      <c r="BD227" t="str">
        <f ca="1" t="shared" si="52"/>
        <v>{6030004,2}</v>
      </c>
    </row>
    <row r="228" spans="3:56">
      <c r="C228">
        <f ca="1" t="shared" si="39"/>
        <v>120.201005025126</v>
      </c>
      <c r="D228" s="40">
        <v>222</v>
      </c>
      <c r="E228" s="40">
        <f t="shared" si="56"/>
        <v>125</v>
      </c>
      <c r="F228" s="40">
        <v>146</v>
      </c>
      <c r="G228" s="41">
        <f t="shared" si="55"/>
        <v>199</v>
      </c>
      <c r="H228" s="40">
        <f>H227</f>
        <v>253</v>
      </c>
      <c r="I228" s="40">
        <f t="shared" si="58"/>
        <v>470</v>
      </c>
      <c r="J228" s="40">
        <f t="shared" si="57"/>
        <v>470</v>
      </c>
      <c r="K228" s="40">
        <f ca="1">SUM(U$36:U228)-SUM(OFFSET(载具产出!H$399,0,0,$R228+1,1))</f>
        <v>1333</v>
      </c>
      <c r="L228" s="40">
        <f ca="1">SUM(T$36:T228)-SUM(OFFSET(载具产出!G$399,0,0,$R228+1,1))</f>
        <v>165740</v>
      </c>
      <c r="M228" s="40">
        <f ca="1">SUM(V$36:V228)/2-SUM(OFFSET(载具产出!I$399,0,0,$R228+1,1))</f>
        <v>476000</v>
      </c>
      <c r="N228" s="40">
        <f ca="1">SUM(AA$36:AA228)-SUM(OFFSET(载具产出!J$399,0,0,$R228+1,1))</f>
        <v>3911.6</v>
      </c>
      <c r="O228" s="40">
        <f ca="1">SUM(AB$36:AB228)-SUM(OFFSET(载具产出!K$399,0,0,$R228+1,1))</f>
        <v>4284.75999999998</v>
      </c>
      <c r="P228" s="40">
        <f ca="1">SUM(AC$36:AC228)-SUM(OFFSET(载具产出!L$399,0,0,$R228+1,1))</f>
        <v>1143.76</v>
      </c>
      <c r="Q228" s="40">
        <f ca="1">SUM(AD$36:AD228)-SUM(OFFSET(载具产出!M$399,0,0,$R228+1,1))</f>
        <v>2.88</v>
      </c>
      <c r="R228" s="40">
        <v>18</v>
      </c>
      <c r="S228" s="40" t="str">
        <f ca="1">OFFSET(载具产出!$D$111,IFERROR(MATCH(OFFSET($D228,0,MATCH($D$5,$E$6:$H$6,0)),载具产出!$E$112:$E$151,1),0),0)</f>
        <v>卓越Ⅰ</v>
      </c>
      <c r="T228" s="40">
        <f ca="1">OFFSET(载具产出!$F$399,IFERROR(MATCH(OFFSET($D228,0,MATCH($D$5,$E$6:$H$6,0)),载具产出!$E$400:$E$439,1),0),MATCH(T$6,载具产出!$G$399:$O$399,0))</f>
        <v>1105</v>
      </c>
      <c r="U228" s="40">
        <v>7</v>
      </c>
      <c r="V228" s="40">
        <f ca="1">OFFSET(载具产出!$F$399,IFERROR(MATCH(OFFSET($D228,0,MATCH($D$5,$E$6:$H$6,0)),载具产出!$E$400:$E$439,1),0),MATCH(V$6,载具产出!$G$399:$O$399,0))</f>
        <v>7000</v>
      </c>
      <c r="W228" s="43">
        <f ca="1">_xlfn.XLOOKUP(Z228,载具属性!$E$98:$E$497,载具属性!$G$98:$G$497)+6000+OFFSET(载具属性!L$33,AS228,0)*载具属性!M$30+OFFSET(载具属性!M$33,AT228,0)*载具属性!N$30+OFFSET(载具属性!N$33,AU228,0)*载具属性!O$30+OFFSET(载具属性!O$33,AV228,0)*载具属性!P$30</f>
        <v>23920</v>
      </c>
      <c r="X228" s="43">
        <f ca="1">_xlfn.XLOOKUP(Z228,载具属性!$E$98:$E$497,载具属性!$G$98:$G$497)</f>
        <v>11200</v>
      </c>
      <c r="Y228" s="43">
        <f ca="1">OFFSET(载具属性!L$33,AS228,0)*载具属性!M$30+OFFSET(载具属性!M$33,AT228,0)*载具属性!N$30+OFFSET(载具属性!N$33,AU228,0)*载具属性!O$30+OFFSET(载具属性!O$33,AV228,0)*载具属性!P$30</f>
        <v>6720</v>
      </c>
      <c r="Z228" s="40">
        <f ca="1">MATCH(SUM($T$7:T228),载具属性!$I$98:$I$497,1)</f>
        <v>165</v>
      </c>
      <c r="AA228" s="40">
        <f ca="1">OFFSET(载具产出!$F$399,IFERROR(MATCH(OFFSET($D228,0,MATCH($D$5,$E$6:$H$6,0)),载具产出!$E$112:$E$151,1),0),MATCH(AA$6,载具产出!$G$111:$O$111,0))*2</f>
        <v>18</v>
      </c>
      <c r="AB228" s="40">
        <f ca="1">OFFSET(载具产出!$F$399,IFERROR(MATCH(OFFSET($D228,0,MATCH($D$5,$E$6:$H$6,0)),载具产出!$E$112:$E$151,1),0),MATCH(AB$6,载具产出!$G$111:$O$111,0))*2</f>
        <v>22.24</v>
      </c>
      <c r="AC228" s="40">
        <f ca="1">OFFSET(载具产出!$F$399,IFERROR(MATCH(OFFSET($D228,0,MATCH($D$5,$E$6:$H$6,0)),载具产出!$E$112:$E$151,1),0),MATCH(AC$6,载具产出!$G$111:$O$111,0))*2</f>
        <v>13.28</v>
      </c>
      <c r="AD228" s="40">
        <f ca="1">OFFSET(载具产出!$F$399,IFERROR(MATCH(OFFSET($D228,0,MATCH($D$5,$E$6:$H$6,0)),载具产出!$E$112:$E$151,1),0),MATCH(AD$6,载具产出!$G$111:$O$111,0))*2</f>
        <v>0.48</v>
      </c>
      <c r="AE228" s="44">
        <f ca="1">SUM(AA$36:AA228)/3</f>
        <v>1376.8</v>
      </c>
      <c r="AF228" s="44">
        <f ca="1">SUM(AB$36:AB228)/3</f>
        <v>1489.01333333333</v>
      </c>
      <c r="AG228" s="44">
        <f ca="1">SUM(AC$36:AC228)/3</f>
        <v>398.08</v>
      </c>
      <c r="AH228" s="44">
        <f ca="1">SUM(AD$36:AD228)/3</f>
        <v>1.44</v>
      </c>
      <c r="AI228" s="44">
        <f>_xlfn.XLOOKUP($D$5,载具产出!$D$71:$D$75,载具产出!$E$71:$E$75)*(D228-30+1)</f>
        <v>2270.04761904763</v>
      </c>
      <c r="AJ228" s="44">
        <f>IFERROR(MATCH(_xlfn.XLOOKUP($D$5,载具产出!$D$71:$D$75,载具产出!$E$71:$E$75)*(D228-30+1)*10,载具产出!$E$60:$E$67,1),0)+1</f>
        <v>7</v>
      </c>
      <c r="AK228" s="44">
        <f ca="1">IF($AJ228=1,($AI228)*(10*OFFSET(载具产出!$D$45,MATCH(AK$6,$AK$6:$AN$6,0)-1,$AJ228)+OFFSET(载具产出!$D$49,MATCH(AK$6,$AK$6:$AN$6,0)-1,$AJ228)*OFFSET(载具产出!$N$49,MATCH(AK$6,$AK$6:$AN$6,0)-1,0)),OFFSET(载具产出!F$59,$AJ228-1,0)*10+OFFSET(载具产出!J$59,$AJ228-1,0)+($AI228*10-_xlfn.XLOOKUP($AJ228-1,载具产出!$D$59:$D$67,载具产出!$E$59:$E$67))/10*(10*OFFSET(载具产出!$D$45,MATCH(AK$6,$AK$6:$AN$6,0)-1,$AJ228)+OFFSET(载具产出!$D$49,MATCH(AK$6,$AK$6:$AN$6,0)-1,$AJ228)*OFFSET(载具产出!$N$49,MATCH(AK$6,$AK$6:$AN$6,0)-1,0)))</f>
        <v>4979.29057142859</v>
      </c>
      <c r="AL228" s="44">
        <f ca="1">IF($AJ228=1,($AI228)*(10*OFFSET(载具产出!$D$45,MATCH(AL$6,$AK$6:$AN$6,0)-1,$AJ228)+OFFSET(载具产出!$D$49,MATCH(AL$6,$AK$6:$AN$6,0)-1,$AJ228)*OFFSET(载具产出!$N$49,MATCH(AL$6,$AK$6:$AN$6,0)-1,0)),OFFSET(载具产出!G$59,$AJ228-1,0)*10+OFFSET(载具产出!K$59,$AJ228-1,0)+($AI228*10-_xlfn.XLOOKUP($AJ228-1,载具产出!$D$59:$D$67,载具产出!$E$59:$E$67))/10*(10*OFFSET(载具产出!$D$45,MATCH(AL$6,$AK$6:$AN$6,0)-1,$AJ228)+OFFSET(载具产出!$D$49,MATCH(AL$6,$AK$6:$AN$6,0)-1,$AJ228)*OFFSET(载具产出!$N$49,MATCH(AL$6,$AK$6:$AN$6,0)-1,0)))</f>
        <v>2035.14476190477</v>
      </c>
      <c r="AM228" s="44">
        <f ca="1">IF($AJ228=1,($AI228)*(10*OFFSET(载具产出!$D$45,MATCH(AM$6,$AK$6:$AN$6,0)-1,$AJ228)+OFFSET(载具产出!$D$49,MATCH(AM$6,$AK$6:$AN$6,0)-1,$AJ228)*OFFSET(载具产出!$N$49,MATCH(AM$6,$AK$6:$AN$6,0)-1,0)),OFFSET(载具产出!H$59,$AJ228-1,0)*10+OFFSET(载具产出!L$59,$AJ228-1,0)+($AI228*10-_xlfn.XLOOKUP($AJ228-1,载具产出!$D$59:$D$67,载具产出!$E$59:$E$67))/10*(10*OFFSET(载具产出!$D$45,MATCH(AM$6,$AK$6:$AN$6,0)-1,$AJ228)+OFFSET(载具产出!$D$49,MATCH(AM$6,$AK$6:$AN$6,0)-1,$AJ228)*OFFSET(载具产出!$N$49,MATCH(AM$6,$AK$6:$AN$6,0)-1,0)))</f>
        <v>1108.82514285715</v>
      </c>
      <c r="AN228" s="44">
        <f ca="1">IF($AJ228=1,($AI228)*(10*OFFSET(载具产出!$D$45,MATCH(AN$6,$AK$6:$AN$6,0)-1,$AJ228)+OFFSET(载具产出!$D$49,MATCH(AN$6,$AK$6:$AN$6,0)-1,$AJ228)*OFFSET(载具产出!$N$49,MATCH(AN$6,$AK$6:$AN$6,0)-1,0)),OFFSET(载具产出!I$59,$AJ228-1,0)*10+OFFSET(载具产出!M$59,$AJ228-1,0)+($AI228*10-_xlfn.XLOOKUP($AJ228-1,载具产出!$D$59:$D$67,载具产出!$E$59:$E$67))/10*(10*OFFSET(载具产出!$D$45,MATCH(AN$6,$AK$6:$AN$6,0)-1,$AJ228)+OFFSET(载具产出!$D$49,MATCH(AN$6,$AK$6:$AN$6,0)-1,$AJ228)*OFFSET(载具产出!$N$49,MATCH(AN$6,$AK$6:$AN$6,0)-1,0)))</f>
        <v>342.238047619049</v>
      </c>
      <c r="AO228" s="44">
        <f ca="1" t="shared" si="41"/>
        <v>6356.09057142859</v>
      </c>
      <c r="AP228" s="44">
        <f ca="1" t="shared" si="42"/>
        <v>3524.1580952381</v>
      </c>
      <c r="AQ228" s="44">
        <f ca="1" t="shared" si="43"/>
        <v>1506.90514285715</v>
      </c>
      <c r="AR228" s="44">
        <f ca="1" t="shared" si="44"/>
        <v>343.678047619049</v>
      </c>
      <c r="AS228" s="45">
        <f ca="1">IFERROR(MATCH(AO228/载具产出!R$58,载具属性!$G$33:$G$92,1),0)</f>
        <v>37</v>
      </c>
      <c r="AT228" s="45">
        <f ca="1">IFERROR(MATCH(AP228/载具产出!S$58,载具属性!$G$33:$G$92,1),0)</f>
        <v>25</v>
      </c>
      <c r="AU228" s="45">
        <f ca="1">IFERROR(MATCH(AQ228/载具产出!T$58,载具属性!$G$33:$G$92,1),0)</f>
        <v>15</v>
      </c>
      <c r="AV228" s="45">
        <f ca="1">IFERROR(MATCH(AR228/载具产出!U$58,载具属性!$G$33:$G$92,1),0)</f>
        <v>6</v>
      </c>
      <c r="AW228" s="46" t="str">
        <f ca="1" t="shared" si="45"/>
        <v>[{62,1333},{63,165740},{2,476000},{6030001,3911},{6030002,4284},{6030003,1143},{6030004,2}]</v>
      </c>
      <c r="AX228" t="str">
        <f ca="1" t="shared" si="46"/>
        <v>{62,1333}</v>
      </c>
      <c r="AY228" t="str">
        <f ca="1" t="shared" si="47"/>
        <v>{63,165740}</v>
      </c>
      <c r="AZ228" t="str">
        <f ca="1" t="shared" si="48"/>
        <v>{2,476000}</v>
      </c>
      <c r="BA228" t="str">
        <f ca="1" t="shared" si="49"/>
        <v>{6030001,3911}</v>
      </c>
      <c r="BB228" t="str">
        <f ca="1" t="shared" si="50"/>
        <v>{6030002,4284}</v>
      </c>
      <c r="BC228" t="str">
        <f ca="1" t="shared" si="51"/>
        <v>{6030003,1143}</v>
      </c>
      <c r="BD228" t="str">
        <f ca="1" t="shared" si="52"/>
        <v>{6030004,2}</v>
      </c>
    </row>
    <row r="229" spans="3:56">
      <c r="C229">
        <f ca="1" t="shared" ref="C229:C292" si="59">W229/G229</f>
        <v>120.653266331658</v>
      </c>
      <c r="D229" s="40">
        <v>223</v>
      </c>
      <c r="E229" s="40">
        <f t="shared" si="56"/>
        <v>126</v>
      </c>
      <c r="F229" s="40">
        <v>146</v>
      </c>
      <c r="G229" s="41">
        <f t="shared" si="55"/>
        <v>199</v>
      </c>
      <c r="H229" s="40">
        <f>H228+1</f>
        <v>254</v>
      </c>
      <c r="I229" s="40">
        <f t="shared" si="58"/>
        <v>472</v>
      </c>
      <c r="J229" s="40">
        <f t="shared" si="57"/>
        <v>472</v>
      </c>
      <c r="K229" s="40">
        <f ca="1">SUM(U$36:U229)-SUM(OFFSET(载具产出!H$399,0,0,$R229+1,1))</f>
        <v>1340</v>
      </c>
      <c r="L229" s="40">
        <f ca="1">SUM(T$36:T229)-SUM(OFFSET(载具产出!G$399,0,0,$R229+1,1))</f>
        <v>166845</v>
      </c>
      <c r="M229" s="40">
        <f ca="1">SUM(V$36:V229)/2-SUM(OFFSET(载具产出!I$399,0,0,$R229+1,1))</f>
        <v>479500</v>
      </c>
      <c r="N229" s="40">
        <f ca="1">SUM(AA$36:AA229)-SUM(OFFSET(载具产出!J$399,0,0,$R229+1,1))</f>
        <v>3929.6</v>
      </c>
      <c r="O229" s="40">
        <f ca="1">SUM(AB$36:AB229)-SUM(OFFSET(载具产出!K$399,0,0,$R229+1,1))</f>
        <v>4306.99999999998</v>
      </c>
      <c r="P229" s="40">
        <f ca="1">SUM(AC$36:AC229)-SUM(OFFSET(载具产出!L$399,0,0,$R229+1,1))</f>
        <v>1157.04</v>
      </c>
      <c r="Q229" s="40">
        <f ca="1">SUM(AD$36:AD229)-SUM(OFFSET(载具产出!M$399,0,0,$R229+1,1))</f>
        <v>3.36</v>
      </c>
      <c r="R229" s="40">
        <v>18</v>
      </c>
      <c r="S229" s="40" t="str">
        <f ca="1">OFFSET(载具产出!$D$111,IFERROR(MATCH(OFFSET($D229,0,MATCH($D$5,$E$6:$H$6,0)),载具产出!$E$112:$E$151,1),0),0)</f>
        <v>卓越Ⅰ</v>
      </c>
      <c r="T229" s="40">
        <f ca="1">OFFSET(载具产出!$F$399,IFERROR(MATCH(OFFSET($D229,0,MATCH($D$5,$E$6:$H$6,0)),载具产出!$E$400:$E$439,1),0),MATCH(T$6,载具产出!$G$399:$O$399,0))</f>
        <v>1105</v>
      </c>
      <c r="U229" s="40">
        <v>7</v>
      </c>
      <c r="V229" s="40">
        <f ca="1">OFFSET(载具产出!$F$399,IFERROR(MATCH(OFFSET($D229,0,MATCH($D$5,$E$6:$H$6,0)),载具产出!$E$400:$E$439,1),0),MATCH(V$6,载具产出!$G$399:$O$399,0))</f>
        <v>7000</v>
      </c>
      <c r="W229" s="43">
        <f ca="1">_xlfn.XLOOKUP(Z229,载具属性!$E$98:$E$497,载具属性!$G$98:$G$497)+6000+OFFSET(载具属性!L$33,AS229,0)*载具属性!M$30+OFFSET(载具属性!M$33,AT229,0)*载具属性!N$30+OFFSET(载具属性!N$33,AU229,0)*载具属性!O$30+OFFSET(载具属性!O$33,AV229,0)*载具属性!P$30</f>
        <v>24010</v>
      </c>
      <c r="X229" s="43">
        <f ca="1">_xlfn.XLOOKUP(Z229,载具属性!$E$98:$E$497,载具属性!$G$98:$G$497)</f>
        <v>11290</v>
      </c>
      <c r="Y229" s="43">
        <f ca="1">OFFSET(载具属性!L$33,AS229,0)*载具属性!M$30+OFFSET(载具属性!M$33,AT229,0)*载具属性!N$30+OFFSET(载具属性!N$33,AU229,0)*载具属性!O$30+OFFSET(载具属性!O$33,AV229,0)*载具属性!P$30</f>
        <v>6720</v>
      </c>
      <c r="Z229" s="40">
        <f ca="1">MATCH(SUM($T$7:T229),载具属性!$I$98:$I$497,1)</f>
        <v>166</v>
      </c>
      <c r="AA229" s="40">
        <f ca="1">OFFSET(载具产出!$F$399,IFERROR(MATCH(OFFSET($D229,0,MATCH($D$5,$E$6:$H$6,0)),载具产出!$E$112:$E$151,1),0),MATCH(AA$6,载具产出!$G$111:$O$111,0))*2</f>
        <v>18</v>
      </c>
      <c r="AB229" s="40">
        <f ca="1">OFFSET(载具产出!$F$399,IFERROR(MATCH(OFFSET($D229,0,MATCH($D$5,$E$6:$H$6,0)),载具产出!$E$112:$E$151,1),0),MATCH(AB$6,载具产出!$G$111:$O$111,0))*2</f>
        <v>22.24</v>
      </c>
      <c r="AC229" s="40">
        <f ca="1">OFFSET(载具产出!$F$399,IFERROR(MATCH(OFFSET($D229,0,MATCH($D$5,$E$6:$H$6,0)),载具产出!$E$112:$E$151,1),0),MATCH(AC$6,载具产出!$G$111:$O$111,0))*2</f>
        <v>13.28</v>
      </c>
      <c r="AD229" s="40">
        <f ca="1">OFFSET(载具产出!$F$399,IFERROR(MATCH(OFFSET($D229,0,MATCH($D$5,$E$6:$H$6,0)),载具产出!$E$112:$E$151,1),0),MATCH(AD$6,载具产出!$G$111:$O$111,0))*2</f>
        <v>0.48</v>
      </c>
      <c r="AE229" s="44">
        <f ca="1">SUM(AA$36:AA229)/3</f>
        <v>1382.8</v>
      </c>
      <c r="AF229" s="44">
        <f ca="1">SUM(AB$36:AB229)/3</f>
        <v>1496.42666666666</v>
      </c>
      <c r="AG229" s="44">
        <f ca="1">SUM(AC$36:AC229)/3</f>
        <v>402.506666666666</v>
      </c>
      <c r="AH229" s="44">
        <f ca="1">SUM(AD$36:AD229)/3</f>
        <v>1.6</v>
      </c>
      <c r="AI229" s="44">
        <f>_xlfn.XLOOKUP($D$5,载具产出!$D$71:$D$75,载具产出!$E$71:$E$75)*(D229-30+1)</f>
        <v>2281.80952380953</v>
      </c>
      <c r="AJ229" s="44">
        <f>IFERROR(MATCH(_xlfn.XLOOKUP($D$5,载具产出!$D$71:$D$75,载具产出!$E$71:$E$75)*(D229-30+1)*10,载具产出!$E$60:$E$67,1),0)+1</f>
        <v>7</v>
      </c>
      <c r="AK229" s="44">
        <f ca="1">IF($AJ229=1,($AI229)*(10*OFFSET(载具产出!$D$45,MATCH(AK$6,$AK$6:$AN$6,0)-1,$AJ229)+OFFSET(载具产出!$D$49,MATCH(AK$6,$AK$6:$AN$6,0)-1,$AJ229)*OFFSET(载具产出!$N$49,MATCH(AK$6,$AK$6:$AN$6,0)-1,0)),OFFSET(载具产出!F$59,$AJ229-1,0)*10+OFFSET(载具产出!J$59,$AJ229-1,0)+($AI229*10-_xlfn.XLOOKUP($AJ229-1,载具产出!$D$59:$D$67,载具产出!$E$59:$E$67))/10*(10*OFFSET(载具产出!$D$45,MATCH(AK$6,$AK$6:$AN$6,0)-1,$AJ229)+OFFSET(载具产出!$D$49,MATCH(AK$6,$AK$6:$AN$6,0)-1,$AJ229)*OFFSET(载具产出!$N$49,MATCH(AK$6,$AK$6:$AN$6,0)-1,0)))</f>
        <v>5004.13171428573</v>
      </c>
      <c r="AL229" s="44">
        <f ca="1">IF($AJ229=1,($AI229)*(10*OFFSET(载具产出!$D$45,MATCH(AL$6,$AK$6:$AN$6,0)-1,$AJ229)+OFFSET(载具产出!$D$49,MATCH(AL$6,$AK$6:$AN$6,0)-1,$AJ229)*OFFSET(载具产出!$N$49,MATCH(AL$6,$AK$6:$AN$6,0)-1,0)),OFFSET(载具产出!G$59,$AJ229-1,0)*10+OFFSET(载具产出!K$59,$AJ229-1,0)+($AI229*10-_xlfn.XLOOKUP($AJ229-1,载具产出!$D$59:$D$67,载具产出!$E$59:$E$67))/10*(10*OFFSET(载具产出!$D$45,MATCH(AL$6,$AK$6:$AN$6,0)-1,$AJ229)+OFFSET(载具产出!$D$49,MATCH(AL$6,$AK$6:$AN$6,0)-1,$AJ229)*OFFSET(载具产出!$N$49,MATCH(AL$6,$AK$6:$AN$6,0)-1,0)))</f>
        <v>2046.20095238096</v>
      </c>
      <c r="AM229" s="44">
        <f ca="1">IF($AJ229=1,($AI229)*(10*OFFSET(载具产出!$D$45,MATCH(AM$6,$AK$6:$AN$6,0)-1,$AJ229)+OFFSET(载具产出!$D$49,MATCH(AM$6,$AK$6:$AN$6,0)-1,$AJ229)*OFFSET(载具产出!$N$49,MATCH(AM$6,$AK$6:$AN$6,0)-1,0)),OFFSET(载具产出!H$59,$AJ229-1,0)*10+OFFSET(载具产出!L$59,$AJ229-1,0)+($AI229*10-_xlfn.XLOOKUP($AJ229-1,载具产出!$D$59:$D$67,载具产出!$E$59:$E$67))/10*(10*OFFSET(载具产出!$D$45,MATCH(AM$6,$AK$6:$AN$6,0)-1,$AJ229)+OFFSET(载具产出!$D$49,MATCH(AM$6,$AK$6:$AN$6,0)-1,$AJ229)*OFFSET(载具产出!$N$49,MATCH(AM$6,$AK$6:$AN$6,0)-1,0)))</f>
        <v>1115.03542857143</v>
      </c>
      <c r="AN229" s="44">
        <f ca="1">IF($AJ229=1,($AI229)*(10*OFFSET(载具产出!$D$45,MATCH(AN$6,$AK$6:$AN$6,0)-1,$AJ229)+OFFSET(载具产出!$D$49,MATCH(AN$6,$AK$6:$AN$6,0)-1,$AJ229)*OFFSET(载具产出!$N$49,MATCH(AN$6,$AK$6:$AN$6,0)-1,0)),OFFSET(载具产出!I$59,$AJ229-1,0)*10+OFFSET(载具产出!M$59,$AJ229-1,0)+($AI229*10-_xlfn.XLOOKUP($AJ229-1,载具产出!$D$59:$D$67,载具产出!$E$59:$E$67))/10*(10*OFFSET(载具产出!$D$45,MATCH(AN$6,$AK$6:$AN$6,0)-1,$AJ229)+OFFSET(载具产出!$D$49,MATCH(AN$6,$AK$6:$AN$6,0)-1,$AJ229)*OFFSET(载具产出!$N$49,MATCH(AN$6,$AK$6:$AN$6,0)-1,0)))</f>
        <v>344.225809523811</v>
      </c>
      <c r="AO229" s="44">
        <f ca="1" t="shared" ref="AO229:AO292" si="60">AE229+AK229</f>
        <v>6386.93171428573</v>
      </c>
      <c r="AP229" s="44">
        <f ca="1" t="shared" ref="AP229:AP292" si="61">AF229+AL229</f>
        <v>3542.62761904762</v>
      </c>
      <c r="AQ229" s="44">
        <f ca="1" t="shared" ref="AQ229:AQ292" si="62">AG229+AM229</f>
        <v>1517.5420952381</v>
      </c>
      <c r="AR229" s="44">
        <f ca="1" t="shared" ref="AR229:AR292" si="63">AH229+AN229</f>
        <v>345.825809523811</v>
      </c>
      <c r="AS229" s="45">
        <f ca="1">IFERROR(MATCH(AO229/载具产出!R$58,载具属性!$G$33:$G$92,1),0)</f>
        <v>37</v>
      </c>
      <c r="AT229" s="45">
        <f ca="1">IFERROR(MATCH(AP229/载具产出!S$58,载具属性!$G$33:$G$92,1),0)</f>
        <v>25</v>
      </c>
      <c r="AU229" s="45">
        <f ca="1">IFERROR(MATCH(AQ229/载具产出!T$58,载具属性!$G$33:$G$92,1),0)</f>
        <v>15</v>
      </c>
      <c r="AV229" s="45">
        <f ca="1">IFERROR(MATCH(AR229/载具产出!U$58,载具属性!$G$33:$G$92,1),0)</f>
        <v>6</v>
      </c>
      <c r="AW229" s="46" t="str">
        <f ca="1" t="shared" ref="AW229:AW292" si="64">"["&amp;_xlfn.TEXTJOIN(",",1,AX229:BD229)&amp;"]"</f>
        <v>[{62,1340},{63,166845},{2,479500},{6030001,3929},{6030002,4306},{6030003,1157},{6030004,3}]</v>
      </c>
      <c r="AX229" t="str">
        <f ca="1" t="shared" ref="AX229:AX292" si="65">IF(INT(K229)&lt;=0,"","{"&amp;K$5&amp;","&amp;INT(K229)&amp;"}")</f>
        <v>{62,1340}</v>
      </c>
      <c r="AY229" t="str">
        <f ca="1" t="shared" ref="AY229:AY292" si="66">IF(INT(L229)&lt;=0,"","{"&amp;L$5&amp;","&amp;INT(L229)&amp;"}")</f>
        <v>{63,166845}</v>
      </c>
      <c r="AZ229" t="str">
        <f ca="1" t="shared" ref="AZ229:AZ292" si="67">IF(INT(M229)&lt;=0,"","{"&amp;M$5&amp;","&amp;INT(M229)&amp;"}")</f>
        <v>{2,479500}</v>
      </c>
      <c r="BA229" t="str">
        <f ca="1" t="shared" ref="BA229:BA292" si="68">IF(INT(N229)&lt;=0,"","{"&amp;N$5&amp;","&amp;INT(N229)&amp;"}")</f>
        <v>{6030001,3929}</v>
      </c>
      <c r="BB229" t="str">
        <f ca="1" t="shared" ref="BB229:BB292" si="69">IF(INT(O229)&lt;=0,"","{"&amp;O$5&amp;","&amp;INT(O229)&amp;"}")</f>
        <v>{6030002,4306}</v>
      </c>
      <c r="BC229" t="str">
        <f ca="1" t="shared" ref="BC229:BC292" si="70">IF(INT(P229)&lt;=0,"","{"&amp;P$5&amp;","&amp;INT(P229)&amp;"}")</f>
        <v>{6030003,1157}</v>
      </c>
      <c r="BD229" t="str">
        <f ca="1" t="shared" ref="BD229:BD292" si="71">IF(INT(Q229)&lt;=0,"","{"&amp;Q$5&amp;","&amp;INT(Q229)&amp;"}")</f>
        <v>{6030004,3}</v>
      </c>
    </row>
    <row r="230" spans="3:56">
      <c r="C230">
        <f ca="1" t="shared" si="59"/>
        <v>120.05</v>
      </c>
      <c r="D230" s="40">
        <v>224</v>
      </c>
      <c r="E230" s="40">
        <f t="shared" ref="E230:E261" si="72">F229-20</f>
        <v>126</v>
      </c>
      <c r="F230" s="40">
        <v>146</v>
      </c>
      <c r="G230" s="41">
        <f t="shared" si="55"/>
        <v>200</v>
      </c>
      <c r="H230" s="40">
        <f>H229</f>
        <v>254</v>
      </c>
      <c r="I230" s="40">
        <f t="shared" si="58"/>
        <v>474</v>
      </c>
      <c r="J230" s="40">
        <f t="shared" si="57"/>
        <v>474</v>
      </c>
      <c r="K230" s="40">
        <f ca="1">SUM(U$36:U230)-SUM(OFFSET(载具产出!H$399,0,0,$R230+1,1))</f>
        <v>1347</v>
      </c>
      <c r="L230" s="40">
        <f ca="1">SUM(T$36:T230)-SUM(OFFSET(载具产出!G$399,0,0,$R230+1,1))</f>
        <v>167950</v>
      </c>
      <c r="M230" s="40">
        <f ca="1">SUM(V$36:V230)/2-SUM(OFFSET(载具产出!I$399,0,0,$R230+1,1))</f>
        <v>483000</v>
      </c>
      <c r="N230" s="40">
        <f ca="1">SUM(AA$36:AA230)-SUM(OFFSET(载具产出!J$399,0,0,$R230+1,1))</f>
        <v>3947.6</v>
      </c>
      <c r="O230" s="40">
        <f ca="1">SUM(AB$36:AB230)-SUM(OFFSET(载具产出!K$399,0,0,$R230+1,1))</f>
        <v>4329.23999999998</v>
      </c>
      <c r="P230" s="40">
        <f ca="1">SUM(AC$36:AC230)-SUM(OFFSET(载具产出!L$399,0,0,$R230+1,1))</f>
        <v>1170.32</v>
      </c>
      <c r="Q230" s="40">
        <f ca="1">SUM(AD$36:AD230)-SUM(OFFSET(载具产出!M$399,0,0,$R230+1,1))</f>
        <v>3.84</v>
      </c>
      <c r="R230" s="40">
        <v>18</v>
      </c>
      <c r="S230" s="40" t="str">
        <f ca="1">OFFSET(载具产出!$D$111,IFERROR(MATCH(OFFSET($D230,0,MATCH($D$5,$E$6:$H$6,0)),载具产出!$E$112:$E$151,1),0),0)</f>
        <v>卓越Ⅰ</v>
      </c>
      <c r="T230" s="40">
        <f ca="1">OFFSET(载具产出!$F$399,IFERROR(MATCH(OFFSET($D230,0,MATCH($D$5,$E$6:$H$6,0)),载具产出!$E$400:$E$439,1),0),MATCH(T$6,载具产出!$G$399:$O$399,0))</f>
        <v>1105</v>
      </c>
      <c r="U230" s="40">
        <v>7</v>
      </c>
      <c r="V230" s="40">
        <f ca="1">OFFSET(载具产出!$F$399,IFERROR(MATCH(OFFSET($D230,0,MATCH($D$5,$E$6:$H$6,0)),载具产出!$E$400:$E$439,1),0),MATCH(V$6,载具产出!$G$399:$O$399,0))</f>
        <v>7000</v>
      </c>
      <c r="W230" s="43">
        <f ca="1">_xlfn.XLOOKUP(Z230,载具属性!$E$98:$E$497,载具属性!$G$98:$G$497)+6000+OFFSET(载具属性!L$33,AS230,0)*载具属性!M$30+OFFSET(载具属性!M$33,AT230,0)*载具属性!N$30+OFFSET(载具属性!N$33,AU230,0)*载具属性!O$30+OFFSET(载具属性!O$33,AV230,0)*载具属性!P$30</f>
        <v>24010</v>
      </c>
      <c r="X230" s="43">
        <f ca="1">_xlfn.XLOOKUP(Z230,载具属性!$E$98:$E$497,载具属性!$G$98:$G$497)</f>
        <v>11290</v>
      </c>
      <c r="Y230" s="43">
        <f ca="1">OFFSET(载具属性!L$33,AS230,0)*载具属性!M$30+OFFSET(载具属性!M$33,AT230,0)*载具属性!N$30+OFFSET(载具属性!N$33,AU230,0)*载具属性!O$30+OFFSET(载具属性!O$33,AV230,0)*载具属性!P$30</f>
        <v>6720</v>
      </c>
      <c r="Z230" s="40">
        <f ca="1">MATCH(SUM($T$7:T230),载具属性!$I$98:$I$497,1)</f>
        <v>166</v>
      </c>
      <c r="AA230" s="40">
        <f ca="1">OFFSET(载具产出!$F$399,IFERROR(MATCH(OFFSET($D230,0,MATCH($D$5,$E$6:$H$6,0)),载具产出!$E$112:$E$151,1),0),MATCH(AA$6,载具产出!$G$111:$O$111,0))*2</f>
        <v>18</v>
      </c>
      <c r="AB230" s="40">
        <f ca="1">OFFSET(载具产出!$F$399,IFERROR(MATCH(OFFSET($D230,0,MATCH($D$5,$E$6:$H$6,0)),载具产出!$E$112:$E$151,1),0),MATCH(AB$6,载具产出!$G$111:$O$111,0))*2</f>
        <v>22.24</v>
      </c>
      <c r="AC230" s="40">
        <f ca="1">OFFSET(载具产出!$F$399,IFERROR(MATCH(OFFSET($D230,0,MATCH($D$5,$E$6:$H$6,0)),载具产出!$E$112:$E$151,1),0),MATCH(AC$6,载具产出!$G$111:$O$111,0))*2</f>
        <v>13.28</v>
      </c>
      <c r="AD230" s="40">
        <f ca="1">OFFSET(载具产出!$F$399,IFERROR(MATCH(OFFSET($D230,0,MATCH($D$5,$E$6:$H$6,0)),载具产出!$E$112:$E$151,1),0),MATCH(AD$6,载具产出!$G$111:$O$111,0))*2</f>
        <v>0.48</v>
      </c>
      <c r="AE230" s="44">
        <f ca="1">SUM(AA$36:AA230)/3</f>
        <v>1388.8</v>
      </c>
      <c r="AF230" s="44">
        <f ca="1">SUM(AB$36:AB230)/3</f>
        <v>1503.83999999999</v>
      </c>
      <c r="AG230" s="44">
        <f ca="1">SUM(AC$36:AC230)/3</f>
        <v>406.933333333333</v>
      </c>
      <c r="AH230" s="44">
        <f ca="1">SUM(AD$36:AD230)/3</f>
        <v>1.76</v>
      </c>
      <c r="AI230" s="44">
        <f>_xlfn.XLOOKUP($D$5,载具产出!$D$71:$D$75,载具产出!$E$71:$E$75)*(D230-30+1)</f>
        <v>2293.57142857144</v>
      </c>
      <c r="AJ230" s="44">
        <f>IFERROR(MATCH(_xlfn.XLOOKUP($D$5,载具产出!$D$71:$D$75,载具产出!$E$71:$E$75)*(D230-30+1)*10,载具产出!$E$60:$E$67,1),0)+1</f>
        <v>7</v>
      </c>
      <c r="AK230" s="44">
        <f ca="1">IF($AJ230=1,($AI230)*(10*OFFSET(载具产出!$D$45,MATCH(AK$6,$AK$6:$AN$6,0)-1,$AJ230)+OFFSET(载具产出!$D$49,MATCH(AK$6,$AK$6:$AN$6,0)-1,$AJ230)*OFFSET(载具产出!$N$49,MATCH(AK$6,$AK$6:$AN$6,0)-1,0)),OFFSET(载具产出!F$59,$AJ230-1,0)*10+OFFSET(载具产出!J$59,$AJ230-1,0)+($AI230*10-_xlfn.XLOOKUP($AJ230-1,载具产出!$D$59:$D$67,载具产出!$E$59:$E$67))/10*(10*OFFSET(载具产出!$D$45,MATCH(AK$6,$AK$6:$AN$6,0)-1,$AJ230)+OFFSET(载具产出!$D$49,MATCH(AK$6,$AK$6:$AN$6,0)-1,$AJ230)*OFFSET(载具产出!$N$49,MATCH(AK$6,$AK$6:$AN$6,0)-1,0)))</f>
        <v>5028.97285714288</v>
      </c>
      <c r="AL230" s="44">
        <f ca="1">IF($AJ230=1,($AI230)*(10*OFFSET(载具产出!$D$45,MATCH(AL$6,$AK$6:$AN$6,0)-1,$AJ230)+OFFSET(载具产出!$D$49,MATCH(AL$6,$AK$6:$AN$6,0)-1,$AJ230)*OFFSET(载具产出!$N$49,MATCH(AL$6,$AK$6:$AN$6,0)-1,0)),OFFSET(载具产出!G$59,$AJ230-1,0)*10+OFFSET(载具产出!K$59,$AJ230-1,0)+($AI230*10-_xlfn.XLOOKUP($AJ230-1,载具产出!$D$59:$D$67,载具产出!$E$59:$E$67))/10*(10*OFFSET(载具产出!$D$45,MATCH(AL$6,$AK$6:$AN$6,0)-1,$AJ230)+OFFSET(载具产出!$D$49,MATCH(AL$6,$AK$6:$AN$6,0)-1,$AJ230)*OFFSET(载具产出!$N$49,MATCH(AL$6,$AK$6:$AN$6,0)-1,0)))</f>
        <v>2057.25714285715</v>
      </c>
      <c r="AM230" s="44">
        <f ca="1">IF($AJ230=1,($AI230)*(10*OFFSET(载具产出!$D$45,MATCH(AM$6,$AK$6:$AN$6,0)-1,$AJ230)+OFFSET(载具产出!$D$49,MATCH(AM$6,$AK$6:$AN$6,0)-1,$AJ230)*OFFSET(载具产出!$N$49,MATCH(AM$6,$AK$6:$AN$6,0)-1,0)),OFFSET(载具产出!H$59,$AJ230-1,0)*10+OFFSET(载具产出!L$59,$AJ230-1,0)+($AI230*10-_xlfn.XLOOKUP($AJ230-1,载具产出!$D$59:$D$67,载具产出!$E$59:$E$67))/10*(10*OFFSET(载具产出!$D$45,MATCH(AM$6,$AK$6:$AN$6,0)-1,$AJ230)+OFFSET(载具产出!$D$49,MATCH(AM$6,$AK$6:$AN$6,0)-1,$AJ230)*OFFSET(载具产出!$N$49,MATCH(AM$6,$AK$6:$AN$6,0)-1,0)))</f>
        <v>1121.24571428572</v>
      </c>
      <c r="AN230" s="44">
        <f ca="1">IF($AJ230=1,($AI230)*(10*OFFSET(载具产出!$D$45,MATCH(AN$6,$AK$6:$AN$6,0)-1,$AJ230)+OFFSET(载具产出!$D$49,MATCH(AN$6,$AK$6:$AN$6,0)-1,$AJ230)*OFFSET(载具产出!$N$49,MATCH(AN$6,$AK$6:$AN$6,0)-1,0)),OFFSET(载具产出!I$59,$AJ230-1,0)*10+OFFSET(载具产出!M$59,$AJ230-1,0)+($AI230*10-_xlfn.XLOOKUP($AJ230-1,载具产出!$D$59:$D$67,载具产出!$E$59:$E$67))/10*(10*OFFSET(载具产出!$D$45,MATCH(AN$6,$AK$6:$AN$6,0)-1,$AJ230)+OFFSET(载具产出!$D$49,MATCH(AN$6,$AK$6:$AN$6,0)-1,$AJ230)*OFFSET(载具产出!$N$49,MATCH(AN$6,$AK$6:$AN$6,0)-1,0)))</f>
        <v>346.213571428573</v>
      </c>
      <c r="AO230" s="44">
        <f ca="1" t="shared" si="60"/>
        <v>6417.77285714288</v>
      </c>
      <c r="AP230" s="44">
        <f ca="1" t="shared" si="61"/>
        <v>3561.09714285715</v>
      </c>
      <c r="AQ230" s="44">
        <f ca="1" t="shared" si="62"/>
        <v>1528.17904761905</v>
      </c>
      <c r="AR230" s="44">
        <f ca="1" t="shared" si="63"/>
        <v>347.973571428573</v>
      </c>
      <c r="AS230" s="45">
        <f ca="1">IFERROR(MATCH(AO230/载具产出!R$58,载具属性!$G$33:$G$92,1),0)</f>
        <v>37</v>
      </c>
      <c r="AT230" s="45">
        <f ca="1">IFERROR(MATCH(AP230/载具产出!S$58,载具属性!$G$33:$G$92,1),0)</f>
        <v>25</v>
      </c>
      <c r="AU230" s="45">
        <f ca="1">IFERROR(MATCH(AQ230/载具产出!T$58,载具属性!$G$33:$G$92,1),0)</f>
        <v>15</v>
      </c>
      <c r="AV230" s="45">
        <f ca="1">IFERROR(MATCH(AR230/载具产出!U$58,载具属性!$G$33:$G$92,1),0)</f>
        <v>6</v>
      </c>
      <c r="AW230" s="46" t="str">
        <f ca="1" t="shared" si="64"/>
        <v>[{62,1347},{63,167950},{2,483000},{6030001,3947},{6030002,4329},{6030003,1170},{6030004,3}]</v>
      </c>
      <c r="AX230" t="str">
        <f ca="1" t="shared" si="65"/>
        <v>{62,1347}</v>
      </c>
      <c r="AY230" t="str">
        <f ca="1" t="shared" si="66"/>
        <v>{63,167950}</v>
      </c>
      <c r="AZ230" t="str">
        <f ca="1" t="shared" si="67"/>
        <v>{2,483000}</v>
      </c>
      <c r="BA230" t="str">
        <f ca="1" t="shared" si="68"/>
        <v>{6030001,3947}</v>
      </c>
      <c r="BB230" t="str">
        <f ca="1" t="shared" si="69"/>
        <v>{6030002,4329}</v>
      </c>
      <c r="BC230" t="str">
        <f ca="1" t="shared" si="70"/>
        <v>{6030003,1170}</v>
      </c>
      <c r="BD230" t="str">
        <f ca="1" t="shared" si="71"/>
        <v>{6030004,3}</v>
      </c>
    </row>
    <row r="231" spans="3:56">
      <c r="C231">
        <f ca="1" t="shared" si="59"/>
        <v>121.1</v>
      </c>
      <c r="D231" s="40">
        <v>225</v>
      </c>
      <c r="E231" s="40">
        <f t="shared" si="72"/>
        <v>126</v>
      </c>
      <c r="F231" s="40">
        <v>146</v>
      </c>
      <c r="G231" s="41">
        <f t="shared" si="55"/>
        <v>200</v>
      </c>
      <c r="H231" s="40">
        <f>H230+1</f>
        <v>255</v>
      </c>
      <c r="I231" s="40">
        <f t="shared" si="58"/>
        <v>476</v>
      </c>
      <c r="J231" s="40">
        <f t="shared" si="57"/>
        <v>476</v>
      </c>
      <c r="K231" s="40">
        <f ca="1">SUM(U$36:U231)-SUM(OFFSET(载具产出!H$399,0,0,$R231+1,1))</f>
        <v>1354</v>
      </c>
      <c r="L231" s="40">
        <f ca="1">SUM(T$36:T231)-SUM(OFFSET(载具产出!G$399,0,0,$R231+1,1))</f>
        <v>169055</v>
      </c>
      <c r="M231" s="40">
        <f ca="1">SUM(V$36:V231)/2-SUM(OFFSET(载具产出!I$399,0,0,$R231+1,1))</f>
        <v>486500</v>
      </c>
      <c r="N231" s="40">
        <f ca="1">SUM(AA$36:AA231)-SUM(OFFSET(载具产出!J$399,0,0,$R231+1,1))</f>
        <v>3965.6</v>
      </c>
      <c r="O231" s="40">
        <f ca="1">SUM(AB$36:AB231)-SUM(OFFSET(载具产出!K$399,0,0,$R231+1,1))</f>
        <v>4351.47999999998</v>
      </c>
      <c r="P231" s="40">
        <f ca="1">SUM(AC$36:AC231)-SUM(OFFSET(载具产出!L$399,0,0,$R231+1,1))</f>
        <v>1183.6</v>
      </c>
      <c r="Q231" s="40">
        <f ca="1">SUM(AD$36:AD231)-SUM(OFFSET(载具产出!M$399,0,0,$R231+1,1))</f>
        <v>4.32</v>
      </c>
      <c r="R231" s="40">
        <v>18</v>
      </c>
      <c r="S231" s="40" t="str">
        <f ca="1">OFFSET(载具产出!$D$111,IFERROR(MATCH(OFFSET($D231,0,MATCH($D$5,$E$6:$H$6,0)),载具产出!$E$112:$E$151,1),0),0)</f>
        <v>卓越Ⅰ</v>
      </c>
      <c r="T231" s="40">
        <f ca="1">OFFSET(载具产出!$F$399,IFERROR(MATCH(OFFSET($D231,0,MATCH($D$5,$E$6:$H$6,0)),载具产出!$E$400:$E$439,1),0),MATCH(T$6,载具产出!$G$399:$O$399,0))</f>
        <v>1105</v>
      </c>
      <c r="U231" s="40">
        <v>7</v>
      </c>
      <c r="V231" s="40">
        <f ca="1">OFFSET(载具产出!$F$399,IFERROR(MATCH(OFFSET($D231,0,MATCH($D$5,$E$6:$H$6,0)),载具产出!$E$400:$E$439,1),0),MATCH(V$6,载具产出!$G$399:$O$399,0))</f>
        <v>7000</v>
      </c>
      <c r="W231" s="43">
        <f ca="1">_xlfn.XLOOKUP(Z231,载具属性!$E$98:$E$497,载具属性!$G$98:$G$497)+6000+OFFSET(载具属性!L$33,AS231,0)*载具属性!M$30+OFFSET(载具属性!M$33,AT231,0)*载具属性!N$30+OFFSET(载具属性!N$33,AU231,0)*载具属性!O$30+OFFSET(载具属性!O$33,AV231,0)*载具属性!P$30</f>
        <v>24220</v>
      </c>
      <c r="X231" s="43">
        <f ca="1">_xlfn.XLOOKUP(Z231,载具属性!$E$98:$E$497,载具属性!$G$98:$G$497)</f>
        <v>11380</v>
      </c>
      <c r="Y231" s="43">
        <f ca="1">OFFSET(载具属性!L$33,AS231,0)*载具属性!M$30+OFFSET(载具属性!M$33,AT231,0)*载具属性!N$30+OFFSET(载具属性!N$33,AU231,0)*载具属性!O$30+OFFSET(载具属性!O$33,AV231,0)*载具属性!P$30</f>
        <v>6840</v>
      </c>
      <c r="Z231" s="40">
        <f ca="1">MATCH(SUM($T$7:T231),载具属性!$I$98:$I$497,1)</f>
        <v>167</v>
      </c>
      <c r="AA231" s="40">
        <f ca="1">OFFSET(载具产出!$F$399,IFERROR(MATCH(OFFSET($D231,0,MATCH($D$5,$E$6:$H$6,0)),载具产出!$E$112:$E$151,1),0),MATCH(AA$6,载具产出!$G$111:$O$111,0))*2</f>
        <v>18</v>
      </c>
      <c r="AB231" s="40">
        <f ca="1">OFFSET(载具产出!$F$399,IFERROR(MATCH(OFFSET($D231,0,MATCH($D$5,$E$6:$H$6,0)),载具产出!$E$112:$E$151,1),0),MATCH(AB$6,载具产出!$G$111:$O$111,0))*2</f>
        <v>22.24</v>
      </c>
      <c r="AC231" s="40">
        <f ca="1">OFFSET(载具产出!$F$399,IFERROR(MATCH(OFFSET($D231,0,MATCH($D$5,$E$6:$H$6,0)),载具产出!$E$112:$E$151,1),0),MATCH(AC$6,载具产出!$G$111:$O$111,0))*2</f>
        <v>13.28</v>
      </c>
      <c r="AD231" s="40">
        <f ca="1">OFFSET(载具产出!$F$399,IFERROR(MATCH(OFFSET($D231,0,MATCH($D$5,$E$6:$H$6,0)),载具产出!$E$112:$E$151,1),0),MATCH(AD$6,载具产出!$G$111:$O$111,0))*2</f>
        <v>0.48</v>
      </c>
      <c r="AE231" s="44">
        <f ca="1">SUM(AA$36:AA231)/3</f>
        <v>1394.8</v>
      </c>
      <c r="AF231" s="44">
        <f ca="1">SUM(AB$36:AB231)/3</f>
        <v>1511.25333333333</v>
      </c>
      <c r="AG231" s="44">
        <f ca="1">SUM(AC$36:AC231)/3</f>
        <v>411.36</v>
      </c>
      <c r="AH231" s="44">
        <f ca="1">SUM(AD$36:AD231)/3</f>
        <v>1.92</v>
      </c>
      <c r="AI231" s="44">
        <f>_xlfn.XLOOKUP($D$5,载具产出!$D$71:$D$75,载具产出!$E$71:$E$75)*(D231-30+1)</f>
        <v>2305.33333333334</v>
      </c>
      <c r="AJ231" s="44">
        <f>IFERROR(MATCH(_xlfn.XLOOKUP($D$5,载具产出!$D$71:$D$75,载具产出!$E$71:$E$75)*(D231-30+1)*10,载具产出!$E$60:$E$67,1),0)+1</f>
        <v>7</v>
      </c>
      <c r="AK231" s="44">
        <f ca="1">IF($AJ231=1,($AI231)*(10*OFFSET(载具产出!$D$45,MATCH(AK$6,$AK$6:$AN$6,0)-1,$AJ231)+OFFSET(载具产出!$D$49,MATCH(AK$6,$AK$6:$AN$6,0)-1,$AJ231)*OFFSET(载具产出!$N$49,MATCH(AK$6,$AK$6:$AN$6,0)-1,0)),OFFSET(载具产出!F$59,$AJ231-1,0)*10+OFFSET(载具产出!J$59,$AJ231-1,0)+($AI231*10-_xlfn.XLOOKUP($AJ231-1,载具产出!$D$59:$D$67,载具产出!$E$59:$E$67))/10*(10*OFFSET(载具产出!$D$45,MATCH(AK$6,$AK$6:$AN$6,0)-1,$AJ231)+OFFSET(载具产出!$D$49,MATCH(AK$6,$AK$6:$AN$6,0)-1,$AJ231)*OFFSET(载具产出!$N$49,MATCH(AK$6,$AK$6:$AN$6,0)-1,0)))</f>
        <v>5053.81400000001</v>
      </c>
      <c r="AL231" s="44">
        <f ca="1">IF($AJ231=1,($AI231)*(10*OFFSET(载具产出!$D$45,MATCH(AL$6,$AK$6:$AN$6,0)-1,$AJ231)+OFFSET(载具产出!$D$49,MATCH(AL$6,$AK$6:$AN$6,0)-1,$AJ231)*OFFSET(载具产出!$N$49,MATCH(AL$6,$AK$6:$AN$6,0)-1,0)),OFFSET(载具产出!G$59,$AJ231-1,0)*10+OFFSET(载具产出!K$59,$AJ231-1,0)+($AI231*10-_xlfn.XLOOKUP($AJ231-1,载具产出!$D$59:$D$67,载具产出!$E$59:$E$67))/10*(10*OFFSET(载具产出!$D$45,MATCH(AL$6,$AK$6:$AN$6,0)-1,$AJ231)+OFFSET(载具产出!$D$49,MATCH(AL$6,$AK$6:$AN$6,0)-1,$AJ231)*OFFSET(载具产出!$N$49,MATCH(AL$6,$AK$6:$AN$6,0)-1,0)))</f>
        <v>2068.31333333334</v>
      </c>
      <c r="AM231" s="44">
        <f ca="1">IF($AJ231=1,($AI231)*(10*OFFSET(载具产出!$D$45,MATCH(AM$6,$AK$6:$AN$6,0)-1,$AJ231)+OFFSET(载具产出!$D$49,MATCH(AM$6,$AK$6:$AN$6,0)-1,$AJ231)*OFFSET(载具产出!$N$49,MATCH(AM$6,$AK$6:$AN$6,0)-1,0)),OFFSET(载具产出!H$59,$AJ231-1,0)*10+OFFSET(载具产出!L$59,$AJ231-1,0)+($AI231*10-_xlfn.XLOOKUP($AJ231-1,载具产出!$D$59:$D$67,载具产出!$E$59:$E$67))/10*(10*OFFSET(载具产出!$D$45,MATCH(AM$6,$AK$6:$AN$6,0)-1,$AJ231)+OFFSET(载具产出!$D$49,MATCH(AM$6,$AK$6:$AN$6,0)-1,$AJ231)*OFFSET(载具产出!$N$49,MATCH(AM$6,$AK$6:$AN$6,0)-1,0)))</f>
        <v>1127.456</v>
      </c>
      <c r="AN231" s="44">
        <f ca="1">IF($AJ231=1,($AI231)*(10*OFFSET(载具产出!$D$45,MATCH(AN$6,$AK$6:$AN$6,0)-1,$AJ231)+OFFSET(载具产出!$D$49,MATCH(AN$6,$AK$6:$AN$6,0)-1,$AJ231)*OFFSET(载具产出!$N$49,MATCH(AN$6,$AK$6:$AN$6,0)-1,0)),OFFSET(载具产出!I$59,$AJ231-1,0)*10+OFFSET(载具产出!M$59,$AJ231-1,0)+($AI231*10-_xlfn.XLOOKUP($AJ231-1,载具产出!$D$59:$D$67,载具产出!$E$59:$E$67))/10*(10*OFFSET(载具产出!$D$45,MATCH(AN$6,$AK$6:$AN$6,0)-1,$AJ231)+OFFSET(载具产出!$D$49,MATCH(AN$6,$AK$6:$AN$6,0)-1,$AJ231)*OFFSET(载具产出!$N$49,MATCH(AN$6,$AK$6:$AN$6,0)-1,0)))</f>
        <v>348.201333333334</v>
      </c>
      <c r="AO231" s="44">
        <f ca="1" t="shared" si="60"/>
        <v>6448.61400000001</v>
      </c>
      <c r="AP231" s="44">
        <f ca="1" t="shared" si="61"/>
        <v>3579.56666666667</v>
      </c>
      <c r="AQ231" s="44">
        <f ca="1" t="shared" si="62"/>
        <v>1538.816</v>
      </c>
      <c r="AR231" s="44">
        <f ca="1" t="shared" si="63"/>
        <v>350.121333333334</v>
      </c>
      <c r="AS231" s="45">
        <f ca="1">IFERROR(MATCH(AO231/载具产出!R$58,载具属性!$G$33:$G$92,1),0)</f>
        <v>37</v>
      </c>
      <c r="AT231" s="45">
        <f ca="1">IFERROR(MATCH(AP231/载具产出!S$58,载具属性!$G$33:$G$92,1),0)</f>
        <v>25</v>
      </c>
      <c r="AU231" s="45">
        <f ca="1">IFERROR(MATCH(AQ231/载具产出!T$58,载具属性!$G$33:$G$92,1),0)</f>
        <v>16</v>
      </c>
      <c r="AV231" s="45">
        <f ca="1">IFERROR(MATCH(AR231/载具产出!U$58,载具属性!$G$33:$G$92,1),0)</f>
        <v>6</v>
      </c>
      <c r="AW231" s="46" t="str">
        <f ca="1" t="shared" si="64"/>
        <v>[{62,1354},{63,169055},{2,486500},{6030001,3965},{6030002,4351},{6030003,1183},{6030004,4}]</v>
      </c>
      <c r="AX231" t="str">
        <f ca="1" t="shared" si="65"/>
        <v>{62,1354}</v>
      </c>
      <c r="AY231" t="str">
        <f ca="1" t="shared" si="66"/>
        <v>{63,169055}</v>
      </c>
      <c r="AZ231" t="str">
        <f ca="1" t="shared" si="67"/>
        <v>{2,486500}</v>
      </c>
      <c r="BA231" t="str">
        <f ca="1" t="shared" si="68"/>
        <v>{6030001,3965}</v>
      </c>
      <c r="BB231" t="str">
        <f ca="1" t="shared" si="69"/>
        <v>{6030002,4351}</v>
      </c>
      <c r="BC231" t="str">
        <f ca="1" t="shared" si="70"/>
        <v>{6030003,1183}</v>
      </c>
      <c r="BD231" t="str">
        <f ca="1" t="shared" si="71"/>
        <v>{6030004,4}</v>
      </c>
    </row>
    <row r="232" spans="3:56">
      <c r="C232">
        <f ca="1" t="shared" si="59"/>
        <v>121.55</v>
      </c>
      <c r="D232" s="40">
        <v>226</v>
      </c>
      <c r="E232" s="40">
        <f t="shared" si="72"/>
        <v>126</v>
      </c>
      <c r="F232" s="40">
        <v>146</v>
      </c>
      <c r="G232" s="41">
        <f>G230</f>
        <v>200</v>
      </c>
      <c r="H232" s="40">
        <f>H231</f>
        <v>255</v>
      </c>
      <c r="I232" s="40">
        <f t="shared" si="58"/>
        <v>478</v>
      </c>
      <c r="J232" s="40">
        <f t="shared" ref="J232:J263" si="73">MIN(INT(H232*(120-(D232-60))/120+(D232-60)/120*I232),I232)</f>
        <v>478</v>
      </c>
      <c r="K232" s="40">
        <f ca="1">SUM(U$36:U232)-SUM(OFFSET(载具产出!H$399,0,0,$R232+1,1))</f>
        <v>1361</v>
      </c>
      <c r="L232" s="40">
        <f ca="1">SUM(T$36:T232)-SUM(OFFSET(载具产出!G$399,0,0,$R232+1,1))</f>
        <v>170160</v>
      </c>
      <c r="M232" s="40">
        <f ca="1">SUM(V$36:V232)/2-SUM(OFFSET(载具产出!I$399,0,0,$R232+1,1))</f>
        <v>490000</v>
      </c>
      <c r="N232" s="40">
        <f ca="1">SUM(AA$36:AA232)-SUM(OFFSET(载具产出!J$399,0,0,$R232+1,1))</f>
        <v>3983.6</v>
      </c>
      <c r="O232" s="40">
        <f ca="1">SUM(AB$36:AB232)-SUM(OFFSET(载具产出!K$399,0,0,$R232+1,1))</f>
        <v>4373.71999999998</v>
      </c>
      <c r="P232" s="40">
        <f ca="1">SUM(AC$36:AC232)-SUM(OFFSET(载具产出!L$399,0,0,$R232+1,1))</f>
        <v>1196.88</v>
      </c>
      <c r="Q232" s="40">
        <f ca="1">SUM(AD$36:AD232)-SUM(OFFSET(载具产出!M$399,0,0,$R232+1,1))</f>
        <v>4.8</v>
      </c>
      <c r="R232" s="40">
        <v>18</v>
      </c>
      <c r="S232" s="40" t="str">
        <f ca="1">OFFSET(载具产出!$D$111,IFERROR(MATCH(OFFSET($D232,0,MATCH($D$5,$E$6:$H$6,0)),载具产出!$E$112:$E$151,1),0),0)</f>
        <v>卓越Ⅰ</v>
      </c>
      <c r="T232" s="40">
        <f ca="1">OFFSET(载具产出!$F$399,IFERROR(MATCH(OFFSET($D232,0,MATCH($D$5,$E$6:$H$6,0)),载具产出!$E$400:$E$439,1),0),MATCH(T$6,载具产出!$G$399:$O$399,0))</f>
        <v>1105</v>
      </c>
      <c r="U232" s="40">
        <v>7</v>
      </c>
      <c r="V232" s="40">
        <f ca="1">OFFSET(载具产出!$F$399,IFERROR(MATCH(OFFSET($D232,0,MATCH($D$5,$E$6:$H$6,0)),载具产出!$E$400:$E$439,1),0),MATCH(V$6,载具产出!$G$399:$O$399,0))</f>
        <v>7000</v>
      </c>
      <c r="W232" s="43">
        <f ca="1">_xlfn.XLOOKUP(Z232,载具属性!$E$98:$E$497,载具属性!$G$98:$G$497)+6000+OFFSET(载具属性!L$33,AS232,0)*载具属性!M$30+OFFSET(载具属性!M$33,AT232,0)*载具属性!N$30+OFFSET(载具属性!N$33,AU232,0)*载具属性!O$30+OFFSET(载具属性!O$33,AV232,0)*载具属性!P$30</f>
        <v>24310</v>
      </c>
      <c r="X232" s="43">
        <f ca="1">_xlfn.XLOOKUP(Z232,载具属性!$E$98:$E$497,载具属性!$G$98:$G$497)</f>
        <v>11380</v>
      </c>
      <c r="Y232" s="43">
        <f ca="1">OFFSET(载具属性!L$33,AS232,0)*载具属性!M$30+OFFSET(载具属性!M$33,AT232,0)*载具属性!N$30+OFFSET(载具属性!N$33,AU232,0)*载具属性!O$30+OFFSET(载具属性!O$33,AV232,0)*载具属性!P$30</f>
        <v>6930</v>
      </c>
      <c r="Z232" s="40">
        <f ca="1">MATCH(SUM($T$7:T232),载具属性!$I$98:$I$497,1)</f>
        <v>167</v>
      </c>
      <c r="AA232" s="40">
        <f ca="1">OFFSET(载具产出!$F$399,IFERROR(MATCH(OFFSET($D232,0,MATCH($D$5,$E$6:$H$6,0)),载具产出!$E$112:$E$151,1),0),MATCH(AA$6,载具产出!$G$111:$O$111,0))*2</f>
        <v>18</v>
      </c>
      <c r="AB232" s="40">
        <f ca="1">OFFSET(载具产出!$F$399,IFERROR(MATCH(OFFSET($D232,0,MATCH($D$5,$E$6:$H$6,0)),载具产出!$E$112:$E$151,1),0),MATCH(AB$6,载具产出!$G$111:$O$111,0))*2</f>
        <v>22.24</v>
      </c>
      <c r="AC232" s="40">
        <f ca="1">OFFSET(载具产出!$F$399,IFERROR(MATCH(OFFSET($D232,0,MATCH($D$5,$E$6:$H$6,0)),载具产出!$E$112:$E$151,1),0),MATCH(AC$6,载具产出!$G$111:$O$111,0))*2</f>
        <v>13.28</v>
      </c>
      <c r="AD232" s="40">
        <f ca="1">OFFSET(载具产出!$F$399,IFERROR(MATCH(OFFSET($D232,0,MATCH($D$5,$E$6:$H$6,0)),载具产出!$E$112:$E$151,1),0),MATCH(AD$6,载具产出!$G$111:$O$111,0))*2</f>
        <v>0.48</v>
      </c>
      <c r="AE232" s="44">
        <f ca="1">SUM(AA$36:AA232)/3</f>
        <v>1400.8</v>
      </c>
      <c r="AF232" s="44">
        <f ca="1">SUM(AB$36:AB232)/3</f>
        <v>1518.66666666666</v>
      </c>
      <c r="AG232" s="44">
        <f ca="1">SUM(AC$36:AC232)/3</f>
        <v>415.786666666666</v>
      </c>
      <c r="AH232" s="44">
        <f ca="1">SUM(AD$36:AD232)/3</f>
        <v>2.08</v>
      </c>
      <c r="AI232" s="44">
        <f>_xlfn.XLOOKUP($D$5,载具产出!$D$71:$D$75,载具产出!$E$71:$E$75)*(D232-30+1)</f>
        <v>2317.09523809525</v>
      </c>
      <c r="AJ232" s="44">
        <f>IFERROR(MATCH(_xlfn.XLOOKUP($D$5,载具产出!$D$71:$D$75,载具产出!$E$71:$E$75)*(D232-30+1)*10,载具产出!$E$60:$E$67,1),0)+1</f>
        <v>7</v>
      </c>
      <c r="AK232" s="44">
        <f ca="1">IF($AJ232=1,($AI232)*(10*OFFSET(载具产出!$D$45,MATCH(AK$6,$AK$6:$AN$6,0)-1,$AJ232)+OFFSET(载具产出!$D$49,MATCH(AK$6,$AK$6:$AN$6,0)-1,$AJ232)*OFFSET(载具产出!$N$49,MATCH(AK$6,$AK$6:$AN$6,0)-1,0)),OFFSET(载具产出!F$59,$AJ232-1,0)*10+OFFSET(载具产出!J$59,$AJ232-1,0)+($AI232*10-_xlfn.XLOOKUP($AJ232-1,载具产出!$D$59:$D$67,载具产出!$E$59:$E$67))/10*(10*OFFSET(载具产出!$D$45,MATCH(AK$6,$AK$6:$AN$6,0)-1,$AJ232)+OFFSET(载具产出!$D$49,MATCH(AK$6,$AK$6:$AN$6,0)-1,$AJ232)*OFFSET(载具产出!$N$49,MATCH(AK$6,$AK$6:$AN$6,0)-1,0)))</f>
        <v>5078.65514285717</v>
      </c>
      <c r="AL232" s="44">
        <f ca="1">IF($AJ232=1,($AI232)*(10*OFFSET(载具产出!$D$45,MATCH(AL$6,$AK$6:$AN$6,0)-1,$AJ232)+OFFSET(载具产出!$D$49,MATCH(AL$6,$AK$6:$AN$6,0)-1,$AJ232)*OFFSET(载具产出!$N$49,MATCH(AL$6,$AK$6:$AN$6,0)-1,0)),OFFSET(载具产出!G$59,$AJ232-1,0)*10+OFFSET(载具产出!K$59,$AJ232-1,0)+($AI232*10-_xlfn.XLOOKUP($AJ232-1,载具产出!$D$59:$D$67,载具产出!$E$59:$E$67))/10*(10*OFFSET(载具产出!$D$45,MATCH(AL$6,$AK$6:$AN$6,0)-1,$AJ232)+OFFSET(载具产出!$D$49,MATCH(AL$6,$AK$6:$AN$6,0)-1,$AJ232)*OFFSET(载具产出!$N$49,MATCH(AL$6,$AK$6:$AN$6,0)-1,0)))</f>
        <v>2079.36952380953</v>
      </c>
      <c r="AM232" s="44">
        <f ca="1">IF($AJ232=1,($AI232)*(10*OFFSET(载具产出!$D$45,MATCH(AM$6,$AK$6:$AN$6,0)-1,$AJ232)+OFFSET(载具产出!$D$49,MATCH(AM$6,$AK$6:$AN$6,0)-1,$AJ232)*OFFSET(载具产出!$N$49,MATCH(AM$6,$AK$6:$AN$6,0)-1,0)),OFFSET(载具产出!H$59,$AJ232-1,0)*10+OFFSET(载具产出!L$59,$AJ232-1,0)+($AI232*10-_xlfn.XLOOKUP($AJ232-1,载具产出!$D$59:$D$67,载具产出!$E$59:$E$67))/10*(10*OFFSET(载具产出!$D$45,MATCH(AM$6,$AK$6:$AN$6,0)-1,$AJ232)+OFFSET(载具产出!$D$49,MATCH(AM$6,$AK$6:$AN$6,0)-1,$AJ232)*OFFSET(载具产出!$N$49,MATCH(AM$6,$AK$6:$AN$6,0)-1,0)))</f>
        <v>1133.66628571429</v>
      </c>
      <c r="AN232" s="44">
        <f ca="1">IF($AJ232=1,($AI232)*(10*OFFSET(载具产出!$D$45,MATCH(AN$6,$AK$6:$AN$6,0)-1,$AJ232)+OFFSET(载具产出!$D$49,MATCH(AN$6,$AK$6:$AN$6,0)-1,$AJ232)*OFFSET(载具产出!$N$49,MATCH(AN$6,$AK$6:$AN$6,0)-1,0)),OFFSET(载具产出!I$59,$AJ232-1,0)*10+OFFSET(载具产出!M$59,$AJ232-1,0)+($AI232*10-_xlfn.XLOOKUP($AJ232-1,载具产出!$D$59:$D$67,载具产出!$E$59:$E$67))/10*(10*OFFSET(载具产出!$D$45,MATCH(AN$6,$AK$6:$AN$6,0)-1,$AJ232)+OFFSET(载具产出!$D$49,MATCH(AN$6,$AK$6:$AN$6,0)-1,$AJ232)*OFFSET(载具产出!$N$49,MATCH(AN$6,$AK$6:$AN$6,0)-1,0)))</f>
        <v>350.189095238097</v>
      </c>
      <c r="AO232" s="44">
        <f ca="1" t="shared" si="60"/>
        <v>6479.45514285717</v>
      </c>
      <c r="AP232" s="44">
        <f ca="1" t="shared" si="61"/>
        <v>3598.03619047619</v>
      </c>
      <c r="AQ232" s="44">
        <f ca="1" t="shared" si="62"/>
        <v>1549.45295238096</v>
      </c>
      <c r="AR232" s="44">
        <f ca="1" t="shared" si="63"/>
        <v>352.269095238097</v>
      </c>
      <c r="AS232" s="45">
        <f ca="1">IFERROR(MATCH(AO232/载具产出!R$58,载具属性!$G$33:$G$92,1),0)</f>
        <v>37</v>
      </c>
      <c r="AT232" s="45">
        <f ca="1">IFERROR(MATCH(AP232/载具产出!S$58,载具属性!$G$33:$G$92,1),0)</f>
        <v>26</v>
      </c>
      <c r="AU232" s="45">
        <f ca="1">IFERROR(MATCH(AQ232/载具产出!T$58,载具属性!$G$33:$G$92,1),0)</f>
        <v>16</v>
      </c>
      <c r="AV232" s="45">
        <f ca="1">IFERROR(MATCH(AR232/载具产出!U$58,载具属性!$G$33:$G$92,1),0)</f>
        <v>6</v>
      </c>
      <c r="AW232" s="46" t="str">
        <f ca="1" t="shared" si="64"/>
        <v>[{62,1361},{63,170160},{2,490000},{6030001,3983},{6030002,4373},{6030003,1196},{6030004,4}]</v>
      </c>
      <c r="AX232" t="str">
        <f ca="1" t="shared" si="65"/>
        <v>{62,1361}</v>
      </c>
      <c r="AY232" t="str">
        <f ca="1" t="shared" si="66"/>
        <v>{63,170160}</v>
      </c>
      <c r="AZ232" t="str">
        <f ca="1" t="shared" si="67"/>
        <v>{2,490000}</v>
      </c>
      <c r="BA232" t="str">
        <f ca="1" t="shared" si="68"/>
        <v>{6030001,3983}</v>
      </c>
      <c r="BB232" t="str">
        <f ca="1" t="shared" si="69"/>
        <v>{6030002,4373}</v>
      </c>
      <c r="BC232" t="str">
        <f ca="1" t="shared" si="70"/>
        <v>{6030003,1196}</v>
      </c>
      <c r="BD232" t="str">
        <f ca="1" t="shared" si="71"/>
        <v>{6030004,4}</v>
      </c>
    </row>
    <row r="233" spans="3:56">
      <c r="C233">
        <f ca="1" t="shared" si="59"/>
        <v>122</v>
      </c>
      <c r="D233" s="40">
        <v>227</v>
      </c>
      <c r="E233" s="40">
        <f t="shared" si="72"/>
        <v>126</v>
      </c>
      <c r="F233" s="40">
        <v>146</v>
      </c>
      <c r="G233" s="41">
        <f>G231</f>
        <v>200</v>
      </c>
      <c r="H233" s="40">
        <f>H232+1</f>
        <v>256</v>
      </c>
      <c r="I233" s="40">
        <f t="shared" si="58"/>
        <v>480</v>
      </c>
      <c r="J233" s="40">
        <f t="shared" si="73"/>
        <v>480</v>
      </c>
      <c r="K233" s="40">
        <f ca="1">SUM(U$36:U233)-SUM(OFFSET(载具产出!H$399,0,0,$R233+1,1))</f>
        <v>1368</v>
      </c>
      <c r="L233" s="40">
        <f ca="1">SUM(T$36:T233)-SUM(OFFSET(载具产出!G$399,0,0,$R233+1,1))</f>
        <v>171265</v>
      </c>
      <c r="M233" s="40">
        <f ca="1">SUM(V$36:V233)/2-SUM(OFFSET(载具产出!I$399,0,0,$R233+1,1))</f>
        <v>493500</v>
      </c>
      <c r="N233" s="40">
        <f ca="1">SUM(AA$36:AA233)-SUM(OFFSET(载具产出!J$399,0,0,$R233+1,1))</f>
        <v>4001.6</v>
      </c>
      <c r="O233" s="40">
        <f ca="1">SUM(AB$36:AB233)-SUM(OFFSET(载具产出!K$399,0,0,$R233+1,1))</f>
        <v>4395.95999999998</v>
      </c>
      <c r="P233" s="40">
        <f ca="1">SUM(AC$36:AC233)-SUM(OFFSET(载具产出!L$399,0,0,$R233+1,1))</f>
        <v>1210.16</v>
      </c>
      <c r="Q233" s="40">
        <f ca="1">SUM(AD$36:AD233)-SUM(OFFSET(载具产出!M$399,0,0,$R233+1,1))</f>
        <v>5.28</v>
      </c>
      <c r="R233" s="40">
        <v>18</v>
      </c>
      <c r="S233" s="40" t="str">
        <f ca="1">OFFSET(载具产出!$D$111,IFERROR(MATCH(OFFSET($D233,0,MATCH($D$5,$E$6:$H$6,0)),载具产出!$E$112:$E$151,1),0),0)</f>
        <v>卓越Ⅰ</v>
      </c>
      <c r="T233" s="40">
        <f ca="1">OFFSET(载具产出!$F$399,IFERROR(MATCH(OFFSET($D233,0,MATCH($D$5,$E$6:$H$6,0)),载具产出!$E$400:$E$439,1),0),MATCH(T$6,载具产出!$G$399:$O$399,0))</f>
        <v>1105</v>
      </c>
      <c r="U233" s="40">
        <v>7</v>
      </c>
      <c r="V233" s="40">
        <f ca="1">OFFSET(载具产出!$F$399,IFERROR(MATCH(OFFSET($D233,0,MATCH($D$5,$E$6:$H$6,0)),载具产出!$E$400:$E$439,1),0),MATCH(V$6,载具产出!$G$399:$O$399,0))</f>
        <v>7000</v>
      </c>
      <c r="W233" s="43">
        <f ca="1">_xlfn.XLOOKUP(Z233,载具属性!$E$98:$E$497,载具属性!$G$98:$G$497)+6000+OFFSET(载具属性!L$33,AS233,0)*载具属性!M$30+OFFSET(载具属性!M$33,AT233,0)*载具属性!N$30+OFFSET(载具属性!N$33,AU233,0)*载具属性!O$30+OFFSET(载具属性!O$33,AV233,0)*载具属性!P$30</f>
        <v>24400</v>
      </c>
      <c r="X233" s="43">
        <f ca="1">_xlfn.XLOOKUP(Z233,载具属性!$E$98:$E$497,载具属性!$G$98:$G$497)</f>
        <v>11470</v>
      </c>
      <c r="Y233" s="43">
        <f ca="1">OFFSET(载具属性!L$33,AS233,0)*载具属性!M$30+OFFSET(载具属性!M$33,AT233,0)*载具属性!N$30+OFFSET(载具属性!N$33,AU233,0)*载具属性!O$30+OFFSET(载具属性!O$33,AV233,0)*载具属性!P$30</f>
        <v>6930</v>
      </c>
      <c r="Z233" s="40">
        <f ca="1">MATCH(SUM($T$7:T233),载具属性!$I$98:$I$497,1)</f>
        <v>168</v>
      </c>
      <c r="AA233" s="40">
        <f ca="1">OFFSET(载具产出!$F$399,IFERROR(MATCH(OFFSET($D233,0,MATCH($D$5,$E$6:$H$6,0)),载具产出!$E$112:$E$151,1),0),MATCH(AA$6,载具产出!$G$111:$O$111,0))*2</f>
        <v>18</v>
      </c>
      <c r="AB233" s="40">
        <f ca="1">OFFSET(载具产出!$F$399,IFERROR(MATCH(OFFSET($D233,0,MATCH($D$5,$E$6:$H$6,0)),载具产出!$E$112:$E$151,1),0),MATCH(AB$6,载具产出!$G$111:$O$111,0))*2</f>
        <v>22.24</v>
      </c>
      <c r="AC233" s="40">
        <f ca="1">OFFSET(载具产出!$F$399,IFERROR(MATCH(OFFSET($D233,0,MATCH($D$5,$E$6:$H$6,0)),载具产出!$E$112:$E$151,1),0),MATCH(AC$6,载具产出!$G$111:$O$111,0))*2</f>
        <v>13.28</v>
      </c>
      <c r="AD233" s="40">
        <f ca="1">OFFSET(载具产出!$F$399,IFERROR(MATCH(OFFSET($D233,0,MATCH($D$5,$E$6:$H$6,0)),载具产出!$E$112:$E$151,1),0),MATCH(AD$6,载具产出!$G$111:$O$111,0))*2</f>
        <v>0.48</v>
      </c>
      <c r="AE233" s="44">
        <f ca="1">SUM(AA$36:AA233)/3</f>
        <v>1406.8</v>
      </c>
      <c r="AF233" s="44">
        <f ca="1">SUM(AB$36:AB233)/3</f>
        <v>1526.07999999999</v>
      </c>
      <c r="AG233" s="44">
        <f ca="1">SUM(AC$36:AC233)/3</f>
        <v>420.213333333333</v>
      </c>
      <c r="AH233" s="44">
        <f ca="1">SUM(AD$36:AD233)/3</f>
        <v>2.24</v>
      </c>
      <c r="AI233" s="44">
        <f>_xlfn.XLOOKUP($D$5,载具产出!$D$71:$D$75,载具产出!$E$71:$E$75)*(D233-30+1)</f>
        <v>2328.85714285715</v>
      </c>
      <c r="AJ233" s="44">
        <f>IFERROR(MATCH(_xlfn.XLOOKUP($D$5,载具产出!$D$71:$D$75,载具产出!$E$71:$E$75)*(D233-30+1)*10,载具产出!$E$60:$E$67,1),0)+1</f>
        <v>7</v>
      </c>
      <c r="AK233" s="44">
        <f ca="1">IF($AJ233=1,($AI233)*(10*OFFSET(载具产出!$D$45,MATCH(AK$6,$AK$6:$AN$6,0)-1,$AJ233)+OFFSET(载具产出!$D$49,MATCH(AK$6,$AK$6:$AN$6,0)-1,$AJ233)*OFFSET(载具产出!$N$49,MATCH(AK$6,$AK$6:$AN$6,0)-1,0)),OFFSET(载具产出!F$59,$AJ233-1,0)*10+OFFSET(载具产出!J$59,$AJ233-1,0)+($AI233*10-_xlfn.XLOOKUP($AJ233-1,载具产出!$D$59:$D$67,载具产出!$E$59:$E$67))/10*(10*OFFSET(载具产出!$D$45,MATCH(AK$6,$AK$6:$AN$6,0)-1,$AJ233)+OFFSET(载具产出!$D$49,MATCH(AK$6,$AK$6:$AN$6,0)-1,$AJ233)*OFFSET(载具产出!$N$49,MATCH(AK$6,$AK$6:$AN$6,0)-1,0)))</f>
        <v>5103.4962857143</v>
      </c>
      <c r="AL233" s="44">
        <f ca="1">IF($AJ233=1,($AI233)*(10*OFFSET(载具产出!$D$45,MATCH(AL$6,$AK$6:$AN$6,0)-1,$AJ233)+OFFSET(载具产出!$D$49,MATCH(AL$6,$AK$6:$AN$6,0)-1,$AJ233)*OFFSET(载具产出!$N$49,MATCH(AL$6,$AK$6:$AN$6,0)-1,0)),OFFSET(载具产出!G$59,$AJ233-1,0)*10+OFFSET(载具产出!K$59,$AJ233-1,0)+($AI233*10-_xlfn.XLOOKUP($AJ233-1,载具产出!$D$59:$D$67,载具产出!$E$59:$E$67))/10*(10*OFFSET(载具产出!$D$45,MATCH(AL$6,$AK$6:$AN$6,0)-1,$AJ233)+OFFSET(载具产出!$D$49,MATCH(AL$6,$AK$6:$AN$6,0)-1,$AJ233)*OFFSET(载具产出!$N$49,MATCH(AL$6,$AK$6:$AN$6,0)-1,0)))</f>
        <v>2090.42571428572</v>
      </c>
      <c r="AM233" s="44">
        <f ca="1">IF($AJ233=1,($AI233)*(10*OFFSET(载具产出!$D$45,MATCH(AM$6,$AK$6:$AN$6,0)-1,$AJ233)+OFFSET(载具产出!$D$49,MATCH(AM$6,$AK$6:$AN$6,0)-1,$AJ233)*OFFSET(载具产出!$N$49,MATCH(AM$6,$AK$6:$AN$6,0)-1,0)),OFFSET(载具产出!H$59,$AJ233-1,0)*10+OFFSET(载具产出!L$59,$AJ233-1,0)+($AI233*10-_xlfn.XLOOKUP($AJ233-1,载具产出!$D$59:$D$67,载具产出!$E$59:$E$67))/10*(10*OFFSET(载具产出!$D$45,MATCH(AM$6,$AK$6:$AN$6,0)-1,$AJ233)+OFFSET(载具产出!$D$49,MATCH(AM$6,$AK$6:$AN$6,0)-1,$AJ233)*OFFSET(载具产出!$N$49,MATCH(AM$6,$AK$6:$AN$6,0)-1,0)))</f>
        <v>1139.87657142858</v>
      </c>
      <c r="AN233" s="44">
        <f ca="1">IF($AJ233=1,($AI233)*(10*OFFSET(载具产出!$D$45,MATCH(AN$6,$AK$6:$AN$6,0)-1,$AJ233)+OFFSET(载具产出!$D$49,MATCH(AN$6,$AK$6:$AN$6,0)-1,$AJ233)*OFFSET(载具产出!$N$49,MATCH(AN$6,$AK$6:$AN$6,0)-1,0)),OFFSET(载具产出!I$59,$AJ233-1,0)*10+OFFSET(载具产出!M$59,$AJ233-1,0)+($AI233*10-_xlfn.XLOOKUP($AJ233-1,载具产出!$D$59:$D$67,载具产出!$E$59:$E$67))/10*(10*OFFSET(载具产出!$D$45,MATCH(AN$6,$AK$6:$AN$6,0)-1,$AJ233)+OFFSET(载具产出!$D$49,MATCH(AN$6,$AK$6:$AN$6,0)-1,$AJ233)*OFFSET(载具产出!$N$49,MATCH(AN$6,$AK$6:$AN$6,0)-1,0)))</f>
        <v>352.176857142858</v>
      </c>
      <c r="AO233" s="44">
        <f ca="1" t="shared" si="60"/>
        <v>6510.2962857143</v>
      </c>
      <c r="AP233" s="44">
        <f ca="1" t="shared" si="61"/>
        <v>3616.50571428571</v>
      </c>
      <c r="AQ233" s="44">
        <f ca="1" t="shared" si="62"/>
        <v>1560.08990476191</v>
      </c>
      <c r="AR233" s="44">
        <f ca="1" t="shared" si="63"/>
        <v>354.416857142858</v>
      </c>
      <c r="AS233" s="45">
        <f ca="1">IFERROR(MATCH(AO233/载具产出!R$58,载具属性!$G$33:$G$92,1),0)</f>
        <v>37</v>
      </c>
      <c r="AT233" s="45">
        <f ca="1">IFERROR(MATCH(AP233/载具产出!S$58,载具属性!$G$33:$G$92,1),0)</f>
        <v>26</v>
      </c>
      <c r="AU233" s="45">
        <f ca="1">IFERROR(MATCH(AQ233/载具产出!T$58,载具属性!$G$33:$G$92,1),0)</f>
        <v>16</v>
      </c>
      <c r="AV233" s="45">
        <f ca="1">IFERROR(MATCH(AR233/载具产出!U$58,载具属性!$G$33:$G$92,1),0)</f>
        <v>6</v>
      </c>
      <c r="AW233" s="46" t="str">
        <f ca="1" t="shared" si="64"/>
        <v>[{62,1368},{63,171265},{2,493500},{6030001,4001},{6030002,4395},{6030003,1210},{6030004,5}]</v>
      </c>
      <c r="AX233" t="str">
        <f ca="1" t="shared" si="65"/>
        <v>{62,1368}</v>
      </c>
      <c r="AY233" t="str">
        <f ca="1" t="shared" si="66"/>
        <v>{63,171265}</v>
      </c>
      <c r="AZ233" t="str">
        <f ca="1" t="shared" si="67"/>
        <v>{2,493500}</v>
      </c>
      <c r="BA233" t="str">
        <f ca="1" t="shared" si="68"/>
        <v>{6030001,4001}</v>
      </c>
      <c r="BB233" t="str">
        <f ca="1" t="shared" si="69"/>
        <v>{6030002,4395}</v>
      </c>
      <c r="BC233" t="str">
        <f ca="1" t="shared" si="70"/>
        <v>{6030003,1210}</v>
      </c>
      <c r="BD233" t="str">
        <f ca="1" t="shared" si="71"/>
        <v>{6030004,5}</v>
      </c>
    </row>
    <row r="234" spans="3:56">
      <c r="C234">
        <f ca="1" t="shared" si="59"/>
        <v>121.393034825871</v>
      </c>
      <c r="D234" s="40">
        <v>228</v>
      </c>
      <c r="E234" s="40">
        <f t="shared" si="72"/>
        <v>126</v>
      </c>
      <c r="F234" s="40">
        <v>147</v>
      </c>
      <c r="G234" s="41">
        <f>G230+1</f>
        <v>201</v>
      </c>
      <c r="H234" s="40">
        <f>H233</f>
        <v>256</v>
      </c>
      <c r="I234" s="40">
        <f t="shared" si="58"/>
        <v>482</v>
      </c>
      <c r="J234" s="40">
        <f t="shared" si="73"/>
        <v>482</v>
      </c>
      <c r="K234" s="40">
        <f ca="1">SUM(U$36:U234)-SUM(OFFSET(载具产出!H$399,0,0,$R234+1,1))</f>
        <v>1375</v>
      </c>
      <c r="L234" s="40">
        <f ca="1">SUM(T$36:T234)-SUM(OFFSET(载具产出!G$399,0,0,$R234+1,1))</f>
        <v>172370</v>
      </c>
      <c r="M234" s="40">
        <f ca="1">SUM(V$36:V234)/2-SUM(OFFSET(载具产出!I$399,0,0,$R234+1,1))</f>
        <v>497000</v>
      </c>
      <c r="N234" s="40">
        <f ca="1">SUM(AA$36:AA234)-SUM(OFFSET(载具产出!J$399,0,0,$R234+1,1))</f>
        <v>4019.6</v>
      </c>
      <c r="O234" s="40">
        <f ca="1">SUM(AB$36:AB234)-SUM(OFFSET(载具产出!K$399,0,0,$R234+1,1))</f>
        <v>4418.19999999998</v>
      </c>
      <c r="P234" s="40">
        <f ca="1">SUM(AC$36:AC234)-SUM(OFFSET(载具产出!L$399,0,0,$R234+1,1))</f>
        <v>1223.44</v>
      </c>
      <c r="Q234" s="40">
        <f ca="1">SUM(AD$36:AD234)-SUM(OFFSET(载具产出!M$399,0,0,$R234+1,1))</f>
        <v>5.76</v>
      </c>
      <c r="R234" s="40">
        <v>18</v>
      </c>
      <c r="S234" s="40" t="str">
        <f ca="1">OFFSET(载具产出!$D$111,IFERROR(MATCH(OFFSET($D234,0,MATCH($D$5,$E$6:$H$6,0)),载具产出!$E$112:$E$151,1),0),0)</f>
        <v>卓越Ⅰ</v>
      </c>
      <c r="T234" s="40">
        <f ca="1">OFFSET(载具产出!$F$399,IFERROR(MATCH(OFFSET($D234,0,MATCH($D$5,$E$6:$H$6,0)),载具产出!$E$400:$E$439,1),0),MATCH(T$6,载具产出!$G$399:$O$399,0))</f>
        <v>1105</v>
      </c>
      <c r="U234" s="40">
        <v>7</v>
      </c>
      <c r="V234" s="40">
        <f ca="1">OFFSET(载具产出!$F$399,IFERROR(MATCH(OFFSET($D234,0,MATCH($D$5,$E$6:$H$6,0)),载具产出!$E$400:$E$439,1),0),MATCH(V$6,载具产出!$G$399:$O$399,0))</f>
        <v>7000</v>
      </c>
      <c r="W234" s="43">
        <f ca="1">_xlfn.XLOOKUP(Z234,载具属性!$E$98:$E$497,载具属性!$G$98:$G$497)+6000+OFFSET(载具属性!L$33,AS234,0)*载具属性!M$30+OFFSET(载具属性!M$33,AT234,0)*载具属性!N$30+OFFSET(载具属性!N$33,AU234,0)*载具属性!O$30+OFFSET(载具属性!O$33,AV234,0)*载具属性!P$30</f>
        <v>24400</v>
      </c>
      <c r="X234" s="43">
        <f ca="1">_xlfn.XLOOKUP(Z234,载具属性!$E$98:$E$497,载具属性!$G$98:$G$497)</f>
        <v>11470</v>
      </c>
      <c r="Y234" s="43">
        <f ca="1">OFFSET(载具属性!L$33,AS234,0)*载具属性!M$30+OFFSET(载具属性!M$33,AT234,0)*载具属性!N$30+OFFSET(载具属性!N$33,AU234,0)*载具属性!O$30+OFFSET(载具属性!O$33,AV234,0)*载具属性!P$30</f>
        <v>6930</v>
      </c>
      <c r="Z234" s="40">
        <f ca="1">MATCH(SUM($T$7:T234),载具属性!$I$98:$I$497,1)</f>
        <v>168</v>
      </c>
      <c r="AA234" s="40">
        <f ca="1">OFFSET(载具产出!$F$399,IFERROR(MATCH(OFFSET($D234,0,MATCH($D$5,$E$6:$H$6,0)),载具产出!$E$112:$E$151,1),0),MATCH(AA$6,载具产出!$G$111:$O$111,0))*2</f>
        <v>18</v>
      </c>
      <c r="AB234" s="40">
        <f ca="1">OFFSET(载具产出!$F$399,IFERROR(MATCH(OFFSET($D234,0,MATCH($D$5,$E$6:$H$6,0)),载具产出!$E$112:$E$151,1),0),MATCH(AB$6,载具产出!$G$111:$O$111,0))*2</f>
        <v>22.24</v>
      </c>
      <c r="AC234" s="40">
        <f ca="1">OFFSET(载具产出!$F$399,IFERROR(MATCH(OFFSET($D234,0,MATCH($D$5,$E$6:$H$6,0)),载具产出!$E$112:$E$151,1),0),MATCH(AC$6,载具产出!$G$111:$O$111,0))*2</f>
        <v>13.28</v>
      </c>
      <c r="AD234" s="40">
        <f ca="1">OFFSET(载具产出!$F$399,IFERROR(MATCH(OFFSET($D234,0,MATCH($D$5,$E$6:$H$6,0)),载具产出!$E$112:$E$151,1),0),MATCH(AD$6,载具产出!$G$111:$O$111,0))*2</f>
        <v>0.48</v>
      </c>
      <c r="AE234" s="44">
        <f ca="1">SUM(AA$36:AA234)/3</f>
        <v>1412.8</v>
      </c>
      <c r="AF234" s="44">
        <f ca="1">SUM(AB$36:AB234)/3</f>
        <v>1533.49333333333</v>
      </c>
      <c r="AG234" s="44">
        <f ca="1">SUM(AC$36:AC234)/3</f>
        <v>424.639999999999</v>
      </c>
      <c r="AH234" s="44">
        <f ca="1">SUM(AD$36:AD234)/3</f>
        <v>2.4</v>
      </c>
      <c r="AI234" s="44">
        <f>_xlfn.XLOOKUP($D$5,载具产出!$D$71:$D$75,载具产出!$E$71:$E$75)*(D234-30+1)</f>
        <v>2340.61904761906</v>
      </c>
      <c r="AJ234" s="44">
        <f>IFERROR(MATCH(_xlfn.XLOOKUP($D$5,载具产出!$D$71:$D$75,载具产出!$E$71:$E$75)*(D234-30+1)*10,载具产出!$E$60:$E$67,1),0)+1</f>
        <v>7</v>
      </c>
      <c r="AK234" s="44">
        <f ca="1">IF($AJ234=1,($AI234)*(10*OFFSET(载具产出!$D$45,MATCH(AK$6,$AK$6:$AN$6,0)-1,$AJ234)+OFFSET(载具产出!$D$49,MATCH(AK$6,$AK$6:$AN$6,0)-1,$AJ234)*OFFSET(载具产出!$N$49,MATCH(AK$6,$AK$6:$AN$6,0)-1,0)),OFFSET(载具产出!F$59,$AJ234-1,0)*10+OFFSET(载具产出!J$59,$AJ234-1,0)+($AI234*10-_xlfn.XLOOKUP($AJ234-1,载具产出!$D$59:$D$67,载具产出!$E$59:$E$67))/10*(10*OFFSET(载具产出!$D$45,MATCH(AK$6,$AK$6:$AN$6,0)-1,$AJ234)+OFFSET(载具产出!$D$49,MATCH(AK$6,$AK$6:$AN$6,0)-1,$AJ234)*OFFSET(载具产出!$N$49,MATCH(AK$6,$AK$6:$AN$6,0)-1,0)))</f>
        <v>5128.33742857146</v>
      </c>
      <c r="AL234" s="44">
        <f ca="1">IF($AJ234=1,($AI234)*(10*OFFSET(载具产出!$D$45,MATCH(AL$6,$AK$6:$AN$6,0)-1,$AJ234)+OFFSET(载具产出!$D$49,MATCH(AL$6,$AK$6:$AN$6,0)-1,$AJ234)*OFFSET(载具产出!$N$49,MATCH(AL$6,$AK$6:$AN$6,0)-1,0)),OFFSET(载具产出!G$59,$AJ234-1,0)*10+OFFSET(载具产出!K$59,$AJ234-1,0)+($AI234*10-_xlfn.XLOOKUP($AJ234-1,载具产出!$D$59:$D$67,载具产出!$E$59:$E$67))/10*(10*OFFSET(载具产出!$D$45,MATCH(AL$6,$AK$6:$AN$6,0)-1,$AJ234)+OFFSET(载具产出!$D$49,MATCH(AL$6,$AK$6:$AN$6,0)-1,$AJ234)*OFFSET(载具产出!$N$49,MATCH(AL$6,$AK$6:$AN$6,0)-1,0)))</f>
        <v>2101.48190476192</v>
      </c>
      <c r="AM234" s="44">
        <f ca="1">IF($AJ234=1,($AI234)*(10*OFFSET(载具产出!$D$45,MATCH(AM$6,$AK$6:$AN$6,0)-1,$AJ234)+OFFSET(载具产出!$D$49,MATCH(AM$6,$AK$6:$AN$6,0)-1,$AJ234)*OFFSET(载具产出!$N$49,MATCH(AM$6,$AK$6:$AN$6,0)-1,0)),OFFSET(载具产出!H$59,$AJ234-1,0)*10+OFFSET(载具产出!L$59,$AJ234-1,0)+($AI234*10-_xlfn.XLOOKUP($AJ234-1,载具产出!$D$59:$D$67,载具产出!$E$59:$E$67))/10*(10*OFFSET(载具产出!$D$45,MATCH(AM$6,$AK$6:$AN$6,0)-1,$AJ234)+OFFSET(载具产出!$D$49,MATCH(AM$6,$AK$6:$AN$6,0)-1,$AJ234)*OFFSET(载具产出!$N$49,MATCH(AM$6,$AK$6:$AN$6,0)-1,0)))</f>
        <v>1146.08685714286</v>
      </c>
      <c r="AN234" s="44">
        <f ca="1">IF($AJ234=1,($AI234)*(10*OFFSET(载具产出!$D$45,MATCH(AN$6,$AK$6:$AN$6,0)-1,$AJ234)+OFFSET(载具产出!$D$49,MATCH(AN$6,$AK$6:$AN$6,0)-1,$AJ234)*OFFSET(载具产出!$N$49,MATCH(AN$6,$AK$6:$AN$6,0)-1,0)),OFFSET(载具产出!I$59,$AJ234-1,0)*10+OFFSET(载具产出!M$59,$AJ234-1,0)+($AI234*10-_xlfn.XLOOKUP($AJ234-1,载具产出!$D$59:$D$67,载具产出!$E$59:$E$67))/10*(10*OFFSET(载具产出!$D$45,MATCH(AN$6,$AK$6:$AN$6,0)-1,$AJ234)+OFFSET(载具产出!$D$49,MATCH(AN$6,$AK$6:$AN$6,0)-1,$AJ234)*OFFSET(载具产出!$N$49,MATCH(AN$6,$AK$6:$AN$6,0)-1,0)))</f>
        <v>354.164619047621</v>
      </c>
      <c r="AO234" s="44">
        <f ca="1" t="shared" si="60"/>
        <v>6541.13742857146</v>
      </c>
      <c r="AP234" s="44">
        <f ca="1" t="shared" si="61"/>
        <v>3634.97523809524</v>
      </c>
      <c r="AQ234" s="44">
        <f ca="1" t="shared" si="62"/>
        <v>1570.72685714286</v>
      </c>
      <c r="AR234" s="44">
        <f ca="1" t="shared" si="63"/>
        <v>356.564619047621</v>
      </c>
      <c r="AS234" s="45">
        <f ca="1">IFERROR(MATCH(AO234/载具产出!R$58,载具属性!$G$33:$G$92,1),0)</f>
        <v>37</v>
      </c>
      <c r="AT234" s="45">
        <f ca="1">IFERROR(MATCH(AP234/载具产出!S$58,载具属性!$G$33:$G$92,1),0)</f>
        <v>26</v>
      </c>
      <c r="AU234" s="45">
        <f ca="1">IFERROR(MATCH(AQ234/载具产出!T$58,载具属性!$G$33:$G$92,1),0)</f>
        <v>16</v>
      </c>
      <c r="AV234" s="45">
        <f ca="1">IFERROR(MATCH(AR234/载具产出!U$58,载具属性!$G$33:$G$92,1),0)</f>
        <v>6</v>
      </c>
      <c r="AW234" s="46" t="str">
        <f ca="1" t="shared" si="64"/>
        <v>[{62,1375},{63,172370},{2,497000},{6030001,4019},{6030002,4418},{6030003,1223},{6030004,5}]</v>
      </c>
      <c r="AX234" t="str">
        <f ca="1" t="shared" si="65"/>
        <v>{62,1375}</v>
      </c>
      <c r="AY234" t="str">
        <f ca="1" t="shared" si="66"/>
        <v>{63,172370}</v>
      </c>
      <c r="AZ234" t="str">
        <f ca="1" t="shared" si="67"/>
        <v>{2,497000}</v>
      </c>
      <c r="BA234" t="str">
        <f ca="1" t="shared" si="68"/>
        <v>{6030001,4019}</v>
      </c>
      <c r="BB234" t="str">
        <f ca="1" t="shared" si="69"/>
        <v>{6030002,4418}</v>
      </c>
      <c r="BC234" t="str">
        <f ca="1" t="shared" si="70"/>
        <v>{6030003,1223}</v>
      </c>
      <c r="BD234" t="str">
        <f ca="1" t="shared" si="71"/>
        <v>{6030004,5}</v>
      </c>
    </row>
    <row r="235" spans="3:56">
      <c r="C235">
        <f ca="1" t="shared" si="59"/>
        <v>121.8407960199</v>
      </c>
      <c r="D235" s="40">
        <v>229</v>
      </c>
      <c r="E235" s="40">
        <f t="shared" si="72"/>
        <v>127</v>
      </c>
      <c r="F235" s="40">
        <v>147</v>
      </c>
      <c r="G235" s="41">
        <f t="shared" ref="G235:G266" si="74">G231+1</f>
        <v>201</v>
      </c>
      <c r="H235" s="40">
        <f>H234+1</f>
        <v>257</v>
      </c>
      <c r="I235" s="40">
        <f t="shared" si="58"/>
        <v>484</v>
      </c>
      <c r="J235" s="40">
        <f t="shared" si="73"/>
        <v>484</v>
      </c>
      <c r="K235" s="40">
        <f ca="1">SUM(U$36:U235)-SUM(OFFSET(载具产出!H$399,0,0,$R235+1,1))</f>
        <v>1382</v>
      </c>
      <c r="L235" s="40">
        <f ca="1">SUM(T$36:T235)-SUM(OFFSET(载具产出!G$399,0,0,$R235+1,1))</f>
        <v>173475</v>
      </c>
      <c r="M235" s="40">
        <f ca="1">SUM(V$36:V235)/2-SUM(OFFSET(载具产出!I$399,0,0,$R235+1,1))</f>
        <v>500500</v>
      </c>
      <c r="N235" s="40">
        <f ca="1">SUM(AA$36:AA235)-SUM(OFFSET(载具产出!J$399,0,0,$R235+1,1))</f>
        <v>4037.6</v>
      </c>
      <c r="O235" s="40">
        <f ca="1">SUM(AB$36:AB235)-SUM(OFFSET(载具产出!K$399,0,0,$R235+1,1))</f>
        <v>4440.43999999998</v>
      </c>
      <c r="P235" s="40">
        <f ca="1">SUM(AC$36:AC235)-SUM(OFFSET(载具产出!L$399,0,0,$R235+1,1))</f>
        <v>1236.72</v>
      </c>
      <c r="Q235" s="40">
        <f ca="1">SUM(AD$36:AD235)-SUM(OFFSET(载具产出!M$399,0,0,$R235+1,1))</f>
        <v>6.24</v>
      </c>
      <c r="R235" s="40">
        <v>18</v>
      </c>
      <c r="S235" s="40" t="str">
        <f ca="1">OFFSET(载具产出!$D$111,IFERROR(MATCH(OFFSET($D235,0,MATCH($D$5,$E$6:$H$6,0)),载具产出!$E$112:$E$151,1),0),0)</f>
        <v>卓越Ⅰ</v>
      </c>
      <c r="T235" s="40">
        <f ca="1">OFFSET(载具产出!$F$399,IFERROR(MATCH(OFFSET($D235,0,MATCH($D$5,$E$6:$H$6,0)),载具产出!$E$400:$E$439,1),0),MATCH(T$6,载具产出!$G$399:$O$399,0))</f>
        <v>1105</v>
      </c>
      <c r="U235" s="40">
        <v>7</v>
      </c>
      <c r="V235" s="40">
        <f ca="1">OFFSET(载具产出!$F$399,IFERROR(MATCH(OFFSET($D235,0,MATCH($D$5,$E$6:$H$6,0)),载具产出!$E$400:$E$439,1),0),MATCH(V$6,载具产出!$G$399:$O$399,0))</f>
        <v>7000</v>
      </c>
      <c r="W235" s="43">
        <f ca="1">_xlfn.XLOOKUP(Z235,载具属性!$E$98:$E$497,载具属性!$G$98:$G$497)+6000+OFFSET(载具属性!L$33,AS235,0)*载具属性!M$30+OFFSET(载具属性!M$33,AT235,0)*载具属性!N$30+OFFSET(载具属性!N$33,AU235,0)*载具属性!O$30+OFFSET(载具属性!O$33,AV235,0)*载具属性!P$30</f>
        <v>24490</v>
      </c>
      <c r="X235" s="43">
        <f ca="1">_xlfn.XLOOKUP(Z235,载具属性!$E$98:$E$497,载具属性!$G$98:$G$497)</f>
        <v>11560</v>
      </c>
      <c r="Y235" s="43">
        <f ca="1">OFFSET(载具属性!L$33,AS235,0)*载具属性!M$30+OFFSET(载具属性!M$33,AT235,0)*载具属性!N$30+OFFSET(载具属性!N$33,AU235,0)*载具属性!O$30+OFFSET(载具属性!O$33,AV235,0)*载具属性!P$30</f>
        <v>6930</v>
      </c>
      <c r="Z235" s="40">
        <f ca="1">MATCH(SUM($T$7:T235),载具属性!$I$98:$I$497,1)</f>
        <v>169</v>
      </c>
      <c r="AA235" s="40">
        <f ca="1">OFFSET(载具产出!$F$399,IFERROR(MATCH(OFFSET($D235,0,MATCH($D$5,$E$6:$H$6,0)),载具产出!$E$112:$E$151,1),0),MATCH(AA$6,载具产出!$G$111:$O$111,0))*2</f>
        <v>18</v>
      </c>
      <c r="AB235" s="40">
        <f ca="1">OFFSET(载具产出!$F$399,IFERROR(MATCH(OFFSET($D235,0,MATCH($D$5,$E$6:$H$6,0)),载具产出!$E$112:$E$151,1),0),MATCH(AB$6,载具产出!$G$111:$O$111,0))*2</f>
        <v>22.24</v>
      </c>
      <c r="AC235" s="40">
        <f ca="1">OFFSET(载具产出!$F$399,IFERROR(MATCH(OFFSET($D235,0,MATCH($D$5,$E$6:$H$6,0)),载具产出!$E$112:$E$151,1),0),MATCH(AC$6,载具产出!$G$111:$O$111,0))*2</f>
        <v>13.28</v>
      </c>
      <c r="AD235" s="40">
        <f ca="1">OFFSET(载具产出!$F$399,IFERROR(MATCH(OFFSET($D235,0,MATCH($D$5,$E$6:$H$6,0)),载具产出!$E$112:$E$151,1),0),MATCH(AD$6,载具产出!$G$111:$O$111,0))*2</f>
        <v>0.48</v>
      </c>
      <c r="AE235" s="44">
        <f ca="1">SUM(AA$36:AA235)/3</f>
        <v>1418.8</v>
      </c>
      <c r="AF235" s="44">
        <f ca="1">SUM(AB$36:AB235)/3</f>
        <v>1540.90666666666</v>
      </c>
      <c r="AG235" s="44">
        <f ca="1">SUM(AC$36:AC235)/3</f>
        <v>429.066666666666</v>
      </c>
      <c r="AH235" s="44">
        <f ca="1">SUM(AD$36:AD235)/3</f>
        <v>2.56</v>
      </c>
      <c r="AI235" s="44">
        <f>_xlfn.XLOOKUP($D$5,载具产出!$D$71:$D$75,载具产出!$E$71:$E$75)*(D235-30+1)</f>
        <v>2352.38095238096</v>
      </c>
      <c r="AJ235" s="44">
        <f>IFERROR(MATCH(_xlfn.XLOOKUP($D$5,载具产出!$D$71:$D$75,载具产出!$E$71:$E$75)*(D235-30+1)*10,载具产出!$E$60:$E$67,1),0)+1</f>
        <v>7</v>
      </c>
      <c r="AK235" s="44">
        <f ca="1">IF($AJ235=1,($AI235)*(10*OFFSET(载具产出!$D$45,MATCH(AK$6,$AK$6:$AN$6,0)-1,$AJ235)+OFFSET(载具产出!$D$49,MATCH(AK$6,$AK$6:$AN$6,0)-1,$AJ235)*OFFSET(载具产出!$N$49,MATCH(AK$6,$AK$6:$AN$6,0)-1,0)),OFFSET(载具产出!F$59,$AJ235-1,0)*10+OFFSET(载具产出!J$59,$AJ235-1,0)+($AI235*10-_xlfn.XLOOKUP($AJ235-1,载具产出!$D$59:$D$67,载具产出!$E$59:$E$67))/10*(10*OFFSET(载具产出!$D$45,MATCH(AK$6,$AK$6:$AN$6,0)-1,$AJ235)+OFFSET(载具产出!$D$49,MATCH(AK$6,$AK$6:$AN$6,0)-1,$AJ235)*OFFSET(载具产出!$N$49,MATCH(AK$6,$AK$6:$AN$6,0)-1,0)))</f>
        <v>5153.17857142859</v>
      </c>
      <c r="AL235" s="44">
        <f ca="1">IF($AJ235=1,($AI235)*(10*OFFSET(载具产出!$D$45,MATCH(AL$6,$AK$6:$AN$6,0)-1,$AJ235)+OFFSET(载具产出!$D$49,MATCH(AL$6,$AK$6:$AN$6,0)-1,$AJ235)*OFFSET(载具产出!$N$49,MATCH(AL$6,$AK$6:$AN$6,0)-1,0)),OFFSET(载具产出!G$59,$AJ235-1,0)*10+OFFSET(载具产出!K$59,$AJ235-1,0)+($AI235*10-_xlfn.XLOOKUP($AJ235-1,载具产出!$D$59:$D$67,载具产出!$E$59:$E$67))/10*(10*OFFSET(载具产出!$D$45,MATCH(AL$6,$AK$6:$AN$6,0)-1,$AJ235)+OFFSET(载具产出!$D$49,MATCH(AL$6,$AK$6:$AN$6,0)-1,$AJ235)*OFFSET(载具产出!$N$49,MATCH(AL$6,$AK$6:$AN$6,0)-1,0)))</f>
        <v>2112.5380952381</v>
      </c>
      <c r="AM235" s="44">
        <f ca="1">IF($AJ235=1,($AI235)*(10*OFFSET(载具产出!$D$45,MATCH(AM$6,$AK$6:$AN$6,0)-1,$AJ235)+OFFSET(载具产出!$D$49,MATCH(AM$6,$AK$6:$AN$6,0)-1,$AJ235)*OFFSET(载具产出!$N$49,MATCH(AM$6,$AK$6:$AN$6,0)-1,0)),OFFSET(载具产出!H$59,$AJ235-1,0)*10+OFFSET(载具产出!L$59,$AJ235-1,0)+($AI235*10-_xlfn.XLOOKUP($AJ235-1,载具产出!$D$59:$D$67,载具产出!$E$59:$E$67))/10*(10*OFFSET(载具产出!$D$45,MATCH(AM$6,$AK$6:$AN$6,0)-1,$AJ235)+OFFSET(载具产出!$D$49,MATCH(AM$6,$AK$6:$AN$6,0)-1,$AJ235)*OFFSET(载具产出!$N$49,MATCH(AM$6,$AK$6:$AN$6,0)-1,0)))</f>
        <v>1152.29714285715</v>
      </c>
      <c r="AN235" s="44">
        <f ca="1">IF($AJ235=1,($AI235)*(10*OFFSET(载具产出!$D$45,MATCH(AN$6,$AK$6:$AN$6,0)-1,$AJ235)+OFFSET(载具产出!$D$49,MATCH(AN$6,$AK$6:$AN$6,0)-1,$AJ235)*OFFSET(载具产出!$N$49,MATCH(AN$6,$AK$6:$AN$6,0)-1,0)),OFFSET(载具产出!I$59,$AJ235-1,0)*10+OFFSET(载具产出!M$59,$AJ235-1,0)+($AI235*10-_xlfn.XLOOKUP($AJ235-1,载具产出!$D$59:$D$67,载具产出!$E$59:$E$67))/10*(10*OFFSET(载具产出!$D$45,MATCH(AN$6,$AK$6:$AN$6,0)-1,$AJ235)+OFFSET(载具产出!$D$49,MATCH(AN$6,$AK$6:$AN$6,0)-1,$AJ235)*OFFSET(载具产出!$N$49,MATCH(AN$6,$AK$6:$AN$6,0)-1,0)))</f>
        <v>356.152380952382</v>
      </c>
      <c r="AO235" s="44">
        <f ca="1" t="shared" si="60"/>
        <v>6571.97857142859</v>
      </c>
      <c r="AP235" s="44">
        <f ca="1" t="shared" si="61"/>
        <v>3653.44476190476</v>
      </c>
      <c r="AQ235" s="44">
        <f ca="1" t="shared" si="62"/>
        <v>1581.36380952381</v>
      </c>
      <c r="AR235" s="44">
        <f ca="1" t="shared" si="63"/>
        <v>358.712380952382</v>
      </c>
      <c r="AS235" s="45">
        <f ca="1">IFERROR(MATCH(AO235/载具产出!R$58,载具属性!$G$33:$G$92,1),0)</f>
        <v>37</v>
      </c>
      <c r="AT235" s="45">
        <f ca="1">IFERROR(MATCH(AP235/载具产出!S$58,载具属性!$G$33:$G$92,1),0)</f>
        <v>26</v>
      </c>
      <c r="AU235" s="45">
        <f ca="1">IFERROR(MATCH(AQ235/载具产出!T$58,载具属性!$G$33:$G$92,1),0)</f>
        <v>16</v>
      </c>
      <c r="AV235" s="45">
        <f ca="1">IFERROR(MATCH(AR235/载具产出!U$58,载具属性!$G$33:$G$92,1),0)</f>
        <v>6</v>
      </c>
      <c r="AW235" s="46" t="str">
        <f ca="1" t="shared" si="64"/>
        <v>[{62,1382},{63,173475},{2,500500},{6030001,4037},{6030002,4440},{6030003,1236},{6030004,6}]</v>
      </c>
      <c r="AX235" t="str">
        <f ca="1" t="shared" si="65"/>
        <v>{62,1382}</v>
      </c>
      <c r="AY235" t="str">
        <f ca="1" t="shared" si="66"/>
        <v>{63,173475}</v>
      </c>
      <c r="AZ235" t="str">
        <f ca="1" t="shared" si="67"/>
        <v>{2,500500}</v>
      </c>
      <c r="BA235" t="str">
        <f ca="1" t="shared" si="68"/>
        <v>{6030001,4037}</v>
      </c>
      <c r="BB235" t="str">
        <f ca="1" t="shared" si="69"/>
        <v>{6030002,4440}</v>
      </c>
      <c r="BC235" t="str">
        <f ca="1" t="shared" si="70"/>
        <v>{6030003,1236}</v>
      </c>
      <c r="BD235" t="str">
        <f ca="1" t="shared" si="71"/>
        <v>{6030004,6}</v>
      </c>
    </row>
    <row r="236" spans="3:56">
      <c r="C236">
        <f ca="1" t="shared" si="59"/>
        <v>122.139303482587</v>
      </c>
      <c r="D236" s="40">
        <v>230</v>
      </c>
      <c r="E236" s="40">
        <f t="shared" si="72"/>
        <v>127</v>
      </c>
      <c r="F236" s="40">
        <v>147</v>
      </c>
      <c r="G236" s="41">
        <f t="shared" si="74"/>
        <v>201</v>
      </c>
      <c r="H236" s="40">
        <f>H235</f>
        <v>257</v>
      </c>
      <c r="I236" s="40">
        <f t="shared" si="58"/>
        <v>486</v>
      </c>
      <c r="J236" s="40">
        <f t="shared" si="73"/>
        <v>486</v>
      </c>
      <c r="K236" s="40">
        <f ca="1">SUM(U$36:U236)-SUM(OFFSET(载具产出!H$399,0,0,$R236+1,1))</f>
        <v>1389</v>
      </c>
      <c r="L236" s="40">
        <f ca="1">SUM(T$36:T236)-SUM(OFFSET(载具产出!G$399,0,0,$R236+1,1))</f>
        <v>174580</v>
      </c>
      <c r="M236" s="40">
        <f ca="1">SUM(V$36:V236)/2-SUM(OFFSET(载具产出!I$399,0,0,$R236+1,1))</f>
        <v>504000</v>
      </c>
      <c r="N236" s="40">
        <f ca="1">SUM(AA$36:AA236)-SUM(OFFSET(载具产出!J$399,0,0,$R236+1,1))</f>
        <v>4055.6</v>
      </c>
      <c r="O236" s="40">
        <f ca="1">SUM(AB$36:AB236)-SUM(OFFSET(载具产出!K$399,0,0,$R236+1,1))</f>
        <v>4462.67999999998</v>
      </c>
      <c r="P236" s="40">
        <f ca="1">SUM(AC$36:AC236)-SUM(OFFSET(载具产出!L$399,0,0,$R236+1,1))</f>
        <v>1250</v>
      </c>
      <c r="Q236" s="40">
        <f ca="1">SUM(AD$36:AD236)-SUM(OFFSET(载具产出!M$399,0,0,$R236+1,1))</f>
        <v>6.72</v>
      </c>
      <c r="R236" s="40">
        <v>18</v>
      </c>
      <c r="S236" s="40" t="str">
        <f ca="1">OFFSET(载具产出!$D$111,IFERROR(MATCH(OFFSET($D236,0,MATCH($D$5,$E$6:$H$6,0)),载具产出!$E$112:$E$151,1),0),0)</f>
        <v>卓越Ⅰ</v>
      </c>
      <c r="T236" s="40">
        <f ca="1">OFFSET(载具产出!$F$399,IFERROR(MATCH(OFFSET($D236,0,MATCH($D$5,$E$6:$H$6,0)),载具产出!$E$400:$E$439,1),0),MATCH(T$6,载具产出!$G$399:$O$399,0))</f>
        <v>1105</v>
      </c>
      <c r="U236" s="40">
        <v>7</v>
      </c>
      <c r="V236" s="40">
        <f ca="1">OFFSET(载具产出!$F$399,IFERROR(MATCH(OFFSET($D236,0,MATCH($D$5,$E$6:$H$6,0)),载具产出!$E$400:$E$439,1),0),MATCH(V$6,载具产出!$G$399:$O$399,0))</f>
        <v>7000</v>
      </c>
      <c r="W236" s="43">
        <f ca="1">_xlfn.XLOOKUP(Z236,载具属性!$E$98:$E$497,载具属性!$G$98:$G$497)+6000+OFFSET(载具属性!L$33,AS236,0)*载具属性!M$30+OFFSET(载具属性!M$33,AT236,0)*载具属性!N$30+OFFSET(载具属性!N$33,AU236,0)*载具属性!O$30+OFFSET(载具属性!O$33,AV236,0)*载具属性!P$30</f>
        <v>24550</v>
      </c>
      <c r="X236" s="43">
        <f ca="1">_xlfn.XLOOKUP(Z236,载具属性!$E$98:$E$497,载具属性!$G$98:$G$497)</f>
        <v>11560</v>
      </c>
      <c r="Y236" s="43">
        <f ca="1">OFFSET(载具属性!L$33,AS236,0)*载具属性!M$30+OFFSET(载具属性!M$33,AT236,0)*载具属性!N$30+OFFSET(载具属性!N$33,AU236,0)*载具属性!O$30+OFFSET(载具属性!O$33,AV236,0)*载具属性!P$30</f>
        <v>6990</v>
      </c>
      <c r="Z236" s="40">
        <f ca="1">MATCH(SUM($T$7:T236),载具属性!$I$98:$I$497,1)</f>
        <v>169</v>
      </c>
      <c r="AA236" s="40">
        <f ca="1">OFFSET(载具产出!$F$399,IFERROR(MATCH(OFFSET($D236,0,MATCH($D$5,$E$6:$H$6,0)),载具产出!$E$112:$E$151,1),0),MATCH(AA$6,载具产出!$G$111:$O$111,0))*2</f>
        <v>18</v>
      </c>
      <c r="AB236" s="40">
        <f ca="1">OFFSET(载具产出!$F$399,IFERROR(MATCH(OFFSET($D236,0,MATCH($D$5,$E$6:$H$6,0)),载具产出!$E$112:$E$151,1),0),MATCH(AB$6,载具产出!$G$111:$O$111,0))*2</f>
        <v>22.24</v>
      </c>
      <c r="AC236" s="40">
        <f ca="1">OFFSET(载具产出!$F$399,IFERROR(MATCH(OFFSET($D236,0,MATCH($D$5,$E$6:$H$6,0)),载具产出!$E$112:$E$151,1),0),MATCH(AC$6,载具产出!$G$111:$O$111,0))*2</f>
        <v>13.28</v>
      </c>
      <c r="AD236" s="40">
        <f ca="1">OFFSET(载具产出!$F$399,IFERROR(MATCH(OFFSET($D236,0,MATCH($D$5,$E$6:$H$6,0)),载具产出!$E$112:$E$151,1),0),MATCH(AD$6,载具产出!$G$111:$O$111,0))*2</f>
        <v>0.48</v>
      </c>
      <c r="AE236" s="44">
        <f ca="1">SUM(AA$36:AA236)/3</f>
        <v>1424.8</v>
      </c>
      <c r="AF236" s="44">
        <f ca="1">SUM(AB$36:AB236)/3</f>
        <v>1548.31999999999</v>
      </c>
      <c r="AG236" s="44">
        <f ca="1">SUM(AC$36:AC236)/3</f>
        <v>433.493333333333</v>
      </c>
      <c r="AH236" s="44">
        <f ca="1">SUM(AD$36:AD236)/3</f>
        <v>2.72</v>
      </c>
      <c r="AI236" s="44">
        <f>_xlfn.XLOOKUP($D$5,载具产出!$D$71:$D$75,载具产出!$E$71:$E$75)*(D236-30+1)</f>
        <v>2364.14285714286</v>
      </c>
      <c r="AJ236" s="44">
        <f>IFERROR(MATCH(_xlfn.XLOOKUP($D$5,载具产出!$D$71:$D$75,载具产出!$E$71:$E$75)*(D236-30+1)*10,载具产出!$E$60:$E$67,1),0)+1</f>
        <v>7</v>
      </c>
      <c r="AK236" s="44">
        <f ca="1">IF($AJ236=1,($AI236)*(10*OFFSET(载具产出!$D$45,MATCH(AK$6,$AK$6:$AN$6,0)-1,$AJ236)+OFFSET(载具产出!$D$49,MATCH(AK$6,$AK$6:$AN$6,0)-1,$AJ236)*OFFSET(载具产出!$N$49,MATCH(AK$6,$AK$6:$AN$6,0)-1,0)),OFFSET(载具产出!F$59,$AJ236-1,0)*10+OFFSET(载具产出!J$59,$AJ236-1,0)+($AI236*10-_xlfn.XLOOKUP($AJ236-1,载具产出!$D$59:$D$67,载具产出!$E$59:$E$67))/10*(10*OFFSET(载具产出!$D$45,MATCH(AK$6,$AK$6:$AN$6,0)-1,$AJ236)+OFFSET(载具产出!$D$49,MATCH(AK$6,$AK$6:$AN$6,0)-1,$AJ236)*OFFSET(载具产出!$N$49,MATCH(AK$6,$AK$6:$AN$6,0)-1,0)))</f>
        <v>5178.01971428572</v>
      </c>
      <c r="AL236" s="44">
        <f ca="1">IF($AJ236=1,($AI236)*(10*OFFSET(载具产出!$D$45,MATCH(AL$6,$AK$6:$AN$6,0)-1,$AJ236)+OFFSET(载具产出!$D$49,MATCH(AL$6,$AK$6:$AN$6,0)-1,$AJ236)*OFFSET(载具产出!$N$49,MATCH(AL$6,$AK$6:$AN$6,0)-1,0)),OFFSET(载具产出!G$59,$AJ236-1,0)*10+OFFSET(载具产出!K$59,$AJ236-1,0)+($AI236*10-_xlfn.XLOOKUP($AJ236-1,载具产出!$D$59:$D$67,载具产出!$E$59:$E$67))/10*(10*OFFSET(载具产出!$D$45,MATCH(AL$6,$AK$6:$AN$6,0)-1,$AJ236)+OFFSET(载具产出!$D$49,MATCH(AL$6,$AK$6:$AN$6,0)-1,$AJ236)*OFFSET(载具产出!$N$49,MATCH(AL$6,$AK$6:$AN$6,0)-1,0)))</f>
        <v>2123.59428571429</v>
      </c>
      <c r="AM236" s="44">
        <f ca="1">IF($AJ236=1,($AI236)*(10*OFFSET(载具产出!$D$45,MATCH(AM$6,$AK$6:$AN$6,0)-1,$AJ236)+OFFSET(载具产出!$D$49,MATCH(AM$6,$AK$6:$AN$6,0)-1,$AJ236)*OFFSET(载具产出!$N$49,MATCH(AM$6,$AK$6:$AN$6,0)-1,0)),OFFSET(载具产出!H$59,$AJ236-1,0)*10+OFFSET(载具产出!L$59,$AJ236-1,0)+($AI236*10-_xlfn.XLOOKUP($AJ236-1,载具产出!$D$59:$D$67,载具产出!$E$59:$E$67))/10*(10*OFFSET(载具产出!$D$45,MATCH(AM$6,$AK$6:$AN$6,0)-1,$AJ236)+OFFSET(载具产出!$D$49,MATCH(AM$6,$AK$6:$AN$6,0)-1,$AJ236)*OFFSET(载具产出!$N$49,MATCH(AM$6,$AK$6:$AN$6,0)-1,0)))</f>
        <v>1158.50742857143</v>
      </c>
      <c r="AN236" s="44">
        <f ca="1">IF($AJ236=1,($AI236)*(10*OFFSET(载具产出!$D$45,MATCH(AN$6,$AK$6:$AN$6,0)-1,$AJ236)+OFFSET(载具产出!$D$49,MATCH(AN$6,$AK$6:$AN$6,0)-1,$AJ236)*OFFSET(载具产出!$N$49,MATCH(AN$6,$AK$6:$AN$6,0)-1,0)),OFFSET(载具产出!I$59,$AJ236-1,0)*10+OFFSET(载具产出!M$59,$AJ236-1,0)+($AI236*10-_xlfn.XLOOKUP($AJ236-1,载具产出!$D$59:$D$67,载具产出!$E$59:$E$67))/10*(10*OFFSET(载具产出!$D$45,MATCH(AN$6,$AK$6:$AN$6,0)-1,$AJ236)+OFFSET(载具产出!$D$49,MATCH(AN$6,$AK$6:$AN$6,0)-1,$AJ236)*OFFSET(载具产出!$N$49,MATCH(AN$6,$AK$6:$AN$6,0)-1,0)))</f>
        <v>358.140142857143</v>
      </c>
      <c r="AO236" s="44">
        <f ca="1" t="shared" si="60"/>
        <v>6602.81971428572</v>
      </c>
      <c r="AP236" s="44">
        <f ca="1" t="shared" si="61"/>
        <v>3671.91428571428</v>
      </c>
      <c r="AQ236" s="44">
        <f ca="1" t="shared" si="62"/>
        <v>1592.00076190476</v>
      </c>
      <c r="AR236" s="44">
        <f ca="1" t="shared" si="63"/>
        <v>360.860142857143</v>
      </c>
      <c r="AS236" s="45">
        <f ca="1">IFERROR(MATCH(AO236/载具产出!R$58,载具属性!$G$33:$G$92,1),0)</f>
        <v>38</v>
      </c>
      <c r="AT236" s="45">
        <f ca="1">IFERROR(MATCH(AP236/载具产出!S$58,载具属性!$G$33:$G$92,1),0)</f>
        <v>26</v>
      </c>
      <c r="AU236" s="45">
        <f ca="1">IFERROR(MATCH(AQ236/载具产出!T$58,载具属性!$G$33:$G$92,1),0)</f>
        <v>16</v>
      </c>
      <c r="AV236" s="45">
        <f ca="1">IFERROR(MATCH(AR236/载具产出!U$58,载具属性!$G$33:$G$92,1),0)</f>
        <v>6</v>
      </c>
      <c r="AW236" s="46" t="str">
        <f ca="1" t="shared" si="64"/>
        <v>[{62,1389},{63,174580},{2,504000},{6030001,4055},{6030002,4462},{6030003,1250},{6030004,6}]</v>
      </c>
      <c r="AX236" t="str">
        <f ca="1" t="shared" si="65"/>
        <v>{62,1389}</v>
      </c>
      <c r="AY236" t="str">
        <f ca="1" t="shared" si="66"/>
        <v>{63,174580}</v>
      </c>
      <c r="AZ236" t="str">
        <f ca="1" t="shared" si="67"/>
        <v>{2,504000}</v>
      </c>
      <c r="BA236" t="str">
        <f ca="1" t="shared" si="68"/>
        <v>{6030001,4055}</v>
      </c>
      <c r="BB236" t="str">
        <f ca="1" t="shared" si="69"/>
        <v>{6030002,4462}</v>
      </c>
      <c r="BC236" t="str">
        <f ca="1" t="shared" si="70"/>
        <v>{6030003,1250}</v>
      </c>
      <c r="BD236" t="str">
        <f ca="1" t="shared" si="71"/>
        <v>{6030004,6}</v>
      </c>
    </row>
    <row r="237" spans="3:56">
      <c r="C237">
        <f ca="1" t="shared" si="59"/>
        <v>122.587064676617</v>
      </c>
      <c r="D237" s="40">
        <v>231</v>
      </c>
      <c r="E237" s="40">
        <f t="shared" si="72"/>
        <v>127</v>
      </c>
      <c r="F237" s="40">
        <v>147</v>
      </c>
      <c r="G237" s="41">
        <f t="shared" si="74"/>
        <v>201</v>
      </c>
      <c r="H237" s="40">
        <f>H236+1</f>
        <v>258</v>
      </c>
      <c r="I237" s="40">
        <f t="shared" si="58"/>
        <v>488</v>
      </c>
      <c r="J237" s="40">
        <f t="shared" si="73"/>
        <v>488</v>
      </c>
      <c r="K237" s="40">
        <f ca="1">SUM(U$36:U237)-SUM(OFFSET(载具产出!H$399,0,0,$R237+1,1))</f>
        <v>1396</v>
      </c>
      <c r="L237" s="40">
        <f ca="1">SUM(T$36:T237)-SUM(OFFSET(载具产出!G$399,0,0,$R237+1,1))</f>
        <v>175685</v>
      </c>
      <c r="M237" s="40">
        <f ca="1">SUM(V$36:V237)/2-SUM(OFFSET(载具产出!I$399,0,0,$R237+1,1))</f>
        <v>507500</v>
      </c>
      <c r="N237" s="40">
        <f ca="1">SUM(AA$36:AA237)-SUM(OFFSET(载具产出!J$399,0,0,$R237+1,1))</f>
        <v>4073.6</v>
      </c>
      <c r="O237" s="40">
        <f ca="1">SUM(AB$36:AB237)-SUM(OFFSET(载具产出!K$399,0,0,$R237+1,1))</f>
        <v>4484.91999999998</v>
      </c>
      <c r="P237" s="40">
        <f ca="1">SUM(AC$36:AC237)-SUM(OFFSET(载具产出!L$399,0,0,$R237+1,1))</f>
        <v>1263.28</v>
      </c>
      <c r="Q237" s="40">
        <f ca="1">SUM(AD$36:AD237)-SUM(OFFSET(载具产出!M$399,0,0,$R237+1,1))</f>
        <v>7.2</v>
      </c>
      <c r="R237" s="40">
        <v>18</v>
      </c>
      <c r="S237" s="40" t="str">
        <f ca="1">OFFSET(载具产出!$D$111,IFERROR(MATCH(OFFSET($D237,0,MATCH($D$5,$E$6:$H$6,0)),载具产出!$E$112:$E$151,1),0),0)</f>
        <v>卓越Ⅰ</v>
      </c>
      <c r="T237" s="40">
        <f ca="1">OFFSET(载具产出!$F$399,IFERROR(MATCH(OFFSET($D237,0,MATCH($D$5,$E$6:$H$6,0)),载具产出!$E$400:$E$439,1),0),MATCH(T$6,载具产出!$G$399:$O$399,0))</f>
        <v>1105</v>
      </c>
      <c r="U237" s="40">
        <v>7</v>
      </c>
      <c r="V237" s="40">
        <f ca="1">OFFSET(载具产出!$F$399,IFERROR(MATCH(OFFSET($D237,0,MATCH($D$5,$E$6:$H$6,0)),载具产出!$E$400:$E$439,1),0),MATCH(V$6,载具产出!$G$399:$O$399,0))</f>
        <v>7000</v>
      </c>
      <c r="W237" s="43">
        <f ca="1">_xlfn.XLOOKUP(Z237,载具属性!$E$98:$E$497,载具属性!$G$98:$G$497)+6000+OFFSET(载具属性!L$33,AS237,0)*载具属性!M$30+OFFSET(载具属性!M$33,AT237,0)*载具属性!N$30+OFFSET(载具属性!N$33,AU237,0)*载具属性!O$30+OFFSET(载具属性!O$33,AV237,0)*载具属性!P$30</f>
        <v>24640</v>
      </c>
      <c r="X237" s="43">
        <f ca="1">_xlfn.XLOOKUP(Z237,载具属性!$E$98:$E$497,载具属性!$G$98:$G$497)</f>
        <v>11650</v>
      </c>
      <c r="Y237" s="43">
        <f ca="1">OFFSET(载具属性!L$33,AS237,0)*载具属性!M$30+OFFSET(载具属性!M$33,AT237,0)*载具属性!N$30+OFFSET(载具属性!N$33,AU237,0)*载具属性!O$30+OFFSET(载具属性!O$33,AV237,0)*载具属性!P$30</f>
        <v>6990</v>
      </c>
      <c r="Z237" s="40">
        <f ca="1">MATCH(SUM($T$7:T237),载具属性!$I$98:$I$497,1)</f>
        <v>170</v>
      </c>
      <c r="AA237" s="40">
        <f ca="1">OFFSET(载具产出!$F$399,IFERROR(MATCH(OFFSET($D237,0,MATCH($D$5,$E$6:$H$6,0)),载具产出!$E$112:$E$151,1),0),MATCH(AA$6,载具产出!$G$111:$O$111,0))*2</f>
        <v>18</v>
      </c>
      <c r="AB237" s="40">
        <f ca="1">OFFSET(载具产出!$F$399,IFERROR(MATCH(OFFSET($D237,0,MATCH($D$5,$E$6:$H$6,0)),载具产出!$E$112:$E$151,1),0),MATCH(AB$6,载具产出!$G$111:$O$111,0))*2</f>
        <v>22.24</v>
      </c>
      <c r="AC237" s="40">
        <f ca="1">OFFSET(载具产出!$F$399,IFERROR(MATCH(OFFSET($D237,0,MATCH($D$5,$E$6:$H$6,0)),载具产出!$E$112:$E$151,1),0),MATCH(AC$6,载具产出!$G$111:$O$111,0))*2</f>
        <v>13.28</v>
      </c>
      <c r="AD237" s="40">
        <f ca="1">OFFSET(载具产出!$F$399,IFERROR(MATCH(OFFSET($D237,0,MATCH($D$5,$E$6:$H$6,0)),载具产出!$E$112:$E$151,1),0),MATCH(AD$6,载具产出!$G$111:$O$111,0))*2</f>
        <v>0.48</v>
      </c>
      <c r="AE237" s="44">
        <f ca="1">SUM(AA$36:AA237)/3</f>
        <v>1430.8</v>
      </c>
      <c r="AF237" s="44">
        <f ca="1">SUM(AB$36:AB237)/3</f>
        <v>1555.73333333333</v>
      </c>
      <c r="AG237" s="44">
        <f ca="1">SUM(AC$36:AC237)/3</f>
        <v>437.919999999999</v>
      </c>
      <c r="AH237" s="44">
        <f ca="1">SUM(AD$36:AD237)/3</f>
        <v>2.88</v>
      </c>
      <c r="AI237" s="44">
        <f>_xlfn.XLOOKUP($D$5,载具产出!$D$71:$D$75,载具产出!$E$71:$E$75)*(D237-30+1)</f>
        <v>2375.90476190477</v>
      </c>
      <c r="AJ237" s="44">
        <f>IFERROR(MATCH(_xlfn.XLOOKUP($D$5,载具产出!$D$71:$D$75,载具产出!$E$71:$E$75)*(D237-30+1)*10,载具产出!$E$60:$E$67,1),0)+1</f>
        <v>7</v>
      </c>
      <c r="AK237" s="44">
        <f ca="1">IF($AJ237=1,($AI237)*(10*OFFSET(载具产出!$D$45,MATCH(AK$6,$AK$6:$AN$6,0)-1,$AJ237)+OFFSET(载具产出!$D$49,MATCH(AK$6,$AK$6:$AN$6,0)-1,$AJ237)*OFFSET(载具产出!$N$49,MATCH(AK$6,$AK$6:$AN$6,0)-1,0)),OFFSET(载具产出!F$59,$AJ237-1,0)*10+OFFSET(载具产出!J$59,$AJ237-1,0)+($AI237*10-_xlfn.XLOOKUP($AJ237-1,载具产出!$D$59:$D$67,载具产出!$E$59:$E$67))/10*(10*OFFSET(载具产出!$D$45,MATCH(AK$6,$AK$6:$AN$6,0)-1,$AJ237)+OFFSET(载具产出!$D$49,MATCH(AK$6,$AK$6:$AN$6,0)-1,$AJ237)*OFFSET(载具产出!$N$49,MATCH(AK$6,$AK$6:$AN$6,0)-1,0)))</f>
        <v>5202.86085714287</v>
      </c>
      <c r="AL237" s="44">
        <f ca="1">IF($AJ237=1,($AI237)*(10*OFFSET(载具产出!$D$45,MATCH(AL$6,$AK$6:$AN$6,0)-1,$AJ237)+OFFSET(载具产出!$D$49,MATCH(AL$6,$AK$6:$AN$6,0)-1,$AJ237)*OFFSET(载具产出!$N$49,MATCH(AL$6,$AK$6:$AN$6,0)-1,0)),OFFSET(载具产出!G$59,$AJ237-1,0)*10+OFFSET(载具产出!K$59,$AJ237-1,0)+($AI237*10-_xlfn.XLOOKUP($AJ237-1,载具产出!$D$59:$D$67,载具产出!$E$59:$E$67))/10*(10*OFFSET(载具产出!$D$45,MATCH(AL$6,$AK$6:$AN$6,0)-1,$AJ237)+OFFSET(载具产出!$D$49,MATCH(AL$6,$AK$6:$AN$6,0)-1,$AJ237)*OFFSET(载具产出!$N$49,MATCH(AL$6,$AK$6:$AN$6,0)-1,0)))</f>
        <v>2134.65047619048</v>
      </c>
      <c r="AM237" s="44">
        <f ca="1">IF($AJ237=1,($AI237)*(10*OFFSET(载具产出!$D$45,MATCH(AM$6,$AK$6:$AN$6,0)-1,$AJ237)+OFFSET(载具产出!$D$49,MATCH(AM$6,$AK$6:$AN$6,0)-1,$AJ237)*OFFSET(载具产出!$N$49,MATCH(AM$6,$AK$6:$AN$6,0)-1,0)),OFFSET(载具产出!H$59,$AJ237-1,0)*10+OFFSET(载具产出!L$59,$AJ237-1,0)+($AI237*10-_xlfn.XLOOKUP($AJ237-1,载具产出!$D$59:$D$67,载具产出!$E$59:$E$67))/10*(10*OFFSET(载具产出!$D$45,MATCH(AM$6,$AK$6:$AN$6,0)-1,$AJ237)+OFFSET(载具产出!$D$49,MATCH(AM$6,$AK$6:$AN$6,0)-1,$AJ237)*OFFSET(载具产出!$N$49,MATCH(AM$6,$AK$6:$AN$6,0)-1,0)))</f>
        <v>1164.71771428572</v>
      </c>
      <c r="AN237" s="44">
        <f ca="1">IF($AJ237=1,($AI237)*(10*OFFSET(载具产出!$D$45,MATCH(AN$6,$AK$6:$AN$6,0)-1,$AJ237)+OFFSET(载具产出!$D$49,MATCH(AN$6,$AK$6:$AN$6,0)-1,$AJ237)*OFFSET(载具产出!$N$49,MATCH(AN$6,$AK$6:$AN$6,0)-1,0)),OFFSET(载具产出!I$59,$AJ237-1,0)*10+OFFSET(载具产出!M$59,$AJ237-1,0)+($AI237*10-_xlfn.XLOOKUP($AJ237-1,载具产出!$D$59:$D$67,载具产出!$E$59:$E$67))/10*(10*OFFSET(载具产出!$D$45,MATCH(AN$6,$AK$6:$AN$6,0)-1,$AJ237)+OFFSET(载具产出!$D$49,MATCH(AN$6,$AK$6:$AN$6,0)-1,$AJ237)*OFFSET(载具产出!$N$49,MATCH(AN$6,$AK$6:$AN$6,0)-1,0)))</f>
        <v>360.127904761906</v>
      </c>
      <c r="AO237" s="44">
        <f ca="1" t="shared" si="60"/>
        <v>6633.66085714288</v>
      </c>
      <c r="AP237" s="44">
        <f ca="1" t="shared" si="61"/>
        <v>3690.38380952381</v>
      </c>
      <c r="AQ237" s="44">
        <f ca="1" t="shared" si="62"/>
        <v>1602.63771428572</v>
      </c>
      <c r="AR237" s="44">
        <f ca="1" t="shared" si="63"/>
        <v>363.007904761906</v>
      </c>
      <c r="AS237" s="45">
        <f ca="1">IFERROR(MATCH(AO237/载具产出!R$58,载具属性!$G$33:$G$92,1),0)</f>
        <v>38</v>
      </c>
      <c r="AT237" s="45">
        <f ca="1">IFERROR(MATCH(AP237/载具产出!S$58,载具属性!$G$33:$G$92,1),0)</f>
        <v>26</v>
      </c>
      <c r="AU237" s="45">
        <f ca="1">IFERROR(MATCH(AQ237/载具产出!T$58,载具属性!$G$33:$G$92,1),0)</f>
        <v>16</v>
      </c>
      <c r="AV237" s="45">
        <f ca="1">IFERROR(MATCH(AR237/载具产出!U$58,载具属性!$G$33:$G$92,1),0)</f>
        <v>6</v>
      </c>
      <c r="AW237" s="46" t="str">
        <f ca="1" t="shared" si="64"/>
        <v>[{62,1396},{63,175685},{2,507500},{6030001,4073},{6030002,4484},{6030003,1263},{6030004,7}]</v>
      </c>
      <c r="AX237" t="str">
        <f ca="1" t="shared" si="65"/>
        <v>{62,1396}</v>
      </c>
      <c r="AY237" t="str">
        <f ca="1" t="shared" si="66"/>
        <v>{63,175685}</v>
      </c>
      <c r="AZ237" t="str">
        <f ca="1" t="shared" si="67"/>
        <v>{2,507500}</v>
      </c>
      <c r="BA237" t="str">
        <f ca="1" t="shared" si="68"/>
        <v>{6030001,4073}</v>
      </c>
      <c r="BB237" t="str">
        <f ca="1" t="shared" si="69"/>
        <v>{6030002,4484}</v>
      </c>
      <c r="BC237" t="str">
        <f ca="1" t="shared" si="70"/>
        <v>{6030003,1263}</v>
      </c>
      <c r="BD237" t="str">
        <f ca="1" t="shared" si="71"/>
        <v>{6030004,7}</v>
      </c>
    </row>
    <row r="238" spans="3:56">
      <c r="C238">
        <f ca="1" t="shared" si="59"/>
        <v>121.980198019802</v>
      </c>
      <c r="D238" s="40">
        <v>232</v>
      </c>
      <c r="E238" s="40">
        <f t="shared" si="72"/>
        <v>127</v>
      </c>
      <c r="F238" s="40">
        <v>147</v>
      </c>
      <c r="G238" s="41">
        <f t="shared" si="74"/>
        <v>202</v>
      </c>
      <c r="H238" s="40">
        <f>H237</f>
        <v>258</v>
      </c>
      <c r="I238" s="40">
        <f t="shared" si="58"/>
        <v>490</v>
      </c>
      <c r="J238" s="40">
        <f t="shared" si="73"/>
        <v>490</v>
      </c>
      <c r="K238" s="40">
        <f ca="1">SUM(U$36:U238)-SUM(OFFSET(载具产出!H$399,0,0,$R238+1,1))</f>
        <v>1403</v>
      </c>
      <c r="L238" s="40">
        <f ca="1">SUM(T$36:T238)-SUM(OFFSET(载具产出!G$399,0,0,$R238+1,1))</f>
        <v>176790</v>
      </c>
      <c r="M238" s="40">
        <f ca="1">SUM(V$36:V238)/2-SUM(OFFSET(载具产出!I$399,0,0,$R238+1,1))</f>
        <v>511000</v>
      </c>
      <c r="N238" s="40">
        <f ca="1">SUM(AA$36:AA238)-SUM(OFFSET(载具产出!J$399,0,0,$R238+1,1))</f>
        <v>4091.6</v>
      </c>
      <c r="O238" s="40">
        <f ca="1">SUM(AB$36:AB238)-SUM(OFFSET(载具产出!K$399,0,0,$R238+1,1))</f>
        <v>4507.15999999998</v>
      </c>
      <c r="P238" s="40">
        <f ca="1">SUM(AC$36:AC238)-SUM(OFFSET(载具产出!L$399,0,0,$R238+1,1))</f>
        <v>1276.56</v>
      </c>
      <c r="Q238" s="40">
        <f ca="1">SUM(AD$36:AD238)-SUM(OFFSET(载具产出!M$399,0,0,$R238+1,1))</f>
        <v>7.68000000000001</v>
      </c>
      <c r="R238" s="40">
        <v>18</v>
      </c>
      <c r="S238" s="40" t="str">
        <f ca="1">OFFSET(载具产出!$D$111,IFERROR(MATCH(OFFSET($D238,0,MATCH($D$5,$E$6:$H$6,0)),载具产出!$E$112:$E$151,1),0),0)</f>
        <v>卓越Ⅰ</v>
      </c>
      <c r="T238" s="40">
        <f ca="1">OFFSET(载具产出!$F$399,IFERROR(MATCH(OFFSET($D238,0,MATCH($D$5,$E$6:$H$6,0)),载具产出!$E$400:$E$439,1),0),MATCH(T$6,载具产出!$G$399:$O$399,0))</f>
        <v>1105</v>
      </c>
      <c r="U238" s="40">
        <v>7</v>
      </c>
      <c r="V238" s="40">
        <f ca="1">OFFSET(载具产出!$F$399,IFERROR(MATCH(OFFSET($D238,0,MATCH($D$5,$E$6:$H$6,0)),载具产出!$E$400:$E$439,1),0),MATCH(V$6,载具产出!$G$399:$O$399,0))</f>
        <v>7000</v>
      </c>
      <c r="W238" s="43">
        <f ca="1">_xlfn.XLOOKUP(Z238,载具属性!$E$98:$E$497,载具属性!$G$98:$G$497)+6000+OFFSET(载具属性!L$33,AS238,0)*载具属性!M$30+OFFSET(载具属性!M$33,AT238,0)*载具属性!N$30+OFFSET(载具属性!N$33,AU238,0)*载具属性!O$30+OFFSET(载具属性!O$33,AV238,0)*载具属性!P$30</f>
        <v>24640</v>
      </c>
      <c r="X238" s="43">
        <f ca="1">_xlfn.XLOOKUP(Z238,载具属性!$E$98:$E$497,载具属性!$G$98:$G$497)</f>
        <v>11650</v>
      </c>
      <c r="Y238" s="43">
        <f ca="1">OFFSET(载具属性!L$33,AS238,0)*载具属性!M$30+OFFSET(载具属性!M$33,AT238,0)*载具属性!N$30+OFFSET(载具属性!N$33,AU238,0)*载具属性!O$30+OFFSET(载具属性!O$33,AV238,0)*载具属性!P$30</f>
        <v>6990</v>
      </c>
      <c r="Z238" s="40">
        <f ca="1">MATCH(SUM($T$7:T238),载具属性!$I$98:$I$497,1)</f>
        <v>170</v>
      </c>
      <c r="AA238" s="40">
        <f ca="1">OFFSET(载具产出!$F$399,IFERROR(MATCH(OFFSET($D238,0,MATCH($D$5,$E$6:$H$6,0)),载具产出!$E$112:$E$151,1),0),MATCH(AA$6,载具产出!$G$111:$O$111,0))*2</f>
        <v>18</v>
      </c>
      <c r="AB238" s="40">
        <f ca="1">OFFSET(载具产出!$F$399,IFERROR(MATCH(OFFSET($D238,0,MATCH($D$5,$E$6:$H$6,0)),载具产出!$E$112:$E$151,1),0),MATCH(AB$6,载具产出!$G$111:$O$111,0))*2</f>
        <v>22.24</v>
      </c>
      <c r="AC238" s="40">
        <f ca="1">OFFSET(载具产出!$F$399,IFERROR(MATCH(OFFSET($D238,0,MATCH($D$5,$E$6:$H$6,0)),载具产出!$E$112:$E$151,1),0),MATCH(AC$6,载具产出!$G$111:$O$111,0))*2</f>
        <v>13.28</v>
      </c>
      <c r="AD238" s="40">
        <f ca="1">OFFSET(载具产出!$F$399,IFERROR(MATCH(OFFSET($D238,0,MATCH($D$5,$E$6:$H$6,0)),载具产出!$E$112:$E$151,1),0),MATCH(AD$6,载具产出!$G$111:$O$111,0))*2</f>
        <v>0.48</v>
      </c>
      <c r="AE238" s="44">
        <f ca="1">SUM(AA$36:AA238)/3</f>
        <v>1436.8</v>
      </c>
      <c r="AF238" s="44">
        <f ca="1">SUM(AB$36:AB238)/3</f>
        <v>1563.14666666666</v>
      </c>
      <c r="AG238" s="44">
        <f ca="1">SUM(AC$36:AC238)/3</f>
        <v>442.346666666666</v>
      </c>
      <c r="AH238" s="44">
        <f ca="1">SUM(AD$36:AD238)/3</f>
        <v>3.04</v>
      </c>
      <c r="AI238" s="44">
        <f>_xlfn.XLOOKUP($D$5,载具产出!$D$71:$D$75,载具产出!$E$71:$E$75)*(D238-30+1)</f>
        <v>2387.66666666667</v>
      </c>
      <c r="AJ238" s="44">
        <f>IFERROR(MATCH(_xlfn.XLOOKUP($D$5,载具产出!$D$71:$D$75,载具产出!$E$71:$E$75)*(D238-30+1)*10,载具产出!$E$60:$E$67,1),0)+1</f>
        <v>7</v>
      </c>
      <c r="AK238" s="44">
        <f ca="1">IF($AJ238=1,($AI238)*(10*OFFSET(载具产出!$D$45,MATCH(AK$6,$AK$6:$AN$6,0)-1,$AJ238)+OFFSET(载具产出!$D$49,MATCH(AK$6,$AK$6:$AN$6,0)-1,$AJ238)*OFFSET(载具产出!$N$49,MATCH(AK$6,$AK$6:$AN$6,0)-1,0)),OFFSET(载具产出!F$59,$AJ238-1,0)*10+OFFSET(载具产出!J$59,$AJ238-1,0)+($AI238*10-_xlfn.XLOOKUP($AJ238-1,载具产出!$D$59:$D$67,载具产出!$E$59:$E$67))/10*(10*OFFSET(载具产出!$D$45,MATCH(AK$6,$AK$6:$AN$6,0)-1,$AJ238)+OFFSET(载具产出!$D$49,MATCH(AK$6,$AK$6:$AN$6,0)-1,$AJ238)*OFFSET(载具产出!$N$49,MATCH(AK$6,$AK$6:$AN$6,0)-1,0)))</f>
        <v>5227.70200000001</v>
      </c>
      <c r="AL238" s="44">
        <f ca="1">IF($AJ238=1,($AI238)*(10*OFFSET(载具产出!$D$45,MATCH(AL$6,$AK$6:$AN$6,0)-1,$AJ238)+OFFSET(载具产出!$D$49,MATCH(AL$6,$AK$6:$AN$6,0)-1,$AJ238)*OFFSET(载具产出!$N$49,MATCH(AL$6,$AK$6:$AN$6,0)-1,0)),OFFSET(载具产出!G$59,$AJ238-1,0)*10+OFFSET(载具产出!K$59,$AJ238-1,0)+($AI238*10-_xlfn.XLOOKUP($AJ238-1,载具产出!$D$59:$D$67,载具产出!$E$59:$E$67))/10*(10*OFFSET(载具产出!$D$45,MATCH(AL$6,$AK$6:$AN$6,0)-1,$AJ238)+OFFSET(载具产出!$D$49,MATCH(AL$6,$AK$6:$AN$6,0)-1,$AJ238)*OFFSET(载具产出!$N$49,MATCH(AL$6,$AK$6:$AN$6,0)-1,0)))</f>
        <v>2145.70666666667</v>
      </c>
      <c r="AM238" s="44">
        <f ca="1">IF($AJ238=1,($AI238)*(10*OFFSET(载具产出!$D$45,MATCH(AM$6,$AK$6:$AN$6,0)-1,$AJ238)+OFFSET(载具产出!$D$49,MATCH(AM$6,$AK$6:$AN$6,0)-1,$AJ238)*OFFSET(载具产出!$N$49,MATCH(AM$6,$AK$6:$AN$6,0)-1,0)),OFFSET(载具产出!H$59,$AJ238-1,0)*10+OFFSET(载具产出!L$59,$AJ238-1,0)+($AI238*10-_xlfn.XLOOKUP($AJ238-1,载具产出!$D$59:$D$67,载具产出!$E$59:$E$67))/10*(10*OFFSET(载具产出!$D$45,MATCH(AM$6,$AK$6:$AN$6,0)-1,$AJ238)+OFFSET(载具产出!$D$49,MATCH(AM$6,$AK$6:$AN$6,0)-1,$AJ238)*OFFSET(载具产出!$N$49,MATCH(AM$6,$AK$6:$AN$6,0)-1,0)))</f>
        <v>1170.928</v>
      </c>
      <c r="AN238" s="44">
        <f ca="1">IF($AJ238=1,($AI238)*(10*OFFSET(载具产出!$D$45,MATCH(AN$6,$AK$6:$AN$6,0)-1,$AJ238)+OFFSET(载具产出!$D$49,MATCH(AN$6,$AK$6:$AN$6,0)-1,$AJ238)*OFFSET(载具产出!$N$49,MATCH(AN$6,$AK$6:$AN$6,0)-1,0)),OFFSET(载具产出!I$59,$AJ238-1,0)*10+OFFSET(载具产出!M$59,$AJ238-1,0)+($AI238*10-_xlfn.XLOOKUP($AJ238-1,载具产出!$D$59:$D$67,载具产出!$E$59:$E$67))/10*(10*OFFSET(载具产出!$D$45,MATCH(AN$6,$AK$6:$AN$6,0)-1,$AJ238)+OFFSET(载具产出!$D$49,MATCH(AN$6,$AK$6:$AN$6,0)-1,$AJ238)*OFFSET(载具产出!$N$49,MATCH(AN$6,$AK$6:$AN$6,0)-1,0)))</f>
        <v>362.115666666667</v>
      </c>
      <c r="AO238" s="44">
        <f ca="1" t="shared" si="60"/>
        <v>6664.50200000001</v>
      </c>
      <c r="AP238" s="44">
        <f ca="1" t="shared" si="61"/>
        <v>3708.85333333333</v>
      </c>
      <c r="AQ238" s="44">
        <f ca="1" t="shared" si="62"/>
        <v>1613.27466666667</v>
      </c>
      <c r="AR238" s="44">
        <f ca="1" t="shared" si="63"/>
        <v>365.155666666667</v>
      </c>
      <c r="AS238" s="45">
        <f ca="1">IFERROR(MATCH(AO238/载具产出!R$58,载具属性!$G$33:$G$92,1),0)</f>
        <v>38</v>
      </c>
      <c r="AT238" s="45">
        <f ca="1">IFERROR(MATCH(AP238/载具产出!S$58,载具属性!$G$33:$G$92,1),0)</f>
        <v>26</v>
      </c>
      <c r="AU238" s="45">
        <f ca="1">IFERROR(MATCH(AQ238/载具产出!T$58,载具属性!$G$33:$G$92,1),0)</f>
        <v>16</v>
      </c>
      <c r="AV238" s="45">
        <f ca="1">IFERROR(MATCH(AR238/载具产出!U$58,载具属性!$G$33:$G$92,1),0)</f>
        <v>6</v>
      </c>
      <c r="AW238" s="46" t="str">
        <f ca="1" t="shared" si="64"/>
        <v>[{62,1403},{63,176790},{2,511000},{6030001,4091},{6030002,4507},{6030003,1276},{6030004,7}]</v>
      </c>
      <c r="AX238" t="str">
        <f ca="1" t="shared" si="65"/>
        <v>{62,1403}</v>
      </c>
      <c r="AY238" t="str">
        <f ca="1" t="shared" si="66"/>
        <v>{63,176790}</v>
      </c>
      <c r="AZ238" t="str">
        <f ca="1" t="shared" si="67"/>
        <v>{2,511000}</v>
      </c>
      <c r="BA238" t="str">
        <f ca="1" t="shared" si="68"/>
        <v>{6030001,4091}</v>
      </c>
      <c r="BB238" t="str">
        <f ca="1" t="shared" si="69"/>
        <v>{6030002,4507}</v>
      </c>
      <c r="BC238" t="str">
        <f ca="1" t="shared" si="70"/>
        <v>{6030003,1276}</v>
      </c>
      <c r="BD238" t="str">
        <f ca="1" t="shared" si="71"/>
        <v>{6030004,7}</v>
      </c>
    </row>
    <row r="239" spans="3:56">
      <c r="C239">
        <f ca="1" t="shared" si="59"/>
        <v>122.425742574257</v>
      </c>
      <c r="D239" s="40">
        <v>233</v>
      </c>
      <c r="E239" s="40">
        <f t="shared" si="72"/>
        <v>127</v>
      </c>
      <c r="F239" s="40">
        <v>147</v>
      </c>
      <c r="G239" s="41">
        <f t="shared" si="74"/>
        <v>202</v>
      </c>
      <c r="H239" s="40">
        <f>H238+1</f>
        <v>259</v>
      </c>
      <c r="I239" s="40">
        <f t="shared" si="58"/>
        <v>492</v>
      </c>
      <c r="J239" s="40">
        <f t="shared" si="73"/>
        <v>492</v>
      </c>
      <c r="K239" s="40">
        <f ca="1">SUM(U$36:U239)-SUM(OFFSET(载具产出!H$399,0,0,$R239+1,1))</f>
        <v>1410</v>
      </c>
      <c r="L239" s="40">
        <f ca="1">SUM(T$36:T239)-SUM(OFFSET(载具产出!G$399,0,0,$R239+1,1))</f>
        <v>177895</v>
      </c>
      <c r="M239" s="40">
        <f ca="1">SUM(V$36:V239)/2-SUM(OFFSET(载具产出!I$399,0,0,$R239+1,1))</f>
        <v>514500</v>
      </c>
      <c r="N239" s="40">
        <f ca="1">SUM(AA$36:AA239)-SUM(OFFSET(载具产出!J$399,0,0,$R239+1,1))</f>
        <v>4109.6</v>
      </c>
      <c r="O239" s="40">
        <f ca="1">SUM(AB$36:AB239)-SUM(OFFSET(载具产出!K$399,0,0,$R239+1,1))</f>
        <v>4529.39999999998</v>
      </c>
      <c r="P239" s="40">
        <f ca="1">SUM(AC$36:AC239)-SUM(OFFSET(载具产出!L$399,0,0,$R239+1,1))</f>
        <v>1289.84</v>
      </c>
      <c r="Q239" s="40">
        <f ca="1">SUM(AD$36:AD239)-SUM(OFFSET(载具产出!M$399,0,0,$R239+1,1))</f>
        <v>8.16000000000001</v>
      </c>
      <c r="R239" s="40">
        <v>18</v>
      </c>
      <c r="S239" s="40" t="str">
        <f ca="1">OFFSET(载具产出!$D$111,IFERROR(MATCH(OFFSET($D239,0,MATCH($D$5,$E$6:$H$6,0)),载具产出!$E$112:$E$151,1),0),0)</f>
        <v>卓越Ⅰ</v>
      </c>
      <c r="T239" s="40">
        <f ca="1">OFFSET(载具产出!$F$399,IFERROR(MATCH(OFFSET($D239,0,MATCH($D$5,$E$6:$H$6,0)),载具产出!$E$400:$E$439,1),0),MATCH(T$6,载具产出!$G$399:$O$399,0))</f>
        <v>1105</v>
      </c>
      <c r="U239" s="40">
        <v>7</v>
      </c>
      <c r="V239" s="40">
        <f ca="1">OFFSET(载具产出!$F$399,IFERROR(MATCH(OFFSET($D239,0,MATCH($D$5,$E$6:$H$6,0)),载具产出!$E$400:$E$439,1),0),MATCH(V$6,载具产出!$G$399:$O$399,0))</f>
        <v>7000</v>
      </c>
      <c r="W239" s="43">
        <f ca="1">_xlfn.XLOOKUP(Z239,载具属性!$E$98:$E$497,载具属性!$G$98:$G$497)+6000+OFFSET(载具属性!L$33,AS239,0)*载具属性!M$30+OFFSET(载具属性!M$33,AT239,0)*载具属性!N$30+OFFSET(载具属性!N$33,AU239,0)*载具属性!O$30+OFFSET(载具属性!O$33,AV239,0)*载具属性!P$30</f>
        <v>24730</v>
      </c>
      <c r="X239" s="43">
        <f ca="1">_xlfn.XLOOKUP(Z239,载具属性!$E$98:$E$497,载具属性!$G$98:$G$497)</f>
        <v>11740</v>
      </c>
      <c r="Y239" s="43">
        <f ca="1">OFFSET(载具属性!L$33,AS239,0)*载具属性!M$30+OFFSET(载具属性!M$33,AT239,0)*载具属性!N$30+OFFSET(载具属性!N$33,AU239,0)*载具属性!O$30+OFFSET(载具属性!O$33,AV239,0)*载具属性!P$30</f>
        <v>6990</v>
      </c>
      <c r="Z239" s="40">
        <f ca="1">MATCH(SUM($T$7:T239),载具属性!$I$98:$I$497,1)</f>
        <v>171</v>
      </c>
      <c r="AA239" s="40">
        <f ca="1">OFFSET(载具产出!$F$399,IFERROR(MATCH(OFFSET($D239,0,MATCH($D$5,$E$6:$H$6,0)),载具产出!$E$112:$E$151,1),0),MATCH(AA$6,载具产出!$G$111:$O$111,0))*2</f>
        <v>18</v>
      </c>
      <c r="AB239" s="40">
        <f ca="1">OFFSET(载具产出!$F$399,IFERROR(MATCH(OFFSET($D239,0,MATCH($D$5,$E$6:$H$6,0)),载具产出!$E$112:$E$151,1),0),MATCH(AB$6,载具产出!$G$111:$O$111,0))*2</f>
        <v>22.24</v>
      </c>
      <c r="AC239" s="40">
        <f ca="1">OFFSET(载具产出!$F$399,IFERROR(MATCH(OFFSET($D239,0,MATCH($D$5,$E$6:$H$6,0)),载具产出!$E$112:$E$151,1),0),MATCH(AC$6,载具产出!$G$111:$O$111,0))*2</f>
        <v>13.28</v>
      </c>
      <c r="AD239" s="40">
        <f ca="1">OFFSET(载具产出!$F$399,IFERROR(MATCH(OFFSET($D239,0,MATCH($D$5,$E$6:$H$6,0)),载具产出!$E$112:$E$151,1),0),MATCH(AD$6,载具产出!$G$111:$O$111,0))*2</f>
        <v>0.48</v>
      </c>
      <c r="AE239" s="44">
        <f ca="1">SUM(AA$36:AA239)/3</f>
        <v>1442.8</v>
      </c>
      <c r="AF239" s="44">
        <f ca="1">SUM(AB$36:AB239)/3</f>
        <v>1570.55999999999</v>
      </c>
      <c r="AG239" s="44">
        <f ca="1">SUM(AC$36:AC239)/3</f>
        <v>446.773333333333</v>
      </c>
      <c r="AH239" s="44">
        <f ca="1">SUM(AD$36:AD239)/3</f>
        <v>3.2</v>
      </c>
      <c r="AI239" s="44">
        <f>_xlfn.XLOOKUP($D$5,载具产出!$D$71:$D$75,载具产出!$E$71:$E$75)*(D239-30+1)</f>
        <v>2399.42857142858</v>
      </c>
      <c r="AJ239" s="44">
        <f>IFERROR(MATCH(_xlfn.XLOOKUP($D$5,载具产出!$D$71:$D$75,载具产出!$E$71:$E$75)*(D239-30+1)*10,载具产出!$E$60:$E$67,1),0)+1</f>
        <v>7</v>
      </c>
      <c r="AK239" s="44">
        <f ca="1">IF($AJ239=1,($AI239)*(10*OFFSET(载具产出!$D$45,MATCH(AK$6,$AK$6:$AN$6,0)-1,$AJ239)+OFFSET(载具产出!$D$49,MATCH(AK$6,$AK$6:$AN$6,0)-1,$AJ239)*OFFSET(载具产出!$N$49,MATCH(AK$6,$AK$6:$AN$6,0)-1,0)),OFFSET(载具产出!F$59,$AJ239-1,0)*10+OFFSET(载具产出!J$59,$AJ239-1,0)+($AI239*10-_xlfn.XLOOKUP($AJ239-1,载具产出!$D$59:$D$67,载具产出!$E$59:$E$67))/10*(10*OFFSET(载具产出!$D$45,MATCH(AK$6,$AK$6:$AN$6,0)-1,$AJ239)+OFFSET(载具产出!$D$49,MATCH(AK$6,$AK$6:$AN$6,0)-1,$AJ239)*OFFSET(载具产出!$N$49,MATCH(AK$6,$AK$6:$AN$6,0)-1,0)))</f>
        <v>5252.54314285716</v>
      </c>
      <c r="AL239" s="44">
        <f ca="1">IF($AJ239=1,($AI239)*(10*OFFSET(载具产出!$D$45,MATCH(AL$6,$AK$6:$AN$6,0)-1,$AJ239)+OFFSET(载具产出!$D$49,MATCH(AL$6,$AK$6:$AN$6,0)-1,$AJ239)*OFFSET(载具产出!$N$49,MATCH(AL$6,$AK$6:$AN$6,0)-1,0)),OFFSET(载具产出!G$59,$AJ239-1,0)*10+OFFSET(载具产出!K$59,$AJ239-1,0)+($AI239*10-_xlfn.XLOOKUP($AJ239-1,载具产出!$D$59:$D$67,载具产出!$E$59:$E$67))/10*(10*OFFSET(载具产出!$D$45,MATCH(AL$6,$AK$6:$AN$6,0)-1,$AJ239)+OFFSET(载具产出!$D$49,MATCH(AL$6,$AK$6:$AN$6,0)-1,$AJ239)*OFFSET(载具产出!$N$49,MATCH(AL$6,$AK$6:$AN$6,0)-1,0)))</f>
        <v>2156.76285714287</v>
      </c>
      <c r="AM239" s="44">
        <f ca="1">IF($AJ239=1,($AI239)*(10*OFFSET(载具产出!$D$45,MATCH(AM$6,$AK$6:$AN$6,0)-1,$AJ239)+OFFSET(载具产出!$D$49,MATCH(AM$6,$AK$6:$AN$6,0)-1,$AJ239)*OFFSET(载具产出!$N$49,MATCH(AM$6,$AK$6:$AN$6,0)-1,0)),OFFSET(载具产出!H$59,$AJ239-1,0)*10+OFFSET(载具产出!L$59,$AJ239-1,0)+($AI239*10-_xlfn.XLOOKUP($AJ239-1,载具产出!$D$59:$D$67,载具产出!$E$59:$E$67))/10*(10*OFFSET(载具产出!$D$45,MATCH(AM$6,$AK$6:$AN$6,0)-1,$AJ239)+OFFSET(载具产出!$D$49,MATCH(AM$6,$AK$6:$AN$6,0)-1,$AJ239)*OFFSET(载具产出!$N$49,MATCH(AM$6,$AK$6:$AN$6,0)-1,0)))</f>
        <v>1177.13828571429</v>
      </c>
      <c r="AN239" s="44">
        <f ca="1">IF($AJ239=1,($AI239)*(10*OFFSET(载具产出!$D$45,MATCH(AN$6,$AK$6:$AN$6,0)-1,$AJ239)+OFFSET(载具产出!$D$49,MATCH(AN$6,$AK$6:$AN$6,0)-1,$AJ239)*OFFSET(载具产出!$N$49,MATCH(AN$6,$AK$6:$AN$6,0)-1,0)),OFFSET(载具产出!I$59,$AJ239-1,0)*10+OFFSET(载具产出!M$59,$AJ239-1,0)+($AI239*10-_xlfn.XLOOKUP($AJ239-1,载具产出!$D$59:$D$67,载具产出!$E$59:$E$67))/10*(10*OFFSET(载具产出!$D$45,MATCH(AN$6,$AK$6:$AN$6,0)-1,$AJ239)+OFFSET(载具产出!$D$49,MATCH(AN$6,$AK$6:$AN$6,0)-1,$AJ239)*OFFSET(载具产出!$N$49,MATCH(AN$6,$AK$6:$AN$6,0)-1,0)))</f>
        <v>364.10342857143</v>
      </c>
      <c r="AO239" s="44">
        <f ca="1" t="shared" si="60"/>
        <v>6695.34314285716</v>
      </c>
      <c r="AP239" s="44">
        <f ca="1" t="shared" si="61"/>
        <v>3727.32285714286</v>
      </c>
      <c r="AQ239" s="44">
        <f ca="1" t="shared" si="62"/>
        <v>1623.91161904762</v>
      </c>
      <c r="AR239" s="44">
        <f ca="1" t="shared" si="63"/>
        <v>367.30342857143</v>
      </c>
      <c r="AS239" s="45">
        <f ca="1">IFERROR(MATCH(AO239/载具产出!R$58,载具属性!$G$33:$G$92,1),0)</f>
        <v>38</v>
      </c>
      <c r="AT239" s="45">
        <f ca="1">IFERROR(MATCH(AP239/载具产出!S$58,载具属性!$G$33:$G$92,1),0)</f>
        <v>26</v>
      </c>
      <c r="AU239" s="45">
        <f ca="1">IFERROR(MATCH(AQ239/载具产出!T$58,载具属性!$G$33:$G$92,1),0)</f>
        <v>16</v>
      </c>
      <c r="AV239" s="45">
        <f ca="1">IFERROR(MATCH(AR239/载具产出!U$58,载具属性!$G$33:$G$92,1),0)</f>
        <v>6</v>
      </c>
      <c r="AW239" s="46" t="str">
        <f ca="1" t="shared" si="64"/>
        <v>[{62,1410},{63,177895},{2,514500},{6030001,4109},{6030002,4529},{6030003,1289},{6030004,8}]</v>
      </c>
      <c r="AX239" t="str">
        <f ca="1" t="shared" si="65"/>
        <v>{62,1410}</v>
      </c>
      <c r="AY239" t="str">
        <f ca="1" t="shared" si="66"/>
        <v>{63,177895}</v>
      </c>
      <c r="AZ239" t="str">
        <f ca="1" t="shared" si="67"/>
        <v>{2,514500}</v>
      </c>
      <c r="BA239" t="str">
        <f ca="1" t="shared" si="68"/>
        <v>{6030001,4109}</v>
      </c>
      <c r="BB239" t="str">
        <f ca="1" t="shared" si="69"/>
        <v>{6030002,4529}</v>
      </c>
      <c r="BC239" t="str">
        <f ca="1" t="shared" si="70"/>
        <v>{6030003,1289}</v>
      </c>
      <c r="BD239" t="str">
        <f ca="1" t="shared" si="71"/>
        <v>{6030004,8}</v>
      </c>
    </row>
    <row r="240" spans="3:56">
      <c r="C240">
        <f ca="1" t="shared" si="59"/>
        <v>122.425742574257</v>
      </c>
      <c r="D240" s="40">
        <v>234</v>
      </c>
      <c r="E240" s="40">
        <f t="shared" si="72"/>
        <v>127</v>
      </c>
      <c r="F240" s="40">
        <v>148</v>
      </c>
      <c r="G240" s="41">
        <f t="shared" si="74"/>
        <v>202</v>
      </c>
      <c r="H240" s="40">
        <f>H239</f>
        <v>259</v>
      </c>
      <c r="I240" s="40">
        <f t="shared" si="58"/>
        <v>494</v>
      </c>
      <c r="J240" s="40">
        <f t="shared" si="73"/>
        <v>494</v>
      </c>
      <c r="K240" s="40">
        <f ca="1">SUM(U$36:U240)-SUM(OFFSET(载具产出!H$399,0,0,$R240+1,1))</f>
        <v>1417</v>
      </c>
      <c r="L240" s="40">
        <f ca="1">SUM(T$36:T240)-SUM(OFFSET(载具产出!G$399,0,0,$R240+1,1))</f>
        <v>179000</v>
      </c>
      <c r="M240" s="40">
        <f ca="1">SUM(V$36:V240)/2-SUM(OFFSET(载具产出!I$399,0,0,$R240+1,1))</f>
        <v>518000</v>
      </c>
      <c r="N240" s="40">
        <f ca="1">SUM(AA$36:AA240)-SUM(OFFSET(载具产出!J$399,0,0,$R240+1,1))</f>
        <v>4127.6</v>
      </c>
      <c r="O240" s="40">
        <f ca="1">SUM(AB$36:AB240)-SUM(OFFSET(载具产出!K$399,0,0,$R240+1,1))</f>
        <v>4551.63999999998</v>
      </c>
      <c r="P240" s="40">
        <f ca="1">SUM(AC$36:AC240)-SUM(OFFSET(载具产出!L$399,0,0,$R240+1,1))</f>
        <v>1303.12</v>
      </c>
      <c r="Q240" s="40">
        <f ca="1">SUM(AD$36:AD240)-SUM(OFFSET(载具产出!M$399,0,0,$R240+1,1))</f>
        <v>8.64000000000001</v>
      </c>
      <c r="R240" s="40">
        <v>18</v>
      </c>
      <c r="S240" s="40" t="str">
        <f ca="1">OFFSET(载具产出!$D$111,IFERROR(MATCH(OFFSET($D240,0,MATCH($D$5,$E$6:$H$6,0)),载具产出!$E$112:$E$151,1),0),0)</f>
        <v>卓越Ⅰ</v>
      </c>
      <c r="T240" s="40">
        <f ca="1">OFFSET(载具产出!$F$399,IFERROR(MATCH(OFFSET($D240,0,MATCH($D$5,$E$6:$H$6,0)),载具产出!$E$400:$E$439,1),0),MATCH(T$6,载具产出!$G$399:$O$399,0))</f>
        <v>1105</v>
      </c>
      <c r="U240" s="40">
        <v>7</v>
      </c>
      <c r="V240" s="40">
        <f ca="1">OFFSET(载具产出!$F$399,IFERROR(MATCH(OFFSET($D240,0,MATCH($D$5,$E$6:$H$6,0)),载具产出!$E$400:$E$439,1),0),MATCH(V$6,载具产出!$G$399:$O$399,0))</f>
        <v>7000</v>
      </c>
      <c r="W240" s="43">
        <f ca="1">_xlfn.XLOOKUP(Z240,载具属性!$E$98:$E$497,载具属性!$G$98:$G$497)+6000+OFFSET(载具属性!L$33,AS240,0)*载具属性!M$30+OFFSET(载具属性!M$33,AT240,0)*载具属性!N$30+OFFSET(载具属性!N$33,AU240,0)*载具属性!O$30+OFFSET(载具属性!O$33,AV240,0)*载具属性!P$30</f>
        <v>24730</v>
      </c>
      <c r="X240" s="43">
        <f ca="1">_xlfn.XLOOKUP(Z240,载具属性!$E$98:$E$497,载具属性!$G$98:$G$497)</f>
        <v>11740</v>
      </c>
      <c r="Y240" s="43">
        <f ca="1">OFFSET(载具属性!L$33,AS240,0)*载具属性!M$30+OFFSET(载具属性!M$33,AT240,0)*载具属性!N$30+OFFSET(载具属性!N$33,AU240,0)*载具属性!O$30+OFFSET(载具属性!O$33,AV240,0)*载具属性!P$30</f>
        <v>6990</v>
      </c>
      <c r="Z240" s="40">
        <f ca="1">MATCH(SUM($T$7:T240),载具属性!$I$98:$I$497,1)</f>
        <v>171</v>
      </c>
      <c r="AA240" s="40">
        <f ca="1">OFFSET(载具产出!$F$399,IFERROR(MATCH(OFFSET($D240,0,MATCH($D$5,$E$6:$H$6,0)),载具产出!$E$112:$E$151,1),0),MATCH(AA$6,载具产出!$G$111:$O$111,0))*2</f>
        <v>18</v>
      </c>
      <c r="AB240" s="40">
        <f ca="1">OFFSET(载具产出!$F$399,IFERROR(MATCH(OFFSET($D240,0,MATCH($D$5,$E$6:$H$6,0)),载具产出!$E$112:$E$151,1),0),MATCH(AB$6,载具产出!$G$111:$O$111,0))*2</f>
        <v>22.24</v>
      </c>
      <c r="AC240" s="40">
        <f ca="1">OFFSET(载具产出!$F$399,IFERROR(MATCH(OFFSET($D240,0,MATCH($D$5,$E$6:$H$6,0)),载具产出!$E$112:$E$151,1),0),MATCH(AC$6,载具产出!$G$111:$O$111,0))*2</f>
        <v>13.28</v>
      </c>
      <c r="AD240" s="40">
        <f ca="1">OFFSET(载具产出!$F$399,IFERROR(MATCH(OFFSET($D240,0,MATCH($D$5,$E$6:$H$6,0)),载具产出!$E$112:$E$151,1),0),MATCH(AD$6,载具产出!$G$111:$O$111,0))*2</f>
        <v>0.48</v>
      </c>
      <c r="AE240" s="44">
        <f ca="1">SUM(AA$36:AA240)/3</f>
        <v>1448.8</v>
      </c>
      <c r="AF240" s="44">
        <f ca="1">SUM(AB$36:AB240)/3</f>
        <v>1577.97333333333</v>
      </c>
      <c r="AG240" s="44">
        <f ca="1">SUM(AC$36:AC240)/3</f>
        <v>451.199999999999</v>
      </c>
      <c r="AH240" s="44">
        <f ca="1">SUM(AD$36:AD240)/3</f>
        <v>3.36</v>
      </c>
      <c r="AI240" s="44">
        <f>_xlfn.XLOOKUP($D$5,载具产出!$D$71:$D$75,载具产出!$E$71:$E$75)*(D240-30+1)</f>
        <v>2411.19047619048</v>
      </c>
      <c r="AJ240" s="44">
        <f>IFERROR(MATCH(_xlfn.XLOOKUP($D$5,载具产出!$D$71:$D$75,载具产出!$E$71:$E$75)*(D240-30+1)*10,载具产出!$E$60:$E$67,1),0)+1</f>
        <v>7</v>
      </c>
      <c r="AK240" s="44">
        <f ca="1">IF($AJ240=1,($AI240)*(10*OFFSET(载具产出!$D$45,MATCH(AK$6,$AK$6:$AN$6,0)-1,$AJ240)+OFFSET(载具产出!$D$49,MATCH(AK$6,$AK$6:$AN$6,0)-1,$AJ240)*OFFSET(载具产出!$N$49,MATCH(AK$6,$AK$6:$AN$6,0)-1,0)),OFFSET(载具产出!F$59,$AJ240-1,0)*10+OFFSET(载具产出!J$59,$AJ240-1,0)+($AI240*10-_xlfn.XLOOKUP($AJ240-1,载具产出!$D$59:$D$67,载具产出!$E$59:$E$67))/10*(10*OFFSET(载具产出!$D$45,MATCH(AK$6,$AK$6:$AN$6,0)-1,$AJ240)+OFFSET(载具产出!$D$49,MATCH(AK$6,$AK$6:$AN$6,0)-1,$AJ240)*OFFSET(载具产出!$N$49,MATCH(AK$6,$AK$6:$AN$6,0)-1,0)))</f>
        <v>5277.38428571429</v>
      </c>
      <c r="AL240" s="44">
        <f ca="1">IF($AJ240=1,($AI240)*(10*OFFSET(载具产出!$D$45,MATCH(AL$6,$AK$6:$AN$6,0)-1,$AJ240)+OFFSET(载具产出!$D$49,MATCH(AL$6,$AK$6:$AN$6,0)-1,$AJ240)*OFFSET(载具产出!$N$49,MATCH(AL$6,$AK$6:$AN$6,0)-1,0)),OFFSET(载具产出!G$59,$AJ240-1,0)*10+OFFSET(载具产出!K$59,$AJ240-1,0)+($AI240*10-_xlfn.XLOOKUP($AJ240-1,载具产出!$D$59:$D$67,载具产出!$E$59:$E$67))/10*(10*OFFSET(载具产出!$D$45,MATCH(AL$6,$AK$6:$AN$6,0)-1,$AJ240)+OFFSET(载具产出!$D$49,MATCH(AL$6,$AK$6:$AN$6,0)-1,$AJ240)*OFFSET(载具产出!$N$49,MATCH(AL$6,$AK$6:$AN$6,0)-1,0)))</f>
        <v>2167.81904761905</v>
      </c>
      <c r="AM240" s="44">
        <f ca="1">IF($AJ240=1,($AI240)*(10*OFFSET(载具产出!$D$45,MATCH(AM$6,$AK$6:$AN$6,0)-1,$AJ240)+OFFSET(载具产出!$D$49,MATCH(AM$6,$AK$6:$AN$6,0)-1,$AJ240)*OFFSET(载具产出!$N$49,MATCH(AM$6,$AK$6:$AN$6,0)-1,0)),OFFSET(载具产出!H$59,$AJ240-1,0)*10+OFFSET(载具产出!L$59,$AJ240-1,0)+($AI240*10-_xlfn.XLOOKUP($AJ240-1,载具产出!$D$59:$D$67,载具产出!$E$59:$E$67))/10*(10*OFFSET(载具产出!$D$45,MATCH(AM$6,$AK$6:$AN$6,0)-1,$AJ240)+OFFSET(载具产出!$D$49,MATCH(AM$6,$AK$6:$AN$6,0)-1,$AJ240)*OFFSET(载具产出!$N$49,MATCH(AM$6,$AK$6:$AN$6,0)-1,0)))</f>
        <v>1183.34857142857</v>
      </c>
      <c r="AN240" s="44">
        <f ca="1">IF($AJ240=1,($AI240)*(10*OFFSET(载具产出!$D$45,MATCH(AN$6,$AK$6:$AN$6,0)-1,$AJ240)+OFFSET(载具产出!$D$49,MATCH(AN$6,$AK$6:$AN$6,0)-1,$AJ240)*OFFSET(载具产出!$N$49,MATCH(AN$6,$AK$6:$AN$6,0)-1,0)),OFFSET(载具产出!I$59,$AJ240-1,0)*10+OFFSET(载具产出!M$59,$AJ240-1,0)+($AI240*10-_xlfn.XLOOKUP($AJ240-1,载具产出!$D$59:$D$67,载具产出!$E$59:$E$67))/10*(10*OFFSET(载具产出!$D$45,MATCH(AN$6,$AK$6:$AN$6,0)-1,$AJ240)+OFFSET(载具产出!$D$49,MATCH(AN$6,$AK$6:$AN$6,0)-1,$AJ240)*OFFSET(载具产出!$N$49,MATCH(AN$6,$AK$6:$AN$6,0)-1,0)))</f>
        <v>366.091190476191</v>
      </c>
      <c r="AO240" s="44">
        <f ca="1" t="shared" si="60"/>
        <v>6726.18428571429</v>
      </c>
      <c r="AP240" s="44">
        <f ca="1" t="shared" si="61"/>
        <v>3745.79238095238</v>
      </c>
      <c r="AQ240" s="44">
        <f ca="1" t="shared" si="62"/>
        <v>1634.54857142857</v>
      </c>
      <c r="AR240" s="44">
        <f ca="1" t="shared" si="63"/>
        <v>369.451190476191</v>
      </c>
      <c r="AS240" s="45">
        <f ca="1">IFERROR(MATCH(AO240/载具产出!R$58,载具属性!$G$33:$G$92,1),0)</f>
        <v>38</v>
      </c>
      <c r="AT240" s="45">
        <f ca="1">IFERROR(MATCH(AP240/载具产出!S$58,载具属性!$G$33:$G$92,1),0)</f>
        <v>26</v>
      </c>
      <c r="AU240" s="45">
        <f ca="1">IFERROR(MATCH(AQ240/载具产出!T$58,载具属性!$G$33:$G$92,1),0)</f>
        <v>16</v>
      </c>
      <c r="AV240" s="45">
        <f ca="1">IFERROR(MATCH(AR240/载具产出!U$58,载具属性!$G$33:$G$92,1),0)</f>
        <v>6</v>
      </c>
      <c r="AW240" s="46" t="str">
        <f ca="1" t="shared" si="64"/>
        <v>[{62,1417},{63,179000},{2,518000},{6030001,4127},{6030002,4551},{6030003,1303},{6030004,8}]</v>
      </c>
      <c r="AX240" t="str">
        <f ca="1" t="shared" si="65"/>
        <v>{62,1417}</v>
      </c>
      <c r="AY240" t="str">
        <f ca="1" t="shared" si="66"/>
        <v>{63,179000}</v>
      </c>
      <c r="AZ240" t="str">
        <f ca="1" t="shared" si="67"/>
        <v>{2,518000}</v>
      </c>
      <c r="BA240" t="str">
        <f ca="1" t="shared" si="68"/>
        <v>{6030001,4127}</v>
      </c>
      <c r="BB240" t="str">
        <f ca="1" t="shared" si="69"/>
        <v>{6030002,4551}</v>
      </c>
      <c r="BC240" t="str">
        <f ca="1" t="shared" si="70"/>
        <v>{6030003,1303}</v>
      </c>
      <c r="BD240" t="str">
        <f ca="1" t="shared" si="71"/>
        <v>{6030004,8}</v>
      </c>
    </row>
    <row r="241" spans="3:56">
      <c r="C241">
        <f ca="1" t="shared" si="59"/>
        <v>122.871287128713</v>
      </c>
      <c r="D241" s="40">
        <v>235</v>
      </c>
      <c r="E241" s="40">
        <f t="shared" si="72"/>
        <v>128</v>
      </c>
      <c r="F241" s="40">
        <v>148</v>
      </c>
      <c r="G241" s="41">
        <f t="shared" si="74"/>
        <v>202</v>
      </c>
      <c r="H241" s="40">
        <f>H240+1</f>
        <v>260</v>
      </c>
      <c r="I241" s="40">
        <f t="shared" si="58"/>
        <v>496</v>
      </c>
      <c r="J241" s="40">
        <f t="shared" si="73"/>
        <v>496</v>
      </c>
      <c r="K241" s="40">
        <f ca="1">SUM(U$36:U241)-SUM(OFFSET(载具产出!H$399,0,0,$R241+1,1))</f>
        <v>1424</v>
      </c>
      <c r="L241" s="40">
        <f ca="1">SUM(T$36:T241)-SUM(OFFSET(载具产出!G$399,0,0,$R241+1,1))</f>
        <v>180105</v>
      </c>
      <c r="M241" s="40">
        <f ca="1">SUM(V$36:V241)/2-SUM(OFFSET(载具产出!I$399,0,0,$R241+1,1))</f>
        <v>521500</v>
      </c>
      <c r="N241" s="40">
        <f ca="1">SUM(AA$36:AA241)-SUM(OFFSET(载具产出!J$399,0,0,$R241+1,1))</f>
        <v>4145.6</v>
      </c>
      <c r="O241" s="40">
        <f ca="1">SUM(AB$36:AB241)-SUM(OFFSET(载具产出!K$399,0,0,$R241+1,1))</f>
        <v>4573.87999999998</v>
      </c>
      <c r="P241" s="40">
        <f ca="1">SUM(AC$36:AC241)-SUM(OFFSET(载具产出!L$399,0,0,$R241+1,1))</f>
        <v>1316.4</v>
      </c>
      <c r="Q241" s="40">
        <f ca="1">SUM(AD$36:AD241)-SUM(OFFSET(载具产出!M$399,0,0,$R241+1,1))</f>
        <v>9.12000000000001</v>
      </c>
      <c r="R241" s="40">
        <v>18</v>
      </c>
      <c r="S241" s="40" t="str">
        <f ca="1">OFFSET(载具产出!$D$111,IFERROR(MATCH(OFFSET($D241,0,MATCH($D$5,$E$6:$H$6,0)),载具产出!$E$112:$E$151,1),0),0)</f>
        <v>卓越Ⅰ</v>
      </c>
      <c r="T241" s="40">
        <f ca="1">OFFSET(载具产出!$F$399,IFERROR(MATCH(OFFSET($D241,0,MATCH($D$5,$E$6:$H$6,0)),载具产出!$E$400:$E$439,1),0),MATCH(T$6,载具产出!$G$399:$O$399,0))</f>
        <v>1105</v>
      </c>
      <c r="U241" s="40">
        <v>7</v>
      </c>
      <c r="V241" s="40">
        <f ca="1">OFFSET(载具产出!$F$399,IFERROR(MATCH(OFFSET($D241,0,MATCH($D$5,$E$6:$H$6,0)),载具产出!$E$400:$E$439,1),0),MATCH(V$6,载具产出!$G$399:$O$399,0))</f>
        <v>7000</v>
      </c>
      <c r="W241" s="43">
        <f ca="1">_xlfn.XLOOKUP(Z241,载具属性!$E$98:$E$497,载具属性!$G$98:$G$497)+6000+OFFSET(载具属性!L$33,AS241,0)*载具属性!M$30+OFFSET(载具属性!M$33,AT241,0)*载具属性!N$30+OFFSET(载具属性!N$33,AU241,0)*载具属性!O$30+OFFSET(载具属性!O$33,AV241,0)*载具属性!P$30</f>
        <v>24820</v>
      </c>
      <c r="X241" s="43">
        <f ca="1">_xlfn.XLOOKUP(Z241,载具属性!$E$98:$E$497,载具属性!$G$98:$G$497)</f>
        <v>11830</v>
      </c>
      <c r="Y241" s="43">
        <f ca="1">OFFSET(载具属性!L$33,AS241,0)*载具属性!M$30+OFFSET(载具属性!M$33,AT241,0)*载具属性!N$30+OFFSET(载具属性!N$33,AU241,0)*载具属性!O$30+OFFSET(载具属性!O$33,AV241,0)*载具属性!P$30</f>
        <v>6990</v>
      </c>
      <c r="Z241" s="40">
        <f ca="1">MATCH(SUM($T$7:T241),载具属性!$I$98:$I$497,1)</f>
        <v>172</v>
      </c>
      <c r="AA241" s="40">
        <f ca="1">OFFSET(载具产出!$F$399,IFERROR(MATCH(OFFSET($D241,0,MATCH($D$5,$E$6:$H$6,0)),载具产出!$E$112:$E$151,1),0),MATCH(AA$6,载具产出!$G$111:$O$111,0))*2</f>
        <v>18</v>
      </c>
      <c r="AB241" s="40">
        <f ca="1">OFFSET(载具产出!$F$399,IFERROR(MATCH(OFFSET($D241,0,MATCH($D$5,$E$6:$H$6,0)),载具产出!$E$112:$E$151,1),0),MATCH(AB$6,载具产出!$G$111:$O$111,0))*2</f>
        <v>22.24</v>
      </c>
      <c r="AC241" s="40">
        <f ca="1">OFFSET(载具产出!$F$399,IFERROR(MATCH(OFFSET($D241,0,MATCH($D$5,$E$6:$H$6,0)),载具产出!$E$112:$E$151,1),0),MATCH(AC$6,载具产出!$G$111:$O$111,0))*2</f>
        <v>13.28</v>
      </c>
      <c r="AD241" s="40">
        <f ca="1">OFFSET(载具产出!$F$399,IFERROR(MATCH(OFFSET($D241,0,MATCH($D$5,$E$6:$H$6,0)),载具产出!$E$112:$E$151,1),0),MATCH(AD$6,载具产出!$G$111:$O$111,0))*2</f>
        <v>0.48</v>
      </c>
      <c r="AE241" s="44">
        <f ca="1">SUM(AA$36:AA241)/3</f>
        <v>1454.8</v>
      </c>
      <c r="AF241" s="44">
        <f ca="1">SUM(AB$36:AB241)/3</f>
        <v>1585.38666666666</v>
      </c>
      <c r="AG241" s="44">
        <f ca="1">SUM(AC$36:AC241)/3</f>
        <v>455.626666666666</v>
      </c>
      <c r="AH241" s="44">
        <f ca="1">SUM(AD$36:AD241)/3</f>
        <v>3.52</v>
      </c>
      <c r="AI241" s="44">
        <f>_xlfn.XLOOKUP($D$5,载具产出!$D$71:$D$75,载具产出!$E$71:$E$75)*(D241-30+1)</f>
        <v>2422.95238095239</v>
      </c>
      <c r="AJ241" s="44">
        <f>IFERROR(MATCH(_xlfn.XLOOKUP($D$5,载具产出!$D$71:$D$75,载具产出!$E$71:$E$75)*(D241-30+1)*10,载具产出!$E$60:$E$67,1),0)+1</f>
        <v>7</v>
      </c>
      <c r="AK241" s="44">
        <f ca="1">IF($AJ241=1,($AI241)*(10*OFFSET(载具产出!$D$45,MATCH(AK$6,$AK$6:$AN$6,0)-1,$AJ241)+OFFSET(载具产出!$D$49,MATCH(AK$6,$AK$6:$AN$6,0)-1,$AJ241)*OFFSET(载具产出!$N$49,MATCH(AK$6,$AK$6:$AN$6,0)-1,0)),OFFSET(载具产出!F$59,$AJ241-1,0)*10+OFFSET(载具产出!J$59,$AJ241-1,0)+($AI241*10-_xlfn.XLOOKUP($AJ241-1,载具产出!$D$59:$D$67,载具产出!$E$59:$E$67))/10*(10*OFFSET(载具产出!$D$45,MATCH(AK$6,$AK$6:$AN$6,0)-1,$AJ241)+OFFSET(载具产出!$D$49,MATCH(AK$6,$AK$6:$AN$6,0)-1,$AJ241)*OFFSET(载具产出!$N$49,MATCH(AK$6,$AK$6:$AN$6,0)-1,0)))</f>
        <v>5302.22542857145</v>
      </c>
      <c r="AL241" s="44">
        <f ca="1">IF($AJ241=1,($AI241)*(10*OFFSET(载具产出!$D$45,MATCH(AL$6,$AK$6:$AN$6,0)-1,$AJ241)+OFFSET(载具产出!$D$49,MATCH(AL$6,$AK$6:$AN$6,0)-1,$AJ241)*OFFSET(载具产出!$N$49,MATCH(AL$6,$AK$6:$AN$6,0)-1,0)),OFFSET(载具产出!G$59,$AJ241-1,0)*10+OFFSET(载具产出!K$59,$AJ241-1,0)+($AI241*10-_xlfn.XLOOKUP($AJ241-1,载具产出!$D$59:$D$67,载具产出!$E$59:$E$67))/10*(10*OFFSET(载具产出!$D$45,MATCH(AL$6,$AK$6:$AN$6,0)-1,$AJ241)+OFFSET(载具产出!$D$49,MATCH(AL$6,$AK$6:$AN$6,0)-1,$AJ241)*OFFSET(载具产出!$N$49,MATCH(AL$6,$AK$6:$AN$6,0)-1,0)))</f>
        <v>2178.87523809525</v>
      </c>
      <c r="AM241" s="44">
        <f ca="1">IF($AJ241=1,($AI241)*(10*OFFSET(载具产出!$D$45,MATCH(AM$6,$AK$6:$AN$6,0)-1,$AJ241)+OFFSET(载具产出!$D$49,MATCH(AM$6,$AK$6:$AN$6,0)-1,$AJ241)*OFFSET(载具产出!$N$49,MATCH(AM$6,$AK$6:$AN$6,0)-1,0)),OFFSET(载具产出!H$59,$AJ241-1,0)*10+OFFSET(载具产出!L$59,$AJ241-1,0)+($AI241*10-_xlfn.XLOOKUP($AJ241-1,载具产出!$D$59:$D$67,载具产出!$E$59:$E$67))/10*(10*OFFSET(载具产出!$D$45,MATCH(AM$6,$AK$6:$AN$6,0)-1,$AJ241)+OFFSET(载具产出!$D$49,MATCH(AM$6,$AK$6:$AN$6,0)-1,$AJ241)*OFFSET(载具产出!$N$49,MATCH(AM$6,$AK$6:$AN$6,0)-1,0)))</f>
        <v>1189.55885714286</v>
      </c>
      <c r="AN241" s="44">
        <f ca="1">IF($AJ241=1,($AI241)*(10*OFFSET(载具产出!$D$45,MATCH(AN$6,$AK$6:$AN$6,0)-1,$AJ241)+OFFSET(载具产出!$D$49,MATCH(AN$6,$AK$6:$AN$6,0)-1,$AJ241)*OFFSET(载具产出!$N$49,MATCH(AN$6,$AK$6:$AN$6,0)-1,0)),OFFSET(载具产出!I$59,$AJ241-1,0)*10+OFFSET(载具产出!M$59,$AJ241-1,0)+($AI241*10-_xlfn.XLOOKUP($AJ241-1,载具产出!$D$59:$D$67,载具产出!$E$59:$E$67))/10*(10*OFFSET(载具产出!$D$45,MATCH(AN$6,$AK$6:$AN$6,0)-1,$AJ241)+OFFSET(载具产出!$D$49,MATCH(AN$6,$AK$6:$AN$6,0)-1,$AJ241)*OFFSET(载具产出!$N$49,MATCH(AN$6,$AK$6:$AN$6,0)-1,0)))</f>
        <v>368.078952380954</v>
      </c>
      <c r="AO241" s="44">
        <f ca="1" t="shared" si="60"/>
        <v>6757.02542857145</v>
      </c>
      <c r="AP241" s="44">
        <f ca="1" t="shared" si="61"/>
        <v>3764.26190476191</v>
      </c>
      <c r="AQ241" s="44">
        <f ca="1" t="shared" si="62"/>
        <v>1645.18552380953</v>
      </c>
      <c r="AR241" s="44">
        <f ca="1" t="shared" si="63"/>
        <v>371.598952380954</v>
      </c>
      <c r="AS241" s="45">
        <f ca="1">IFERROR(MATCH(AO241/载具产出!R$58,载具属性!$G$33:$G$92,1),0)</f>
        <v>38</v>
      </c>
      <c r="AT241" s="45">
        <f ca="1">IFERROR(MATCH(AP241/载具产出!S$58,载具属性!$G$33:$G$92,1),0)</f>
        <v>26</v>
      </c>
      <c r="AU241" s="45">
        <f ca="1">IFERROR(MATCH(AQ241/载具产出!T$58,载具属性!$G$33:$G$92,1),0)</f>
        <v>16</v>
      </c>
      <c r="AV241" s="45">
        <f ca="1">IFERROR(MATCH(AR241/载具产出!U$58,载具属性!$G$33:$G$92,1),0)</f>
        <v>6</v>
      </c>
      <c r="AW241" s="46" t="str">
        <f ca="1" t="shared" si="64"/>
        <v>[{62,1424},{63,180105},{2,521500},{6030001,4145},{6030002,4573},{6030003,1316},{6030004,9}]</v>
      </c>
      <c r="AX241" t="str">
        <f ca="1" t="shared" si="65"/>
        <v>{62,1424}</v>
      </c>
      <c r="AY241" t="str">
        <f ca="1" t="shared" si="66"/>
        <v>{63,180105}</v>
      </c>
      <c r="AZ241" t="str">
        <f ca="1" t="shared" si="67"/>
        <v>{2,521500}</v>
      </c>
      <c r="BA241" t="str">
        <f ca="1" t="shared" si="68"/>
        <v>{6030001,4145}</v>
      </c>
      <c r="BB241" t="str">
        <f ca="1" t="shared" si="69"/>
        <v>{6030002,4573}</v>
      </c>
      <c r="BC241" t="str">
        <f ca="1" t="shared" si="70"/>
        <v>{6030003,1316}</v>
      </c>
      <c r="BD241" t="str">
        <f ca="1" t="shared" si="71"/>
        <v>{6030004,9}</v>
      </c>
    </row>
    <row r="242" spans="3:56">
      <c r="C242">
        <f ca="1" t="shared" si="59"/>
        <v>122.266009852217</v>
      </c>
      <c r="D242" s="40">
        <v>236</v>
      </c>
      <c r="E242" s="40">
        <f t="shared" si="72"/>
        <v>128</v>
      </c>
      <c r="F242" s="40">
        <v>148</v>
      </c>
      <c r="G242" s="41">
        <f t="shared" si="74"/>
        <v>203</v>
      </c>
      <c r="H242" s="40">
        <f>H241</f>
        <v>260</v>
      </c>
      <c r="I242" s="40">
        <f t="shared" si="58"/>
        <v>498</v>
      </c>
      <c r="J242" s="40">
        <f t="shared" si="73"/>
        <v>498</v>
      </c>
      <c r="K242" s="40">
        <f ca="1">SUM(U$36:U242)-SUM(OFFSET(载具产出!H$399,0,0,$R242+1,1))</f>
        <v>1431</v>
      </c>
      <c r="L242" s="40">
        <f ca="1">SUM(T$36:T242)-SUM(OFFSET(载具产出!G$399,0,0,$R242+1,1))</f>
        <v>181210</v>
      </c>
      <c r="M242" s="40">
        <f ca="1">SUM(V$36:V242)/2-SUM(OFFSET(载具产出!I$399,0,0,$R242+1,1))</f>
        <v>525000</v>
      </c>
      <c r="N242" s="40">
        <f ca="1">SUM(AA$36:AA242)-SUM(OFFSET(载具产出!J$399,0,0,$R242+1,1))</f>
        <v>4163.6</v>
      </c>
      <c r="O242" s="40">
        <f ca="1">SUM(AB$36:AB242)-SUM(OFFSET(载具产出!K$399,0,0,$R242+1,1))</f>
        <v>4596.11999999998</v>
      </c>
      <c r="P242" s="40">
        <f ca="1">SUM(AC$36:AC242)-SUM(OFFSET(载具产出!L$399,0,0,$R242+1,1))</f>
        <v>1329.68</v>
      </c>
      <c r="Q242" s="40">
        <f ca="1">SUM(AD$36:AD242)-SUM(OFFSET(载具产出!M$399,0,0,$R242+1,1))</f>
        <v>9.60000000000001</v>
      </c>
      <c r="R242" s="40">
        <v>18</v>
      </c>
      <c r="S242" s="40" t="str">
        <f ca="1">OFFSET(载具产出!$D$111,IFERROR(MATCH(OFFSET($D242,0,MATCH($D$5,$E$6:$H$6,0)),载具产出!$E$112:$E$151,1),0),0)</f>
        <v>卓越Ⅰ</v>
      </c>
      <c r="T242" s="40">
        <f ca="1">OFFSET(载具产出!$F$399,IFERROR(MATCH(OFFSET($D242,0,MATCH($D$5,$E$6:$H$6,0)),载具产出!$E$400:$E$439,1),0),MATCH(T$6,载具产出!$G$399:$O$399,0))</f>
        <v>1105</v>
      </c>
      <c r="U242" s="40">
        <v>7</v>
      </c>
      <c r="V242" s="40">
        <f ca="1">OFFSET(载具产出!$F$399,IFERROR(MATCH(OFFSET($D242,0,MATCH($D$5,$E$6:$H$6,0)),载具产出!$E$400:$E$439,1),0),MATCH(V$6,载具产出!$G$399:$O$399,0))</f>
        <v>7000</v>
      </c>
      <c r="W242" s="43">
        <f ca="1">_xlfn.XLOOKUP(Z242,载具属性!$E$98:$E$497,载具属性!$G$98:$G$497)+6000+OFFSET(载具属性!L$33,AS242,0)*载具属性!M$30+OFFSET(载具属性!M$33,AT242,0)*载具属性!N$30+OFFSET(载具属性!N$33,AU242,0)*载具属性!O$30+OFFSET(载具属性!O$33,AV242,0)*载具属性!P$30</f>
        <v>24820</v>
      </c>
      <c r="X242" s="43">
        <f ca="1">_xlfn.XLOOKUP(Z242,载具属性!$E$98:$E$497,载具属性!$G$98:$G$497)</f>
        <v>11830</v>
      </c>
      <c r="Y242" s="43">
        <f ca="1">OFFSET(载具属性!L$33,AS242,0)*载具属性!M$30+OFFSET(载具属性!M$33,AT242,0)*载具属性!N$30+OFFSET(载具属性!N$33,AU242,0)*载具属性!O$30+OFFSET(载具属性!O$33,AV242,0)*载具属性!P$30</f>
        <v>6990</v>
      </c>
      <c r="Z242" s="40">
        <f ca="1">MATCH(SUM($T$7:T242),载具属性!$I$98:$I$497,1)</f>
        <v>172</v>
      </c>
      <c r="AA242" s="40">
        <f ca="1">OFFSET(载具产出!$F$399,IFERROR(MATCH(OFFSET($D242,0,MATCH($D$5,$E$6:$H$6,0)),载具产出!$E$112:$E$151,1),0),MATCH(AA$6,载具产出!$G$111:$O$111,0))*2</f>
        <v>18</v>
      </c>
      <c r="AB242" s="40">
        <f ca="1">OFFSET(载具产出!$F$399,IFERROR(MATCH(OFFSET($D242,0,MATCH($D$5,$E$6:$H$6,0)),载具产出!$E$112:$E$151,1),0),MATCH(AB$6,载具产出!$G$111:$O$111,0))*2</f>
        <v>22.24</v>
      </c>
      <c r="AC242" s="40">
        <f ca="1">OFFSET(载具产出!$F$399,IFERROR(MATCH(OFFSET($D242,0,MATCH($D$5,$E$6:$H$6,0)),载具产出!$E$112:$E$151,1),0),MATCH(AC$6,载具产出!$G$111:$O$111,0))*2</f>
        <v>13.28</v>
      </c>
      <c r="AD242" s="40">
        <f ca="1">OFFSET(载具产出!$F$399,IFERROR(MATCH(OFFSET($D242,0,MATCH($D$5,$E$6:$H$6,0)),载具产出!$E$112:$E$151,1),0),MATCH(AD$6,载具产出!$G$111:$O$111,0))*2</f>
        <v>0.48</v>
      </c>
      <c r="AE242" s="44">
        <f ca="1">SUM(AA$36:AA242)/3</f>
        <v>1460.8</v>
      </c>
      <c r="AF242" s="44">
        <f ca="1">SUM(AB$36:AB242)/3</f>
        <v>1592.79999999999</v>
      </c>
      <c r="AG242" s="44">
        <f ca="1">SUM(AC$36:AC242)/3</f>
        <v>460.053333333333</v>
      </c>
      <c r="AH242" s="44">
        <f ca="1">SUM(AD$36:AD242)/3</f>
        <v>3.68</v>
      </c>
      <c r="AI242" s="44">
        <f>_xlfn.XLOOKUP($D$5,载具产出!$D$71:$D$75,载具产出!$E$71:$E$75)*(D242-30+1)</f>
        <v>2434.71428571429</v>
      </c>
      <c r="AJ242" s="44">
        <f>IFERROR(MATCH(_xlfn.XLOOKUP($D$5,载具产出!$D$71:$D$75,载具产出!$E$71:$E$75)*(D242-30+1)*10,载具产出!$E$60:$E$67,1),0)+1</f>
        <v>7</v>
      </c>
      <c r="AK242" s="44">
        <f ca="1">IF($AJ242=1,($AI242)*(10*OFFSET(载具产出!$D$45,MATCH(AK$6,$AK$6:$AN$6,0)-1,$AJ242)+OFFSET(载具产出!$D$49,MATCH(AK$6,$AK$6:$AN$6,0)-1,$AJ242)*OFFSET(载具产出!$N$49,MATCH(AK$6,$AK$6:$AN$6,0)-1,0)),OFFSET(载具产出!F$59,$AJ242-1,0)*10+OFFSET(载具产出!J$59,$AJ242-1,0)+($AI242*10-_xlfn.XLOOKUP($AJ242-1,载具产出!$D$59:$D$67,载具产出!$E$59:$E$67))/10*(10*OFFSET(载具产出!$D$45,MATCH(AK$6,$AK$6:$AN$6,0)-1,$AJ242)+OFFSET(载具产出!$D$49,MATCH(AK$6,$AK$6:$AN$6,0)-1,$AJ242)*OFFSET(载具产出!$N$49,MATCH(AK$6,$AK$6:$AN$6,0)-1,0)))</f>
        <v>5327.06657142858</v>
      </c>
      <c r="AL242" s="44">
        <f ca="1">IF($AJ242=1,($AI242)*(10*OFFSET(载具产出!$D$45,MATCH(AL$6,$AK$6:$AN$6,0)-1,$AJ242)+OFFSET(载具产出!$D$49,MATCH(AL$6,$AK$6:$AN$6,0)-1,$AJ242)*OFFSET(载具产出!$N$49,MATCH(AL$6,$AK$6:$AN$6,0)-1,0)),OFFSET(载具产出!G$59,$AJ242-1,0)*10+OFFSET(载具产出!K$59,$AJ242-1,0)+($AI242*10-_xlfn.XLOOKUP($AJ242-1,载具产出!$D$59:$D$67,载具产出!$E$59:$E$67))/10*(10*OFFSET(载具产出!$D$45,MATCH(AL$6,$AK$6:$AN$6,0)-1,$AJ242)+OFFSET(载具产出!$D$49,MATCH(AL$6,$AK$6:$AN$6,0)-1,$AJ242)*OFFSET(载具产出!$N$49,MATCH(AL$6,$AK$6:$AN$6,0)-1,0)))</f>
        <v>2189.93142857143</v>
      </c>
      <c r="AM242" s="44">
        <f ca="1">IF($AJ242=1,($AI242)*(10*OFFSET(载具产出!$D$45,MATCH(AM$6,$AK$6:$AN$6,0)-1,$AJ242)+OFFSET(载具产出!$D$49,MATCH(AM$6,$AK$6:$AN$6,0)-1,$AJ242)*OFFSET(载具产出!$N$49,MATCH(AM$6,$AK$6:$AN$6,0)-1,0)),OFFSET(载具产出!H$59,$AJ242-1,0)*10+OFFSET(载具产出!L$59,$AJ242-1,0)+($AI242*10-_xlfn.XLOOKUP($AJ242-1,载具产出!$D$59:$D$67,载具产出!$E$59:$E$67))/10*(10*OFFSET(载具产出!$D$45,MATCH(AM$6,$AK$6:$AN$6,0)-1,$AJ242)+OFFSET(载具产出!$D$49,MATCH(AM$6,$AK$6:$AN$6,0)-1,$AJ242)*OFFSET(载具产出!$N$49,MATCH(AM$6,$AK$6:$AN$6,0)-1,0)))</f>
        <v>1195.76914285714</v>
      </c>
      <c r="AN242" s="44">
        <f ca="1">IF($AJ242=1,($AI242)*(10*OFFSET(载具产出!$D$45,MATCH(AN$6,$AK$6:$AN$6,0)-1,$AJ242)+OFFSET(载具产出!$D$49,MATCH(AN$6,$AK$6:$AN$6,0)-1,$AJ242)*OFFSET(载具产出!$N$49,MATCH(AN$6,$AK$6:$AN$6,0)-1,0)),OFFSET(载具产出!I$59,$AJ242-1,0)*10+OFFSET(载具产出!M$59,$AJ242-1,0)+($AI242*10-_xlfn.XLOOKUP($AJ242-1,载具产出!$D$59:$D$67,载具产出!$E$59:$E$67))/10*(10*OFFSET(载具产出!$D$45,MATCH(AN$6,$AK$6:$AN$6,0)-1,$AJ242)+OFFSET(载具产出!$D$49,MATCH(AN$6,$AK$6:$AN$6,0)-1,$AJ242)*OFFSET(载具产出!$N$49,MATCH(AN$6,$AK$6:$AN$6,0)-1,0)))</f>
        <v>370.066714285715</v>
      </c>
      <c r="AO242" s="44">
        <f ca="1" t="shared" si="60"/>
        <v>6787.86657142858</v>
      </c>
      <c r="AP242" s="44">
        <f ca="1" t="shared" si="61"/>
        <v>3782.73142857143</v>
      </c>
      <c r="AQ242" s="44">
        <f ca="1" t="shared" si="62"/>
        <v>1655.82247619048</v>
      </c>
      <c r="AR242" s="44">
        <f ca="1" t="shared" si="63"/>
        <v>373.746714285715</v>
      </c>
      <c r="AS242" s="45">
        <f ca="1">IFERROR(MATCH(AO242/载具产出!R$58,载具属性!$G$33:$G$92,1),0)</f>
        <v>38</v>
      </c>
      <c r="AT242" s="45">
        <f ca="1">IFERROR(MATCH(AP242/载具产出!S$58,载具属性!$G$33:$G$92,1),0)</f>
        <v>26</v>
      </c>
      <c r="AU242" s="45">
        <f ca="1">IFERROR(MATCH(AQ242/载具产出!T$58,载具属性!$G$33:$G$92,1),0)</f>
        <v>16</v>
      </c>
      <c r="AV242" s="45">
        <f ca="1">IFERROR(MATCH(AR242/载具产出!U$58,载具属性!$G$33:$G$92,1),0)</f>
        <v>6</v>
      </c>
      <c r="AW242" s="46" t="str">
        <f ca="1" t="shared" si="64"/>
        <v>[{62,1431},{63,181210},{2,525000},{6030001,4163},{6030002,4596},{6030003,1329},{6030004,9}]</v>
      </c>
      <c r="AX242" t="str">
        <f ca="1" t="shared" si="65"/>
        <v>{62,1431}</v>
      </c>
      <c r="AY242" t="str">
        <f ca="1" t="shared" si="66"/>
        <v>{63,181210}</v>
      </c>
      <c r="AZ242" t="str">
        <f ca="1" t="shared" si="67"/>
        <v>{2,525000}</v>
      </c>
      <c r="BA242" t="str">
        <f ca="1" t="shared" si="68"/>
        <v>{6030001,4163}</v>
      </c>
      <c r="BB242" t="str">
        <f ca="1" t="shared" si="69"/>
        <v>{6030002,4596}</v>
      </c>
      <c r="BC242" t="str">
        <f ca="1" t="shared" si="70"/>
        <v>{6030003,1329}</v>
      </c>
      <c r="BD242" t="str">
        <f ca="1" t="shared" si="71"/>
        <v>{6030004,9}</v>
      </c>
    </row>
    <row r="243" spans="3:56">
      <c r="C243">
        <f ca="1" t="shared" si="59"/>
        <v>122.709359605911</v>
      </c>
      <c r="D243" s="40">
        <v>237</v>
      </c>
      <c r="E243" s="40">
        <f t="shared" si="72"/>
        <v>128</v>
      </c>
      <c r="F243" s="40">
        <v>148</v>
      </c>
      <c r="G243" s="41">
        <f t="shared" si="74"/>
        <v>203</v>
      </c>
      <c r="H243" s="40">
        <f>H242+1</f>
        <v>261</v>
      </c>
      <c r="I243" s="40">
        <f t="shared" si="58"/>
        <v>500</v>
      </c>
      <c r="J243" s="40">
        <f t="shared" si="73"/>
        <v>500</v>
      </c>
      <c r="K243" s="40">
        <f ca="1">SUM(U$36:U243)-SUM(OFFSET(载具产出!H$399,0,0,$R243+1,1))</f>
        <v>1438</v>
      </c>
      <c r="L243" s="40">
        <f ca="1">SUM(T$36:T243)-SUM(OFFSET(载具产出!G$399,0,0,$R243+1,1))</f>
        <v>182315</v>
      </c>
      <c r="M243" s="40">
        <f ca="1">SUM(V$36:V243)/2-SUM(OFFSET(载具产出!I$399,0,0,$R243+1,1))</f>
        <v>528500</v>
      </c>
      <c r="N243" s="40">
        <f ca="1">SUM(AA$36:AA243)-SUM(OFFSET(载具产出!J$399,0,0,$R243+1,1))</f>
        <v>4181.6</v>
      </c>
      <c r="O243" s="40">
        <f ca="1">SUM(AB$36:AB243)-SUM(OFFSET(载具产出!K$399,0,0,$R243+1,1))</f>
        <v>4618.35999999998</v>
      </c>
      <c r="P243" s="40">
        <f ca="1">SUM(AC$36:AC243)-SUM(OFFSET(载具产出!L$399,0,0,$R243+1,1))</f>
        <v>1342.96</v>
      </c>
      <c r="Q243" s="40">
        <f ca="1">SUM(AD$36:AD243)-SUM(OFFSET(载具产出!M$399,0,0,$R243+1,1))</f>
        <v>10.08</v>
      </c>
      <c r="R243" s="40">
        <v>18</v>
      </c>
      <c r="S243" s="40" t="str">
        <f ca="1">OFFSET(载具产出!$D$111,IFERROR(MATCH(OFFSET($D243,0,MATCH($D$5,$E$6:$H$6,0)),载具产出!$E$112:$E$151,1),0),0)</f>
        <v>卓越Ⅰ</v>
      </c>
      <c r="T243" s="40">
        <f ca="1">OFFSET(载具产出!$F$399,IFERROR(MATCH(OFFSET($D243,0,MATCH($D$5,$E$6:$H$6,0)),载具产出!$E$400:$E$439,1),0),MATCH(T$6,载具产出!$G$399:$O$399,0))</f>
        <v>1105</v>
      </c>
      <c r="U243" s="40">
        <v>7</v>
      </c>
      <c r="V243" s="40">
        <f ca="1">OFFSET(载具产出!$F$399,IFERROR(MATCH(OFFSET($D243,0,MATCH($D$5,$E$6:$H$6,0)),载具产出!$E$400:$E$439,1),0),MATCH(V$6,载具产出!$G$399:$O$399,0))</f>
        <v>7000</v>
      </c>
      <c r="W243" s="43">
        <f ca="1">_xlfn.XLOOKUP(Z243,载具属性!$E$98:$E$497,载具属性!$G$98:$G$497)+6000+OFFSET(载具属性!L$33,AS243,0)*载具属性!M$30+OFFSET(载具属性!M$33,AT243,0)*载具属性!N$30+OFFSET(载具属性!N$33,AU243,0)*载具属性!O$30+OFFSET(载具属性!O$33,AV243,0)*载具属性!P$30</f>
        <v>24910</v>
      </c>
      <c r="X243" s="43">
        <f ca="1">_xlfn.XLOOKUP(Z243,载具属性!$E$98:$E$497,载具属性!$G$98:$G$497)</f>
        <v>11920</v>
      </c>
      <c r="Y243" s="43">
        <f ca="1">OFFSET(载具属性!L$33,AS243,0)*载具属性!M$30+OFFSET(载具属性!M$33,AT243,0)*载具属性!N$30+OFFSET(载具属性!N$33,AU243,0)*载具属性!O$30+OFFSET(载具属性!O$33,AV243,0)*载具属性!P$30</f>
        <v>6990</v>
      </c>
      <c r="Z243" s="40">
        <f ca="1">MATCH(SUM($T$7:T243),载具属性!$I$98:$I$497,1)</f>
        <v>173</v>
      </c>
      <c r="AA243" s="40">
        <f ca="1">OFFSET(载具产出!$F$399,IFERROR(MATCH(OFFSET($D243,0,MATCH($D$5,$E$6:$H$6,0)),载具产出!$E$112:$E$151,1),0),MATCH(AA$6,载具产出!$G$111:$O$111,0))*2</f>
        <v>18</v>
      </c>
      <c r="AB243" s="40">
        <f ca="1">OFFSET(载具产出!$F$399,IFERROR(MATCH(OFFSET($D243,0,MATCH($D$5,$E$6:$H$6,0)),载具产出!$E$112:$E$151,1),0),MATCH(AB$6,载具产出!$G$111:$O$111,0))*2</f>
        <v>22.24</v>
      </c>
      <c r="AC243" s="40">
        <f ca="1">OFFSET(载具产出!$F$399,IFERROR(MATCH(OFFSET($D243,0,MATCH($D$5,$E$6:$H$6,0)),载具产出!$E$112:$E$151,1),0),MATCH(AC$6,载具产出!$G$111:$O$111,0))*2</f>
        <v>13.28</v>
      </c>
      <c r="AD243" s="40">
        <f ca="1">OFFSET(载具产出!$F$399,IFERROR(MATCH(OFFSET($D243,0,MATCH($D$5,$E$6:$H$6,0)),载具产出!$E$112:$E$151,1),0),MATCH(AD$6,载具产出!$G$111:$O$111,0))*2</f>
        <v>0.48</v>
      </c>
      <c r="AE243" s="44">
        <f ca="1">SUM(AA$36:AA243)/3</f>
        <v>1466.8</v>
      </c>
      <c r="AF243" s="44">
        <f ca="1">SUM(AB$36:AB243)/3</f>
        <v>1600.21333333333</v>
      </c>
      <c r="AG243" s="44">
        <f ca="1">SUM(AC$36:AC243)/3</f>
        <v>464.479999999999</v>
      </c>
      <c r="AH243" s="44">
        <f ca="1">SUM(AD$36:AD243)/3</f>
        <v>3.84</v>
      </c>
      <c r="AI243" s="44">
        <f>_xlfn.XLOOKUP($D$5,载具产出!$D$71:$D$75,载具产出!$E$71:$E$75)*(D243-30+1)</f>
        <v>2446.4761904762</v>
      </c>
      <c r="AJ243" s="44">
        <f>IFERROR(MATCH(_xlfn.XLOOKUP($D$5,载具产出!$D$71:$D$75,载具产出!$E$71:$E$75)*(D243-30+1)*10,载具产出!$E$60:$E$67,1),0)+1</f>
        <v>7</v>
      </c>
      <c r="AK243" s="44">
        <f ca="1">IF($AJ243=1,($AI243)*(10*OFFSET(载具产出!$D$45,MATCH(AK$6,$AK$6:$AN$6,0)-1,$AJ243)+OFFSET(载具产出!$D$49,MATCH(AK$6,$AK$6:$AN$6,0)-1,$AJ243)*OFFSET(载具产出!$N$49,MATCH(AK$6,$AK$6:$AN$6,0)-1,0)),OFFSET(载具产出!F$59,$AJ243-1,0)*10+OFFSET(载具产出!J$59,$AJ243-1,0)+($AI243*10-_xlfn.XLOOKUP($AJ243-1,载具产出!$D$59:$D$67,载具产出!$E$59:$E$67))/10*(10*OFFSET(载具产出!$D$45,MATCH(AK$6,$AK$6:$AN$6,0)-1,$AJ243)+OFFSET(载具产出!$D$49,MATCH(AK$6,$AK$6:$AN$6,0)-1,$AJ243)*OFFSET(载具产出!$N$49,MATCH(AK$6,$AK$6:$AN$6,0)-1,0)))</f>
        <v>5351.90771428573</v>
      </c>
      <c r="AL243" s="44">
        <f ca="1">IF($AJ243=1,($AI243)*(10*OFFSET(载具产出!$D$45,MATCH(AL$6,$AK$6:$AN$6,0)-1,$AJ243)+OFFSET(载具产出!$D$49,MATCH(AL$6,$AK$6:$AN$6,0)-1,$AJ243)*OFFSET(载具产出!$N$49,MATCH(AL$6,$AK$6:$AN$6,0)-1,0)),OFFSET(载具产出!G$59,$AJ243-1,0)*10+OFFSET(载具产出!K$59,$AJ243-1,0)+($AI243*10-_xlfn.XLOOKUP($AJ243-1,载具产出!$D$59:$D$67,载具产出!$E$59:$E$67))/10*(10*OFFSET(载具产出!$D$45,MATCH(AL$6,$AK$6:$AN$6,0)-1,$AJ243)+OFFSET(载具产出!$D$49,MATCH(AL$6,$AK$6:$AN$6,0)-1,$AJ243)*OFFSET(载具产出!$N$49,MATCH(AL$6,$AK$6:$AN$6,0)-1,0)))</f>
        <v>2200.98761904763</v>
      </c>
      <c r="AM243" s="44">
        <f ca="1">IF($AJ243=1,($AI243)*(10*OFFSET(载具产出!$D$45,MATCH(AM$6,$AK$6:$AN$6,0)-1,$AJ243)+OFFSET(载具产出!$D$49,MATCH(AM$6,$AK$6:$AN$6,0)-1,$AJ243)*OFFSET(载具产出!$N$49,MATCH(AM$6,$AK$6:$AN$6,0)-1,0)),OFFSET(载具产出!H$59,$AJ243-1,0)*10+OFFSET(载具产出!L$59,$AJ243-1,0)+($AI243*10-_xlfn.XLOOKUP($AJ243-1,载具产出!$D$59:$D$67,载具产出!$E$59:$E$67))/10*(10*OFFSET(载具产出!$D$45,MATCH(AM$6,$AK$6:$AN$6,0)-1,$AJ243)+OFFSET(载具产出!$D$49,MATCH(AM$6,$AK$6:$AN$6,0)-1,$AJ243)*OFFSET(载具产出!$N$49,MATCH(AM$6,$AK$6:$AN$6,0)-1,0)))</f>
        <v>1201.97942857143</v>
      </c>
      <c r="AN243" s="44">
        <f ca="1">IF($AJ243=1,($AI243)*(10*OFFSET(载具产出!$D$45,MATCH(AN$6,$AK$6:$AN$6,0)-1,$AJ243)+OFFSET(载具产出!$D$49,MATCH(AN$6,$AK$6:$AN$6,0)-1,$AJ243)*OFFSET(载具产出!$N$49,MATCH(AN$6,$AK$6:$AN$6,0)-1,0)),OFFSET(载具产出!I$59,$AJ243-1,0)*10+OFFSET(载具产出!M$59,$AJ243-1,0)+($AI243*10-_xlfn.XLOOKUP($AJ243-1,载具产出!$D$59:$D$67,载具产出!$E$59:$E$67))/10*(10*OFFSET(载具产出!$D$45,MATCH(AN$6,$AK$6:$AN$6,0)-1,$AJ243)+OFFSET(载具产出!$D$49,MATCH(AN$6,$AK$6:$AN$6,0)-1,$AJ243)*OFFSET(载具产出!$N$49,MATCH(AN$6,$AK$6:$AN$6,0)-1,0)))</f>
        <v>372.054476190478</v>
      </c>
      <c r="AO243" s="44">
        <f ca="1" t="shared" si="60"/>
        <v>6818.70771428574</v>
      </c>
      <c r="AP243" s="44">
        <f ca="1" t="shared" si="61"/>
        <v>3801.20095238095</v>
      </c>
      <c r="AQ243" s="44">
        <f ca="1" t="shared" si="62"/>
        <v>1666.45942857143</v>
      </c>
      <c r="AR243" s="44">
        <f ca="1" t="shared" si="63"/>
        <v>375.894476190478</v>
      </c>
      <c r="AS243" s="45">
        <f ca="1">IFERROR(MATCH(AO243/载具产出!R$58,载具属性!$G$33:$G$92,1),0)</f>
        <v>38</v>
      </c>
      <c r="AT243" s="45">
        <f ca="1">IFERROR(MATCH(AP243/载具产出!S$58,载具属性!$G$33:$G$92,1),0)</f>
        <v>26</v>
      </c>
      <c r="AU243" s="45">
        <f ca="1">IFERROR(MATCH(AQ243/载具产出!T$58,载具属性!$G$33:$G$92,1),0)</f>
        <v>16</v>
      </c>
      <c r="AV243" s="45">
        <f ca="1">IFERROR(MATCH(AR243/载具产出!U$58,载具属性!$G$33:$G$92,1),0)</f>
        <v>6</v>
      </c>
      <c r="AW243" s="46" t="str">
        <f ca="1" t="shared" si="64"/>
        <v>[{62,1438},{63,182315},{2,528500},{6030001,4181},{6030002,4618},{6030003,1342},{6030004,10}]</v>
      </c>
      <c r="AX243" t="str">
        <f ca="1" t="shared" si="65"/>
        <v>{62,1438}</v>
      </c>
      <c r="AY243" t="str">
        <f ca="1" t="shared" si="66"/>
        <v>{63,182315}</v>
      </c>
      <c r="AZ243" t="str">
        <f ca="1" t="shared" si="67"/>
        <v>{2,528500}</v>
      </c>
      <c r="BA243" t="str">
        <f ca="1" t="shared" si="68"/>
        <v>{6030001,4181}</v>
      </c>
      <c r="BB243" t="str">
        <f ca="1" t="shared" si="69"/>
        <v>{6030002,4618}</v>
      </c>
      <c r="BC243" t="str">
        <f ca="1" t="shared" si="70"/>
        <v>{6030003,1342}</v>
      </c>
      <c r="BD243" t="str">
        <f ca="1" t="shared" si="71"/>
        <v>{6030004,10}</v>
      </c>
    </row>
    <row r="244" spans="3:56">
      <c r="C244">
        <f ca="1" t="shared" si="59"/>
        <v>122.709359605911</v>
      </c>
      <c r="D244" s="40">
        <v>238</v>
      </c>
      <c r="E244" s="40">
        <f t="shared" si="72"/>
        <v>128</v>
      </c>
      <c r="F244" s="40">
        <v>148</v>
      </c>
      <c r="G244" s="41">
        <f t="shared" si="74"/>
        <v>203</v>
      </c>
      <c r="H244" s="40">
        <f>H243</f>
        <v>261</v>
      </c>
      <c r="I244" s="40">
        <f t="shared" si="58"/>
        <v>502</v>
      </c>
      <c r="J244" s="40">
        <f t="shared" si="73"/>
        <v>502</v>
      </c>
      <c r="K244" s="40">
        <f ca="1">SUM(U$36:U244)-SUM(OFFSET(载具产出!H$399,0,0,$R244+1,1))</f>
        <v>1445</v>
      </c>
      <c r="L244" s="40">
        <f ca="1">SUM(T$36:T244)-SUM(OFFSET(载具产出!G$399,0,0,$R244+1,1))</f>
        <v>183420</v>
      </c>
      <c r="M244" s="40">
        <f ca="1">SUM(V$36:V244)/2-SUM(OFFSET(载具产出!I$399,0,0,$R244+1,1))</f>
        <v>532000</v>
      </c>
      <c r="N244" s="40">
        <f ca="1">SUM(AA$36:AA244)-SUM(OFFSET(载具产出!J$399,0,0,$R244+1,1))</f>
        <v>4199.6</v>
      </c>
      <c r="O244" s="40">
        <f ca="1">SUM(AB$36:AB244)-SUM(OFFSET(载具产出!K$399,0,0,$R244+1,1))</f>
        <v>4640.59999999998</v>
      </c>
      <c r="P244" s="40">
        <f ca="1">SUM(AC$36:AC244)-SUM(OFFSET(载具产出!L$399,0,0,$R244+1,1))</f>
        <v>1356.24</v>
      </c>
      <c r="Q244" s="40">
        <f ca="1">SUM(AD$36:AD244)-SUM(OFFSET(载具产出!M$399,0,0,$R244+1,1))</f>
        <v>10.56</v>
      </c>
      <c r="R244" s="40">
        <v>18</v>
      </c>
      <c r="S244" s="40" t="str">
        <f ca="1">OFFSET(载具产出!$D$111,IFERROR(MATCH(OFFSET($D244,0,MATCH($D$5,$E$6:$H$6,0)),载具产出!$E$112:$E$151,1),0),0)</f>
        <v>卓越Ⅰ</v>
      </c>
      <c r="T244" s="40">
        <f ca="1">OFFSET(载具产出!$F$399,IFERROR(MATCH(OFFSET($D244,0,MATCH($D$5,$E$6:$H$6,0)),载具产出!$E$400:$E$439,1),0),MATCH(T$6,载具产出!$G$399:$O$399,0))</f>
        <v>1105</v>
      </c>
      <c r="U244" s="40">
        <v>7</v>
      </c>
      <c r="V244" s="40">
        <f ca="1">OFFSET(载具产出!$F$399,IFERROR(MATCH(OFFSET($D244,0,MATCH($D$5,$E$6:$H$6,0)),载具产出!$E$400:$E$439,1),0),MATCH(V$6,载具产出!$G$399:$O$399,0))</f>
        <v>7000</v>
      </c>
      <c r="W244" s="43">
        <f ca="1">_xlfn.XLOOKUP(Z244,载具属性!$E$98:$E$497,载具属性!$G$98:$G$497)+6000+OFFSET(载具属性!L$33,AS244,0)*载具属性!M$30+OFFSET(载具属性!M$33,AT244,0)*载具属性!N$30+OFFSET(载具属性!N$33,AU244,0)*载具属性!O$30+OFFSET(载具属性!O$33,AV244,0)*载具属性!P$30</f>
        <v>24910</v>
      </c>
      <c r="X244" s="43">
        <f ca="1">_xlfn.XLOOKUP(Z244,载具属性!$E$98:$E$497,载具属性!$G$98:$G$497)</f>
        <v>11920</v>
      </c>
      <c r="Y244" s="43">
        <f ca="1">OFFSET(载具属性!L$33,AS244,0)*载具属性!M$30+OFFSET(载具属性!M$33,AT244,0)*载具属性!N$30+OFFSET(载具属性!N$33,AU244,0)*载具属性!O$30+OFFSET(载具属性!O$33,AV244,0)*载具属性!P$30</f>
        <v>6990</v>
      </c>
      <c r="Z244" s="40">
        <f ca="1">MATCH(SUM($T$7:T244),载具属性!$I$98:$I$497,1)</f>
        <v>173</v>
      </c>
      <c r="AA244" s="40">
        <f ca="1">OFFSET(载具产出!$F$399,IFERROR(MATCH(OFFSET($D244,0,MATCH($D$5,$E$6:$H$6,0)),载具产出!$E$112:$E$151,1),0),MATCH(AA$6,载具产出!$G$111:$O$111,0))*2</f>
        <v>18</v>
      </c>
      <c r="AB244" s="40">
        <f ca="1">OFFSET(载具产出!$F$399,IFERROR(MATCH(OFFSET($D244,0,MATCH($D$5,$E$6:$H$6,0)),载具产出!$E$112:$E$151,1),0),MATCH(AB$6,载具产出!$G$111:$O$111,0))*2</f>
        <v>22.24</v>
      </c>
      <c r="AC244" s="40">
        <f ca="1">OFFSET(载具产出!$F$399,IFERROR(MATCH(OFFSET($D244,0,MATCH($D$5,$E$6:$H$6,0)),载具产出!$E$112:$E$151,1),0),MATCH(AC$6,载具产出!$G$111:$O$111,0))*2</f>
        <v>13.28</v>
      </c>
      <c r="AD244" s="40">
        <f ca="1">OFFSET(载具产出!$F$399,IFERROR(MATCH(OFFSET($D244,0,MATCH($D$5,$E$6:$H$6,0)),载具产出!$E$112:$E$151,1),0),MATCH(AD$6,载具产出!$G$111:$O$111,0))*2</f>
        <v>0.48</v>
      </c>
      <c r="AE244" s="44">
        <f ca="1">SUM(AA$36:AA244)/3</f>
        <v>1472.8</v>
      </c>
      <c r="AF244" s="44">
        <f ca="1">SUM(AB$36:AB244)/3</f>
        <v>1607.62666666666</v>
      </c>
      <c r="AG244" s="44">
        <f ca="1">SUM(AC$36:AC244)/3</f>
        <v>468.906666666666</v>
      </c>
      <c r="AH244" s="44">
        <f ca="1">SUM(AD$36:AD244)/3</f>
        <v>4</v>
      </c>
      <c r="AI244" s="44">
        <f>_xlfn.XLOOKUP($D$5,载具产出!$D$71:$D$75,载具产出!$E$71:$E$75)*(D244-30+1)</f>
        <v>2458.2380952381</v>
      </c>
      <c r="AJ244" s="44">
        <f>IFERROR(MATCH(_xlfn.XLOOKUP($D$5,载具产出!$D$71:$D$75,载具产出!$E$71:$E$75)*(D244-30+1)*10,载具产出!$E$60:$E$67,1),0)+1</f>
        <v>7</v>
      </c>
      <c r="AK244" s="44">
        <f ca="1">IF($AJ244=1,($AI244)*(10*OFFSET(载具产出!$D$45,MATCH(AK$6,$AK$6:$AN$6,0)-1,$AJ244)+OFFSET(载具产出!$D$49,MATCH(AK$6,$AK$6:$AN$6,0)-1,$AJ244)*OFFSET(载具产出!$N$49,MATCH(AK$6,$AK$6:$AN$6,0)-1,0)),OFFSET(载具产出!F$59,$AJ244-1,0)*10+OFFSET(载具产出!J$59,$AJ244-1,0)+($AI244*10-_xlfn.XLOOKUP($AJ244-1,载具产出!$D$59:$D$67,载具产出!$E$59:$E$67))/10*(10*OFFSET(载具产出!$D$45,MATCH(AK$6,$AK$6:$AN$6,0)-1,$AJ244)+OFFSET(载具产出!$D$49,MATCH(AK$6,$AK$6:$AN$6,0)-1,$AJ244)*OFFSET(载具产出!$N$49,MATCH(AK$6,$AK$6:$AN$6,0)-1,0)))</f>
        <v>5376.74885714287</v>
      </c>
      <c r="AL244" s="44">
        <f ca="1">IF($AJ244=1,($AI244)*(10*OFFSET(载具产出!$D$45,MATCH(AL$6,$AK$6:$AN$6,0)-1,$AJ244)+OFFSET(载具产出!$D$49,MATCH(AL$6,$AK$6:$AN$6,0)-1,$AJ244)*OFFSET(载具产出!$N$49,MATCH(AL$6,$AK$6:$AN$6,0)-1,0)),OFFSET(载具产出!G$59,$AJ244-1,0)*10+OFFSET(载具产出!K$59,$AJ244-1,0)+($AI244*10-_xlfn.XLOOKUP($AJ244-1,载具产出!$D$59:$D$67,载具产出!$E$59:$E$67))/10*(10*OFFSET(载具产出!$D$45,MATCH(AL$6,$AK$6:$AN$6,0)-1,$AJ244)+OFFSET(载具产出!$D$49,MATCH(AL$6,$AK$6:$AN$6,0)-1,$AJ244)*OFFSET(载具产出!$N$49,MATCH(AL$6,$AK$6:$AN$6,0)-1,0)))</f>
        <v>2212.04380952381</v>
      </c>
      <c r="AM244" s="44">
        <f ca="1">IF($AJ244=1,($AI244)*(10*OFFSET(载具产出!$D$45,MATCH(AM$6,$AK$6:$AN$6,0)-1,$AJ244)+OFFSET(载具产出!$D$49,MATCH(AM$6,$AK$6:$AN$6,0)-1,$AJ244)*OFFSET(载具产出!$N$49,MATCH(AM$6,$AK$6:$AN$6,0)-1,0)),OFFSET(载具产出!H$59,$AJ244-1,0)*10+OFFSET(载具产出!L$59,$AJ244-1,0)+($AI244*10-_xlfn.XLOOKUP($AJ244-1,载具产出!$D$59:$D$67,载具产出!$E$59:$E$67))/10*(10*OFFSET(载具产出!$D$45,MATCH(AM$6,$AK$6:$AN$6,0)-1,$AJ244)+OFFSET(载具产出!$D$49,MATCH(AM$6,$AK$6:$AN$6,0)-1,$AJ244)*OFFSET(载具产出!$N$49,MATCH(AM$6,$AK$6:$AN$6,0)-1,0)))</f>
        <v>1208.18971428572</v>
      </c>
      <c r="AN244" s="44">
        <f ca="1">IF($AJ244=1,($AI244)*(10*OFFSET(载具产出!$D$45,MATCH(AN$6,$AK$6:$AN$6,0)-1,$AJ244)+OFFSET(载具产出!$D$49,MATCH(AN$6,$AK$6:$AN$6,0)-1,$AJ244)*OFFSET(载具产出!$N$49,MATCH(AN$6,$AK$6:$AN$6,0)-1,0)),OFFSET(载具产出!I$59,$AJ244-1,0)*10+OFFSET(载具产出!M$59,$AJ244-1,0)+($AI244*10-_xlfn.XLOOKUP($AJ244-1,载具产出!$D$59:$D$67,载具产出!$E$59:$E$67))/10*(10*OFFSET(载具产出!$D$45,MATCH(AN$6,$AK$6:$AN$6,0)-1,$AJ244)+OFFSET(载具产出!$D$49,MATCH(AN$6,$AK$6:$AN$6,0)-1,$AJ244)*OFFSET(载具产出!$N$49,MATCH(AN$6,$AK$6:$AN$6,0)-1,0)))</f>
        <v>374.042238095239</v>
      </c>
      <c r="AO244" s="44">
        <f ca="1" t="shared" si="60"/>
        <v>6849.54885714287</v>
      </c>
      <c r="AP244" s="44">
        <f ca="1" t="shared" si="61"/>
        <v>3819.67047619047</v>
      </c>
      <c r="AQ244" s="44">
        <f ca="1" t="shared" si="62"/>
        <v>1677.09638095238</v>
      </c>
      <c r="AR244" s="44">
        <f ca="1" t="shared" si="63"/>
        <v>378.042238095239</v>
      </c>
      <c r="AS244" s="45">
        <f ca="1">IFERROR(MATCH(AO244/载具产出!R$58,载具属性!$G$33:$G$92,1),0)</f>
        <v>38</v>
      </c>
      <c r="AT244" s="45">
        <f ca="1">IFERROR(MATCH(AP244/载具产出!S$58,载具属性!$G$33:$G$92,1),0)</f>
        <v>26</v>
      </c>
      <c r="AU244" s="45">
        <f ca="1">IFERROR(MATCH(AQ244/载具产出!T$58,载具属性!$G$33:$G$92,1),0)</f>
        <v>16</v>
      </c>
      <c r="AV244" s="45">
        <f ca="1">IFERROR(MATCH(AR244/载具产出!U$58,载具属性!$G$33:$G$92,1),0)</f>
        <v>6</v>
      </c>
      <c r="AW244" s="46" t="str">
        <f ca="1" t="shared" si="64"/>
        <v>[{62,1445},{63,183420},{2,532000},{6030001,4199},{6030002,4640},{6030003,1356},{6030004,10}]</v>
      </c>
      <c r="AX244" t="str">
        <f ca="1" t="shared" si="65"/>
        <v>{62,1445}</v>
      </c>
      <c r="AY244" t="str">
        <f ca="1" t="shared" si="66"/>
        <v>{63,183420}</v>
      </c>
      <c r="AZ244" t="str">
        <f ca="1" t="shared" si="67"/>
        <v>{2,532000}</v>
      </c>
      <c r="BA244" t="str">
        <f ca="1" t="shared" si="68"/>
        <v>{6030001,4199}</v>
      </c>
      <c r="BB244" t="str">
        <f ca="1" t="shared" si="69"/>
        <v>{6030002,4640}</v>
      </c>
      <c r="BC244" t="str">
        <f ca="1" t="shared" si="70"/>
        <v>{6030003,1356}</v>
      </c>
      <c r="BD244" t="str">
        <f ca="1" t="shared" si="71"/>
        <v>{6030004,10}</v>
      </c>
    </row>
    <row r="245" spans="3:56">
      <c r="C245">
        <f ca="1" t="shared" si="59"/>
        <v>123.152709359606</v>
      </c>
      <c r="D245" s="40">
        <v>239</v>
      </c>
      <c r="E245" s="40">
        <f t="shared" si="72"/>
        <v>128</v>
      </c>
      <c r="F245" s="40">
        <v>148</v>
      </c>
      <c r="G245" s="41">
        <f t="shared" si="74"/>
        <v>203</v>
      </c>
      <c r="H245" s="40">
        <f>H244+1</f>
        <v>262</v>
      </c>
      <c r="I245" s="40">
        <f t="shared" si="58"/>
        <v>504</v>
      </c>
      <c r="J245" s="40">
        <f t="shared" si="73"/>
        <v>504</v>
      </c>
      <c r="K245" s="40">
        <f ca="1">SUM(U$36:U245)-SUM(OFFSET(载具产出!H$399,0,0,$R245+1,1))</f>
        <v>1451</v>
      </c>
      <c r="L245" s="40">
        <f ca="1">SUM(T$36:T245)-SUM(OFFSET(载具产出!G$399,0,0,$R245+1,1))</f>
        <v>183335</v>
      </c>
      <c r="M245" s="40">
        <f ca="1">SUM(V$36:V245)/2-SUM(OFFSET(载具产出!I$399,0,0,$R245+1,1))</f>
        <v>527900</v>
      </c>
      <c r="N245" s="40">
        <f ca="1">SUM(AA$36:AA245)-SUM(OFFSET(载具产出!J$399,0,0,$R245+1,1))</f>
        <v>4208.6</v>
      </c>
      <c r="O245" s="40">
        <f ca="1">SUM(AB$36:AB245)-SUM(OFFSET(载具产出!K$399,0,0,$R245+1,1))</f>
        <v>4653.15999999998</v>
      </c>
      <c r="P245" s="40">
        <f ca="1">SUM(AC$36:AC245)-SUM(OFFSET(载具产出!L$399,0,0,$R245+1,1))</f>
        <v>1361.16</v>
      </c>
      <c r="Q245" s="40">
        <f ca="1">SUM(AD$36:AD245)-SUM(OFFSET(载具产出!M$399,0,0,$R245+1,1))</f>
        <v>10.08</v>
      </c>
      <c r="R245" s="40">
        <v>19</v>
      </c>
      <c r="S245" s="40" t="str">
        <f ca="1">OFFSET(载具产出!$D$111,IFERROR(MATCH(OFFSET($D245,0,MATCH($D$5,$E$6:$H$6,0)),载具产出!$E$112:$E$151,1),0),0)</f>
        <v>卓越Ⅰ</v>
      </c>
      <c r="T245" s="40">
        <f ca="1">OFFSET(载具产出!$F$399,IFERROR(MATCH(OFFSET($D245,0,MATCH($D$5,$E$6:$H$6,0)),载具产出!$E$400:$E$439,1),0),MATCH(T$6,载具产出!$G$399:$O$399,0))</f>
        <v>1105</v>
      </c>
      <c r="U245" s="40">
        <v>7</v>
      </c>
      <c r="V245" s="40">
        <f ca="1">OFFSET(载具产出!$F$399,IFERROR(MATCH(OFFSET($D245,0,MATCH($D$5,$E$6:$H$6,0)),载具产出!$E$400:$E$439,1),0),MATCH(V$6,载具产出!$G$399:$O$399,0))</f>
        <v>7000</v>
      </c>
      <c r="W245" s="43">
        <f ca="1">_xlfn.XLOOKUP(Z245,载具属性!$E$98:$E$497,载具属性!$G$98:$G$497)+6000+OFFSET(载具属性!L$33,AS245,0)*载具属性!M$30+OFFSET(载具属性!M$33,AT245,0)*载具属性!N$30+OFFSET(载具属性!N$33,AU245,0)*载具属性!O$30+OFFSET(载具属性!O$33,AV245,0)*载具属性!P$30</f>
        <v>25000</v>
      </c>
      <c r="X245" s="43">
        <f ca="1">_xlfn.XLOOKUP(Z245,载具属性!$E$98:$E$497,载具属性!$G$98:$G$497)</f>
        <v>12010</v>
      </c>
      <c r="Y245" s="43">
        <f ca="1">OFFSET(载具属性!L$33,AS245,0)*载具属性!M$30+OFFSET(载具属性!M$33,AT245,0)*载具属性!N$30+OFFSET(载具属性!N$33,AU245,0)*载具属性!O$30+OFFSET(载具属性!O$33,AV245,0)*载具属性!P$30</f>
        <v>6990</v>
      </c>
      <c r="Z245" s="40">
        <f ca="1">MATCH(SUM($T$7:T245),载具属性!$I$98:$I$497,1)</f>
        <v>174</v>
      </c>
      <c r="AA245" s="40">
        <f ca="1">OFFSET(载具产出!$F$399,IFERROR(MATCH(OFFSET($D245,0,MATCH($D$5,$E$6:$H$6,0)),载具产出!$E$112:$E$151,1),0),MATCH(AA$6,载具产出!$G$111:$O$111,0))*2</f>
        <v>18</v>
      </c>
      <c r="AB245" s="40">
        <f ca="1">OFFSET(载具产出!$F$399,IFERROR(MATCH(OFFSET($D245,0,MATCH($D$5,$E$6:$H$6,0)),载具产出!$E$112:$E$151,1),0),MATCH(AB$6,载具产出!$G$111:$O$111,0))*2</f>
        <v>22.24</v>
      </c>
      <c r="AC245" s="40">
        <f ca="1">OFFSET(载具产出!$F$399,IFERROR(MATCH(OFFSET($D245,0,MATCH($D$5,$E$6:$H$6,0)),载具产出!$E$112:$E$151,1),0),MATCH(AC$6,载具产出!$G$111:$O$111,0))*2</f>
        <v>13.28</v>
      </c>
      <c r="AD245" s="40">
        <f ca="1">OFFSET(载具产出!$F$399,IFERROR(MATCH(OFFSET($D245,0,MATCH($D$5,$E$6:$H$6,0)),载具产出!$E$112:$E$151,1),0),MATCH(AD$6,载具产出!$G$111:$O$111,0))*2</f>
        <v>0.48</v>
      </c>
      <c r="AE245" s="44">
        <f ca="1">SUM(AA$36:AA245)/3</f>
        <v>1478.8</v>
      </c>
      <c r="AF245" s="44">
        <f ca="1">SUM(AB$36:AB245)/3</f>
        <v>1615.03999999999</v>
      </c>
      <c r="AG245" s="44">
        <f ca="1">SUM(AC$36:AC245)/3</f>
        <v>473.333333333333</v>
      </c>
      <c r="AH245" s="44">
        <f ca="1">SUM(AD$36:AD245)/3</f>
        <v>4.16</v>
      </c>
      <c r="AI245" s="44">
        <f>_xlfn.XLOOKUP($D$5,载具产出!$D$71:$D$75,载具产出!$E$71:$E$75)*(D245-30+1)</f>
        <v>2470.00000000001</v>
      </c>
      <c r="AJ245" s="44">
        <f>IFERROR(MATCH(_xlfn.XLOOKUP($D$5,载具产出!$D$71:$D$75,载具产出!$E$71:$E$75)*(D245-30+1)*10,载具产出!$E$60:$E$67,1),0)+1</f>
        <v>7</v>
      </c>
      <c r="AK245" s="44">
        <f ca="1">IF($AJ245=1,($AI245)*(10*OFFSET(载具产出!$D$45,MATCH(AK$6,$AK$6:$AN$6,0)-1,$AJ245)+OFFSET(载具产出!$D$49,MATCH(AK$6,$AK$6:$AN$6,0)-1,$AJ245)*OFFSET(载具产出!$N$49,MATCH(AK$6,$AK$6:$AN$6,0)-1,0)),OFFSET(载具产出!F$59,$AJ245-1,0)*10+OFFSET(载具产出!J$59,$AJ245-1,0)+($AI245*10-_xlfn.XLOOKUP($AJ245-1,载具产出!$D$59:$D$67,载具产出!$E$59:$E$67))/10*(10*OFFSET(载具产出!$D$45,MATCH(AK$6,$AK$6:$AN$6,0)-1,$AJ245)+OFFSET(载具产出!$D$49,MATCH(AK$6,$AK$6:$AN$6,0)-1,$AJ245)*OFFSET(载具产出!$N$49,MATCH(AK$6,$AK$6:$AN$6,0)-1,0)))</f>
        <v>5401.59000000002</v>
      </c>
      <c r="AL245" s="44">
        <f ca="1">IF($AJ245=1,($AI245)*(10*OFFSET(载具产出!$D$45,MATCH(AL$6,$AK$6:$AN$6,0)-1,$AJ245)+OFFSET(载具产出!$D$49,MATCH(AL$6,$AK$6:$AN$6,0)-1,$AJ245)*OFFSET(载具产出!$N$49,MATCH(AL$6,$AK$6:$AN$6,0)-1,0)),OFFSET(载具产出!G$59,$AJ245-1,0)*10+OFFSET(载具产出!K$59,$AJ245-1,0)+($AI245*10-_xlfn.XLOOKUP($AJ245-1,载具产出!$D$59:$D$67,载具产出!$E$59:$E$67))/10*(10*OFFSET(载具产出!$D$45,MATCH(AL$6,$AK$6:$AN$6,0)-1,$AJ245)+OFFSET(载具产出!$D$49,MATCH(AL$6,$AK$6:$AN$6,0)-1,$AJ245)*OFFSET(载具产出!$N$49,MATCH(AL$6,$AK$6:$AN$6,0)-1,0)))</f>
        <v>2223.10000000001</v>
      </c>
      <c r="AM245" s="44">
        <f ca="1">IF($AJ245=1,($AI245)*(10*OFFSET(载具产出!$D$45,MATCH(AM$6,$AK$6:$AN$6,0)-1,$AJ245)+OFFSET(载具产出!$D$49,MATCH(AM$6,$AK$6:$AN$6,0)-1,$AJ245)*OFFSET(载具产出!$N$49,MATCH(AM$6,$AK$6:$AN$6,0)-1,0)),OFFSET(载具产出!H$59,$AJ245-1,0)*10+OFFSET(载具产出!L$59,$AJ245-1,0)+($AI245*10-_xlfn.XLOOKUP($AJ245-1,载具产出!$D$59:$D$67,载具产出!$E$59:$E$67))/10*(10*OFFSET(载具产出!$D$45,MATCH(AM$6,$AK$6:$AN$6,0)-1,$AJ245)+OFFSET(载具产出!$D$49,MATCH(AM$6,$AK$6:$AN$6,0)-1,$AJ245)*OFFSET(载具产出!$N$49,MATCH(AM$6,$AK$6:$AN$6,0)-1,0)))</f>
        <v>1214.40000000001</v>
      </c>
      <c r="AN245" s="44">
        <f ca="1">IF($AJ245=1,($AI245)*(10*OFFSET(载具产出!$D$45,MATCH(AN$6,$AK$6:$AN$6,0)-1,$AJ245)+OFFSET(载具产出!$D$49,MATCH(AN$6,$AK$6:$AN$6,0)-1,$AJ245)*OFFSET(载具产出!$N$49,MATCH(AN$6,$AK$6:$AN$6,0)-1,0)),OFFSET(载具产出!I$59,$AJ245-1,0)*10+OFFSET(载具产出!M$59,$AJ245-1,0)+($AI245*10-_xlfn.XLOOKUP($AJ245-1,载具产出!$D$59:$D$67,载具产出!$E$59:$E$67))/10*(10*OFFSET(载具产出!$D$45,MATCH(AN$6,$AK$6:$AN$6,0)-1,$AJ245)+OFFSET(载具产出!$D$49,MATCH(AN$6,$AK$6:$AN$6,0)-1,$AJ245)*OFFSET(载具产出!$N$49,MATCH(AN$6,$AK$6:$AN$6,0)-1,0)))</f>
        <v>376.030000000002</v>
      </c>
      <c r="AO245" s="44">
        <f ca="1" t="shared" si="60"/>
        <v>6880.39000000002</v>
      </c>
      <c r="AP245" s="44">
        <f ca="1" t="shared" si="61"/>
        <v>3838.14</v>
      </c>
      <c r="AQ245" s="44">
        <f ca="1" t="shared" si="62"/>
        <v>1687.73333333334</v>
      </c>
      <c r="AR245" s="44">
        <f ca="1" t="shared" si="63"/>
        <v>380.190000000002</v>
      </c>
      <c r="AS245" s="45">
        <f ca="1">IFERROR(MATCH(AO245/载具产出!R$58,载具属性!$G$33:$G$92,1),0)</f>
        <v>38</v>
      </c>
      <c r="AT245" s="45">
        <f ca="1">IFERROR(MATCH(AP245/载具产出!S$58,载具属性!$G$33:$G$92,1),0)</f>
        <v>26</v>
      </c>
      <c r="AU245" s="45">
        <f ca="1">IFERROR(MATCH(AQ245/载具产出!T$58,载具属性!$G$33:$G$92,1),0)</f>
        <v>16</v>
      </c>
      <c r="AV245" s="45">
        <f ca="1">IFERROR(MATCH(AR245/载具产出!U$58,载具属性!$G$33:$G$92,1),0)</f>
        <v>6</v>
      </c>
      <c r="AW245" s="46" t="str">
        <f ca="1" t="shared" si="64"/>
        <v>[{62,1451},{63,183335},{2,527900},{6030001,4208},{6030002,4653},{6030003,1361},{6030004,10}]</v>
      </c>
      <c r="AX245" t="str">
        <f ca="1" t="shared" si="65"/>
        <v>{62,1451}</v>
      </c>
      <c r="AY245" t="str">
        <f ca="1" t="shared" si="66"/>
        <v>{63,183335}</v>
      </c>
      <c r="AZ245" t="str">
        <f ca="1" t="shared" si="67"/>
        <v>{2,527900}</v>
      </c>
      <c r="BA245" t="str">
        <f ca="1" t="shared" si="68"/>
        <v>{6030001,4208}</v>
      </c>
      <c r="BB245" t="str">
        <f ca="1" t="shared" si="69"/>
        <v>{6030002,4653}</v>
      </c>
      <c r="BC245" t="str">
        <f ca="1" t="shared" si="70"/>
        <v>{6030003,1361}</v>
      </c>
      <c r="BD245" t="str">
        <f ca="1" t="shared" si="71"/>
        <v>{6030004,10}</v>
      </c>
    </row>
    <row r="246" spans="3:56">
      <c r="C246">
        <f ca="1" t="shared" si="59"/>
        <v>122.549019607843</v>
      </c>
      <c r="D246" s="40">
        <v>240</v>
      </c>
      <c r="E246" s="40">
        <f t="shared" si="72"/>
        <v>128</v>
      </c>
      <c r="F246" s="40">
        <v>149</v>
      </c>
      <c r="G246" s="41">
        <f t="shared" si="74"/>
        <v>204</v>
      </c>
      <c r="H246" s="40">
        <f>H245</f>
        <v>262</v>
      </c>
      <c r="I246" s="40">
        <f t="shared" si="58"/>
        <v>506</v>
      </c>
      <c r="J246" s="40">
        <f t="shared" si="73"/>
        <v>506</v>
      </c>
      <c r="K246" s="40">
        <f ca="1">SUM(U$36:U246)-SUM(OFFSET(载具产出!H$399,0,0,$R246+1,1))</f>
        <v>1458</v>
      </c>
      <c r="L246" s="40">
        <f ca="1">SUM(T$36:T246)-SUM(OFFSET(载具产出!G$399,0,0,$R246+1,1))</f>
        <v>184440</v>
      </c>
      <c r="M246" s="40">
        <f ca="1">SUM(V$36:V246)/2-SUM(OFFSET(载具产出!I$399,0,0,$R246+1,1))</f>
        <v>531400</v>
      </c>
      <c r="N246" s="40">
        <f ca="1">SUM(AA$36:AA246)-SUM(OFFSET(载具产出!J$399,0,0,$R246+1,1))</f>
        <v>4226.6</v>
      </c>
      <c r="O246" s="40">
        <f ca="1">SUM(AB$36:AB246)-SUM(OFFSET(载具产出!K$399,0,0,$R246+1,1))</f>
        <v>4675.39999999998</v>
      </c>
      <c r="P246" s="40">
        <f ca="1">SUM(AC$36:AC246)-SUM(OFFSET(载具产出!L$399,0,0,$R246+1,1))</f>
        <v>1374.44</v>
      </c>
      <c r="Q246" s="40">
        <f ca="1">SUM(AD$36:AD246)-SUM(OFFSET(载具产出!M$399,0,0,$R246+1,1))</f>
        <v>10.56</v>
      </c>
      <c r="R246" s="40">
        <v>19</v>
      </c>
      <c r="S246" s="40" t="str">
        <f ca="1">OFFSET(载具产出!$D$111,IFERROR(MATCH(OFFSET($D246,0,MATCH($D$5,$E$6:$H$6,0)),载具产出!$E$112:$E$151,1),0),0)</f>
        <v>卓越Ⅰ</v>
      </c>
      <c r="T246" s="40">
        <f ca="1">OFFSET(载具产出!$F$399,IFERROR(MATCH(OFFSET($D246,0,MATCH($D$5,$E$6:$H$6,0)),载具产出!$E$400:$E$439,1),0),MATCH(T$6,载具产出!$G$399:$O$399,0))</f>
        <v>1105</v>
      </c>
      <c r="U246" s="40">
        <v>7</v>
      </c>
      <c r="V246" s="40">
        <f ca="1">OFFSET(载具产出!$F$399,IFERROR(MATCH(OFFSET($D246,0,MATCH($D$5,$E$6:$H$6,0)),载具产出!$E$400:$E$439,1),0),MATCH(V$6,载具产出!$G$399:$O$399,0))</f>
        <v>7000</v>
      </c>
      <c r="W246" s="43">
        <f ca="1">_xlfn.XLOOKUP(Z246,载具属性!$E$98:$E$497,载具属性!$G$98:$G$497)+6000+OFFSET(载具属性!L$33,AS246,0)*载具属性!M$30+OFFSET(载具属性!M$33,AT246,0)*载具属性!N$30+OFFSET(载具属性!N$33,AU246,0)*载具属性!O$30+OFFSET(载具属性!O$33,AV246,0)*载具属性!P$30</f>
        <v>25000</v>
      </c>
      <c r="X246" s="43">
        <f ca="1">_xlfn.XLOOKUP(Z246,载具属性!$E$98:$E$497,载具属性!$G$98:$G$497)</f>
        <v>12010</v>
      </c>
      <c r="Y246" s="43">
        <f ca="1">OFFSET(载具属性!L$33,AS246,0)*载具属性!M$30+OFFSET(载具属性!M$33,AT246,0)*载具属性!N$30+OFFSET(载具属性!N$33,AU246,0)*载具属性!O$30+OFFSET(载具属性!O$33,AV246,0)*载具属性!P$30</f>
        <v>6990</v>
      </c>
      <c r="Z246" s="40">
        <f ca="1">MATCH(SUM($T$7:T246),载具属性!$I$98:$I$497,1)</f>
        <v>174</v>
      </c>
      <c r="AA246" s="40">
        <f ca="1">OFFSET(载具产出!$F$399,IFERROR(MATCH(OFFSET($D246,0,MATCH($D$5,$E$6:$H$6,0)),载具产出!$E$112:$E$151,1),0),MATCH(AA$6,载具产出!$G$111:$O$111,0))*2</f>
        <v>18</v>
      </c>
      <c r="AB246" s="40">
        <f ca="1">OFFSET(载具产出!$F$399,IFERROR(MATCH(OFFSET($D246,0,MATCH($D$5,$E$6:$H$6,0)),载具产出!$E$112:$E$151,1),0),MATCH(AB$6,载具产出!$G$111:$O$111,0))*2</f>
        <v>22.24</v>
      </c>
      <c r="AC246" s="40">
        <f ca="1">OFFSET(载具产出!$F$399,IFERROR(MATCH(OFFSET($D246,0,MATCH($D$5,$E$6:$H$6,0)),载具产出!$E$112:$E$151,1),0),MATCH(AC$6,载具产出!$G$111:$O$111,0))*2</f>
        <v>13.28</v>
      </c>
      <c r="AD246" s="40">
        <f ca="1">OFFSET(载具产出!$F$399,IFERROR(MATCH(OFFSET($D246,0,MATCH($D$5,$E$6:$H$6,0)),载具产出!$E$112:$E$151,1),0),MATCH(AD$6,载具产出!$G$111:$O$111,0))*2</f>
        <v>0.48</v>
      </c>
      <c r="AE246" s="44">
        <f ca="1">SUM(AA$36:AA246)/3</f>
        <v>1484.8</v>
      </c>
      <c r="AF246" s="44">
        <f ca="1">SUM(AB$36:AB246)/3</f>
        <v>1622.45333333333</v>
      </c>
      <c r="AG246" s="44">
        <f ca="1">SUM(AC$36:AC246)/3</f>
        <v>477.759999999999</v>
      </c>
      <c r="AH246" s="44">
        <f ca="1">SUM(AD$36:AD246)/3</f>
        <v>4.32</v>
      </c>
      <c r="AI246" s="44">
        <f>_xlfn.XLOOKUP($D$5,载具产出!$D$71:$D$75,载具产出!$E$71:$E$75)*(D246-30+1)</f>
        <v>2481.76190476191</v>
      </c>
      <c r="AJ246" s="44">
        <f>IFERROR(MATCH(_xlfn.XLOOKUP($D$5,载具产出!$D$71:$D$75,载具产出!$E$71:$E$75)*(D246-30+1)*10,载具产出!$E$60:$E$67,1),0)+1</f>
        <v>7</v>
      </c>
      <c r="AK246" s="44">
        <f ca="1">IF($AJ246=1,($AI246)*(10*OFFSET(载具产出!$D$45,MATCH(AK$6,$AK$6:$AN$6,0)-1,$AJ246)+OFFSET(载具产出!$D$49,MATCH(AK$6,$AK$6:$AN$6,0)-1,$AJ246)*OFFSET(载具产出!$N$49,MATCH(AK$6,$AK$6:$AN$6,0)-1,0)),OFFSET(载具产出!F$59,$AJ246-1,0)*10+OFFSET(载具产出!J$59,$AJ246-1,0)+($AI246*10-_xlfn.XLOOKUP($AJ246-1,载具产出!$D$59:$D$67,载具产出!$E$59:$E$67))/10*(10*OFFSET(载具产出!$D$45,MATCH(AK$6,$AK$6:$AN$6,0)-1,$AJ246)+OFFSET(载具产出!$D$49,MATCH(AK$6,$AK$6:$AN$6,0)-1,$AJ246)*OFFSET(载具产出!$N$49,MATCH(AK$6,$AK$6:$AN$6,0)-1,0)))</f>
        <v>5426.43114285715</v>
      </c>
      <c r="AL246" s="44">
        <f ca="1">IF($AJ246=1,($AI246)*(10*OFFSET(载具产出!$D$45,MATCH(AL$6,$AK$6:$AN$6,0)-1,$AJ246)+OFFSET(载具产出!$D$49,MATCH(AL$6,$AK$6:$AN$6,0)-1,$AJ246)*OFFSET(载具产出!$N$49,MATCH(AL$6,$AK$6:$AN$6,0)-1,0)),OFFSET(载具产出!G$59,$AJ246-1,0)*10+OFFSET(载具产出!K$59,$AJ246-1,0)+($AI246*10-_xlfn.XLOOKUP($AJ246-1,载具产出!$D$59:$D$67,载具产出!$E$59:$E$67))/10*(10*OFFSET(载具产出!$D$45,MATCH(AL$6,$AK$6:$AN$6,0)-1,$AJ246)+OFFSET(载具产出!$D$49,MATCH(AL$6,$AK$6:$AN$6,0)-1,$AJ246)*OFFSET(载具产出!$N$49,MATCH(AL$6,$AK$6:$AN$6,0)-1,0)))</f>
        <v>2234.1561904762</v>
      </c>
      <c r="AM246" s="44">
        <f ca="1">IF($AJ246=1,($AI246)*(10*OFFSET(载具产出!$D$45,MATCH(AM$6,$AK$6:$AN$6,0)-1,$AJ246)+OFFSET(载具产出!$D$49,MATCH(AM$6,$AK$6:$AN$6,0)-1,$AJ246)*OFFSET(载具产出!$N$49,MATCH(AM$6,$AK$6:$AN$6,0)-1,0)),OFFSET(载具产出!H$59,$AJ246-1,0)*10+OFFSET(载具产出!L$59,$AJ246-1,0)+($AI246*10-_xlfn.XLOOKUP($AJ246-1,载具产出!$D$59:$D$67,载具产出!$E$59:$E$67))/10*(10*OFFSET(载具产出!$D$45,MATCH(AM$6,$AK$6:$AN$6,0)-1,$AJ246)+OFFSET(载具产出!$D$49,MATCH(AM$6,$AK$6:$AN$6,0)-1,$AJ246)*OFFSET(载具产出!$N$49,MATCH(AM$6,$AK$6:$AN$6,0)-1,0)))</f>
        <v>1220.61028571429</v>
      </c>
      <c r="AN246" s="44">
        <f ca="1">IF($AJ246=1,($AI246)*(10*OFFSET(载具产出!$D$45,MATCH(AN$6,$AK$6:$AN$6,0)-1,$AJ246)+OFFSET(载具产出!$D$49,MATCH(AN$6,$AK$6:$AN$6,0)-1,$AJ246)*OFFSET(载具产出!$N$49,MATCH(AN$6,$AK$6:$AN$6,0)-1,0)),OFFSET(载具产出!I$59,$AJ246-1,0)*10+OFFSET(载具产出!M$59,$AJ246-1,0)+($AI246*10-_xlfn.XLOOKUP($AJ246-1,载具产出!$D$59:$D$67,载具产出!$E$59:$E$67))/10*(10*OFFSET(载具产出!$D$45,MATCH(AN$6,$AK$6:$AN$6,0)-1,$AJ246)+OFFSET(载具产出!$D$49,MATCH(AN$6,$AK$6:$AN$6,0)-1,$AJ246)*OFFSET(载具产出!$N$49,MATCH(AN$6,$AK$6:$AN$6,0)-1,0)))</f>
        <v>378.017761904763</v>
      </c>
      <c r="AO246" s="44">
        <f ca="1" t="shared" si="60"/>
        <v>6911.23114285715</v>
      </c>
      <c r="AP246" s="44">
        <f ca="1" t="shared" si="61"/>
        <v>3856.60952380952</v>
      </c>
      <c r="AQ246" s="44">
        <f ca="1" t="shared" si="62"/>
        <v>1698.37028571429</v>
      </c>
      <c r="AR246" s="44">
        <f ca="1" t="shared" si="63"/>
        <v>382.337761904763</v>
      </c>
      <c r="AS246" s="45">
        <f ca="1">IFERROR(MATCH(AO246/载具产出!R$58,载具属性!$G$33:$G$92,1),0)</f>
        <v>38</v>
      </c>
      <c r="AT246" s="45">
        <f ca="1">IFERROR(MATCH(AP246/载具产出!S$58,载具属性!$G$33:$G$92,1),0)</f>
        <v>26</v>
      </c>
      <c r="AU246" s="45">
        <f ca="1">IFERROR(MATCH(AQ246/载具产出!T$58,载具属性!$G$33:$G$92,1),0)</f>
        <v>16</v>
      </c>
      <c r="AV246" s="45">
        <f ca="1">IFERROR(MATCH(AR246/载具产出!U$58,载具属性!$G$33:$G$92,1),0)</f>
        <v>6</v>
      </c>
      <c r="AW246" s="46" t="str">
        <f ca="1" t="shared" si="64"/>
        <v>[{62,1458},{63,184440},{2,531400},{6030001,4226},{6030002,4675},{6030003,1374},{6030004,10}]</v>
      </c>
      <c r="AX246" t="str">
        <f ca="1" t="shared" si="65"/>
        <v>{62,1458}</v>
      </c>
      <c r="AY246" t="str">
        <f ca="1" t="shared" si="66"/>
        <v>{63,184440}</v>
      </c>
      <c r="AZ246" t="str">
        <f ca="1" t="shared" si="67"/>
        <v>{2,531400}</v>
      </c>
      <c r="BA246" t="str">
        <f ca="1" t="shared" si="68"/>
        <v>{6030001,4226}</v>
      </c>
      <c r="BB246" t="str">
        <f ca="1" t="shared" si="69"/>
        <v>{6030002,4675}</v>
      </c>
      <c r="BC246" t="str">
        <f ca="1" t="shared" si="70"/>
        <v>{6030003,1374}</v>
      </c>
      <c r="BD246" t="str">
        <f ca="1" t="shared" si="71"/>
        <v>{6030004,10}</v>
      </c>
    </row>
    <row r="247" spans="3:56">
      <c r="C247">
        <f ca="1" t="shared" si="59"/>
        <v>122.990196078431</v>
      </c>
      <c r="D247" s="40">
        <v>241</v>
      </c>
      <c r="E247" s="40">
        <f t="shared" si="72"/>
        <v>129</v>
      </c>
      <c r="F247" s="40">
        <v>149</v>
      </c>
      <c r="G247" s="41">
        <f t="shared" si="74"/>
        <v>204</v>
      </c>
      <c r="H247" s="40">
        <f>H246+1</f>
        <v>263</v>
      </c>
      <c r="I247" s="40">
        <f t="shared" si="58"/>
        <v>508</v>
      </c>
      <c r="J247" s="40">
        <f t="shared" si="73"/>
        <v>508</v>
      </c>
      <c r="K247" s="40">
        <f ca="1">SUM(U$36:U247)-SUM(OFFSET(载具产出!H$399,0,0,$R247+1,1))</f>
        <v>1465</v>
      </c>
      <c r="L247" s="40">
        <f ca="1">SUM(T$36:T247)-SUM(OFFSET(载具产出!G$399,0,0,$R247+1,1))</f>
        <v>185545</v>
      </c>
      <c r="M247" s="40">
        <f ca="1">SUM(V$36:V247)/2-SUM(OFFSET(载具产出!I$399,0,0,$R247+1,1))</f>
        <v>534900</v>
      </c>
      <c r="N247" s="40">
        <f ca="1">SUM(AA$36:AA247)-SUM(OFFSET(载具产出!J$399,0,0,$R247+1,1))</f>
        <v>4244.6</v>
      </c>
      <c r="O247" s="40">
        <f ca="1">SUM(AB$36:AB247)-SUM(OFFSET(载具产出!K$399,0,0,$R247+1,1))</f>
        <v>4697.63999999998</v>
      </c>
      <c r="P247" s="40">
        <f ca="1">SUM(AC$36:AC247)-SUM(OFFSET(载具产出!L$399,0,0,$R247+1,1))</f>
        <v>1387.72</v>
      </c>
      <c r="Q247" s="40">
        <f ca="1">SUM(AD$36:AD247)-SUM(OFFSET(载具产出!M$399,0,0,$R247+1,1))</f>
        <v>11.04</v>
      </c>
      <c r="R247" s="40">
        <v>19</v>
      </c>
      <c r="S247" s="40" t="str">
        <f ca="1">OFFSET(载具产出!$D$111,IFERROR(MATCH(OFFSET($D247,0,MATCH($D$5,$E$6:$H$6,0)),载具产出!$E$112:$E$151,1),0),0)</f>
        <v>卓越Ⅰ</v>
      </c>
      <c r="T247" s="40">
        <f ca="1">OFFSET(载具产出!$F$399,IFERROR(MATCH(OFFSET($D247,0,MATCH($D$5,$E$6:$H$6,0)),载具产出!$E$400:$E$439,1),0),MATCH(T$6,载具产出!$G$399:$O$399,0))</f>
        <v>1105</v>
      </c>
      <c r="U247" s="40">
        <v>7</v>
      </c>
      <c r="V247" s="40">
        <f ca="1">OFFSET(载具产出!$F$399,IFERROR(MATCH(OFFSET($D247,0,MATCH($D$5,$E$6:$H$6,0)),载具产出!$E$400:$E$439,1),0),MATCH(V$6,载具产出!$G$399:$O$399,0))</f>
        <v>7000</v>
      </c>
      <c r="W247" s="43">
        <f ca="1">_xlfn.XLOOKUP(Z247,载具属性!$E$98:$E$497,载具属性!$G$98:$G$497)+6000+OFFSET(载具属性!L$33,AS247,0)*载具属性!M$30+OFFSET(载具属性!M$33,AT247,0)*载具属性!N$30+OFFSET(载具属性!N$33,AU247,0)*载具属性!O$30+OFFSET(载具属性!O$33,AV247,0)*载具属性!P$30</f>
        <v>25090</v>
      </c>
      <c r="X247" s="43">
        <f ca="1">_xlfn.XLOOKUP(Z247,载具属性!$E$98:$E$497,载具属性!$G$98:$G$497)</f>
        <v>12100</v>
      </c>
      <c r="Y247" s="43">
        <f ca="1">OFFSET(载具属性!L$33,AS247,0)*载具属性!M$30+OFFSET(载具属性!M$33,AT247,0)*载具属性!N$30+OFFSET(载具属性!N$33,AU247,0)*载具属性!O$30+OFFSET(载具属性!O$33,AV247,0)*载具属性!P$30</f>
        <v>6990</v>
      </c>
      <c r="Z247" s="40">
        <f ca="1">MATCH(SUM($T$7:T247),载具属性!$I$98:$I$497,1)</f>
        <v>175</v>
      </c>
      <c r="AA247" s="40">
        <f ca="1">OFFSET(载具产出!$F$399,IFERROR(MATCH(OFFSET($D247,0,MATCH($D$5,$E$6:$H$6,0)),载具产出!$E$112:$E$151,1),0),MATCH(AA$6,载具产出!$G$111:$O$111,0))*2</f>
        <v>18</v>
      </c>
      <c r="AB247" s="40">
        <f ca="1">OFFSET(载具产出!$F$399,IFERROR(MATCH(OFFSET($D247,0,MATCH($D$5,$E$6:$H$6,0)),载具产出!$E$112:$E$151,1),0),MATCH(AB$6,载具产出!$G$111:$O$111,0))*2</f>
        <v>22.24</v>
      </c>
      <c r="AC247" s="40">
        <f ca="1">OFFSET(载具产出!$F$399,IFERROR(MATCH(OFFSET($D247,0,MATCH($D$5,$E$6:$H$6,0)),载具产出!$E$112:$E$151,1),0),MATCH(AC$6,载具产出!$G$111:$O$111,0))*2</f>
        <v>13.28</v>
      </c>
      <c r="AD247" s="40">
        <f ca="1">OFFSET(载具产出!$F$399,IFERROR(MATCH(OFFSET($D247,0,MATCH($D$5,$E$6:$H$6,0)),载具产出!$E$112:$E$151,1),0),MATCH(AD$6,载具产出!$G$111:$O$111,0))*2</f>
        <v>0.48</v>
      </c>
      <c r="AE247" s="44">
        <f ca="1">SUM(AA$36:AA247)/3</f>
        <v>1490.8</v>
      </c>
      <c r="AF247" s="44">
        <f ca="1">SUM(AB$36:AB247)/3</f>
        <v>1629.86666666666</v>
      </c>
      <c r="AG247" s="44">
        <f ca="1">SUM(AC$36:AC247)/3</f>
        <v>482.186666666666</v>
      </c>
      <c r="AH247" s="44">
        <f ca="1">SUM(AD$36:AD247)/3</f>
        <v>4.48</v>
      </c>
      <c r="AI247" s="44">
        <f>_xlfn.XLOOKUP($D$5,载具产出!$D$71:$D$75,载具产出!$E$71:$E$75)*(D247-30+1)</f>
        <v>2493.52380952382</v>
      </c>
      <c r="AJ247" s="44">
        <f>IFERROR(MATCH(_xlfn.XLOOKUP($D$5,载具产出!$D$71:$D$75,载具产出!$E$71:$E$75)*(D247-30+1)*10,载具产出!$E$60:$E$67,1),0)+1</f>
        <v>7</v>
      </c>
      <c r="AK247" s="44">
        <f ca="1">IF($AJ247=1,($AI247)*(10*OFFSET(载具产出!$D$45,MATCH(AK$6,$AK$6:$AN$6,0)-1,$AJ247)+OFFSET(载具产出!$D$49,MATCH(AK$6,$AK$6:$AN$6,0)-1,$AJ247)*OFFSET(载具产出!$N$49,MATCH(AK$6,$AK$6:$AN$6,0)-1,0)),OFFSET(载具产出!F$59,$AJ247-1,0)*10+OFFSET(载具产出!J$59,$AJ247-1,0)+($AI247*10-_xlfn.XLOOKUP($AJ247-1,载具产出!$D$59:$D$67,载具产出!$E$59:$E$67))/10*(10*OFFSET(载具产出!$D$45,MATCH(AK$6,$AK$6:$AN$6,0)-1,$AJ247)+OFFSET(载具产出!$D$49,MATCH(AK$6,$AK$6:$AN$6,0)-1,$AJ247)*OFFSET(载具产出!$N$49,MATCH(AK$6,$AK$6:$AN$6,0)-1,0)))</f>
        <v>5451.27228571431</v>
      </c>
      <c r="AL247" s="44">
        <f ca="1">IF($AJ247=1,($AI247)*(10*OFFSET(载具产出!$D$45,MATCH(AL$6,$AK$6:$AN$6,0)-1,$AJ247)+OFFSET(载具产出!$D$49,MATCH(AL$6,$AK$6:$AN$6,0)-1,$AJ247)*OFFSET(载具产出!$N$49,MATCH(AL$6,$AK$6:$AN$6,0)-1,0)),OFFSET(载具产出!G$59,$AJ247-1,0)*10+OFFSET(载具产出!K$59,$AJ247-1,0)+($AI247*10-_xlfn.XLOOKUP($AJ247-1,载具产出!$D$59:$D$67,载具产出!$E$59:$E$67))/10*(10*OFFSET(载具产出!$D$45,MATCH(AL$6,$AK$6:$AN$6,0)-1,$AJ247)+OFFSET(载具产出!$D$49,MATCH(AL$6,$AK$6:$AN$6,0)-1,$AJ247)*OFFSET(载具产出!$N$49,MATCH(AL$6,$AK$6:$AN$6,0)-1,0)))</f>
        <v>2245.21238095239</v>
      </c>
      <c r="AM247" s="44">
        <f ca="1">IF($AJ247=1,($AI247)*(10*OFFSET(载具产出!$D$45,MATCH(AM$6,$AK$6:$AN$6,0)-1,$AJ247)+OFFSET(载具产出!$D$49,MATCH(AM$6,$AK$6:$AN$6,0)-1,$AJ247)*OFFSET(载具产出!$N$49,MATCH(AM$6,$AK$6:$AN$6,0)-1,0)),OFFSET(载具产出!H$59,$AJ247-1,0)*10+OFFSET(载具产出!L$59,$AJ247-1,0)+($AI247*10-_xlfn.XLOOKUP($AJ247-1,载具产出!$D$59:$D$67,载具产出!$E$59:$E$67))/10*(10*OFFSET(载具产出!$D$45,MATCH(AM$6,$AK$6:$AN$6,0)-1,$AJ247)+OFFSET(载具产出!$D$49,MATCH(AM$6,$AK$6:$AN$6,0)-1,$AJ247)*OFFSET(载具产出!$N$49,MATCH(AM$6,$AK$6:$AN$6,0)-1,0)))</f>
        <v>1226.82057142858</v>
      </c>
      <c r="AN247" s="44">
        <f ca="1">IF($AJ247=1,($AI247)*(10*OFFSET(载具产出!$D$45,MATCH(AN$6,$AK$6:$AN$6,0)-1,$AJ247)+OFFSET(载具产出!$D$49,MATCH(AN$6,$AK$6:$AN$6,0)-1,$AJ247)*OFFSET(载具产出!$N$49,MATCH(AN$6,$AK$6:$AN$6,0)-1,0)),OFFSET(载具产出!I$59,$AJ247-1,0)*10+OFFSET(载具产出!M$59,$AJ247-1,0)+($AI247*10-_xlfn.XLOOKUP($AJ247-1,载具产出!$D$59:$D$67,载具产出!$E$59:$E$67))/10*(10*OFFSET(载具产出!$D$45,MATCH(AN$6,$AK$6:$AN$6,0)-1,$AJ247)+OFFSET(载具产出!$D$49,MATCH(AN$6,$AK$6:$AN$6,0)-1,$AJ247)*OFFSET(载具产出!$N$49,MATCH(AN$6,$AK$6:$AN$6,0)-1,0)))</f>
        <v>380.005523809526</v>
      </c>
      <c r="AO247" s="44">
        <f ca="1" t="shared" si="60"/>
        <v>6942.07228571431</v>
      </c>
      <c r="AP247" s="44">
        <f ca="1" t="shared" si="61"/>
        <v>3875.07904761905</v>
      </c>
      <c r="AQ247" s="44">
        <f ca="1" t="shared" si="62"/>
        <v>1709.00723809524</v>
      </c>
      <c r="AR247" s="44">
        <f ca="1" t="shared" si="63"/>
        <v>384.485523809526</v>
      </c>
      <c r="AS247" s="45">
        <f ca="1">IFERROR(MATCH(AO247/载具产出!R$58,载具属性!$G$33:$G$92,1),0)</f>
        <v>38</v>
      </c>
      <c r="AT247" s="45">
        <f ca="1">IFERROR(MATCH(AP247/载具产出!S$58,载具属性!$G$33:$G$92,1),0)</f>
        <v>26</v>
      </c>
      <c r="AU247" s="45">
        <f ca="1">IFERROR(MATCH(AQ247/载具产出!T$58,载具属性!$G$33:$G$92,1),0)</f>
        <v>16</v>
      </c>
      <c r="AV247" s="45">
        <f ca="1">IFERROR(MATCH(AR247/载具产出!U$58,载具属性!$G$33:$G$92,1),0)</f>
        <v>6</v>
      </c>
      <c r="AW247" s="46" t="str">
        <f ca="1" t="shared" si="64"/>
        <v>[{62,1465},{63,185545},{2,534900},{6030001,4244},{6030002,4697},{6030003,1387},{6030004,11}]</v>
      </c>
      <c r="AX247" t="str">
        <f ca="1" t="shared" si="65"/>
        <v>{62,1465}</v>
      </c>
      <c r="AY247" t="str">
        <f ca="1" t="shared" si="66"/>
        <v>{63,185545}</v>
      </c>
      <c r="AZ247" t="str">
        <f ca="1" t="shared" si="67"/>
        <v>{2,534900}</v>
      </c>
      <c r="BA247" t="str">
        <f ca="1" t="shared" si="68"/>
        <v>{6030001,4244}</v>
      </c>
      <c r="BB247" t="str">
        <f ca="1" t="shared" si="69"/>
        <v>{6030002,4697}</v>
      </c>
      <c r="BC247" t="str">
        <f ca="1" t="shared" si="70"/>
        <v>{6030003,1387}</v>
      </c>
      <c r="BD247" t="str">
        <f ca="1" t="shared" si="71"/>
        <v>{6030004,11}</v>
      </c>
    </row>
    <row r="248" spans="3:56">
      <c r="C248">
        <f ca="1" t="shared" si="59"/>
        <v>122.990196078431</v>
      </c>
      <c r="D248" s="40">
        <v>242</v>
      </c>
      <c r="E248" s="40">
        <f t="shared" si="72"/>
        <v>129</v>
      </c>
      <c r="F248" s="40">
        <v>149</v>
      </c>
      <c r="G248" s="41">
        <f t="shared" si="74"/>
        <v>204</v>
      </c>
      <c r="H248" s="40">
        <f>H247</f>
        <v>263</v>
      </c>
      <c r="I248" s="40">
        <f t="shared" si="58"/>
        <v>510</v>
      </c>
      <c r="J248" s="40">
        <f t="shared" si="73"/>
        <v>510</v>
      </c>
      <c r="K248" s="40">
        <f ca="1">SUM(U$36:U248)-SUM(OFFSET(载具产出!H$399,0,0,$R248+1,1))</f>
        <v>1472</v>
      </c>
      <c r="L248" s="40">
        <f ca="1">SUM(T$36:T248)-SUM(OFFSET(载具产出!G$399,0,0,$R248+1,1))</f>
        <v>186650</v>
      </c>
      <c r="M248" s="40">
        <f ca="1">SUM(V$36:V248)/2-SUM(OFFSET(载具产出!I$399,0,0,$R248+1,1))</f>
        <v>538400</v>
      </c>
      <c r="N248" s="40">
        <f ca="1">SUM(AA$36:AA248)-SUM(OFFSET(载具产出!J$399,0,0,$R248+1,1))</f>
        <v>4262.6</v>
      </c>
      <c r="O248" s="40">
        <f ca="1">SUM(AB$36:AB248)-SUM(OFFSET(载具产出!K$399,0,0,$R248+1,1))</f>
        <v>4719.87999999998</v>
      </c>
      <c r="P248" s="40">
        <f ca="1">SUM(AC$36:AC248)-SUM(OFFSET(载具产出!L$399,0,0,$R248+1,1))</f>
        <v>1401</v>
      </c>
      <c r="Q248" s="40">
        <f ca="1">SUM(AD$36:AD248)-SUM(OFFSET(载具产出!M$399,0,0,$R248+1,1))</f>
        <v>11.52</v>
      </c>
      <c r="R248" s="40">
        <v>19</v>
      </c>
      <c r="S248" s="40" t="str">
        <f ca="1">OFFSET(载具产出!$D$111,IFERROR(MATCH(OFFSET($D248,0,MATCH($D$5,$E$6:$H$6,0)),载具产出!$E$112:$E$151,1),0),0)</f>
        <v>卓越Ⅰ</v>
      </c>
      <c r="T248" s="40">
        <f ca="1">OFFSET(载具产出!$F$399,IFERROR(MATCH(OFFSET($D248,0,MATCH($D$5,$E$6:$H$6,0)),载具产出!$E$400:$E$439,1),0),MATCH(T$6,载具产出!$G$399:$O$399,0))</f>
        <v>1105</v>
      </c>
      <c r="U248" s="40">
        <v>7</v>
      </c>
      <c r="V248" s="40">
        <f ca="1">OFFSET(载具产出!$F$399,IFERROR(MATCH(OFFSET($D248,0,MATCH($D$5,$E$6:$H$6,0)),载具产出!$E$400:$E$439,1),0),MATCH(V$6,载具产出!$G$399:$O$399,0))</f>
        <v>7000</v>
      </c>
      <c r="W248" s="43">
        <f ca="1">_xlfn.XLOOKUP(Z248,载具属性!$E$98:$E$497,载具属性!$G$98:$G$497)+6000+OFFSET(载具属性!L$33,AS248,0)*载具属性!M$30+OFFSET(载具属性!M$33,AT248,0)*载具属性!N$30+OFFSET(载具属性!N$33,AU248,0)*载具属性!O$30+OFFSET(载具属性!O$33,AV248,0)*载具属性!P$30</f>
        <v>25090</v>
      </c>
      <c r="X248" s="43">
        <f ca="1">_xlfn.XLOOKUP(Z248,载具属性!$E$98:$E$497,载具属性!$G$98:$G$497)</f>
        <v>12100</v>
      </c>
      <c r="Y248" s="43">
        <f ca="1">OFFSET(载具属性!L$33,AS248,0)*载具属性!M$30+OFFSET(载具属性!M$33,AT248,0)*载具属性!N$30+OFFSET(载具属性!N$33,AU248,0)*载具属性!O$30+OFFSET(载具属性!O$33,AV248,0)*载具属性!P$30</f>
        <v>6990</v>
      </c>
      <c r="Z248" s="40">
        <f ca="1">MATCH(SUM($T$7:T248),载具属性!$I$98:$I$497,1)</f>
        <v>175</v>
      </c>
      <c r="AA248" s="40">
        <f ca="1">OFFSET(载具产出!$F$399,IFERROR(MATCH(OFFSET($D248,0,MATCH($D$5,$E$6:$H$6,0)),载具产出!$E$112:$E$151,1),0),MATCH(AA$6,载具产出!$G$111:$O$111,0))*2</f>
        <v>18</v>
      </c>
      <c r="AB248" s="40">
        <f ca="1">OFFSET(载具产出!$F$399,IFERROR(MATCH(OFFSET($D248,0,MATCH($D$5,$E$6:$H$6,0)),载具产出!$E$112:$E$151,1),0),MATCH(AB$6,载具产出!$G$111:$O$111,0))*2</f>
        <v>22.24</v>
      </c>
      <c r="AC248" s="40">
        <f ca="1">OFFSET(载具产出!$F$399,IFERROR(MATCH(OFFSET($D248,0,MATCH($D$5,$E$6:$H$6,0)),载具产出!$E$112:$E$151,1),0),MATCH(AC$6,载具产出!$G$111:$O$111,0))*2</f>
        <v>13.28</v>
      </c>
      <c r="AD248" s="40">
        <f ca="1">OFFSET(载具产出!$F$399,IFERROR(MATCH(OFFSET($D248,0,MATCH($D$5,$E$6:$H$6,0)),载具产出!$E$112:$E$151,1),0),MATCH(AD$6,载具产出!$G$111:$O$111,0))*2</f>
        <v>0.48</v>
      </c>
      <c r="AE248" s="44">
        <f ca="1">SUM(AA$36:AA248)/3</f>
        <v>1496.8</v>
      </c>
      <c r="AF248" s="44">
        <f ca="1">SUM(AB$36:AB248)/3</f>
        <v>1637.27999999999</v>
      </c>
      <c r="AG248" s="44">
        <f ca="1">SUM(AC$36:AC248)/3</f>
        <v>486.613333333333</v>
      </c>
      <c r="AH248" s="44">
        <f ca="1">SUM(AD$36:AD248)/3</f>
        <v>4.64</v>
      </c>
      <c r="AI248" s="44">
        <f>_xlfn.XLOOKUP($D$5,载具产出!$D$71:$D$75,载具产出!$E$71:$E$75)*(D248-30+1)</f>
        <v>2505.28571428572</v>
      </c>
      <c r="AJ248" s="44">
        <f>IFERROR(MATCH(_xlfn.XLOOKUP($D$5,载具产出!$D$71:$D$75,载具产出!$E$71:$E$75)*(D248-30+1)*10,载具产出!$E$60:$E$67,1),0)+1</f>
        <v>7</v>
      </c>
      <c r="AK248" s="44">
        <f ca="1">IF($AJ248=1,($AI248)*(10*OFFSET(载具产出!$D$45,MATCH(AK$6,$AK$6:$AN$6,0)-1,$AJ248)+OFFSET(载具产出!$D$49,MATCH(AK$6,$AK$6:$AN$6,0)-1,$AJ248)*OFFSET(载具产出!$N$49,MATCH(AK$6,$AK$6:$AN$6,0)-1,0)),OFFSET(载具产出!F$59,$AJ248-1,0)*10+OFFSET(载具产出!J$59,$AJ248-1,0)+($AI248*10-_xlfn.XLOOKUP($AJ248-1,载具产出!$D$59:$D$67,载具产出!$E$59:$E$67))/10*(10*OFFSET(载具产出!$D$45,MATCH(AK$6,$AK$6:$AN$6,0)-1,$AJ248)+OFFSET(载具产出!$D$49,MATCH(AK$6,$AK$6:$AN$6,0)-1,$AJ248)*OFFSET(载具产出!$N$49,MATCH(AK$6,$AK$6:$AN$6,0)-1,0)))</f>
        <v>5476.11342857144</v>
      </c>
      <c r="AL248" s="44">
        <f ca="1">IF($AJ248=1,($AI248)*(10*OFFSET(载具产出!$D$45,MATCH(AL$6,$AK$6:$AN$6,0)-1,$AJ248)+OFFSET(载具产出!$D$49,MATCH(AL$6,$AK$6:$AN$6,0)-1,$AJ248)*OFFSET(载具产出!$N$49,MATCH(AL$6,$AK$6:$AN$6,0)-1,0)),OFFSET(载具产出!G$59,$AJ248-1,0)*10+OFFSET(载具产出!K$59,$AJ248-1,0)+($AI248*10-_xlfn.XLOOKUP($AJ248-1,载具产出!$D$59:$D$67,载具产出!$E$59:$E$67))/10*(10*OFFSET(载具产出!$D$45,MATCH(AL$6,$AK$6:$AN$6,0)-1,$AJ248)+OFFSET(载具产出!$D$49,MATCH(AL$6,$AK$6:$AN$6,0)-1,$AJ248)*OFFSET(载具产出!$N$49,MATCH(AL$6,$AK$6:$AN$6,0)-1,0)))</f>
        <v>2256.26857142858</v>
      </c>
      <c r="AM248" s="44">
        <f ca="1">IF($AJ248=1,($AI248)*(10*OFFSET(载具产出!$D$45,MATCH(AM$6,$AK$6:$AN$6,0)-1,$AJ248)+OFFSET(载具产出!$D$49,MATCH(AM$6,$AK$6:$AN$6,0)-1,$AJ248)*OFFSET(载具产出!$N$49,MATCH(AM$6,$AK$6:$AN$6,0)-1,0)),OFFSET(载具产出!H$59,$AJ248-1,0)*10+OFFSET(载具产出!L$59,$AJ248-1,0)+($AI248*10-_xlfn.XLOOKUP($AJ248-1,载具产出!$D$59:$D$67,载具产出!$E$59:$E$67))/10*(10*OFFSET(载具产出!$D$45,MATCH(AM$6,$AK$6:$AN$6,0)-1,$AJ248)+OFFSET(载具产出!$D$49,MATCH(AM$6,$AK$6:$AN$6,0)-1,$AJ248)*OFFSET(载具产出!$N$49,MATCH(AM$6,$AK$6:$AN$6,0)-1,0)))</f>
        <v>1233.03085714286</v>
      </c>
      <c r="AN248" s="44">
        <f ca="1">IF($AJ248=1,($AI248)*(10*OFFSET(载具产出!$D$45,MATCH(AN$6,$AK$6:$AN$6,0)-1,$AJ248)+OFFSET(载具产出!$D$49,MATCH(AN$6,$AK$6:$AN$6,0)-1,$AJ248)*OFFSET(载具产出!$N$49,MATCH(AN$6,$AK$6:$AN$6,0)-1,0)),OFFSET(载具产出!I$59,$AJ248-1,0)*10+OFFSET(载具产出!M$59,$AJ248-1,0)+($AI248*10-_xlfn.XLOOKUP($AJ248-1,载具产出!$D$59:$D$67,载具产出!$E$59:$E$67))/10*(10*OFFSET(载具产出!$D$45,MATCH(AN$6,$AK$6:$AN$6,0)-1,$AJ248)+OFFSET(载具产出!$D$49,MATCH(AN$6,$AK$6:$AN$6,0)-1,$AJ248)*OFFSET(载具产出!$N$49,MATCH(AN$6,$AK$6:$AN$6,0)-1,0)))</f>
        <v>381.993285714287</v>
      </c>
      <c r="AO248" s="44">
        <f ca="1" t="shared" si="60"/>
        <v>6972.91342857144</v>
      </c>
      <c r="AP248" s="44">
        <f ca="1" t="shared" si="61"/>
        <v>3893.54857142857</v>
      </c>
      <c r="AQ248" s="44">
        <f ca="1" t="shared" si="62"/>
        <v>1719.64419047619</v>
      </c>
      <c r="AR248" s="44">
        <f ca="1" t="shared" si="63"/>
        <v>386.633285714287</v>
      </c>
      <c r="AS248" s="45">
        <f ca="1">IFERROR(MATCH(AO248/载具产出!R$58,载具属性!$G$33:$G$92,1),0)</f>
        <v>38</v>
      </c>
      <c r="AT248" s="45">
        <f ca="1">IFERROR(MATCH(AP248/载具产出!S$58,载具属性!$G$33:$G$92,1),0)</f>
        <v>26</v>
      </c>
      <c r="AU248" s="45">
        <f ca="1">IFERROR(MATCH(AQ248/载具产出!T$58,载具属性!$G$33:$G$92,1),0)</f>
        <v>16</v>
      </c>
      <c r="AV248" s="45">
        <f ca="1">IFERROR(MATCH(AR248/载具产出!U$58,载具属性!$G$33:$G$92,1),0)</f>
        <v>6</v>
      </c>
      <c r="AW248" s="46" t="str">
        <f ca="1" t="shared" si="64"/>
        <v>[{62,1472},{63,186650},{2,538400},{6030001,4262},{6030002,4719},{6030003,1401},{6030004,11}]</v>
      </c>
      <c r="AX248" t="str">
        <f ca="1" t="shared" si="65"/>
        <v>{62,1472}</v>
      </c>
      <c r="AY248" t="str">
        <f ca="1" t="shared" si="66"/>
        <v>{63,186650}</v>
      </c>
      <c r="AZ248" t="str">
        <f ca="1" t="shared" si="67"/>
        <v>{2,538400}</v>
      </c>
      <c r="BA248" t="str">
        <f ca="1" t="shared" si="68"/>
        <v>{6030001,4262}</v>
      </c>
      <c r="BB248" t="str">
        <f ca="1" t="shared" si="69"/>
        <v>{6030002,4719}</v>
      </c>
      <c r="BC248" t="str">
        <f ca="1" t="shared" si="70"/>
        <v>{6030003,1401}</v>
      </c>
      <c r="BD248" t="str">
        <f ca="1" t="shared" si="71"/>
        <v>{6030004,11}</v>
      </c>
    </row>
    <row r="249" spans="3:56">
      <c r="C249">
        <f ca="1" t="shared" si="59"/>
        <v>123.725490196078</v>
      </c>
      <c r="D249" s="40">
        <v>243</v>
      </c>
      <c r="E249" s="40">
        <f t="shared" si="72"/>
        <v>129</v>
      </c>
      <c r="F249" s="40">
        <v>149</v>
      </c>
      <c r="G249" s="41">
        <f t="shared" si="74"/>
        <v>204</v>
      </c>
      <c r="H249" s="40">
        <f>H248+1</f>
        <v>264</v>
      </c>
      <c r="I249" s="40">
        <f t="shared" si="58"/>
        <v>512</v>
      </c>
      <c r="J249" s="40">
        <f t="shared" si="73"/>
        <v>512</v>
      </c>
      <c r="K249" s="40">
        <f ca="1">SUM(U$36:U249)-SUM(OFFSET(载具产出!H$399,0,0,$R249+1,1))</f>
        <v>1479</v>
      </c>
      <c r="L249" s="40">
        <f ca="1">SUM(T$36:T249)-SUM(OFFSET(载具产出!G$399,0,0,$R249+1,1))</f>
        <v>187755</v>
      </c>
      <c r="M249" s="40">
        <f ca="1">SUM(V$36:V249)/2-SUM(OFFSET(载具产出!I$399,0,0,$R249+1,1))</f>
        <v>541900</v>
      </c>
      <c r="N249" s="40">
        <f ca="1">SUM(AA$36:AA249)-SUM(OFFSET(载具产出!J$399,0,0,$R249+1,1))</f>
        <v>4280.6</v>
      </c>
      <c r="O249" s="40">
        <f ca="1">SUM(AB$36:AB249)-SUM(OFFSET(载具产出!K$399,0,0,$R249+1,1))</f>
        <v>4742.11999999998</v>
      </c>
      <c r="P249" s="40">
        <f ca="1">SUM(AC$36:AC249)-SUM(OFFSET(载具产出!L$399,0,0,$R249+1,1))</f>
        <v>1414.28</v>
      </c>
      <c r="Q249" s="40">
        <f ca="1">SUM(AD$36:AD249)-SUM(OFFSET(载具产出!M$399,0,0,$R249+1,1))</f>
        <v>12</v>
      </c>
      <c r="R249" s="40">
        <v>19</v>
      </c>
      <c r="S249" s="40" t="str">
        <f ca="1">OFFSET(载具产出!$D$111,IFERROR(MATCH(OFFSET($D249,0,MATCH($D$5,$E$6:$H$6,0)),载具产出!$E$112:$E$151,1),0),0)</f>
        <v>卓越Ⅰ</v>
      </c>
      <c r="T249" s="40">
        <f ca="1">OFFSET(载具产出!$F$399,IFERROR(MATCH(OFFSET($D249,0,MATCH($D$5,$E$6:$H$6,0)),载具产出!$E$400:$E$439,1),0),MATCH(T$6,载具产出!$G$399:$O$399,0))</f>
        <v>1105</v>
      </c>
      <c r="U249" s="40">
        <v>7</v>
      </c>
      <c r="V249" s="40">
        <f ca="1">OFFSET(载具产出!$F$399,IFERROR(MATCH(OFFSET($D249,0,MATCH($D$5,$E$6:$H$6,0)),载具产出!$E$400:$E$439,1),0),MATCH(V$6,载具产出!$G$399:$O$399,0))</f>
        <v>7000</v>
      </c>
      <c r="W249" s="43">
        <f ca="1">_xlfn.XLOOKUP(Z249,载具属性!$E$98:$E$497,载具属性!$G$98:$G$497)+6000+OFFSET(载具属性!L$33,AS249,0)*载具属性!M$30+OFFSET(载具属性!M$33,AT249,0)*载具属性!N$30+OFFSET(载具属性!N$33,AU249,0)*载具属性!O$30+OFFSET(载具属性!O$33,AV249,0)*载具属性!P$30</f>
        <v>25240</v>
      </c>
      <c r="X249" s="43">
        <f ca="1">_xlfn.XLOOKUP(Z249,载具属性!$E$98:$E$497,载具属性!$G$98:$G$497)</f>
        <v>12190</v>
      </c>
      <c r="Y249" s="43">
        <f ca="1">OFFSET(载具属性!L$33,AS249,0)*载具属性!M$30+OFFSET(载具属性!M$33,AT249,0)*载具属性!N$30+OFFSET(载具属性!N$33,AU249,0)*载具属性!O$30+OFFSET(载具属性!O$33,AV249,0)*载具属性!P$30</f>
        <v>7050</v>
      </c>
      <c r="Z249" s="40">
        <f ca="1">MATCH(SUM($T$7:T249),载具属性!$I$98:$I$497,1)</f>
        <v>176</v>
      </c>
      <c r="AA249" s="40">
        <f ca="1">OFFSET(载具产出!$F$399,IFERROR(MATCH(OFFSET($D249,0,MATCH($D$5,$E$6:$H$6,0)),载具产出!$E$112:$E$151,1),0),MATCH(AA$6,载具产出!$G$111:$O$111,0))*2</f>
        <v>18</v>
      </c>
      <c r="AB249" s="40">
        <f ca="1">OFFSET(载具产出!$F$399,IFERROR(MATCH(OFFSET($D249,0,MATCH($D$5,$E$6:$H$6,0)),载具产出!$E$112:$E$151,1),0),MATCH(AB$6,载具产出!$G$111:$O$111,0))*2</f>
        <v>22.24</v>
      </c>
      <c r="AC249" s="40">
        <f ca="1">OFFSET(载具产出!$F$399,IFERROR(MATCH(OFFSET($D249,0,MATCH($D$5,$E$6:$H$6,0)),载具产出!$E$112:$E$151,1),0),MATCH(AC$6,载具产出!$G$111:$O$111,0))*2</f>
        <v>13.28</v>
      </c>
      <c r="AD249" s="40">
        <f ca="1">OFFSET(载具产出!$F$399,IFERROR(MATCH(OFFSET($D249,0,MATCH($D$5,$E$6:$H$6,0)),载具产出!$E$112:$E$151,1),0),MATCH(AD$6,载具产出!$G$111:$O$111,0))*2</f>
        <v>0.48</v>
      </c>
      <c r="AE249" s="44">
        <f ca="1">SUM(AA$36:AA249)/3</f>
        <v>1502.8</v>
      </c>
      <c r="AF249" s="44">
        <f ca="1">SUM(AB$36:AB249)/3</f>
        <v>1644.69333333333</v>
      </c>
      <c r="AG249" s="44">
        <f ca="1">SUM(AC$36:AC249)/3</f>
        <v>491.039999999999</v>
      </c>
      <c r="AH249" s="44">
        <f ca="1">SUM(AD$36:AD249)/3</f>
        <v>4.8</v>
      </c>
      <c r="AI249" s="44">
        <f>_xlfn.XLOOKUP($D$5,载具产出!$D$71:$D$75,载具产出!$E$71:$E$75)*(D249-30+1)</f>
        <v>2517.04761904763</v>
      </c>
      <c r="AJ249" s="44">
        <f>IFERROR(MATCH(_xlfn.XLOOKUP($D$5,载具产出!$D$71:$D$75,载具产出!$E$71:$E$75)*(D249-30+1)*10,载具产出!$E$60:$E$67,1),0)+1</f>
        <v>7</v>
      </c>
      <c r="AK249" s="44">
        <f ca="1">IF($AJ249=1,($AI249)*(10*OFFSET(载具产出!$D$45,MATCH(AK$6,$AK$6:$AN$6,0)-1,$AJ249)+OFFSET(载具产出!$D$49,MATCH(AK$6,$AK$6:$AN$6,0)-1,$AJ249)*OFFSET(载具产出!$N$49,MATCH(AK$6,$AK$6:$AN$6,0)-1,0)),OFFSET(载具产出!F$59,$AJ249-1,0)*10+OFFSET(载具产出!J$59,$AJ249-1,0)+($AI249*10-_xlfn.XLOOKUP($AJ249-1,载具产出!$D$59:$D$67,载具产出!$E$59:$E$67))/10*(10*OFFSET(载具产出!$D$45,MATCH(AK$6,$AK$6:$AN$6,0)-1,$AJ249)+OFFSET(载具产出!$D$49,MATCH(AK$6,$AK$6:$AN$6,0)-1,$AJ249)*OFFSET(载具产出!$N$49,MATCH(AK$6,$AK$6:$AN$6,0)-1,0)))</f>
        <v>5500.95457142859</v>
      </c>
      <c r="AL249" s="44">
        <f ca="1">IF($AJ249=1,($AI249)*(10*OFFSET(载具产出!$D$45,MATCH(AL$6,$AK$6:$AN$6,0)-1,$AJ249)+OFFSET(载具产出!$D$49,MATCH(AL$6,$AK$6:$AN$6,0)-1,$AJ249)*OFFSET(载具产出!$N$49,MATCH(AL$6,$AK$6:$AN$6,0)-1,0)),OFFSET(载具产出!G$59,$AJ249-1,0)*10+OFFSET(载具产出!K$59,$AJ249-1,0)+($AI249*10-_xlfn.XLOOKUP($AJ249-1,载具产出!$D$59:$D$67,载具产出!$E$59:$E$67))/10*(10*OFFSET(载具产出!$D$45,MATCH(AL$6,$AK$6:$AN$6,0)-1,$AJ249)+OFFSET(载具产出!$D$49,MATCH(AL$6,$AK$6:$AN$6,0)-1,$AJ249)*OFFSET(载具产出!$N$49,MATCH(AL$6,$AK$6:$AN$6,0)-1,0)))</f>
        <v>2267.32476190477</v>
      </c>
      <c r="AM249" s="44">
        <f ca="1">IF($AJ249=1,($AI249)*(10*OFFSET(载具产出!$D$45,MATCH(AM$6,$AK$6:$AN$6,0)-1,$AJ249)+OFFSET(载具产出!$D$49,MATCH(AM$6,$AK$6:$AN$6,0)-1,$AJ249)*OFFSET(载具产出!$N$49,MATCH(AM$6,$AK$6:$AN$6,0)-1,0)),OFFSET(载具产出!H$59,$AJ249-1,0)*10+OFFSET(载具产出!L$59,$AJ249-1,0)+($AI249*10-_xlfn.XLOOKUP($AJ249-1,载具产出!$D$59:$D$67,载具产出!$E$59:$E$67))/10*(10*OFFSET(载具产出!$D$45,MATCH(AM$6,$AK$6:$AN$6,0)-1,$AJ249)+OFFSET(载具产出!$D$49,MATCH(AM$6,$AK$6:$AN$6,0)-1,$AJ249)*OFFSET(载具产出!$N$49,MATCH(AM$6,$AK$6:$AN$6,0)-1,0)))</f>
        <v>1239.24114285715</v>
      </c>
      <c r="AN249" s="44">
        <f ca="1">IF($AJ249=1,($AI249)*(10*OFFSET(载具产出!$D$45,MATCH(AN$6,$AK$6:$AN$6,0)-1,$AJ249)+OFFSET(载具产出!$D$49,MATCH(AN$6,$AK$6:$AN$6,0)-1,$AJ249)*OFFSET(载具产出!$N$49,MATCH(AN$6,$AK$6:$AN$6,0)-1,0)),OFFSET(载具产出!I$59,$AJ249-1,0)*10+OFFSET(载具产出!M$59,$AJ249-1,0)+($AI249*10-_xlfn.XLOOKUP($AJ249-1,载具产出!$D$59:$D$67,载具产出!$E$59:$E$67))/10*(10*OFFSET(载具产出!$D$45,MATCH(AN$6,$AK$6:$AN$6,0)-1,$AJ249)+OFFSET(载具产出!$D$49,MATCH(AN$6,$AK$6:$AN$6,0)-1,$AJ249)*OFFSET(载具产出!$N$49,MATCH(AN$6,$AK$6:$AN$6,0)-1,0)))</f>
        <v>383.981047619049</v>
      </c>
      <c r="AO249" s="44">
        <f ca="1" t="shared" si="60"/>
        <v>7003.75457142859</v>
      </c>
      <c r="AP249" s="44">
        <f ca="1" t="shared" si="61"/>
        <v>3912.0180952381</v>
      </c>
      <c r="AQ249" s="44">
        <f ca="1" t="shared" si="62"/>
        <v>1730.28114285715</v>
      </c>
      <c r="AR249" s="44">
        <f ca="1" t="shared" si="63"/>
        <v>388.781047619049</v>
      </c>
      <c r="AS249" s="45">
        <f ca="1">IFERROR(MATCH(AO249/载具产出!R$58,载具属性!$G$33:$G$92,1),0)</f>
        <v>39</v>
      </c>
      <c r="AT249" s="45">
        <f ca="1">IFERROR(MATCH(AP249/载具产出!S$58,载具属性!$G$33:$G$92,1),0)</f>
        <v>26</v>
      </c>
      <c r="AU249" s="45">
        <f ca="1">IFERROR(MATCH(AQ249/载具产出!T$58,载具属性!$G$33:$G$92,1),0)</f>
        <v>16</v>
      </c>
      <c r="AV249" s="45">
        <f ca="1">IFERROR(MATCH(AR249/载具产出!U$58,载具属性!$G$33:$G$92,1),0)</f>
        <v>6</v>
      </c>
      <c r="AW249" s="46" t="str">
        <f ca="1" t="shared" si="64"/>
        <v>[{62,1479},{63,187755},{2,541900},{6030001,4280},{6030002,4742},{6030003,1414},{6030004,12}]</v>
      </c>
      <c r="AX249" t="str">
        <f ca="1" t="shared" si="65"/>
        <v>{62,1479}</v>
      </c>
      <c r="AY249" t="str">
        <f ca="1" t="shared" si="66"/>
        <v>{63,187755}</v>
      </c>
      <c r="AZ249" t="str">
        <f ca="1" t="shared" si="67"/>
        <v>{2,541900}</v>
      </c>
      <c r="BA249" t="str">
        <f ca="1" t="shared" si="68"/>
        <v>{6030001,4280}</v>
      </c>
      <c r="BB249" t="str">
        <f ca="1" t="shared" si="69"/>
        <v>{6030002,4742}</v>
      </c>
      <c r="BC249" t="str">
        <f ca="1" t="shared" si="70"/>
        <v>{6030003,1414}</v>
      </c>
      <c r="BD249" t="str">
        <f ca="1" t="shared" si="71"/>
        <v>{6030004,12}</v>
      </c>
    </row>
    <row r="250" spans="3:56">
      <c r="C250">
        <f ca="1" t="shared" si="59"/>
        <v>123.121951219512</v>
      </c>
      <c r="D250" s="40">
        <v>244</v>
      </c>
      <c r="E250" s="40">
        <f t="shared" si="72"/>
        <v>129</v>
      </c>
      <c r="F250" s="40">
        <v>149</v>
      </c>
      <c r="G250" s="41">
        <f t="shared" si="74"/>
        <v>205</v>
      </c>
      <c r="H250" s="40">
        <f>H249</f>
        <v>264</v>
      </c>
      <c r="I250" s="40">
        <f t="shared" si="58"/>
        <v>514</v>
      </c>
      <c r="J250" s="40">
        <f t="shared" si="73"/>
        <v>514</v>
      </c>
      <c r="K250" s="40">
        <f ca="1">SUM(U$36:U250)-SUM(OFFSET(载具产出!H$399,0,0,$R250+1,1))</f>
        <v>1486</v>
      </c>
      <c r="L250" s="40">
        <f ca="1">SUM(T$36:T250)-SUM(OFFSET(载具产出!G$399,0,0,$R250+1,1))</f>
        <v>188880</v>
      </c>
      <c r="M250" s="40">
        <f ca="1">SUM(V$36:V250)/2-SUM(OFFSET(载具产出!I$399,0,0,$R250+1,1))</f>
        <v>545500</v>
      </c>
      <c r="N250" s="40">
        <f ca="1">SUM(AA$36:AA250)-SUM(OFFSET(载具产出!J$399,0,0,$R250+1,1))</f>
        <v>4298.6</v>
      </c>
      <c r="O250" s="40">
        <f ca="1">SUM(AB$36:AB250)-SUM(OFFSET(载具产出!K$399,0,0,$R250+1,1))</f>
        <v>4763.39999999998</v>
      </c>
      <c r="P250" s="40">
        <f ca="1">SUM(AC$36:AC250)-SUM(OFFSET(载具产出!L$399,0,0,$R250+1,1))</f>
        <v>1430.04</v>
      </c>
      <c r="Q250" s="40">
        <f ca="1">SUM(AD$36:AD250)-SUM(OFFSET(载具产出!M$399,0,0,$R250+1,1))</f>
        <v>12.96</v>
      </c>
      <c r="R250" s="40">
        <v>19</v>
      </c>
      <c r="S250" s="40" t="str">
        <f ca="1">OFFSET(载具产出!$D$111,IFERROR(MATCH(OFFSET($D250,0,MATCH($D$5,$E$6:$H$6,0)),载具产出!$E$112:$E$151,1),0),0)</f>
        <v>卓越Ⅱ</v>
      </c>
      <c r="T250" s="40">
        <f ca="1">OFFSET(载具产出!$F$399,IFERROR(MATCH(OFFSET($D250,0,MATCH($D$5,$E$6:$H$6,0)),载具产出!$E$400:$E$439,1),0),MATCH(T$6,载具产出!$G$399:$O$399,0))</f>
        <v>1125</v>
      </c>
      <c r="U250" s="40">
        <v>7</v>
      </c>
      <c r="V250" s="40">
        <f ca="1">OFFSET(载具产出!$F$399,IFERROR(MATCH(OFFSET($D250,0,MATCH($D$5,$E$6:$H$6,0)),载具产出!$E$400:$E$439,1),0),MATCH(V$6,载具产出!$G$399:$O$399,0))</f>
        <v>7200</v>
      </c>
      <c r="W250" s="43">
        <f ca="1">_xlfn.XLOOKUP(Z250,载具属性!$E$98:$E$497,载具属性!$G$98:$G$497)+6000+OFFSET(载具属性!L$33,AS250,0)*载具属性!M$30+OFFSET(载具属性!M$33,AT250,0)*载具属性!N$30+OFFSET(载具属性!N$33,AU250,0)*载具属性!O$30+OFFSET(载具属性!O$33,AV250,0)*载具属性!P$30</f>
        <v>25240</v>
      </c>
      <c r="X250" s="43">
        <f ca="1">_xlfn.XLOOKUP(Z250,载具属性!$E$98:$E$497,载具属性!$G$98:$G$497)</f>
        <v>12190</v>
      </c>
      <c r="Y250" s="43">
        <f ca="1">OFFSET(载具属性!L$33,AS250,0)*载具属性!M$30+OFFSET(载具属性!M$33,AT250,0)*载具属性!N$30+OFFSET(载具属性!N$33,AU250,0)*载具属性!O$30+OFFSET(载具属性!O$33,AV250,0)*载具属性!P$30</f>
        <v>7050</v>
      </c>
      <c r="Z250" s="40">
        <f ca="1">MATCH(SUM($T$7:T250),载具属性!$I$98:$I$497,1)</f>
        <v>176</v>
      </c>
      <c r="AA250" s="40">
        <f ca="1">OFFSET(载具产出!$F$399,IFERROR(MATCH(OFFSET($D250,0,MATCH($D$5,$E$6:$H$6,0)),载具产出!$E$112:$E$151,1),0),MATCH(AA$6,载具产出!$G$111:$O$111,0))*2</f>
        <v>18</v>
      </c>
      <c r="AB250" s="40">
        <f ca="1">OFFSET(载具产出!$F$399,IFERROR(MATCH(OFFSET($D250,0,MATCH($D$5,$E$6:$H$6,0)),载具产出!$E$112:$E$151,1),0),MATCH(AB$6,载具产出!$G$111:$O$111,0))*2</f>
        <v>21.28</v>
      </c>
      <c r="AC250" s="40">
        <f ca="1">OFFSET(载具产出!$F$399,IFERROR(MATCH(OFFSET($D250,0,MATCH($D$5,$E$6:$H$6,0)),载具产出!$E$112:$E$151,1),0),MATCH(AC$6,载具产出!$G$111:$O$111,0))*2</f>
        <v>15.76</v>
      </c>
      <c r="AD250" s="40">
        <f ca="1">OFFSET(载具产出!$F$399,IFERROR(MATCH(OFFSET($D250,0,MATCH($D$5,$E$6:$H$6,0)),载具产出!$E$112:$E$151,1),0),MATCH(AD$6,载具产出!$G$111:$O$111,0))*2</f>
        <v>0.96</v>
      </c>
      <c r="AE250" s="44">
        <f ca="1">SUM(AA$36:AA250)/3</f>
        <v>1508.8</v>
      </c>
      <c r="AF250" s="44">
        <f ca="1">SUM(AB$36:AB250)/3</f>
        <v>1651.78666666666</v>
      </c>
      <c r="AG250" s="44">
        <f ca="1">SUM(AC$36:AC250)/3</f>
        <v>496.293333333333</v>
      </c>
      <c r="AH250" s="44">
        <f ca="1">SUM(AD$36:AD250)/3</f>
        <v>5.12</v>
      </c>
      <c r="AI250" s="44">
        <f>_xlfn.XLOOKUP($D$5,载具产出!$D$71:$D$75,载具产出!$E$71:$E$75)*(D250-30+1)</f>
        <v>2528.80952380953</v>
      </c>
      <c r="AJ250" s="44">
        <f>IFERROR(MATCH(_xlfn.XLOOKUP($D$5,载具产出!$D$71:$D$75,载具产出!$E$71:$E$75)*(D250-30+1)*10,载具产出!$E$60:$E$67,1),0)+1</f>
        <v>7</v>
      </c>
      <c r="AK250" s="44">
        <f ca="1">IF($AJ250=1,($AI250)*(10*OFFSET(载具产出!$D$45,MATCH(AK$6,$AK$6:$AN$6,0)-1,$AJ250)+OFFSET(载具产出!$D$49,MATCH(AK$6,$AK$6:$AN$6,0)-1,$AJ250)*OFFSET(载具产出!$N$49,MATCH(AK$6,$AK$6:$AN$6,0)-1,0)),OFFSET(载具产出!F$59,$AJ250-1,0)*10+OFFSET(载具产出!J$59,$AJ250-1,0)+($AI250*10-_xlfn.XLOOKUP($AJ250-1,载具产出!$D$59:$D$67,载具产出!$E$59:$E$67))/10*(10*OFFSET(载具产出!$D$45,MATCH(AK$6,$AK$6:$AN$6,0)-1,$AJ250)+OFFSET(载具产出!$D$49,MATCH(AK$6,$AK$6:$AN$6,0)-1,$AJ250)*OFFSET(载具产出!$N$49,MATCH(AK$6,$AK$6:$AN$6,0)-1,0)))</f>
        <v>5525.79571428573</v>
      </c>
      <c r="AL250" s="44">
        <f ca="1">IF($AJ250=1,($AI250)*(10*OFFSET(载具产出!$D$45,MATCH(AL$6,$AK$6:$AN$6,0)-1,$AJ250)+OFFSET(载具产出!$D$49,MATCH(AL$6,$AK$6:$AN$6,0)-1,$AJ250)*OFFSET(载具产出!$N$49,MATCH(AL$6,$AK$6:$AN$6,0)-1,0)),OFFSET(载具产出!G$59,$AJ250-1,0)*10+OFFSET(载具产出!K$59,$AJ250-1,0)+($AI250*10-_xlfn.XLOOKUP($AJ250-1,载具产出!$D$59:$D$67,载具产出!$E$59:$E$67))/10*(10*OFFSET(载具产出!$D$45,MATCH(AL$6,$AK$6:$AN$6,0)-1,$AJ250)+OFFSET(载具产出!$D$49,MATCH(AL$6,$AK$6:$AN$6,0)-1,$AJ250)*OFFSET(载具产出!$N$49,MATCH(AL$6,$AK$6:$AN$6,0)-1,0)))</f>
        <v>2278.38095238096</v>
      </c>
      <c r="AM250" s="44">
        <f ca="1">IF($AJ250=1,($AI250)*(10*OFFSET(载具产出!$D$45,MATCH(AM$6,$AK$6:$AN$6,0)-1,$AJ250)+OFFSET(载具产出!$D$49,MATCH(AM$6,$AK$6:$AN$6,0)-1,$AJ250)*OFFSET(载具产出!$N$49,MATCH(AM$6,$AK$6:$AN$6,0)-1,0)),OFFSET(载具产出!H$59,$AJ250-1,0)*10+OFFSET(载具产出!L$59,$AJ250-1,0)+($AI250*10-_xlfn.XLOOKUP($AJ250-1,载具产出!$D$59:$D$67,载具产出!$E$59:$E$67))/10*(10*OFFSET(载具产出!$D$45,MATCH(AM$6,$AK$6:$AN$6,0)-1,$AJ250)+OFFSET(载具产出!$D$49,MATCH(AM$6,$AK$6:$AN$6,0)-1,$AJ250)*OFFSET(载具产出!$N$49,MATCH(AM$6,$AK$6:$AN$6,0)-1,0)))</f>
        <v>1245.45142857143</v>
      </c>
      <c r="AN250" s="44">
        <f ca="1">IF($AJ250=1,($AI250)*(10*OFFSET(载具产出!$D$45,MATCH(AN$6,$AK$6:$AN$6,0)-1,$AJ250)+OFFSET(载具产出!$D$49,MATCH(AN$6,$AK$6:$AN$6,0)-1,$AJ250)*OFFSET(载具产出!$N$49,MATCH(AN$6,$AK$6:$AN$6,0)-1,0)),OFFSET(载具产出!I$59,$AJ250-1,0)*10+OFFSET(载具产出!M$59,$AJ250-1,0)+($AI250*10-_xlfn.XLOOKUP($AJ250-1,载具产出!$D$59:$D$67,载具产出!$E$59:$E$67))/10*(10*OFFSET(载具产出!$D$45,MATCH(AN$6,$AK$6:$AN$6,0)-1,$AJ250)+OFFSET(载具产出!$D$49,MATCH(AN$6,$AK$6:$AN$6,0)-1,$AJ250)*OFFSET(载具产出!$N$49,MATCH(AN$6,$AK$6:$AN$6,0)-1,0)))</f>
        <v>385.968809523811</v>
      </c>
      <c r="AO250" s="44">
        <f ca="1" t="shared" si="60"/>
        <v>7034.59571428573</v>
      </c>
      <c r="AP250" s="44">
        <f ca="1" t="shared" si="61"/>
        <v>3930.16761904762</v>
      </c>
      <c r="AQ250" s="44">
        <f ca="1" t="shared" si="62"/>
        <v>1741.74476190476</v>
      </c>
      <c r="AR250" s="44">
        <f ca="1" t="shared" si="63"/>
        <v>391.088809523811</v>
      </c>
      <c r="AS250" s="45">
        <f ca="1">IFERROR(MATCH(AO250/载具产出!R$58,载具属性!$G$33:$G$92,1),0)</f>
        <v>39</v>
      </c>
      <c r="AT250" s="45">
        <f ca="1">IFERROR(MATCH(AP250/载具产出!S$58,载具属性!$G$33:$G$92,1),0)</f>
        <v>26</v>
      </c>
      <c r="AU250" s="45">
        <f ca="1">IFERROR(MATCH(AQ250/载具产出!T$58,载具属性!$G$33:$G$92,1),0)</f>
        <v>16</v>
      </c>
      <c r="AV250" s="45">
        <f ca="1">IFERROR(MATCH(AR250/载具产出!U$58,载具属性!$G$33:$G$92,1),0)</f>
        <v>6</v>
      </c>
      <c r="AW250" s="46" t="str">
        <f ca="1" t="shared" si="64"/>
        <v>[{62,1486},{63,188880},{2,545500},{6030001,4298},{6030002,4763},{6030003,1430},{6030004,12}]</v>
      </c>
      <c r="AX250" t="str">
        <f ca="1" t="shared" si="65"/>
        <v>{62,1486}</v>
      </c>
      <c r="AY250" t="str">
        <f ca="1" t="shared" si="66"/>
        <v>{63,188880}</v>
      </c>
      <c r="AZ250" t="str">
        <f ca="1" t="shared" si="67"/>
        <v>{2,545500}</v>
      </c>
      <c r="BA250" t="str">
        <f ca="1" t="shared" si="68"/>
        <v>{6030001,4298}</v>
      </c>
      <c r="BB250" t="str">
        <f ca="1" t="shared" si="69"/>
        <v>{6030002,4763}</v>
      </c>
      <c r="BC250" t="str">
        <f ca="1" t="shared" si="70"/>
        <v>{6030003,1430}</v>
      </c>
      <c r="BD250" t="str">
        <f ca="1" t="shared" si="71"/>
        <v>{6030004,12}</v>
      </c>
    </row>
    <row r="251" spans="3:56">
      <c r="C251">
        <f ca="1" t="shared" si="59"/>
        <v>124</v>
      </c>
      <c r="D251" s="40">
        <v>245</v>
      </c>
      <c r="E251" s="40">
        <f t="shared" si="72"/>
        <v>129</v>
      </c>
      <c r="F251" s="40">
        <v>149</v>
      </c>
      <c r="G251" s="41">
        <f t="shared" si="74"/>
        <v>205</v>
      </c>
      <c r="H251" s="40">
        <f>H250+1</f>
        <v>265</v>
      </c>
      <c r="I251" s="40">
        <f t="shared" si="58"/>
        <v>516</v>
      </c>
      <c r="J251" s="40">
        <f t="shared" si="73"/>
        <v>516</v>
      </c>
      <c r="K251" s="40">
        <f ca="1">SUM(U$36:U251)-SUM(OFFSET(载具产出!H$399,0,0,$R251+1,1))</f>
        <v>1493</v>
      </c>
      <c r="L251" s="40">
        <f ca="1">SUM(T$36:T251)-SUM(OFFSET(载具产出!G$399,0,0,$R251+1,1))</f>
        <v>190005</v>
      </c>
      <c r="M251" s="40">
        <f ca="1">SUM(V$36:V251)/2-SUM(OFFSET(载具产出!I$399,0,0,$R251+1,1))</f>
        <v>549100</v>
      </c>
      <c r="N251" s="40">
        <f ca="1">SUM(AA$36:AA251)-SUM(OFFSET(载具产出!J$399,0,0,$R251+1,1))</f>
        <v>4316.6</v>
      </c>
      <c r="O251" s="40">
        <f ca="1">SUM(AB$36:AB251)-SUM(OFFSET(载具产出!K$399,0,0,$R251+1,1))</f>
        <v>4784.67999999998</v>
      </c>
      <c r="P251" s="40">
        <f ca="1">SUM(AC$36:AC251)-SUM(OFFSET(载具产出!L$399,0,0,$R251+1,1))</f>
        <v>1445.8</v>
      </c>
      <c r="Q251" s="40">
        <f ca="1">SUM(AD$36:AD251)-SUM(OFFSET(载具产出!M$399,0,0,$R251+1,1))</f>
        <v>13.92</v>
      </c>
      <c r="R251" s="40">
        <v>19</v>
      </c>
      <c r="S251" s="40" t="str">
        <f ca="1">OFFSET(载具产出!$D$111,IFERROR(MATCH(OFFSET($D251,0,MATCH($D$5,$E$6:$H$6,0)),载具产出!$E$112:$E$151,1),0),0)</f>
        <v>卓越Ⅱ</v>
      </c>
      <c r="T251" s="40">
        <f ca="1">OFFSET(载具产出!$F$399,IFERROR(MATCH(OFFSET($D251,0,MATCH($D$5,$E$6:$H$6,0)),载具产出!$E$400:$E$439,1),0),MATCH(T$6,载具产出!$G$399:$O$399,0))</f>
        <v>1125</v>
      </c>
      <c r="U251" s="40">
        <v>7</v>
      </c>
      <c r="V251" s="40">
        <f ca="1">OFFSET(载具产出!$F$399,IFERROR(MATCH(OFFSET($D251,0,MATCH($D$5,$E$6:$H$6,0)),载具产出!$E$400:$E$439,1),0),MATCH(V$6,载具产出!$G$399:$O$399,0))</f>
        <v>7200</v>
      </c>
      <c r="W251" s="43">
        <f ca="1">_xlfn.XLOOKUP(Z251,载具属性!$E$98:$E$497,载具属性!$G$98:$G$497)+6000+OFFSET(载具属性!L$33,AS251,0)*载具属性!M$30+OFFSET(载具属性!M$33,AT251,0)*载具属性!N$30+OFFSET(载具属性!N$33,AU251,0)*载具属性!O$30+OFFSET(载具属性!O$33,AV251,0)*载具属性!P$30</f>
        <v>25420</v>
      </c>
      <c r="X251" s="43">
        <f ca="1">_xlfn.XLOOKUP(Z251,载具属性!$E$98:$E$497,载具属性!$G$98:$G$497)</f>
        <v>12280</v>
      </c>
      <c r="Y251" s="43">
        <f ca="1">OFFSET(载具属性!L$33,AS251,0)*载具属性!M$30+OFFSET(载具属性!M$33,AT251,0)*载具属性!N$30+OFFSET(载具属性!N$33,AU251,0)*载具属性!O$30+OFFSET(载具属性!O$33,AV251,0)*载具属性!P$30</f>
        <v>7140</v>
      </c>
      <c r="Z251" s="40">
        <f ca="1">MATCH(SUM($T$7:T251),载具属性!$I$98:$I$497,1)</f>
        <v>177</v>
      </c>
      <c r="AA251" s="40">
        <f ca="1">OFFSET(载具产出!$F$399,IFERROR(MATCH(OFFSET($D251,0,MATCH($D$5,$E$6:$H$6,0)),载具产出!$E$112:$E$151,1),0),MATCH(AA$6,载具产出!$G$111:$O$111,0))*2</f>
        <v>18</v>
      </c>
      <c r="AB251" s="40">
        <f ca="1">OFFSET(载具产出!$F$399,IFERROR(MATCH(OFFSET($D251,0,MATCH($D$5,$E$6:$H$6,0)),载具产出!$E$112:$E$151,1),0),MATCH(AB$6,载具产出!$G$111:$O$111,0))*2</f>
        <v>21.28</v>
      </c>
      <c r="AC251" s="40">
        <f ca="1">OFFSET(载具产出!$F$399,IFERROR(MATCH(OFFSET($D251,0,MATCH($D$5,$E$6:$H$6,0)),载具产出!$E$112:$E$151,1),0),MATCH(AC$6,载具产出!$G$111:$O$111,0))*2</f>
        <v>15.76</v>
      </c>
      <c r="AD251" s="40">
        <f ca="1">OFFSET(载具产出!$F$399,IFERROR(MATCH(OFFSET($D251,0,MATCH($D$5,$E$6:$H$6,0)),载具产出!$E$112:$E$151,1),0),MATCH(AD$6,载具产出!$G$111:$O$111,0))*2</f>
        <v>0.96</v>
      </c>
      <c r="AE251" s="44">
        <f ca="1">SUM(AA$36:AA251)/3</f>
        <v>1514.8</v>
      </c>
      <c r="AF251" s="44">
        <f ca="1">SUM(AB$36:AB251)/3</f>
        <v>1658.87999999999</v>
      </c>
      <c r="AG251" s="44">
        <f ca="1">SUM(AC$36:AC251)/3</f>
        <v>501.546666666666</v>
      </c>
      <c r="AH251" s="44">
        <f ca="1">SUM(AD$36:AD251)/3</f>
        <v>5.44</v>
      </c>
      <c r="AI251" s="44">
        <f>_xlfn.XLOOKUP($D$5,载具产出!$D$71:$D$75,载具产出!$E$71:$E$75)*(D251-30+1)</f>
        <v>2540.57142857144</v>
      </c>
      <c r="AJ251" s="44">
        <f>IFERROR(MATCH(_xlfn.XLOOKUP($D$5,载具产出!$D$71:$D$75,载具产出!$E$71:$E$75)*(D251-30+1)*10,载具产出!$E$60:$E$67,1),0)+1</f>
        <v>7</v>
      </c>
      <c r="AK251" s="44">
        <f ca="1">IF($AJ251=1,($AI251)*(10*OFFSET(载具产出!$D$45,MATCH(AK$6,$AK$6:$AN$6,0)-1,$AJ251)+OFFSET(载具产出!$D$49,MATCH(AK$6,$AK$6:$AN$6,0)-1,$AJ251)*OFFSET(载具产出!$N$49,MATCH(AK$6,$AK$6:$AN$6,0)-1,0)),OFFSET(载具产出!F$59,$AJ251-1,0)*10+OFFSET(载具产出!J$59,$AJ251-1,0)+($AI251*10-_xlfn.XLOOKUP($AJ251-1,载具产出!$D$59:$D$67,载具产出!$E$59:$E$67))/10*(10*OFFSET(载具产出!$D$45,MATCH(AK$6,$AK$6:$AN$6,0)-1,$AJ251)+OFFSET(载具产出!$D$49,MATCH(AK$6,$AK$6:$AN$6,0)-1,$AJ251)*OFFSET(载具产出!$N$49,MATCH(AK$6,$AK$6:$AN$6,0)-1,0)))</f>
        <v>5550.63685714288</v>
      </c>
      <c r="AL251" s="44">
        <f ca="1">IF($AJ251=1,($AI251)*(10*OFFSET(载具产出!$D$45,MATCH(AL$6,$AK$6:$AN$6,0)-1,$AJ251)+OFFSET(载具产出!$D$49,MATCH(AL$6,$AK$6:$AN$6,0)-1,$AJ251)*OFFSET(载具产出!$N$49,MATCH(AL$6,$AK$6:$AN$6,0)-1,0)),OFFSET(载具产出!G$59,$AJ251-1,0)*10+OFFSET(载具产出!K$59,$AJ251-1,0)+($AI251*10-_xlfn.XLOOKUP($AJ251-1,载具产出!$D$59:$D$67,载具产出!$E$59:$E$67))/10*(10*OFFSET(载具产出!$D$45,MATCH(AL$6,$AK$6:$AN$6,0)-1,$AJ251)+OFFSET(载具产出!$D$49,MATCH(AL$6,$AK$6:$AN$6,0)-1,$AJ251)*OFFSET(载具产出!$N$49,MATCH(AL$6,$AK$6:$AN$6,0)-1,0)))</f>
        <v>2289.43714285715</v>
      </c>
      <c r="AM251" s="44">
        <f ca="1">IF($AJ251=1,($AI251)*(10*OFFSET(载具产出!$D$45,MATCH(AM$6,$AK$6:$AN$6,0)-1,$AJ251)+OFFSET(载具产出!$D$49,MATCH(AM$6,$AK$6:$AN$6,0)-1,$AJ251)*OFFSET(载具产出!$N$49,MATCH(AM$6,$AK$6:$AN$6,0)-1,0)),OFFSET(载具产出!H$59,$AJ251-1,0)*10+OFFSET(载具产出!L$59,$AJ251-1,0)+($AI251*10-_xlfn.XLOOKUP($AJ251-1,载具产出!$D$59:$D$67,载具产出!$E$59:$E$67))/10*(10*OFFSET(载具产出!$D$45,MATCH(AM$6,$AK$6:$AN$6,0)-1,$AJ251)+OFFSET(载具产出!$D$49,MATCH(AM$6,$AK$6:$AN$6,0)-1,$AJ251)*OFFSET(载具产出!$N$49,MATCH(AM$6,$AK$6:$AN$6,0)-1,0)))</f>
        <v>1251.66171428572</v>
      </c>
      <c r="AN251" s="44">
        <f ca="1">IF($AJ251=1,($AI251)*(10*OFFSET(载具产出!$D$45,MATCH(AN$6,$AK$6:$AN$6,0)-1,$AJ251)+OFFSET(载具产出!$D$49,MATCH(AN$6,$AK$6:$AN$6,0)-1,$AJ251)*OFFSET(载具产出!$N$49,MATCH(AN$6,$AK$6:$AN$6,0)-1,0)),OFFSET(载具产出!I$59,$AJ251-1,0)*10+OFFSET(载具产出!M$59,$AJ251-1,0)+($AI251*10-_xlfn.XLOOKUP($AJ251-1,载具产出!$D$59:$D$67,载具产出!$E$59:$E$67))/10*(10*OFFSET(载具产出!$D$45,MATCH(AN$6,$AK$6:$AN$6,0)-1,$AJ251)+OFFSET(载具产出!$D$49,MATCH(AN$6,$AK$6:$AN$6,0)-1,$AJ251)*OFFSET(载具产出!$N$49,MATCH(AN$6,$AK$6:$AN$6,0)-1,0)))</f>
        <v>387.956571428573</v>
      </c>
      <c r="AO251" s="44">
        <f ca="1" t="shared" si="60"/>
        <v>7065.43685714288</v>
      </c>
      <c r="AP251" s="44">
        <f ca="1" t="shared" si="61"/>
        <v>3948.31714285715</v>
      </c>
      <c r="AQ251" s="44">
        <f ca="1" t="shared" si="62"/>
        <v>1753.20838095239</v>
      </c>
      <c r="AR251" s="44">
        <f ca="1" t="shared" si="63"/>
        <v>393.396571428573</v>
      </c>
      <c r="AS251" s="45">
        <f ca="1">IFERROR(MATCH(AO251/载具产出!R$58,载具属性!$G$33:$G$92,1),0)</f>
        <v>39</v>
      </c>
      <c r="AT251" s="45">
        <f ca="1">IFERROR(MATCH(AP251/载具产出!S$58,载具属性!$G$33:$G$92,1),0)</f>
        <v>27</v>
      </c>
      <c r="AU251" s="45">
        <f ca="1">IFERROR(MATCH(AQ251/载具产出!T$58,载具属性!$G$33:$G$92,1),0)</f>
        <v>16</v>
      </c>
      <c r="AV251" s="45">
        <f ca="1">IFERROR(MATCH(AR251/载具产出!U$58,载具属性!$G$33:$G$92,1),0)</f>
        <v>6</v>
      </c>
      <c r="AW251" s="46" t="str">
        <f ca="1" t="shared" si="64"/>
        <v>[{62,1493},{63,190005},{2,549100},{6030001,4316},{6030002,4784},{6030003,1445},{6030004,13}]</v>
      </c>
      <c r="AX251" t="str">
        <f ca="1" t="shared" si="65"/>
        <v>{62,1493}</v>
      </c>
      <c r="AY251" t="str">
        <f ca="1" t="shared" si="66"/>
        <v>{63,190005}</v>
      </c>
      <c r="AZ251" t="str">
        <f ca="1" t="shared" si="67"/>
        <v>{2,549100}</v>
      </c>
      <c r="BA251" t="str">
        <f ca="1" t="shared" si="68"/>
        <v>{6030001,4316}</v>
      </c>
      <c r="BB251" t="str">
        <f ca="1" t="shared" si="69"/>
        <v>{6030002,4784}</v>
      </c>
      <c r="BC251" t="str">
        <f ca="1" t="shared" si="70"/>
        <v>{6030003,1445}</v>
      </c>
      <c r="BD251" t="str">
        <f ca="1" t="shared" si="71"/>
        <v>{6030004,13}</v>
      </c>
    </row>
    <row r="252" spans="3:56">
      <c r="C252">
        <f ca="1" t="shared" si="59"/>
        <v>124</v>
      </c>
      <c r="D252" s="40">
        <v>246</v>
      </c>
      <c r="E252" s="40">
        <f t="shared" si="72"/>
        <v>129</v>
      </c>
      <c r="F252" s="40">
        <v>150</v>
      </c>
      <c r="G252" s="41">
        <f t="shared" si="74"/>
        <v>205</v>
      </c>
      <c r="H252" s="40">
        <f>H251</f>
        <v>265</v>
      </c>
      <c r="I252" s="40">
        <f t="shared" si="58"/>
        <v>518</v>
      </c>
      <c r="J252" s="40">
        <f t="shared" si="73"/>
        <v>518</v>
      </c>
      <c r="K252" s="40">
        <f ca="1">SUM(U$36:U252)-SUM(OFFSET(载具产出!H$399,0,0,$R252+1,1))</f>
        <v>1500</v>
      </c>
      <c r="L252" s="40">
        <f ca="1">SUM(T$36:T252)-SUM(OFFSET(载具产出!G$399,0,0,$R252+1,1))</f>
        <v>191130</v>
      </c>
      <c r="M252" s="40">
        <f ca="1">SUM(V$36:V252)/2-SUM(OFFSET(载具产出!I$399,0,0,$R252+1,1))</f>
        <v>552700</v>
      </c>
      <c r="N252" s="40">
        <f ca="1">SUM(AA$36:AA252)-SUM(OFFSET(载具产出!J$399,0,0,$R252+1,1))</f>
        <v>4334.6</v>
      </c>
      <c r="O252" s="40">
        <f ca="1">SUM(AB$36:AB252)-SUM(OFFSET(载具产出!K$399,0,0,$R252+1,1))</f>
        <v>4805.95999999998</v>
      </c>
      <c r="P252" s="40">
        <f ca="1">SUM(AC$36:AC252)-SUM(OFFSET(载具产出!L$399,0,0,$R252+1,1))</f>
        <v>1461.56</v>
      </c>
      <c r="Q252" s="40">
        <f ca="1">SUM(AD$36:AD252)-SUM(OFFSET(载具产出!M$399,0,0,$R252+1,1))</f>
        <v>14.88</v>
      </c>
      <c r="R252" s="40">
        <v>19</v>
      </c>
      <c r="S252" s="40" t="str">
        <f ca="1">OFFSET(载具产出!$D$111,IFERROR(MATCH(OFFSET($D252,0,MATCH($D$5,$E$6:$H$6,0)),载具产出!$E$112:$E$151,1),0),0)</f>
        <v>卓越Ⅱ</v>
      </c>
      <c r="T252" s="40">
        <f ca="1">OFFSET(载具产出!$F$399,IFERROR(MATCH(OFFSET($D252,0,MATCH($D$5,$E$6:$H$6,0)),载具产出!$E$400:$E$439,1),0),MATCH(T$6,载具产出!$G$399:$O$399,0))</f>
        <v>1125</v>
      </c>
      <c r="U252" s="40">
        <v>7</v>
      </c>
      <c r="V252" s="40">
        <f ca="1">OFFSET(载具产出!$F$399,IFERROR(MATCH(OFFSET($D252,0,MATCH($D$5,$E$6:$H$6,0)),载具产出!$E$400:$E$439,1),0),MATCH(V$6,载具产出!$G$399:$O$399,0))</f>
        <v>7200</v>
      </c>
      <c r="W252" s="43">
        <f ca="1">_xlfn.XLOOKUP(Z252,载具属性!$E$98:$E$497,载具属性!$G$98:$G$497)+6000+OFFSET(载具属性!L$33,AS252,0)*载具属性!M$30+OFFSET(载具属性!M$33,AT252,0)*载具属性!N$30+OFFSET(载具属性!N$33,AU252,0)*载具属性!O$30+OFFSET(载具属性!O$33,AV252,0)*载具属性!P$30</f>
        <v>25420</v>
      </c>
      <c r="X252" s="43">
        <f ca="1">_xlfn.XLOOKUP(Z252,载具属性!$E$98:$E$497,载具属性!$G$98:$G$497)</f>
        <v>12280</v>
      </c>
      <c r="Y252" s="43">
        <f ca="1">OFFSET(载具属性!L$33,AS252,0)*载具属性!M$30+OFFSET(载具属性!M$33,AT252,0)*载具属性!N$30+OFFSET(载具属性!N$33,AU252,0)*载具属性!O$30+OFFSET(载具属性!O$33,AV252,0)*载具属性!P$30</f>
        <v>7140</v>
      </c>
      <c r="Z252" s="40">
        <f ca="1">MATCH(SUM($T$7:T252),载具属性!$I$98:$I$497,1)</f>
        <v>177</v>
      </c>
      <c r="AA252" s="40">
        <f ca="1">OFFSET(载具产出!$F$399,IFERROR(MATCH(OFFSET($D252,0,MATCH($D$5,$E$6:$H$6,0)),载具产出!$E$112:$E$151,1),0),MATCH(AA$6,载具产出!$G$111:$O$111,0))*2</f>
        <v>18</v>
      </c>
      <c r="AB252" s="40">
        <f ca="1">OFFSET(载具产出!$F$399,IFERROR(MATCH(OFFSET($D252,0,MATCH($D$5,$E$6:$H$6,0)),载具产出!$E$112:$E$151,1),0),MATCH(AB$6,载具产出!$G$111:$O$111,0))*2</f>
        <v>21.28</v>
      </c>
      <c r="AC252" s="40">
        <f ca="1">OFFSET(载具产出!$F$399,IFERROR(MATCH(OFFSET($D252,0,MATCH($D$5,$E$6:$H$6,0)),载具产出!$E$112:$E$151,1),0),MATCH(AC$6,载具产出!$G$111:$O$111,0))*2</f>
        <v>15.76</v>
      </c>
      <c r="AD252" s="40">
        <f ca="1">OFFSET(载具产出!$F$399,IFERROR(MATCH(OFFSET($D252,0,MATCH($D$5,$E$6:$H$6,0)),载具产出!$E$112:$E$151,1),0),MATCH(AD$6,载具产出!$G$111:$O$111,0))*2</f>
        <v>0.96</v>
      </c>
      <c r="AE252" s="44">
        <f ca="1">SUM(AA$36:AA252)/3</f>
        <v>1520.8</v>
      </c>
      <c r="AF252" s="44">
        <f ca="1">SUM(AB$36:AB252)/3</f>
        <v>1665.97333333333</v>
      </c>
      <c r="AG252" s="44">
        <f ca="1">SUM(AC$36:AC252)/3</f>
        <v>506.799999999999</v>
      </c>
      <c r="AH252" s="44">
        <f ca="1">SUM(AD$36:AD252)/3</f>
        <v>5.76</v>
      </c>
      <c r="AI252" s="44">
        <f>_xlfn.XLOOKUP($D$5,载具产出!$D$71:$D$75,载具产出!$E$71:$E$75)*(D252-30+1)</f>
        <v>2552.33333333334</v>
      </c>
      <c r="AJ252" s="44">
        <f>IFERROR(MATCH(_xlfn.XLOOKUP($D$5,载具产出!$D$71:$D$75,载具产出!$E$71:$E$75)*(D252-30+1)*10,载具产出!$E$60:$E$67,1),0)+1</f>
        <v>7</v>
      </c>
      <c r="AK252" s="44">
        <f ca="1">IF($AJ252=1,($AI252)*(10*OFFSET(载具产出!$D$45,MATCH(AK$6,$AK$6:$AN$6,0)-1,$AJ252)+OFFSET(载具产出!$D$49,MATCH(AK$6,$AK$6:$AN$6,0)-1,$AJ252)*OFFSET(载具产出!$N$49,MATCH(AK$6,$AK$6:$AN$6,0)-1,0)),OFFSET(载具产出!F$59,$AJ252-1,0)*10+OFFSET(载具产出!J$59,$AJ252-1,0)+($AI252*10-_xlfn.XLOOKUP($AJ252-1,载具产出!$D$59:$D$67,载具产出!$E$59:$E$67))/10*(10*OFFSET(载具产出!$D$45,MATCH(AK$6,$AK$6:$AN$6,0)-1,$AJ252)+OFFSET(载具产出!$D$49,MATCH(AK$6,$AK$6:$AN$6,0)-1,$AJ252)*OFFSET(载具产出!$N$49,MATCH(AK$6,$AK$6:$AN$6,0)-1,0)))</f>
        <v>5575.47800000001</v>
      </c>
      <c r="AL252" s="44">
        <f ca="1">IF($AJ252=1,($AI252)*(10*OFFSET(载具产出!$D$45,MATCH(AL$6,$AK$6:$AN$6,0)-1,$AJ252)+OFFSET(载具产出!$D$49,MATCH(AL$6,$AK$6:$AN$6,0)-1,$AJ252)*OFFSET(载具产出!$N$49,MATCH(AL$6,$AK$6:$AN$6,0)-1,0)),OFFSET(载具产出!G$59,$AJ252-1,0)*10+OFFSET(载具产出!K$59,$AJ252-1,0)+($AI252*10-_xlfn.XLOOKUP($AJ252-1,载具产出!$D$59:$D$67,载具产出!$E$59:$E$67))/10*(10*OFFSET(载具产出!$D$45,MATCH(AL$6,$AK$6:$AN$6,0)-1,$AJ252)+OFFSET(载具产出!$D$49,MATCH(AL$6,$AK$6:$AN$6,0)-1,$AJ252)*OFFSET(载具产出!$N$49,MATCH(AL$6,$AK$6:$AN$6,0)-1,0)))</f>
        <v>2300.49333333334</v>
      </c>
      <c r="AM252" s="44">
        <f ca="1">IF($AJ252=1,($AI252)*(10*OFFSET(载具产出!$D$45,MATCH(AM$6,$AK$6:$AN$6,0)-1,$AJ252)+OFFSET(载具产出!$D$49,MATCH(AM$6,$AK$6:$AN$6,0)-1,$AJ252)*OFFSET(载具产出!$N$49,MATCH(AM$6,$AK$6:$AN$6,0)-1,0)),OFFSET(载具产出!H$59,$AJ252-1,0)*10+OFFSET(载具产出!L$59,$AJ252-1,0)+($AI252*10-_xlfn.XLOOKUP($AJ252-1,载具产出!$D$59:$D$67,载具产出!$E$59:$E$67))/10*(10*OFFSET(载具产出!$D$45,MATCH(AM$6,$AK$6:$AN$6,0)-1,$AJ252)+OFFSET(载具产出!$D$49,MATCH(AM$6,$AK$6:$AN$6,0)-1,$AJ252)*OFFSET(载具产出!$N$49,MATCH(AM$6,$AK$6:$AN$6,0)-1,0)))</f>
        <v>1257.872</v>
      </c>
      <c r="AN252" s="44">
        <f ca="1">IF($AJ252=1,($AI252)*(10*OFFSET(载具产出!$D$45,MATCH(AN$6,$AK$6:$AN$6,0)-1,$AJ252)+OFFSET(载具产出!$D$49,MATCH(AN$6,$AK$6:$AN$6,0)-1,$AJ252)*OFFSET(载具产出!$N$49,MATCH(AN$6,$AK$6:$AN$6,0)-1,0)),OFFSET(载具产出!I$59,$AJ252-1,0)*10+OFFSET(载具产出!M$59,$AJ252-1,0)+($AI252*10-_xlfn.XLOOKUP($AJ252-1,载具产出!$D$59:$D$67,载具产出!$E$59:$E$67))/10*(10*OFFSET(载具产出!$D$45,MATCH(AN$6,$AK$6:$AN$6,0)-1,$AJ252)+OFFSET(载具产出!$D$49,MATCH(AN$6,$AK$6:$AN$6,0)-1,$AJ252)*OFFSET(载具产出!$N$49,MATCH(AN$6,$AK$6:$AN$6,0)-1,0)))</f>
        <v>389.944333333334</v>
      </c>
      <c r="AO252" s="44">
        <f ca="1" t="shared" si="60"/>
        <v>7096.27800000001</v>
      </c>
      <c r="AP252" s="44">
        <f ca="1" t="shared" si="61"/>
        <v>3966.46666666666</v>
      </c>
      <c r="AQ252" s="44">
        <f ca="1" t="shared" si="62"/>
        <v>1764.672</v>
      </c>
      <c r="AR252" s="44">
        <f ca="1" t="shared" si="63"/>
        <v>395.704333333334</v>
      </c>
      <c r="AS252" s="45">
        <f ca="1">IFERROR(MATCH(AO252/载具产出!R$58,载具属性!$G$33:$G$92,1),0)</f>
        <v>39</v>
      </c>
      <c r="AT252" s="45">
        <f ca="1">IFERROR(MATCH(AP252/载具产出!S$58,载具属性!$G$33:$G$92,1),0)</f>
        <v>27</v>
      </c>
      <c r="AU252" s="45">
        <f ca="1">IFERROR(MATCH(AQ252/载具产出!T$58,载具属性!$G$33:$G$92,1),0)</f>
        <v>16</v>
      </c>
      <c r="AV252" s="45">
        <f ca="1">IFERROR(MATCH(AR252/载具产出!U$58,载具属性!$G$33:$G$92,1),0)</f>
        <v>6</v>
      </c>
      <c r="AW252" s="46" t="str">
        <f ca="1" t="shared" si="64"/>
        <v>[{62,1500},{63,191130},{2,552700},{6030001,4334},{6030002,4805},{6030003,1461},{6030004,14}]</v>
      </c>
      <c r="AX252" t="str">
        <f ca="1" t="shared" si="65"/>
        <v>{62,1500}</v>
      </c>
      <c r="AY252" t="str">
        <f ca="1" t="shared" si="66"/>
        <v>{63,191130}</v>
      </c>
      <c r="AZ252" t="str">
        <f ca="1" t="shared" si="67"/>
        <v>{2,552700}</v>
      </c>
      <c r="BA252" t="str">
        <f ca="1" t="shared" si="68"/>
        <v>{6030001,4334}</v>
      </c>
      <c r="BB252" t="str">
        <f ca="1" t="shared" si="69"/>
        <v>{6030002,4805}</v>
      </c>
      <c r="BC252" t="str">
        <f ca="1" t="shared" si="70"/>
        <v>{6030003,1461}</v>
      </c>
      <c r="BD252" t="str">
        <f ca="1" t="shared" si="71"/>
        <v>{6030004,14}</v>
      </c>
    </row>
    <row r="253" spans="3:56">
      <c r="C253">
        <f ca="1" t="shared" si="59"/>
        <v>124.439024390244</v>
      </c>
      <c r="D253" s="40">
        <v>247</v>
      </c>
      <c r="E253" s="40">
        <f t="shared" si="72"/>
        <v>130</v>
      </c>
      <c r="F253" s="40">
        <v>150</v>
      </c>
      <c r="G253" s="41">
        <f t="shared" si="74"/>
        <v>205</v>
      </c>
      <c r="H253" s="40">
        <f>H252+1</f>
        <v>266</v>
      </c>
      <c r="I253" s="40">
        <f t="shared" si="58"/>
        <v>520</v>
      </c>
      <c r="J253" s="40">
        <f t="shared" si="73"/>
        <v>520</v>
      </c>
      <c r="K253" s="40">
        <f ca="1">SUM(U$36:U253)-SUM(OFFSET(载具产出!H$399,0,0,$R253+1,1))</f>
        <v>1507</v>
      </c>
      <c r="L253" s="40">
        <f ca="1">SUM(T$36:T253)-SUM(OFFSET(载具产出!G$399,0,0,$R253+1,1))</f>
        <v>192255</v>
      </c>
      <c r="M253" s="40">
        <f ca="1">SUM(V$36:V253)/2-SUM(OFFSET(载具产出!I$399,0,0,$R253+1,1))</f>
        <v>556300</v>
      </c>
      <c r="N253" s="40">
        <f ca="1">SUM(AA$36:AA253)-SUM(OFFSET(载具产出!J$399,0,0,$R253+1,1))</f>
        <v>4352.6</v>
      </c>
      <c r="O253" s="40">
        <f ca="1">SUM(AB$36:AB253)-SUM(OFFSET(载具产出!K$399,0,0,$R253+1,1))</f>
        <v>4827.23999999998</v>
      </c>
      <c r="P253" s="40">
        <f ca="1">SUM(AC$36:AC253)-SUM(OFFSET(载具产出!L$399,0,0,$R253+1,1))</f>
        <v>1477.32</v>
      </c>
      <c r="Q253" s="40">
        <f ca="1">SUM(AD$36:AD253)-SUM(OFFSET(载具产出!M$399,0,0,$R253+1,1))</f>
        <v>15.84</v>
      </c>
      <c r="R253" s="40">
        <v>19</v>
      </c>
      <c r="S253" s="40" t="str">
        <f ca="1">OFFSET(载具产出!$D$111,IFERROR(MATCH(OFFSET($D253,0,MATCH($D$5,$E$6:$H$6,0)),载具产出!$E$112:$E$151,1),0),0)</f>
        <v>卓越Ⅱ</v>
      </c>
      <c r="T253" s="40">
        <f ca="1">OFFSET(载具产出!$F$399,IFERROR(MATCH(OFFSET($D253,0,MATCH($D$5,$E$6:$H$6,0)),载具产出!$E$400:$E$439,1),0),MATCH(T$6,载具产出!$G$399:$O$399,0))</f>
        <v>1125</v>
      </c>
      <c r="U253" s="40">
        <v>7</v>
      </c>
      <c r="V253" s="40">
        <f ca="1">OFFSET(载具产出!$F$399,IFERROR(MATCH(OFFSET($D253,0,MATCH($D$5,$E$6:$H$6,0)),载具产出!$E$400:$E$439,1),0),MATCH(V$6,载具产出!$G$399:$O$399,0))</f>
        <v>7200</v>
      </c>
      <c r="W253" s="43">
        <f ca="1">_xlfn.XLOOKUP(Z253,载具属性!$E$98:$E$497,载具属性!$G$98:$G$497)+6000+OFFSET(载具属性!L$33,AS253,0)*载具属性!M$30+OFFSET(载具属性!M$33,AT253,0)*载具属性!N$30+OFFSET(载具属性!N$33,AU253,0)*载具属性!O$30+OFFSET(载具属性!O$33,AV253,0)*载具属性!P$30</f>
        <v>25510</v>
      </c>
      <c r="X253" s="43">
        <f ca="1">_xlfn.XLOOKUP(Z253,载具属性!$E$98:$E$497,载具属性!$G$98:$G$497)</f>
        <v>12370</v>
      </c>
      <c r="Y253" s="43">
        <f ca="1">OFFSET(载具属性!L$33,AS253,0)*载具属性!M$30+OFFSET(载具属性!M$33,AT253,0)*载具属性!N$30+OFFSET(载具属性!N$33,AU253,0)*载具属性!O$30+OFFSET(载具属性!O$33,AV253,0)*载具属性!P$30</f>
        <v>7140</v>
      </c>
      <c r="Z253" s="40">
        <f ca="1">MATCH(SUM($T$7:T253),载具属性!$I$98:$I$497,1)</f>
        <v>178</v>
      </c>
      <c r="AA253" s="40">
        <f ca="1">OFFSET(载具产出!$F$399,IFERROR(MATCH(OFFSET($D253,0,MATCH($D$5,$E$6:$H$6,0)),载具产出!$E$112:$E$151,1),0),MATCH(AA$6,载具产出!$G$111:$O$111,0))*2</f>
        <v>18</v>
      </c>
      <c r="AB253" s="40">
        <f ca="1">OFFSET(载具产出!$F$399,IFERROR(MATCH(OFFSET($D253,0,MATCH($D$5,$E$6:$H$6,0)),载具产出!$E$112:$E$151,1),0),MATCH(AB$6,载具产出!$G$111:$O$111,0))*2</f>
        <v>21.28</v>
      </c>
      <c r="AC253" s="40">
        <f ca="1">OFFSET(载具产出!$F$399,IFERROR(MATCH(OFFSET($D253,0,MATCH($D$5,$E$6:$H$6,0)),载具产出!$E$112:$E$151,1),0),MATCH(AC$6,载具产出!$G$111:$O$111,0))*2</f>
        <v>15.76</v>
      </c>
      <c r="AD253" s="40">
        <f ca="1">OFFSET(载具产出!$F$399,IFERROR(MATCH(OFFSET($D253,0,MATCH($D$5,$E$6:$H$6,0)),载具产出!$E$112:$E$151,1),0),MATCH(AD$6,载具产出!$G$111:$O$111,0))*2</f>
        <v>0.96</v>
      </c>
      <c r="AE253" s="44">
        <f ca="1">SUM(AA$36:AA253)/3</f>
        <v>1526.8</v>
      </c>
      <c r="AF253" s="44">
        <f ca="1">SUM(AB$36:AB253)/3</f>
        <v>1673.06666666666</v>
      </c>
      <c r="AG253" s="44">
        <f ca="1">SUM(AC$36:AC253)/3</f>
        <v>512.053333333333</v>
      </c>
      <c r="AH253" s="44">
        <f ca="1">SUM(AD$36:AD253)/3</f>
        <v>6.08</v>
      </c>
      <c r="AI253" s="44">
        <f>_xlfn.XLOOKUP($D$5,载具产出!$D$71:$D$75,载具产出!$E$71:$E$75)*(D253-30+1)</f>
        <v>2564.09523809525</v>
      </c>
      <c r="AJ253" s="44">
        <f>IFERROR(MATCH(_xlfn.XLOOKUP($D$5,载具产出!$D$71:$D$75,载具产出!$E$71:$E$75)*(D253-30+1)*10,载具产出!$E$60:$E$67,1),0)+1</f>
        <v>7</v>
      </c>
      <c r="AK253" s="44">
        <f ca="1">IF($AJ253=1,($AI253)*(10*OFFSET(载具产出!$D$45,MATCH(AK$6,$AK$6:$AN$6,0)-1,$AJ253)+OFFSET(载具产出!$D$49,MATCH(AK$6,$AK$6:$AN$6,0)-1,$AJ253)*OFFSET(载具产出!$N$49,MATCH(AK$6,$AK$6:$AN$6,0)-1,0)),OFFSET(载具产出!F$59,$AJ253-1,0)*10+OFFSET(载具产出!J$59,$AJ253-1,0)+($AI253*10-_xlfn.XLOOKUP($AJ253-1,载具产出!$D$59:$D$67,载具产出!$E$59:$E$67))/10*(10*OFFSET(载具产出!$D$45,MATCH(AK$6,$AK$6:$AN$6,0)-1,$AJ253)+OFFSET(载具产出!$D$49,MATCH(AK$6,$AK$6:$AN$6,0)-1,$AJ253)*OFFSET(载具产出!$N$49,MATCH(AK$6,$AK$6:$AN$6,0)-1,0)))</f>
        <v>5600.31914285717</v>
      </c>
      <c r="AL253" s="44">
        <f ca="1">IF($AJ253=1,($AI253)*(10*OFFSET(载具产出!$D$45,MATCH(AL$6,$AK$6:$AN$6,0)-1,$AJ253)+OFFSET(载具产出!$D$49,MATCH(AL$6,$AK$6:$AN$6,0)-1,$AJ253)*OFFSET(载具产出!$N$49,MATCH(AL$6,$AK$6:$AN$6,0)-1,0)),OFFSET(载具产出!G$59,$AJ253-1,0)*10+OFFSET(载具产出!K$59,$AJ253-1,0)+($AI253*10-_xlfn.XLOOKUP($AJ253-1,载具产出!$D$59:$D$67,载具产出!$E$59:$E$67))/10*(10*OFFSET(载具产出!$D$45,MATCH(AL$6,$AK$6:$AN$6,0)-1,$AJ253)+OFFSET(载具产出!$D$49,MATCH(AL$6,$AK$6:$AN$6,0)-1,$AJ253)*OFFSET(载具产出!$N$49,MATCH(AL$6,$AK$6:$AN$6,0)-1,0)))</f>
        <v>2311.54952380954</v>
      </c>
      <c r="AM253" s="44">
        <f ca="1">IF($AJ253=1,($AI253)*(10*OFFSET(载具产出!$D$45,MATCH(AM$6,$AK$6:$AN$6,0)-1,$AJ253)+OFFSET(载具产出!$D$49,MATCH(AM$6,$AK$6:$AN$6,0)-1,$AJ253)*OFFSET(载具产出!$N$49,MATCH(AM$6,$AK$6:$AN$6,0)-1,0)),OFFSET(载具产出!H$59,$AJ253-1,0)*10+OFFSET(载具产出!L$59,$AJ253-1,0)+($AI253*10-_xlfn.XLOOKUP($AJ253-1,载具产出!$D$59:$D$67,载具产出!$E$59:$E$67))/10*(10*OFFSET(载具产出!$D$45,MATCH(AM$6,$AK$6:$AN$6,0)-1,$AJ253)+OFFSET(载具产出!$D$49,MATCH(AM$6,$AK$6:$AN$6,0)-1,$AJ253)*OFFSET(载具产出!$N$49,MATCH(AM$6,$AK$6:$AN$6,0)-1,0)))</f>
        <v>1264.08228571429</v>
      </c>
      <c r="AN253" s="44">
        <f ca="1">IF($AJ253=1,($AI253)*(10*OFFSET(载具产出!$D$45,MATCH(AN$6,$AK$6:$AN$6,0)-1,$AJ253)+OFFSET(载具产出!$D$49,MATCH(AN$6,$AK$6:$AN$6,0)-1,$AJ253)*OFFSET(载具产出!$N$49,MATCH(AN$6,$AK$6:$AN$6,0)-1,0)),OFFSET(载具产出!I$59,$AJ253-1,0)*10+OFFSET(载具产出!M$59,$AJ253-1,0)+($AI253*10-_xlfn.XLOOKUP($AJ253-1,载具产出!$D$59:$D$67,载具产出!$E$59:$E$67))/10*(10*OFFSET(载具产出!$D$45,MATCH(AN$6,$AK$6:$AN$6,0)-1,$AJ253)+OFFSET(载具产出!$D$49,MATCH(AN$6,$AK$6:$AN$6,0)-1,$AJ253)*OFFSET(载具产出!$N$49,MATCH(AN$6,$AK$6:$AN$6,0)-1,0)))</f>
        <v>391.932095238097</v>
      </c>
      <c r="AO253" s="44">
        <f ca="1" t="shared" si="60"/>
        <v>7127.11914285717</v>
      </c>
      <c r="AP253" s="44">
        <f ca="1" t="shared" si="61"/>
        <v>3984.61619047619</v>
      </c>
      <c r="AQ253" s="44">
        <f ca="1" t="shared" si="62"/>
        <v>1776.13561904762</v>
      </c>
      <c r="AR253" s="44">
        <f ca="1" t="shared" si="63"/>
        <v>398.012095238097</v>
      </c>
      <c r="AS253" s="45">
        <f ca="1">IFERROR(MATCH(AO253/载具产出!R$58,载具属性!$G$33:$G$92,1),0)</f>
        <v>39</v>
      </c>
      <c r="AT253" s="45">
        <f ca="1">IFERROR(MATCH(AP253/载具产出!S$58,载具属性!$G$33:$G$92,1),0)</f>
        <v>27</v>
      </c>
      <c r="AU253" s="45">
        <f ca="1">IFERROR(MATCH(AQ253/载具产出!T$58,载具属性!$G$33:$G$92,1),0)</f>
        <v>16</v>
      </c>
      <c r="AV253" s="45">
        <f ca="1">IFERROR(MATCH(AR253/载具产出!U$58,载具属性!$G$33:$G$92,1),0)</f>
        <v>6</v>
      </c>
      <c r="AW253" s="46" t="str">
        <f ca="1" t="shared" si="64"/>
        <v>[{62,1507},{63,192255},{2,556300},{6030001,4352},{6030002,4827},{6030003,1477},{6030004,15}]</v>
      </c>
      <c r="AX253" t="str">
        <f ca="1" t="shared" si="65"/>
        <v>{62,1507}</v>
      </c>
      <c r="AY253" t="str">
        <f ca="1" t="shared" si="66"/>
        <v>{63,192255}</v>
      </c>
      <c r="AZ253" t="str">
        <f ca="1" t="shared" si="67"/>
        <v>{2,556300}</v>
      </c>
      <c r="BA253" t="str">
        <f ca="1" t="shared" si="68"/>
        <v>{6030001,4352}</v>
      </c>
      <c r="BB253" t="str">
        <f ca="1" t="shared" si="69"/>
        <v>{6030002,4827}</v>
      </c>
      <c r="BC253" t="str">
        <f ca="1" t="shared" si="70"/>
        <v>{6030003,1477}</v>
      </c>
      <c r="BD253" t="str">
        <f ca="1" t="shared" si="71"/>
        <v>{6030004,15}</v>
      </c>
    </row>
    <row r="254" spans="3:56">
      <c r="C254">
        <f ca="1" t="shared" si="59"/>
        <v>124.199029126214</v>
      </c>
      <c r="D254" s="40">
        <v>248</v>
      </c>
      <c r="E254" s="40">
        <f t="shared" si="72"/>
        <v>130</v>
      </c>
      <c r="F254" s="40">
        <v>150</v>
      </c>
      <c r="G254" s="41">
        <f t="shared" si="74"/>
        <v>206</v>
      </c>
      <c r="H254" s="40">
        <f>H253</f>
        <v>266</v>
      </c>
      <c r="I254" s="40">
        <f t="shared" si="58"/>
        <v>522</v>
      </c>
      <c r="J254" s="40">
        <f t="shared" si="73"/>
        <v>522</v>
      </c>
      <c r="K254" s="40">
        <f ca="1">SUM(U$36:U254)-SUM(OFFSET(载具产出!H$399,0,0,$R254+1,1))</f>
        <v>1514</v>
      </c>
      <c r="L254" s="40">
        <f ca="1">SUM(T$36:T254)-SUM(OFFSET(载具产出!G$399,0,0,$R254+1,1))</f>
        <v>193380</v>
      </c>
      <c r="M254" s="40">
        <f ca="1">SUM(V$36:V254)/2-SUM(OFFSET(载具产出!I$399,0,0,$R254+1,1))</f>
        <v>559900</v>
      </c>
      <c r="N254" s="40">
        <f ca="1">SUM(AA$36:AA254)-SUM(OFFSET(载具产出!J$399,0,0,$R254+1,1))</f>
        <v>4370.6</v>
      </c>
      <c r="O254" s="40">
        <f ca="1">SUM(AB$36:AB254)-SUM(OFFSET(载具产出!K$399,0,0,$R254+1,1))</f>
        <v>4848.51999999998</v>
      </c>
      <c r="P254" s="40">
        <f ca="1">SUM(AC$36:AC254)-SUM(OFFSET(载具产出!L$399,0,0,$R254+1,1))</f>
        <v>1493.08</v>
      </c>
      <c r="Q254" s="40">
        <f ca="1">SUM(AD$36:AD254)-SUM(OFFSET(载具产出!M$399,0,0,$R254+1,1))</f>
        <v>16.8</v>
      </c>
      <c r="R254" s="40">
        <v>19</v>
      </c>
      <c r="S254" s="40" t="str">
        <f ca="1">OFFSET(载具产出!$D$111,IFERROR(MATCH(OFFSET($D254,0,MATCH($D$5,$E$6:$H$6,0)),载具产出!$E$112:$E$151,1),0),0)</f>
        <v>卓越Ⅱ</v>
      </c>
      <c r="T254" s="40">
        <f ca="1">OFFSET(载具产出!$F$399,IFERROR(MATCH(OFFSET($D254,0,MATCH($D$5,$E$6:$H$6,0)),载具产出!$E$400:$E$439,1),0),MATCH(T$6,载具产出!$G$399:$O$399,0))</f>
        <v>1125</v>
      </c>
      <c r="U254" s="40">
        <v>7</v>
      </c>
      <c r="V254" s="40">
        <f ca="1">OFFSET(载具产出!$F$399,IFERROR(MATCH(OFFSET($D254,0,MATCH($D$5,$E$6:$H$6,0)),载具产出!$E$400:$E$439,1),0),MATCH(V$6,载具产出!$G$399:$O$399,0))</f>
        <v>7200</v>
      </c>
      <c r="W254" s="43">
        <f ca="1">_xlfn.XLOOKUP(Z254,载具属性!$E$98:$E$497,载具属性!$G$98:$G$497)+6000+OFFSET(载具属性!L$33,AS254,0)*载具属性!M$30+OFFSET(载具属性!M$33,AT254,0)*载具属性!N$30+OFFSET(载具属性!N$33,AU254,0)*载具属性!O$30+OFFSET(载具属性!O$33,AV254,0)*载具属性!P$30</f>
        <v>25585</v>
      </c>
      <c r="X254" s="43">
        <f ca="1">_xlfn.XLOOKUP(Z254,载具属性!$E$98:$E$497,载具属性!$G$98:$G$497)</f>
        <v>12370</v>
      </c>
      <c r="Y254" s="43">
        <f ca="1">OFFSET(载具属性!L$33,AS254,0)*载具属性!M$30+OFFSET(载具属性!M$33,AT254,0)*载具属性!N$30+OFFSET(载具属性!N$33,AU254,0)*载具属性!O$30+OFFSET(载具属性!O$33,AV254,0)*载具属性!P$30</f>
        <v>7215</v>
      </c>
      <c r="Z254" s="40">
        <f ca="1">MATCH(SUM($T$7:T254),载具属性!$I$98:$I$497,1)</f>
        <v>178</v>
      </c>
      <c r="AA254" s="40">
        <f ca="1">OFFSET(载具产出!$F$399,IFERROR(MATCH(OFFSET($D254,0,MATCH($D$5,$E$6:$H$6,0)),载具产出!$E$112:$E$151,1),0),MATCH(AA$6,载具产出!$G$111:$O$111,0))*2</f>
        <v>18</v>
      </c>
      <c r="AB254" s="40">
        <f ca="1">OFFSET(载具产出!$F$399,IFERROR(MATCH(OFFSET($D254,0,MATCH($D$5,$E$6:$H$6,0)),载具产出!$E$112:$E$151,1),0),MATCH(AB$6,载具产出!$G$111:$O$111,0))*2</f>
        <v>21.28</v>
      </c>
      <c r="AC254" s="40">
        <f ca="1">OFFSET(载具产出!$F$399,IFERROR(MATCH(OFFSET($D254,0,MATCH($D$5,$E$6:$H$6,0)),载具产出!$E$112:$E$151,1),0),MATCH(AC$6,载具产出!$G$111:$O$111,0))*2</f>
        <v>15.76</v>
      </c>
      <c r="AD254" s="40">
        <f ca="1">OFFSET(载具产出!$F$399,IFERROR(MATCH(OFFSET($D254,0,MATCH($D$5,$E$6:$H$6,0)),载具产出!$E$112:$E$151,1),0),MATCH(AD$6,载具产出!$G$111:$O$111,0))*2</f>
        <v>0.96</v>
      </c>
      <c r="AE254" s="44">
        <f ca="1">SUM(AA$36:AA254)/3</f>
        <v>1532.8</v>
      </c>
      <c r="AF254" s="44">
        <f ca="1">SUM(AB$36:AB254)/3</f>
        <v>1680.15999999999</v>
      </c>
      <c r="AG254" s="44">
        <f ca="1">SUM(AC$36:AC254)/3</f>
        <v>517.306666666666</v>
      </c>
      <c r="AH254" s="44">
        <f ca="1">SUM(AD$36:AD254)/3</f>
        <v>6.4</v>
      </c>
      <c r="AI254" s="44">
        <f>_xlfn.XLOOKUP($D$5,载具产出!$D$71:$D$75,载具产出!$E$71:$E$75)*(D254-30+1)</f>
        <v>2575.85714285715</v>
      </c>
      <c r="AJ254" s="44">
        <f>IFERROR(MATCH(_xlfn.XLOOKUP($D$5,载具产出!$D$71:$D$75,载具产出!$E$71:$E$75)*(D254-30+1)*10,载具产出!$E$60:$E$67,1),0)+1</f>
        <v>7</v>
      </c>
      <c r="AK254" s="44">
        <f ca="1">IF($AJ254=1,($AI254)*(10*OFFSET(载具产出!$D$45,MATCH(AK$6,$AK$6:$AN$6,0)-1,$AJ254)+OFFSET(载具产出!$D$49,MATCH(AK$6,$AK$6:$AN$6,0)-1,$AJ254)*OFFSET(载具产出!$N$49,MATCH(AK$6,$AK$6:$AN$6,0)-1,0)),OFFSET(载具产出!F$59,$AJ254-1,0)*10+OFFSET(载具产出!J$59,$AJ254-1,0)+($AI254*10-_xlfn.XLOOKUP($AJ254-1,载具产出!$D$59:$D$67,载具产出!$E$59:$E$67))/10*(10*OFFSET(载具产出!$D$45,MATCH(AK$6,$AK$6:$AN$6,0)-1,$AJ254)+OFFSET(载具产出!$D$49,MATCH(AK$6,$AK$6:$AN$6,0)-1,$AJ254)*OFFSET(载具产出!$N$49,MATCH(AK$6,$AK$6:$AN$6,0)-1,0)))</f>
        <v>5625.1602857143</v>
      </c>
      <c r="AL254" s="44">
        <f ca="1">IF($AJ254=1,($AI254)*(10*OFFSET(载具产出!$D$45,MATCH(AL$6,$AK$6:$AN$6,0)-1,$AJ254)+OFFSET(载具产出!$D$49,MATCH(AL$6,$AK$6:$AN$6,0)-1,$AJ254)*OFFSET(载具产出!$N$49,MATCH(AL$6,$AK$6:$AN$6,0)-1,0)),OFFSET(载具产出!G$59,$AJ254-1,0)*10+OFFSET(载具产出!K$59,$AJ254-1,0)+($AI254*10-_xlfn.XLOOKUP($AJ254-1,载具产出!$D$59:$D$67,载具产出!$E$59:$E$67))/10*(10*OFFSET(载具产出!$D$45,MATCH(AL$6,$AK$6:$AN$6,0)-1,$AJ254)+OFFSET(载具产出!$D$49,MATCH(AL$6,$AK$6:$AN$6,0)-1,$AJ254)*OFFSET(载具产出!$N$49,MATCH(AL$6,$AK$6:$AN$6,0)-1,0)))</f>
        <v>2322.60571428572</v>
      </c>
      <c r="AM254" s="44">
        <f ca="1">IF($AJ254=1,($AI254)*(10*OFFSET(载具产出!$D$45,MATCH(AM$6,$AK$6:$AN$6,0)-1,$AJ254)+OFFSET(载具产出!$D$49,MATCH(AM$6,$AK$6:$AN$6,0)-1,$AJ254)*OFFSET(载具产出!$N$49,MATCH(AM$6,$AK$6:$AN$6,0)-1,0)),OFFSET(载具产出!H$59,$AJ254-1,0)*10+OFFSET(载具产出!L$59,$AJ254-1,0)+($AI254*10-_xlfn.XLOOKUP($AJ254-1,载具产出!$D$59:$D$67,载具产出!$E$59:$E$67))/10*(10*OFFSET(载具产出!$D$45,MATCH(AM$6,$AK$6:$AN$6,0)-1,$AJ254)+OFFSET(载具产出!$D$49,MATCH(AM$6,$AK$6:$AN$6,0)-1,$AJ254)*OFFSET(载具产出!$N$49,MATCH(AM$6,$AK$6:$AN$6,0)-1,0)))</f>
        <v>1270.29257142858</v>
      </c>
      <c r="AN254" s="44">
        <f ca="1">IF($AJ254=1,($AI254)*(10*OFFSET(载具产出!$D$45,MATCH(AN$6,$AK$6:$AN$6,0)-1,$AJ254)+OFFSET(载具产出!$D$49,MATCH(AN$6,$AK$6:$AN$6,0)-1,$AJ254)*OFFSET(载具产出!$N$49,MATCH(AN$6,$AK$6:$AN$6,0)-1,0)),OFFSET(载具产出!I$59,$AJ254-1,0)*10+OFFSET(载具产出!M$59,$AJ254-1,0)+($AI254*10-_xlfn.XLOOKUP($AJ254-1,载具产出!$D$59:$D$67,载具产出!$E$59:$E$67))/10*(10*OFFSET(载具产出!$D$45,MATCH(AN$6,$AK$6:$AN$6,0)-1,$AJ254)+OFFSET(载具产出!$D$49,MATCH(AN$6,$AK$6:$AN$6,0)-1,$AJ254)*OFFSET(载具产出!$N$49,MATCH(AN$6,$AK$6:$AN$6,0)-1,0)))</f>
        <v>393.919857142858</v>
      </c>
      <c r="AO254" s="44">
        <f ca="1" t="shared" si="60"/>
        <v>7157.9602857143</v>
      </c>
      <c r="AP254" s="44">
        <f ca="1" t="shared" si="61"/>
        <v>4002.76571428571</v>
      </c>
      <c r="AQ254" s="44">
        <f ca="1" t="shared" si="62"/>
        <v>1787.59923809524</v>
      </c>
      <c r="AR254" s="44">
        <f ca="1" t="shared" si="63"/>
        <v>400.319857142858</v>
      </c>
      <c r="AS254" s="45">
        <f ca="1">IFERROR(MATCH(AO254/载具产出!R$58,载具属性!$G$33:$G$92,1),0)</f>
        <v>39</v>
      </c>
      <c r="AT254" s="45">
        <f ca="1">IFERROR(MATCH(AP254/载具产出!S$58,载具属性!$G$33:$G$92,1),0)</f>
        <v>27</v>
      </c>
      <c r="AU254" s="45">
        <f ca="1">IFERROR(MATCH(AQ254/载具产出!T$58,载具属性!$G$33:$G$92,1),0)</f>
        <v>16</v>
      </c>
      <c r="AV254" s="45">
        <f ca="1">IFERROR(MATCH(AR254/载具产出!U$58,载具属性!$G$33:$G$92,1),0)</f>
        <v>7</v>
      </c>
      <c r="AW254" s="46" t="str">
        <f ca="1" t="shared" si="64"/>
        <v>[{62,1514},{63,193380},{2,559900},{6030001,4370},{6030002,4848},{6030003,1493},{6030004,16}]</v>
      </c>
      <c r="AX254" t="str">
        <f ca="1" t="shared" si="65"/>
        <v>{62,1514}</v>
      </c>
      <c r="AY254" t="str">
        <f ca="1" t="shared" si="66"/>
        <v>{63,193380}</v>
      </c>
      <c r="AZ254" t="str">
        <f ca="1" t="shared" si="67"/>
        <v>{2,559900}</v>
      </c>
      <c r="BA254" t="str">
        <f ca="1" t="shared" si="68"/>
        <v>{6030001,4370}</v>
      </c>
      <c r="BB254" t="str">
        <f ca="1" t="shared" si="69"/>
        <v>{6030002,4848}</v>
      </c>
      <c r="BC254" t="str">
        <f ca="1" t="shared" si="70"/>
        <v>{6030003,1493}</v>
      </c>
      <c r="BD254" t="str">
        <f ca="1" t="shared" si="71"/>
        <v>{6030004,16}</v>
      </c>
    </row>
    <row r="255" spans="3:56">
      <c r="C255">
        <f ca="1" t="shared" si="59"/>
        <v>124.635922330097</v>
      </c>
      <c r="D255" s="40">
        <v>249</v>
      </c>
      <c r="E255" s="40">
        <f t="shared" si="72"/>
        <v>130</v>
      </c>
      <c r="F255" s="40">
        <v>150</v>
      </c>
      <c r="G255" s="41">
        <f t="shared" si="74"/>
        <v>206</v>
      </c>
      <c r="H255" s="40">
        <f>H254+1</f>
        <v>267</v>
      </c>
      <c r="I255" s="40">
        <f t="shared" si="58"/>
        <v>524</v>
      </c>
      <c r="J255" s="40">
        <f t="shared" si="73"/>
        <v>524</v>
      </c>
      <c r="K255" s="40">
        <f ca="1">SUM(U$36:U255)-SUM(OFFSET(载具产出!H$399,0,0,$R255+1,1))</f>
        <v>1521</v>
      </c>
      <c r="L255" s="40">
        <f ca="1">SUM(T$36:T255)-SUM(OFFSET(载具产出!G$399,0,0,$R255+1,1))</f>
        <v>194505</v>
      </c>
      <c r="M255" s="40">
        <f ca="1">SUM(V$36:V255)/2-SUM(OFFSET(载具产出!I$399,0,0,$R255+1,1))</f>
        <v>563500</v>
      </c>
      <c r="N255" s="40">
        <f ca="1">SUM(AA$36:AA255)-SUM(OFFSET(载具产出!J$399,0,0,$R255+1,1))</f>
        <v>4388.6</v>
      </c>
      <c r="O255" s="40">
        <f ca="1">SUM(AB$36:AB255)-SUM(OFFSET(载具产出!K$399,0,0,$R255+1,1))</f>
        <v>4869.79999999998</v>
      </c>
      <c r="P255" s="40">
        <f ca="1">SUM(AC$36:AC255)-SUM(OFFSET(载具产出!L$399,0,0,$R255+1,1))</f>
        <v>1508.84</v>
      </c>
      <c r="Q255" s="40">
        <f ca="1">SUM(AD$36:AD255)-SUM(OFFSET(载具产出!M$399,0,0,$R255+1,1))</f>
        <v>17.76</v>
      </c>
      <c r="R255" s="40">
        <v>19</v>
      </c>
      <c r="S255" s="40" t="str">
        <f ca="1">OFFSET(载具产出!$D$111,IFERROR(MATCH(OFFSET($D255,0,MATCH($D$5,$E$6:$H$6,0)),载具产出!$E$112:$E$151,1),0),0)</f>
        <v>卓越Ⅱ</v>
      </c>
      <c r="T255" s="40">
        <f ca="1">OFFSET(载具产出!$F$399,IFERROR(MATCH(OFFSET($D255,0,MATCH($D$5,$E$6:$H$6,0)),载具产出!$E$400:$E$439,1),0),MATCH(T$6,载具产出!$G$399:$O$399,0))</f>
        <v>1125</v>
      </c>
      <c r="U255" s="40">
        <v>7</v>
      </c>
      <c r="V255" s="40">
        <f ca="1">OFFSET(载具产出!$F$399,IFERROR(MATCH(OFFSET($D255,0,MATCH($D$5,$E$6:$H$6,0)),载具产出!$E$400:$E$439,1),0),MATCH(V$6,载具产出!$G$399:$O$399,0))</f>
        <v>7200</v>
      </c>
      <c r="W255" s="43">
        <f ca="1">_xlfn.XLOOKUP(Z255,载具属性!$E$98:$E$497,载具属性!$G$98:$G$497)+6000+OFFSET(载具属性!L$33,AS255,0)*载具属性!M$30+OFFSET(载具属性!M$33,AT255,0)*载具属性!N$30+OFFSET(载具属性!N$33,AU255,0)*载具属性!O$30+OFFSET(载具属性!O$33,AV255,0)*载具属性!P$30</f>
        <v>25675</v>
      </c>
      <c r="X255" s="43">
        <f ca="1">_xlfn.XLOOKUP(Z255,载具属性!$E$98:$E$497,载具属性!$G$98:$G$497)</f>
        <v>12460</v>
      </c>
      <c r="Y255" s="43">
        <f ca="1">OFFSET(载具属性!L$33,AS255,0)*载具属性!M$30+OFFSET(载具属性!M$33,AT255,0)*载具属性!N$30+OFFSET(载具属性!N$33,AU255,0)*载具属性!O$30+OFFSET(载具属性!O$33,AV255,0)*载具属性!P$30</f>
        <v>7215</v>
      </c>
      <c r="Z255" s="40">
        <f ca="1">MATCH(SUM($T$7:T255),载具属性!$I$98:$I$497,1)</f>
        <v>179</v>
      </c>
      <c r="AA255" s="40">
        <f ca="1">OFFSET(载具产出!$F$399,IFERROR(MATCH(OFFSET($D255,0,MATCH($D$5,$E$6:$H$6,0)),载具产出!$E$112:$E$151,1),0),MATCH(AA$6,载具产出!$G$111:$O$111,0))*2</f>
        <v>18</v>
      </c>
      <c r="AB255" s="40">
        <f ca="1">OFFSET(载具产出!$F$399,IFERROR(MATCH(OFFSET($D255,0,MATCH($D$5,$E$6:$H$6,0)),载具产出!$E$112:$E$151,1),0),MATCH(AB$6,载具产出!$G$111:$O$111,0))*2</f>
        <v>21.28</v>
      </c>
      <c r="AC255" s="40">
        <f ca="1">OFFSET(载具产出!$F$399,IFERROR(MATCH(OFFSET($D255,0,MATCH($D$5,$E$6:$H$6,0)),载具产出!$E$112:$E$151,1),0),MATCH(AC$6,载具产出!$G$111:$O$111,0))*2</f>
        <v>15.76</v>
      </c>
      <c r="AD255" s="40">
        <f ca="1">OFFSET(载具产出!$F$399,IFERROR(MATCH(OFFSET($D255,0,MATCH($D$5,$E$6:$H$6,0)),载具产出!$E$112:$E$151,1),0),MATCH(AD$6,载具产出!$G$111:$O$111,0))*2</f>
        <v>0.96</v>
      </c>
      <c r="AE255" s="44">
        <f ca="1">SUM(AA$36:AA255)/3</f>
        <v>1538.8</v>
      </c>
      <c r="AF255" s="44">
        <f ca="1">SUM(AB$36:AB255)/3</f>
        <v>1687.25333333333</v>
      </c>
      <c r="AG255" s="44">
        <f ca="1">SUM(AC$36:AC255)/3</f>
        <v>522.559999999999</v>
      </c>
      <c r="AH255" s="44">
        <f ca="1">SUM(AD$36:AD255)/3</f>
        <v>6.72000000000001</v>
      </c>
      <c r="AI255" s="44">
        <f>_xlfn.XLOOKUP($D$5,载具产出!$D$71:$D$75,载具产出!$E$71:$E$75)*(D255-30+1)</f>
        <v>2587.61904761906</v>
      </c>
      <c r="AJ255" s="44">
        <f>IFERROR(MATCH(_xlfn.XLOOKUP($D$5,载具产出!$D$71:$D$75,载具产出!$E$71:$E$75)*(D255-30+1)*10,载具产出!$E$60:$E$67,1),0)+1</f>
        <v>7</v>
      </c>
      <c r="AK255" s="44">
        <f ca="1">IF($AJ255=1,($AI255)*(10*OFFSET(载具产出!$D$45,MATCH(AK$6,$AK$6:$AN$6,0)-1,$AJ255)+OFFSET(载具产出!$D$49,MATCH(AK$6,$AK$6:$AN$6,0)-1,$AJ255)*OFFSET(载具产出!$N$49,MATCH(AK$6,$AK$6:$AN$6,0)-1,0)),OFFSET(载具产出!F$59,$AJ255-1,0)*10+OFFSET(载具产出!J$59,$AJ255-1,0)+($AI255*10-_xlfn.XLOOKUP($AJ255-1,载具产出!$D$59:$D$67,载具产出!$E$59:$E$67))/10*(10*OFFSET(载具产出!$D$45,MATCH(AK$6,$AK$6:$AN$6,0)-1,$AJ255)+OFFSET(载具产出!$D$49,MATCH(AK$6,$AK$6:$AN$6,0)-1,$AJ255)*OFFSET(载具产出!$N$49,MATCH(AK$6,$AK$6:$AN$6,0)-1,0)))</f>
        <v>5650.00142857146</v>
      </c>
      <c r="AL255" s="44">
        <f ca="1">IF($AJ255=1,($AI255)*(10*OFFSET(载具产出!$D$45,MATCH(AL$6,$AK$6:$AN$6,0)-1,$AJ255)+OFFSET(载具产出!$D$49,MATCH(AL$6,$AK$6:$AN$6,0)-1,$AJ255)*OFFSET(载具产出!$N$49,MATCH(AL$6,$AK$6:$AN$6,0)-1,0)),OFFSET(载具产出!G$59,$AJ255-1,0)*10+OFFSET(载具产出!K$59,$AJ255-1,0)+($AI255*10-_xlfn.XLOOKUP($AJ255-1,载具产出!$D$59:$D$67,载具产出!$E$59:$E$67))/10*(10*OFFSET(载具产出!$D$45,MATCH(AL$6,$AK$6:$AN$6,0)-1,$AJ255)+OFFSET(载具产出!$D$49,MATCH(AL$6,$AK$6:$AN$6,0)-1,$AJ255)*OFFSET(载具产出!$N$49,MATCH(AL$6,$AK$6:$AN$6,0)-1,0)))</f>
        <v>2333.66190476192</v>
      </c>
      <c r="AM255" s="44">
        <f ca="1">IF($AJ255=1,($AI255)*(10*OFFSET(载具产出!$D$45,MATCH(AM$6,$AK$6:$AN$6,0)-1,$AJ255)+OFFSET(载具产出!$D$49,MATCH(AM$6,$AK$6:$AN$6,0)-1,$AJ255)*OFFSET(载具产出!$N$49,MATCH(AM$6,$AK$6:$AN$6,0)-1,0)),OFFSET(载具产出!H$59,$AJ255-1,0)*10+OFFSET(载具产出!L$59,$AJ255-1,0)+($AI255*10-_xlfn.XLOOKUP($AJ255-1,载具产出!$D$59:$D$67,载具产出!$E$59:$E$67))/10*(10*OFFSET(载具产出!$D$45,MATCH(AM$6,$AK$6:$AN$6,0)-1,$AJ255)+OFFSET(载具产出!$D$49,MATCH(AM$6,$AK$6:$AN$6,0)-1,$AJ255)*OFFSET(载具产出!$N$49,MATCH(AM$6,$AK$6:$AN$6,0)-1,0)))</f>
        <v>1276.50285714286</v>
      </c>
      <c r="AN255" s="44">
        <f ca="1">IF($AJ255=1,($AI255)*(10*OFFSET(载具产出!$D$45,MATCH(AN$6,$AK$6:$AN$6,0)-1,$AJ255)+OFFSET(载具产出!$D$49,MATCH(AN$6,$AK$6:$AN$6,0)-1,$AJ255)*OFFSET(载具产出!$N$49,MATCH(AN$6,$AK$6:$AN$6,0)-1,0)),OFFSET(载具产出!I$59,$AJ255-1,0)*10+OFFSET(载具产出!M$59,$AJ255-1,0)+($AI255*10-_xlfn.XLOOKUP($AJ255-1,载具产出!$D$59:$D$67,载具产出!$E$59:$E$67))/10*(10*OFFSET(载具产出!$D$45,MATCH(AN$6,$AK$6:$AN$6,0)-1,$AJ255)+OFFSET(载具产出!$D$49,MATCH(AN$6,$AK$6:$AN$6,0)-1,$AJ255)*OFFSET(载具产出!$N$49,MATCH(AN$6,$AK$6:$AN$6,0)-1,0)))</f>
        <v>395.907619047621</v>
      </c>
      <c r="AO255" s="44">
        <f ca="1" t="shared" si="60"/>
        <v>7188.80142857146</v>
      </c>
      <c r="AP255" s="44">
        <f ca="1" t="shared" si="61"/>
        <v>4020.91523809524</v>
      </c>
      <c r="AQ255" s="44">
        <f ca="1" t="shared" si="62"/>
        <v>1799.06285714286</v>
      </c>
      <c r="AR255" s="44">
        <f ca="1" t="shared" si="63"/>
        <v>402.627619047621</v>
      </c>
      <c r="AS255" s="45">
        <f ca="1">IFERROR(MATCH(AO255/载具产出!R$58,载具属性!$G$33:$G$92,1),0)</f>
        <v>39</v>
      </c>
      <c r="AT255" s="45">
        <f ca="1">IFERROR(MATCH(AP255/载具产出!S$58,载具属性!$G$33:$G$92,1),0)</f>
        <v>27</v>
      </c>
      <c r="AU255" s="45">
        <f ca="1">IFERROR(MATCH(AQ255/载具产出!T$58,载具属性!$G$33:$G$92,1),0)</f>
        <v>16</v>
      </c>
      <c r="AV255" s="45">
        <f ca="1">IFERROR(MATCH(AR255/载具产出!U$58,载具属性!$G$33:$G$92,1),0)</f>
        <v>7</v>
      </c>
      <c r="AW255" s="46" t="str">
        <f ca="1" t="shared" si="64"/>
        <v>[{62,1521},{63,194505},{2,563500},{6030001,4388},{6030002,4869},{6030003,1508},{6030004,17}]</v>
      </c>
      <c r="AX255" t="str">
        <f ca="1" t="shared" si="65"/>
        <v>{62,1521}</v>
      </c>
      <c r="AY255" t="str">
        <f ca="1" t="shared" si="66"/>
        <v>{63,194505}</v>
      </c>
      <c r="AZ255" t="str">
        <f ca="1" t="shared" si="67"/>
        <v>{2,563500}</v>
      </c>
      <c r="BA255" t="str">
        <f ca="1" t="shared" si="68"/>
        <v>{6030001,4388}</v>
      </c>
      <c r="BB255" t="str">
        <f ca="1" t="shared" si="69"/>
        <v>{6030002,4869}</v>
      </c>
      <c r="BC255" t="str">
        <f ca="1" t="shared" si="70"/>
        <v>{6030003,1508}</v>
      </c>
      <c r="BD255" t="str">
        <f ca="1" t="shared" si="71"/>
        <v>{6030004,17}</v>
      </c>
    </row>
    <row r="256" spans="3:56">
      <c r="C256">
        <f ca="1" t="shared" si="59"/>
        <v>124.635922330097</v>
      </c>
      <c r="D256" s="40">
        <v>250</v>
      </c>
      <c r="E256" s="40">
        <f t="shared" si="72"/>
        <v>130</v>
      </c>
      <c r="F256" s="40">
        <v>150</v>
      </c>
      <c r="G256" s="41">
        <f t="shared" si="74"/>
        <v>206</v>
      </c>
      <c r="H256" s="40">
        <f>H255</f>
        <v>267</v>
      </c>
      <c r="I256" s="40">
        <f t="shared" si="58"/>
        <v>526</v>
      </c>
      <c r="J256" s="40">
        <f t="shared" si="73"/>
        <v>526</v>
      </c>
      <c r="K256" s="40">
        <f ca="1">SUM(U$36:U256)-SUM(OFFSET(载具产出!H$399,0,0,$R256+1,1))</f>
        <v>1528</v>
      </c>
      <c r="L256" s="40">
        <f ca="1">SUM(T$36:T256)-SUM(OFFSET(载具产出!G$399,0,0,$R256+1,1))</f>
        <v>195630</v>
      </c>
      <c r="M256" s="40">
        <f ca="1">SUM(V$36:V256)/2-SUM(OFFSET(载具产出!I$399,0,0,$R256+1,1))</f>
        <v>567100</v>
      </c>
      <c r="N256" s="40">
        <f ca="1">SUM(AA$36:AA256)-SUM(OFFSET(载具产出!J$399,0,0,$R256+1,1))</f>
        <v>4406.6</v>
      </c>
      <c r="O256" s="40">
        <f ca="1">SUM(AB$36:AB256)-SUM(OFFSET(载具产出!K$399,0,0,$R256+1,1))</f>
        <v>4891.07999999998</v>
      </c>
      <c r="P256" s="40">
        <f ca="1">SUM(AC$36:AC256)-SUM(OFFSET(载具产出!L$399,0,0,$R256+1,1))</f>
        <v>1524.6</v>
      </c>
      <c r="Q256" s="40">
        <f ca="1">SUM(AD$36:AD256)-SUM(OFFSET(载具产出!M$399,0,0,$R256+1,1))</f>
        <v>18.72</v>
      </c>
      <c r="R256" s="40">
        <v>19</v>
      </c>
      <c r="S256" s="40" t="str">
        <f ca="1">OFFSET(载具产出!$D$111,IFERROR(MATCH(OFFSET($D256,0,MATCH($D$5,$E$6:$H$6,0)),载具产出!$E$112:$E$151,1),0),0)</f>
        <v>卓越Ⅱ</v>
      </c>
      <c r="T256" s="40">
        <f ca="1">OFFSET(载具产出!$F$399,IFERROR(MATCH(OFFSET($D256,0,MATCH($D$5,$E$6:$H$6,0)),载具产出!$E$400:$E$439,1),0),MATCH(T$6,载具产出!$G$399:$O$399,0))</f>
        <v>1125</v>
      </c>
      <c r="U256" s="40">
        <v>7</v>
      </c>
      <c r="V256" s="40">
        <f ca="1">OFFSET(载具产出!$F$399,IFERROR(MATCH(OFFSET($D256,0,MATCH($D$5,$E$6:$H$6,0)),载具产出!$E$400:$E$439,1),0),MATCH(V$6,载具产出!$G$399:$O$399,0))</f>
        <v>7200</v>
      </c>
      <c r="W256" s="43">
        <f ca="1">_xlfn.XLOOKUP(Z256,载具属性!$E$98:$E$497,载具属性!$G$98:$G$497)+6000+OFFSET(载具属性!L$33,AS256,0)*载具属性!M$30+OFFSET(载具属性!M$33,AT256,0)*载具属性!N$30+OFFSET(载具属性!N$33,AU256,0)*载具属性!O$30+OFFSET(载具属性!O$33,AV256,0)*载具属性!P$30</f>
        <v>25675</v>
      </c>
      <c r="X256" s="43">
        <f ca="1">_xlfn.XLOOKUP(Z256,载具属性!$E$98:$E$497,载具属性!$G$98:$G$497)</f>
        <v>12460</v>
      </c>
      <c r="Y256" s="43">
        <f ca="1">OFFSET(载具属性!L$33,AS256,0)*载具属性!M$30+OFFSET(载具属性!M$33,AT256,0)*载具属性!N$30+OFFSET(载具属性!N$33,AU256,0)*载具属性!O$30+OFFSET(载具属性!O$33,AV256,0)*载具属性!P$30</f>
        <v>7215</v>
      </c>
      <c r="Z256" s="40">
        <f ca="1">MATCH(SUM($T$7:T256),载具属性!$I$98:$I$497,1)</f>
        <v>179</v>
      </c>
      <c r="AA256" s="40">
        <f ca="1">OFFSET(载具产出!$F$399,IFERROR(MATCH(OFFSET($D256,0,MATCH($D$5,$E$6:$H$6,0)),载具产出!$E$112:$E$151,1),0),MATCH(AA$6,载具产出!$G$111:$O$111,0))*2</f>
        <v>18</v>
      </c>
      <c r="AB256" s="40">
        <f ca="1">OFFSET(载具产出!$F$399,IFERROR(MATCH(OFFSET($D256,0,MATCH($D$5,$E$6:$H$6,0)),载具产出!$E$112:$E$151,1),0),MATCH(AB$6,载具产出!$G$111:$O$111,0))*2</f>
        <v>21.28</v>
      </c>
      <c r="AC256" s="40">
        <f ca="1">OFFSET(载具产出!$F$399,IFERROR(MATCH(OFFSET($D256,0,MATCH($D$5,$E$6:$H$6,0)),载具产出!$E$112:$E$151,1),0),MATCH(AC$6,载具产出!$G$111:$O$111,0))*2</f>
        <v>15.76</v>
      </c>
      <c r="AD256" s="40">
        <f ca="1">OFFSET(载具产出!$F$399,IFERROR(MATCH(OFFSET($D256,0,MATCH($D$5,$E$6:$H$6,0)),载具产出!$E$112:$E$151,1),0),MATCH(AD$6,载具产出!$G$111:$O$111,0))*2</f>
        <v>0.96</v>
      </c>
      <c r="AE256" s="44">
        <f ca="1">SUM(AA$36:AA256)/3</f>
        <v>1544.8</v>
      </c>
      <c r="AF256" s="44">
        <f ca="1">SUM(AB$36:AB256)/3</f>
        <v>1694.34666666666</v>
      </c>
      <c r="AG256" s="44">
        <f ca="1">SUM(AC$36:AC256)/3</f>
        <v>527.813333333333</v>
      </c>
      <c r="AH256" s="44">
        <f ca="1">SUM(AD$36:AD256)/3</f>
        <v>7.04000000000001</v>
      </c>
      <c r="AI256" s="44">
        <f>_xlfn.XLOOKUP($D$5,载具产出!$D$71:$D$75,载具产出!$E$71:$E$75)*(D256-30+1)</f>
        <v>2599.38095238096</v>
      </c>
      <c r="AJ256" s="44">
        <f>IFERROR(MATCH(_xlfn.XLOOKUP($D$5,载具产出!$D$71:$D$75,载具产出!$E$71:$E$75)*(D256-30+1)*10,载具产出!$E$60:$E$67,1),0)+1</f>
        <v>7</v>
      </c>
      <c r="AK256" s="44">
        <f ca="1">IF($AJ256=1,($AI256)*(10*OFFSET(载具产出!$D$45,MATCH(AK$6,$AK$6:$AN$6,0)-1,$AJ256)+OFFSET(载具产出!$D$49,MATCH(AK$6,$AK$6:$AN$6,0)-1,$AJ256)*OFFSET(载具产出!$N$49,MATCH(AK$6,$AK$6:$AN$6,0)-1,0)),OFFSET(载具产出!F$59,$AJ256-1,0)*10+OFFSET(载具产出!J$59,$AJ256-1,0)+($AI256*10-_xlfn.XLOOKUP($AJ256-1,载具产出!$D$59:$D$67,载具产出!$E$59:$E$67))/10*(10*OFFSET(载具产出!$D$45,MATCH(AK$6,$AK$6:$AN$6,0)-1,$AJ256)+OFFSET(载具产出!$D$49,MATCH(AK$6,$AK$6:$AN$6,0)-1,$AJ256)*OFFSET(载具产出!$N$49,MATCH(AK$6,$AK$6:$AN$6,0)-1,0)))</f>
        <v>5674.84257142859</v>
      </c>
      <c r="AL256" s="44">
        <f ca="1">IF($AJ256=1,($AI256)*(10*OFFSET(载具产出!$D$45,MATCH(AL$6,$AK$6:$AN$6,0)-1,$AJ256)+OFFSET(载具产出!$D$49,MATCH(AL$6,$AK$6:$AN$6,0)-1,$AJ256)*OFFSET(载具产出!$N$49,MATCH(AL$6,$AK$6:$AN$6,0)-1,0)),OFFSET(载具产出!G$59,$AJ256-1,0)*10+OFFSET(载具产出!K$59,$AJ256-1,0)+($AI256*10-_xlfn.XLOOKUP($AJ256-1,载具产出!$D$59:$D$67,载具产出!$E$59:$E$67))/10*(10*OFFSET(载具产出!$D$45,MATCH(AL$6,$AK$6:$AN$6,0)-1,$AJ256)+OFFSET(载具产出!$D$49,MATCH(AL$6,$AK$6:$AN$6,0)-1,$AJ256)*OFFSET(载具产出!$N$49,MATCH(AL$6,$AK$6:$AN$6,0)-1,0)))</f>
        <v>2344.7180952381</v>
      </c>
      <c r="AM256" s="44">
        <f ca="1">IF($AJ256=1,($AI256)*(10*OFFSET(载具产出!$D$45,MATCH(AM$6,$AK$6:$AN$6,0)-1,$AJ256)+OFFSET(载具产出!$D$49,MATCH(AM$6,$AK$6:$AN$6,0)-1,$AJ256)*OFFSET(载具产出!$N$49,MATCH(AM$6,$AK$6:$AN$6,0)-1,0)),OFFSET(载具产出!H$59,$AJ256-1,0)*10+OFFSET(载具产出!L$59,$AJ256-1,0)+($AI256*10-_xlfn.XLOOKUP($AJ256-1,载具产出!$D$59:$D$67,载具产出!$E$59:$E$67))/10*(10*OFFSET(载具产出!$D$45,MATCH(AM$6,$AK$6:$AN$6,0)-1,$AJ256)+OFFSET(载具产出!$D$49,MATCH(AM$6,$AK$6:$AN$6,0)-1,$AJ256)*OFFSET(载具产出!$N$49,MATCH(AM$6,$AK$6:$AN$6,0)-1,0)))</f>
        <v>1282.71314285715</v>
      </c>
      <c r="AN256" s="44">
        <f ca="1">IF($AJ256=1,($AI256)*(10*OFFSET(载具产出!$D$45,MATCH(AN$6,$AK$6:$AN$6,0)-1,$AJ256)+OFFSET(载具产出!$D$49,MATCH(AN$6,$AK$6:$AN$6,0)-1,$AJ256)*OFFSET(载具产出!$N$49,MATCH(AN$6,$AK$6:$AN$6,0)-1,0)),OFFSET(载具产出!I$59,$AJ256-1,0)*10+OFFSET(载具产出!M$59,$AJ256-1,0)+($AI256*10-_xlfn.XLOOKUP($AJ256-1,载具产出!$D$59:$D$67,载具产出!$E$59:$E$67))/10*(10*OFFSET(载具产出!$D$45,MATCH(AN$6,$AK$6:$AN$6,0)-1,$AJ256)+OFFSET(载具产出!$D$49,MATCH(AN$6,$AK$6:$AN$6,0)-1,$AJ256)*OFFSET(载具产出!$N$49,MATCH(AN$6,$AK$6:$AN$6,0)-1,0)))</f>
        <v>397.895380952382</v>
      </c>
      <c r="AO256" s="44">
        <f ca="1" t="shared" si="60"/>
        <v>7219.64257142859</v>
      </c>
      <c r="AP256" s="44">
        <f ca="1" t="shared" si="61"/>
        <v>4039.06476190476</v>
      </c>
      <c r="AQ256" s="44">
        <f ca="1" t="shared" si="62"/>
        <v>1810.52647619048</v>
      </c>
      <c r="AR256" s="44">
        <f ca="1" t="shared" si="63"/>
        <v>404.935380952382</v>
      </c>
      <c r="AS256" s="45">
        <f ca="1">IFERROR(MATCH(AO256/载具产出!R$58,载具属性!$G$33:$G$92,1),0)</f>
        <v>39</v>
      </c>
      <c r="AT256" s="45">
        <f ca="1">IFERROR(MATCH(AP256/载具产出!S$58,载具属性!$G$33:$G$92,1),0)</f>
        <v>27</v>
      </c>
      <c r="AU256" s="45">
        <f ca="1">IFERROR(MATCH(AQ256/载具产出!T$58,载具属性!$G$33:$G$92,1),0)</f>
        <v>16</v>
      </c>
      <c r="AV256" s="45">
        <f ca="1">IFERROR(MATCH(AR256/载具产出!U$58,载具属性!$G$33:$G$92,1),0)</f>
        <v>7</v>
      </c>
      <c r="AW256" s="46" t="str">
        <f ca="1" t="shared" si="64"/>
        <v>[{62,1528},{63,195630},{2,567100},{6030001,4406},{6030002,4891},{6030003,1524},{6030004,18}]</v>
      </c>
      <c r="AX256" t="str">
        <f ca="1" t="shared" si="65"/>
        <v>{62,1528}</v>
      </c>
      <c r="AY256" t="str">
        <f ca="1" t="shared" si="66"/>
        <v>{63,195630}</v>
      </c>
      <c r="AZ256" t="str">
        <f ca="1" t="shared" si="67"/>
        <v>{2,567100}</v>
      </c>
      <c r="BA256" t="str">
        <f ca="1" t="shared" si="68"/>
        <v>{6030001,4406}</v>
      </c>
      <c r="BB256" t="str">
        <f ca="1" t="shared" si="69"/>
        <v>{6030002,4891}</v>
      </c>
      <c r="BC256" t="str">
        <f ca="1" t="shared" si="70"/>
        <v>{6030003,1524}</v>
      </c>
      <c r="BD256" t="str">
        <f ca="1" t="shared" si="71"/>
        <v>{6030004,18}</v>
      </c>
    </row>
    <row r="257" spans="3:56">
      <c r="C257">
        <f ca="1" t="shared" si="59"/>
        <v>125.072815533981</v>
      </c>
      <c r="D257" s="40">
        <v>251</v>
      </c>
      <c r="E257" s="40">
        <f t="shared" si="72"/>
        <v>130</v>
      </c>
      <c r="F257" s="40">
        <v>150</v>
      </c>
      <c r="G257" s="41">
        <f t="shared" si="74"/>
        <v>206</v>
      </c>
      <c r="H257" s="40">
        <f>H256+1</f>
        <v>268</v>
      </c>
      <c r="I257" s="40">
        <f t="shared" si="58"/>
        <v>528</v>
      </c>
      <c r="J257" s="40">
        <f t="shared" si="73"/>
        <v>528</v>
      </c>
      <c r="K257" s="40">
        <f ca="1">SUM(U$36:U257)-SUM(OFFSET(载具产出!H$399,0,0,$R257+1,1))</f>
        <v>1535</v>
      </c>
      <c r="L257" s="40">
        <f ca="1">SUM(T$36:T257)-SUM(OFFSET(载具产出!G$399,0,0,$R257+1,1))</f>
        <v>196755</v>
      </c>
      <c r="M257" s="40">
        <f ca="1">SUM(V$36:V257)/2-SUM(OFFSET(载具产出!I$399,0,0,$R257+1,1))</f>
        <v>570700</v>
      </c>
      <c r="N257" s="40">
        <f ca="1">SUM(AA$36:AA257)-SUM(OFFSET(载具产出!J$399,0,0,$R257+1,1))</f>
        <v>4424.6</v>
      </c>
      <c r="O257" s="40">
        <f ca="1">SUM(AB$36:AB257)-SUM(OFFSET(载具产出!K$399,0,0,$R257+1,1))</f>
        <v>4912.35999999998</v>
      </c>
      <c r="P257" s="40">
        <f ca="1">SUM(AC$36:AC257)-SUM(OFFSET(载具产出!L$399,0,0,$R257+1,1))</f>
        <v>1540.36</v>
      </c>
      <c r="Q257" s="40">
        <f ca="1">SUM(AD$36:AD257)-SUM(OFFSET(载具产出!M$399,0,0,$R257+1,1))</f>
        <v>19.68</v>
      </c>
      <c r="R257" s="40">
        <v>19</v>
      </c>
      <c r="S257" s="40" t="str">
        <f ca="1">OFFSET(载具产出!$D$111,IFERROR(MATCH(OFFSET($D257,0,MATCH($D$5,$E$6:$H$6,0)),载具产出!$E$112:$E$151,1),0),0)</f>
        <v>卓越Ⅱ</v>
      </c>
      <c r="T257" s="40">
        <f ca="1">OFFSET(载具产出!$F$399,IFERROR(MATCH(OFFSET($D257,0,MATCH($D$5,$E$6:$H$6,0)),载具产出!$E$400:$E$439,1),0),MATCH(T$6,载具产出!$G$399:$O$399,0))</f>
        <v>1125</v>
      </c>
      <c r="U257" s="40">
        <v>7</v>
      </c>
      <c r="V257" s="40">
        <f ca="1">OFFSET(载具产出!$F$399,IFERROR(MATCH(OFFSET($D257,0,MATCH($D$5,$E$6:$H$6,0)),载具产出!$E$400:$E$439,1),0),MATCH(V$6,载具产出!$G$399:$O$399,0))</f>
        <v>7200</v>
      </c>
      <c r="W257" s="43">
        <f ca="1">_xlfn.XLOOKUP(Z257,载具属性!$E$98:$E$497,载具属性!$G$98:$G$497)+6000+OFFSET(载具属性!L$33,AS257,0)*载具属性!M$30+OFFSET(载具属性!M$33,AT257,0)*载具属性!N$30+OFFSET(载具属性!N$33,AU257,0)*载具属性!O$30+OFFSET(载具属性!O$33,AV257,0)*载具属性!P$30</f>
        <v>25765</v>
      </c>
      <c r="X257" s="43">
        <f ca="1">_xlfn.XLOOKUP(Z257,载具属性!$E$98:$E$497,载具属性!$G$98:$G$497)</f>
        <v>12550</v>
      </c>
      <c r="Y257" s="43">
        <f ca="1">OFFSET(载具属性!L$33,AS257,0)*载具属性!M$30+OFFSET(载具属性!M$33,AT257,0)*载具属性!N$30+OFFSET(载具属性!N$33,AU257,0)*载具属性!O$30+OFFSET(载具属性!O$33,AV257,0)*载具属性!P$30</f>
        <v>7215</v>
      </c>
      <c r="Z257" s="40">
        <f ca="1">MATCH(SUM($T$7:T257),载具属性!$I$98:$I$497,1)</f>
        <v>180</v>
      </c>
      <c r="AA257" s="40">
        <f ca="1">OFFSET(载具产出!$F$399,IFERROR(MATCH(OFFSET($D257,0,MATCH($D$5,$E$6:$H$6,0)),载具产出!$E$112:$E$151,1),0),MATCH(AA$6,载具产出!$G$111:$O$111,0))*2</f>
        <v>18</v>
      </c>
      <c r="AB257" s="40">
        <f ca="1">OFFSET(载具产出!$F$399,IFERROR(MATCH(OFFSET($D257,0,MATCH($D$5,$E$6:$H$6,0)),载具产出!$E$112:$E$151,1),0),MATCH(AB$6,载具产出!$G$111:$O$111,0))*2</f>
        <v>21.28</v>
      </c>
      <c r="AC257" s="40">
        <f ca="1">OFFSET(载具产出!$F$399,IFERROR(MATCH(OFFSET($D257,0,MATCH($D$5,$E$6:$H$6,0)),载具产出!$E$112:$E$151,1),0),MATCH(AC$6,载具产出!$G$111:$O$111,0))*2</f>
        <v>15.76</v>
      </c>
      <c r="AD257" s="40">
        <f ca="1">OFFSET(载具产出!$F$399,IFERROR(MATCH(OFFSET($D257,0,MATCH($D$5,$E$6:$H$6,0)),载具产出!$E$112:$E$151,1),0),MATCH(AD$6,载具产出!$G$111:$O$111,0))*2</f>
        <v>0.96</v>
      </c>
      <c r="AE257" s="44">
        <f ca="1">SUM(AA$36:AA257)/3</f>
        <v>1550.8</v>
      </c>
      <c r="AF257" s="44">
        <f ca="1">SUM(AB$36:AB257)/3</f>
        <v>1701.43999999999</v>
      </c>
      <c r="AG257" s="44">
        <f ca="1">SUM(AC$36:AC257)/3</f>
        <v>533.066666666666</v>
      </c>
      <c r="AH257" s="44">
        <f ca="1">SUM(AD$36:AD257)/3</f>
        <v>7.36000000000001</v>
      </c>
      <c r="AI257" s="44">
        <f>_xlfn.XLOOKUP($D$5,载具产出!$D$71:$D$75,载具产出!$E$71:$E$75)*(D257-30+1)</f>
        <v>2611.14285714287</v>
      </c>
      <c r="AJ257" s="44">
        <f>IFERROR(MATCH(_xlfn.XLOOKUP($D$5,载具产出!$D$71:$D$75,载具产出!$E$71:$E$75)*(D257-30+1)*10,载具产出!$E$60:$E$67,1),0)+1</f>
        <v>7</v>
      </c>
      <c r="AK257" s="44">
        <f ca="1">IF($AJ257=1,($AI257)*(10*OFFSET(载具产出!$D$45,MATCH(AK$6,$AK$6:$AN$6,0)-1,$AJ257)+OFFSET(载具产出!$D$49,MATCH(AK$6,$AK$6:$AN$6,0)-1,$AJ257)*OFFSET(载具产出!$N$49,MATCH(AK$6,$AK$6:$AN$6,0)-1,0)),OFFSET(载具产出!F$59,$AJ257-1,0)*10+OFFSET(载具产出!J$59,$AJ257-1,0)+($AI257*10-_xlfn.XLOOKUP($AJ257-1,载具产出!$D$59:$D$67,载具产出!$E$59:$E$67))/10*(10*OFFSET(载具产出!$D$45,MATCH(AK$6,$AK$6:$AN$6,0)-1,$AJ257)+OFFSET(载具产出!$D$49,MATCH(AK$6,$AK$6:$AN$6,0)-1,$AJ257)*OFFSET(载具产出!$N$49,MATCH(AK$6,$AK$6:$AN$6,0)-1,0)))</f>
        <v>5699.68371428574</v>
      </c>
      <c r="AL257" s="44">
        <f ca="1">IF($AJ257=1,($AI257)*(10*OFFSET(载具产出!$D$45,MATCH(AL$6,$AK$6:$AN$6,0)-1,$AJ257)+OFFSET(载具产出!$D$49,MATCH(AL$6,$AK$6:$AN$6,0)-1,$AJ257)*OFFSET(载具产出!$N$49,MATCH(AL$6,$AK$6:$AN$6,0)-1,0)),OFFSET(载具产出!G$59,$AJ257-1,0)*10+OFFSET(载具产出!K$59,$AJ257-1,0)+($AI257*10-_xlfn.XLOOKUP($AJ257-1,载具产出!$D$59:$D$67,载具产出!$E$59:$E$67))/10*(10*OFFSET(载具产出!$D$45,MATCH(AL$6,$AK$6:$AN$6,0)-1,$AJ257)+OFFSET(载具产出!$D$49,MATCH(AL$6,$AK$6:$AN$6,0)-1,$AJ257)*OFFSET(载具产出!$N$49,MATCH(AL$6,$AK$6:$AN$6,0)-1,0)))</f>
        <v>2355.7742857143</v>
      </c>
      <c r="AM257" s="44">
        <f ca="1">IF($AJ257=1,($AI257)*(10*OFFSET(载具产出!$D$45,MATCH(AM$6,$AK$6:$AN$6,0)-1,$AJ257)+OFFSET(载具产出!$D$49,MATCH(AM$6,$AK$6:$AN$6,0)-1,$AJ257)*OFFSET(载具产出!$N$49,MATCH(AM$6,$AK$6:$AN$6,0)-1,0)),OFFSET(载具产出!H$59,$AJ257-1,0)*10+OFFSET(载具产出!L$59,$AJ257-1,0)+($AI257*10-_xlfn.XLOOKUP($AJ257-1,载具产出!$D$59:$D$67,载具产出!$E$59:$E$67))/10*(10*OFFSET(载具产出!$D$45,MATCH(AM$6,$AK$6:$AN$6,0)-1,$AJ257)+OFFSET(载具产出!$D$49,MATCH(AM$6,$AK$6:$AN$6,0)-1,$AJ257)*OFFSET(载具产出!$N$49,MATCH(AM$6,$AK$6:$AN$6,0)-1,0)))</f>
        <v>1288.92342857144</v>
      </c>
      <c r="AN257" s="44">
        <f ca="1">IF($AJ257=1,($AI257)*(10*OFFSET(载具产出!$D$45,MATCH(AN$6,$AK$6:$AN$6,0)-1,$AJ257)+OFFSET(载具产出!$D$49,MATCH(AN$6,$AK$6:$AN$6,0)-1,$AJ257)*OFFSET(载具产出!$N$49,MATCH(AN$6,$AK$6:$AN$6,0)-1,0)),OFFSET(载具产出!I$59,$AJ257-1,0)*10+OFFSET(载具产出!M$59,$AJ257-1,0)+($AI257*10-_xlfn.XLOOKUP($AJ257-1,载具产出!$D$59:$D$67,载具产出!$E$59:$E$67))/10*(10*OFFSET(载具产出!$D$45,MATCH(AN$6,$AK$6:$AN$6,0)-1,$AJ257)+OFFSET(载具产出!$D$49,MATCH(AN$6,$AK$6:$AN$6,0)-1,$AJ257)*OFFSET(载具产出!$N$49,MATCH(AN$6,$AK$6:$AN$6,0)-1,0)))</f>
        <v>399.883142857145</v>
      </c>
      <c r="AO257" s="44">
        <f ca="1" t="shared" si="60"/>
        <v>7250.48371428574</v>
      </c>
      <c r="AP257" s="44">
        <f ca="1" t="shared" si="61"/>
        <v>4057.21428571429</v>
      </c>
      <c r="AQ257" s="44">
        <f ca="1" t="shared" si="62"/>
        <v>1821.9900952381</v>
      </c>
      <c r="AR257" s="44">
        <f ca="1" t="shared" si="63"/>
        <v>407.243142857145</v>
      </c>
      <c r="AS257" s="45">
        <f ca="1">IFERROR(MATCH(AO257/载具产出!R$58,载具属性!$G$33:$G$92,1),0)</f>
        <v>39</v>
      </c>
      <c r="AT257" s="45">
        <f ca="1">IFERROR(MATCH(AP257/载具产出!S$58,载具属性!$G$33:$G$92,1),0)</f>
        <v>27</v>
      </c>
      <c r="AU257" s="45">
        <f ca="1">IFERROR(MATCH(AQ257/载具产出!T$58,载具属性!$G$33:$G$92,1),0)</f>
        <v>16</v>
      </c>
      <c r="AV257" s="45">
        <f ca="1">IFERROR(MATCH(AR257/载具产出!U$58,载具属性!$G$33:$G$92,1),0)</f>
        <v>7</v>
      </c>
      <c r="AW257" s="46" t="str">
        <f ca="1" t="shared" si="64"/>
        <v>[{62,1535},{63,196755},{2,570700},{6030001,4424},{6030002,4912},{6030003,1540},{6030004,19}]</v>
      </c>
      <c r="AX257" t="str">
        <f ca="1" t="shared" si="65"/>
        <v>{62,1535}</v>
      </c>
      <c r="AY257" t="str">
        <f ca="1" t="shared" si="66"/>
        <v>{63,196755}</v>
      </c>
      <c r="AZ257" t="str">
        <f ca="1" t="shared" si="67"/>
        <v>{2,570700}</v>
      </c>
      <c r="BA257" t="str">
        <f ca="1" t="shared" si="68"/>
        <v>{6030001,4424}</v>
      </c>
      <c r="BB257" t="str">
        <f ca="1" t="shared" si="69"/>
        <v>{6030002,4912}</v>
      </c>
      <c r="BC257" t="str">
        <f ca="1" t="shared" si="70"/>
        <v>{6030003,1540}</v>
      </c>
      <c r="BD257" t="str">
        <f ca="1" t="shared" si="71"/>
        <v>{6030004,19}</v>
      </c>
    </row>
    <row r="258" spans="3:56">
      <c r="C258">
        <f ca="1" t="shared" si="59"/>
        <v>125.048309178744</v>
      </c>
      <c r="D258" s="40">
        <v>252</v>
      </c>
      <c r="E258" s="40">
        <f t="shared" si="72"/>
        <v>130</v>
      </c>
      <c r="F258" s="40">
        <f>F252+1</f>
        <v>151</v>
      </c>
      <c r="G258" s="41">
        <f t="shared" si="74"/>
        <v>207</v>
      </c>
      <c r="H258" s="40">
        <f>H257</f>
        <v>268</v>
      </c>
      <c r="I258" s="40">
        <f t="shared" si="58"/>
        <v>530</v>
      </c>
      <c r="J258" s="40">
        <f t="shared" si="73"/>
        <v>530</v>
      </c>
      <c r="K258" s="40">
        <f ca="1">SUM(U$36:U258)-SUM(OFFSET(载具产出!H$399,0,0,$R258+1,1))</f>
        <v>1542</v>
      </c>
      <c r="L258" s="40">
        <f ca="1">SUM(T$36:T258)-SUM(OFFSET(载具产出!G$399,0,0,$R258+1,1))</f>
        <v>197880</v>
      </c>
      <c r="M258" s="40">
        <f ca="1">SUM(V$36:V258)/2-SUM(OFFSET(载具产出!I$399,0,0,$R258+1,1))</f>
        <v>574300</v>
      </c>
      <c r="N258" s="40">
        <f ca="1">SUM(AA$36:AA258)-SUM(OFFSET(载具产出!J$399,0,0,$R258+1,1))</f>
        <v>4442.6</v>
      </c>
      <c r="O258" s="40">
        <f ca="1">SUM(AB$36:AB258)-SUM(OFFSET(载具产出!K$399,0,0,$R258+1,1))</f>
        <v>4933.63999999997</v>
      </c>
      <c r="P258" s="40">
        <f ca="1">SUM(AC$36:AC258)-SUM(OFFSET(载具产出!L$399,0,0,$R258+1,1))</f>
        <v>1556.12</v>
      </c>
      <c r="Q258" s="40">
        <f ca="1">SUM(AD$36:AD258)-SUM(OFFSET(载具产出!M$399,0,0,$R258+1,1))</f>
        <v>20.64</v>
      </c>
      <c r="R258" s="40">
        <v>19</v>
      </c>
      <c r="S258" s="40" t="str">
        <f ca="1">OFFSET(载具产出!$D$111,IFERROR(MATCH(OFFSET($D258,0,MATCH($D$5,$E$6:$H$6,0)),载具产出!$E$112:$E$151,1),0),0)</f>
        <v>卓越Ⅱ</v>
      </c>
      <c r="T258" s="40">
        <f ca="1">OFFSET(载具产出!$F$399,IFERROR(MATCH(OFFSET($D258,0,MATCH($D$5,$E$6:$H$6,0)),载具产出!$E$400:$E$439,1),0),MATCH(T$6,载具产出!$G$399:$O$399,0))</f>
        <v>1125</v>
      </c>
      <c r="U258" s="40">
        <v>7</v>
      </c>
      <c r="V258" s="40">
        <f ca="1">OFFSET(载具产出!$F$399,IFERROR(MATCH(OFFSET($D258,0,MATCH($D$5,$E$6:$H$6,0)),载具产出!$E$400:$E$439,1),0),MATCH(V$6,载具产出!$G$399:$O$399,0))</f>
        <v>7200</v>
      </c>
      <c r="W258" s="43">
        <f ca="1">_xlfn.XLOOKUP(Z258,载具属性!$E$98:$E$497,载具属性!$G$98:$G$497)+6000+OFFSET(载具属性!L$33,AS258,0)*载具属性!M$30+OFFSET(载具属性!M$33,AT258,0)*载具属性!N$30+OFFSET(载具属性!N$33,AU258,0)*载具属性!O$30+OFFSET(载具属性!O$33,AV258,0)*载具属性!P$30</f>
        <v>25885</v>
      </c>
      <c r="X258" s="43">
        <f ca="1">_xlfn.XLOOKUP(Z258,载具属性!$E$98:$E$497,载具属性!$G$98:$G$497)</f>
        <v>12550</v>
      </c>
      <c r="Y258" s="43">
        <f ca="1">OFFSET(载具属性!L$33,AS258,0)*载具属性!M$30+OFFSET(载具属性!M$33,AT258,0)*载具属性!N$30+OFFSET(载具属性!N$33,AU258,0)*载具属性!O$30+OFFSET(载具属性!O$33,AV258,0)*载具属性!P$30</f>
        <v>7335</v>
      </c>
      <c r="Z258" s="40">
        <f ca="1">MATCH(SUM($T$7:T258),载具属性!$I$98:$I$497,1)</f>
        <v>180</v>
      </c>
      <c r="AA258" s="40">
        <f ca="1">OFFSET(载具产出!$F$399,IFERROR(MATCH(OFFSET($D258,0,MATCH($D$5,$E$6:$H$6,0)),载具产出!$E$112:$E$151,1),0),MATCH(AA$6,载具产出!$G$111:$O$111,0))*2</f>
        <v>18</v>
      </c>
      <c r="AB258" s="40">
        <f ca="1">OFFSET(载具产出!$F$399,IFERROR(MATCH(OFFSET($D258,0,MATCH($D$5,$E$6:$H$6,0)),载具产出!$E$112:$E$151,1),0),MATCH(AB$6,载具产出!$G$111:$O$111,0))*2</f>
        <v>21.28</v>
      </c>
      <c r="AC258" s="40">
        <f ca="1">OFFSET(载具产出!$F$399,IFERROR(MATCH(OFFSET($D258,0,MATCH($D$5,$E$6:$H$6,0)),载具产出!$E$112:$E$151,1),0),MATCH(AC$6,载具产出!$G$111:$O$111,0))*2</f>
        <v>15.76</v>
      </c>
      <c r="AD258" s="40">
        <f ca="1">OFFSET(载具产出!$F$399,IFERROR(MATCH(OFFSET($D258,0,MATCH($D$5,$E$6:$H$6,0)),载具产出!$E$112:$E$151,1),0),MATCH(AD$6,载具产出!$G$111:$O$111,0))*2</f>
        <v>0.96</v>
      </c>
      <c r="AE258" s="44">
        <f ca="1">SUM(AA$36:AA258)/3</f>
        <v>1556.8</v>
      </c>
      <c r="AF258" s="44">
        <f ca="1">SUM(AB$36:AB258)/3</f>
        <v>1708.53333333332</v>
      </c>
      <c r="AG258" s="44">
        <f ca="1">SUM(AC$36:AC258)/3</f>
        <v>538.319999999999</v>
      </c>
      <c r="AH258" s="44">
        <f ca="1">SUM(AD$36:AD258)/3</f>
        <v>7.68000000000001</v>
      </c>
      <c r="AI258" s="44">
        <f>_xlfn.XLOOKUP($D$5,载具产出!$D$71:$D$75,载具产出!$E$71:$E$75)*(D258-30+1)</f>
        <v>2622.90476190477</v>
      </c>
      <c r="AJ258" s="44">
        <f>IFERROR(MATCH(_xlfn.XLOOKUP($D$5,载具产出!$D$71:$D$75,载具产出!$E$71:$E$75)*(D258-30+1)*10,载具产出!$E$60:$E$67,1),0)+1</f>
        <v>7</v>
      </c>
      <c r="AK258" s="44">
        <f ca="1">IF($AJ258=1,($AI258)*(10*OFFSET(载具产出!$D$45,MATCH(AK$6,$AK$6:$AN$6,0)-1,$AJ258)+OFFSET(载具产出!$D$49,MATCH(AK$6,$AK$6:$AN$6,0)-1,$AJ258)*OFFSET(载具产出!$N$49,MATCH(AK$6,$AK$6:$AN$6,0)-1,0)),OFFSET(载具产出!F$59,$AJ258-1,0)*10+OFFSET(载具产出!J$59,$AJ258-1,0)+($AI258*10-_xlfn.XLOOKUP($AJ258-1,载具产出!$D$59:$D$67,载具产出!$E$59:$E$67))/10*(10*OFFSET(载具产出!$D$45,MATCH(AK$6,$AK$6:$AN$6,0)-1,$AJ258)+OFFSET(载具产出!$D$49,MATCH(AK$6,$AK$6:$AN$6,0)-1,$AJ258)*OFFSET(载具产出!$N$49,MATCH(AK$6,$AK$6:$AN$6,0)-1,0)))</f>
        <v>5724.52485714287</v>
      </c>
      <c r="AL258" s="44">
        <f ca="1">IF($AJ258=1,($AI258)*(10*OFFSET(载具产出!$D$45,MATCH(AL$6,$AK$6:$AN$6,0)-1,$AJ258)+OFFSET(载具产出!$D$49,MATCH(AL$6,$AK$6:$AN$6,0)-1,$AJ258)*OFFSET(载具产出!$N$49,MATCH(AL$6,$AK$6:$AN$6,0)-1,0)),OFFSET(载具产出!G$59,$AJ258-1,0)*10+OFFSET(载具产出!K$59,$AJ258-1,0)+($AI258*10-_xlfn.XLOOKUP($AJ258-1,载具产出!$D$59:$D$67,载具产出!$E$59:$E$67))/10*(10*OFFSET(载具产出!$D$45,MATCH(AL$6,$AK$6:$AN$6,0)-1,$AJ258)+OFFSET(载具产出!$D$49,MATCH(AL$6,$AK$6:$AN$6,0)-1,$AJ258)*OFFSET(载具产出!$N$49,MATCH(AL$6,$AK$6:$AN$6,0)-1,0)))</f>
        <v>2366.83047619048</v>
      </c>
      <c r="AM258" s="44">
        <f ca="1">IF($AJ258=1,($AI258)*(10*OFFSET(载具产出!$D$45,MATCH(AM$6,$AK$6:$AN$6,0)-1,$AJ258)+OFFSET(载具产出!$D$49,MATCH(AM$6,$AK$6:$AN$6,0)-1,$AJ258)*OFFSET(载具产出!$N$49,MATCH(AM$6,$AK$6:$AN$6,0)-1,0)),OFFSET(载具产出!H$59,$AJ258-1,0)*10+OFFSET(载具产出!L$59,$AJ258-1,0)+($AI258*10-_xlfn.XLOOKUP($AJ258-1,载具产出!$D$59:$D$67,载具产出!$E$59:$E$67))/10*(10*OFFSET(载具产出!$D$45,MATCH(AM$6,$AK$6:$AN$6,0)-1,$AJ258)+OFFSET(载具产出!$D$49,MATCH(AM$6,$AK$6:$AN$6,0)-1,$AJ258)*OFFSET(载具产出!$N$49,MATCH(AM$6,$AK$6:$AN$6,0)-1,0)))</f>
        <v>1295.13371428572</v>
      </c>
      <c r="AN258" s="44">
        <f ca="1">IF($AJ258=1,($AI258)*(10*OFFSET(载具产出!$D$45,MATCH(AN$6,$AK$6:$AN$6,0)-1,$AJ258)+OFFSET(载具产出!$D$49,MATCH(AN$6,$AK$6:$AN$6,0)-1,$AJ258)*OFFSET(载具产出!$N$49,MATCH(AN$6,$AK$6:$AN$6,0)-1,0)),OFFSET(载具产出!I$59,$AJ258-1,0)*10+OFFSET(载具产出!M$59,$AJ258-1,0)+($AI258*10-_xlfn.XLOOKUP($AJ258-1,载具产出!$D$59:$D$67,载具产出!$E$59:$E$67))/10*(10*OFFSET(载具产出!$D$45,MATCH(AN$6,$AK$6:$AN$6,0)-1,$AJ258)+OFFSET(载具产出!$D$49,MATCH(AN$6,$AK$6:$AN$6,0)-1,$AJ258)*OFFSET(载具产出!$N$49,MATCH(AN$6,$AK$6:$AN$6,0)-1,0)))</f>
        <v>401.870904761906</v>
      </c>
      <c r="AO258" s="44">
        <f ca="1" t="shared" si="60"/>
        <v>7281.32485714287</v>
      </c>
      <c r="AP258" s="44">
        <f ca="1" t="shared" si="61"/>
        <v>4075.36380952381</v>
      </c>
      <c r="AQ258" s="44">
        <f ca="1" t="shared" si="62"/>
        <v>1833.45371428572</v>
      </c>
      <c r="AR258" s="44">
        <f ca="1" t="shared" si="63"/>
        <v>409.550904761906</v>
      </c>
      <c r="AS258" s="45">
        <f ca="1">IFERROR(MATCH(AO258/载具产出!R$58,载具属性!$G$33:$G$92,1),0)</f>
        <v>39</v>
      </c>
      <c r="AT258" s="45">
        <f ca="1">IFERROR(MATCH(AP258/载具产出!S$58,载具属性!$G$33:$G$92,1),0)</f>
        <v>27</v>
      </c>
      <c r="AU258" s="45">
        <f ca="1">IFERROR(MATCH(AQ258/载具产出!T$58,载具属性!$G$33:$G$92,1),0)</f>
        <v>17</v>
      </c>
      <c r="AV258" s="45">
        <f ca="1">IFERROR(MATCH(AR258/载具产出!U$58,载具属性!$G$33:$G$92,1),0)</f>
        <v>7</v>
      </c>
      <c r="AW258" s="46" t="str">
        <f ca="1" t="shared" si="64"/>
        <v>[{62,1542},{63,197880},{2,574300},{6030001,4442},{6030002,4933},{6030003,1556},{6030004,20}]</v>
      </c>
      <c r="AX258" t="str">
        <f ca="1" t="shared" si="65"/>
        <v>{62,1542}</v>
      </c>
      <c r="AY258" t="str">
        <f ca="1" t="shared" si="66"/>
        <v>{63,197880}</v>
      </c>
      <c r="AZ258" t="str">
        <f ca="1" t="shared" si="67"/>
        <v>{2,574300}</v>
      </c>
      <c r="BA258" t="str">
        <f ca="1" t="shared" si="68"/>
        <v>{6030001,4442}</v>
      </c>
      <c r="BB258" t="str">
        <f ca="1" t="shared" si="69"/>
        <v>{6030002,4933}</v>
      </c>
      <c r="BC258" t="str">
        <f ca="1" t="shared" si="70"/>
        <v>{6030003,1556}</v>
      </c>
      <c r="BD258" t="str">
        <f ca="1" t="shared" si="71"/>
        <v>{6030004,20}</v>
      </c>
    </row>
    <row r="259" spans="3:56">
      <c r="C259">
        <f ca="1" t="shared" si="59"/>
        <v>125.507246376812</v>
      </c>
      <c r="D259" s="40">
        <v>253</v>
      </c>
      <c r="E259" s="40">
        <f t="shared" si="72"/>
        <v>131</v>
      </c>
      <c r="F259" s="40">
        <f t="shared" ref="F259:F306" si="75">F253+1</f>
        <v>151</v>
      </c>
      <c r="G259" s="41">
        <f t="shared" si="74"/>
        <v>207</v>
      </c>
      <c r="H259" s="40">
        <f>H258+1</f>
        <v>269</v>
      </c>
      <c r="I259" s="40">
        <f t="shared" si="58"/>
        <v>532</v>
      </c>
      <c r="J259" s="40">
        <f t="shared" si="73"/>
        <v>532</v>
      </c>
      <c r="K259" s="40">
        <f ca="1">SUM(U$36:U259)-SUM(OFFSET(载具产出!H$399,0,0,$R259+1,1))</f>
        <v>1549</v>
      </c>
      <c r="L259" s="40">
        <f ca="1">SUM(T$36:T259)-SUM(OFFSET(载具产出!G$399,0,0,$R259+1,1))</f>
        <v>199005</v>
      </c>
      <c r="M259" s="40">
        <f ca="1">SUM(V$36:V259)/2-SUM(OFFSET(载具产出!I$399,0,0,$R259+1,1))</f>
        <v>577900</v>
      </c>
      <c r="N259" s="40">
        <f ca="1">SUM(AA$36:AA259)-SUM(OFFSET(载具产出!J$399,0,0,$R259+1,1))</f>
        <v>4460.6</v>
      </c>
      <c r="O259" s="40">
        <f ca="1">SUM(AB$36:AB259)-SUM(OFFSET(载具产出!K$399,0,0,$R259+1,1))</f>
        <v>4954.91999999997</v>
      </c>
      <c r="P259" s="40">
        <f ca="1">SUM(AC$36:AC259)-SUM(OFFSET(载具产出!L$399,0,0,$R259+1,1))</f>
        <v>1571.88</v>
      </c>
      <c r="Q259" s="40">
        <f ca="1">SUM(AD$36:AD259)-SUM(OFFSET(载具产出!M$399,0,0,$R259+1,1))</f>
        <v>21.6</v>
      </c>
      <c r="R259" s="40">
        <v>19</v>
      </c>
      <c r="S259" s="40" t="str">
        <f ca="1">OFFSET(载具产出!$D$111,IFERROR(MATCH(OFFSET($D259,0,MATCH($D$5,$E$6:$H$6,0)),载具产出!$E$112:$E$151,1),0),0)</f>
        <v>卓越Ⅱ</v>
      </c>
      <c r="T259" s="40">
        <f ca="1">OFFSET(载具产出!$F$399,IFERROR(MATCH(OFFSET($D259,0,MATCH($D$5,$E$6:$H$6,0)),载具产出!$E$400:$E$439,1),0),MATCH(T$6,载具产出!$G$399:$O$399,0))</f>
        <v>1125</v>
      </c>
      <c r="U259" s="40">
        <v>7</v>
      </c>
      <c r="V259" s="40">
        <f ca="1">OFFSET(载具产出!$F$399,IFERROR(MATCH(OFFSET($D259,0,MATCH($D$5,$E$6:$H$6,0)),载具产出!$E$400:$E$439,1),0),MATCH(V$6,载具产出!$G$399:$O$399,0))</f>
        <v>7200</v>
      </c>
      <c r="W259" s="43">
        <f ca="1">_xlfn.XLOOKUP(Z259,载具属性!$E$98:$E$497,载具属性!$G$98:$G$497)+6000+OFFSET(载具属性!L$33,AS259,0)*载具属性!M$30+OFFSET(载具属性!M$33,AT259,0)*载具属性!N$30+OFFSET(载具属性!N$33,AU259,0)*载具属性!O$30+OFFSET(载具属性!O$33,AV259,0)*载具属性!P$30</f>
        <v>25980</v>
      </c>
      <c r="X259" s="43">
        <f ca="1">_xlfn.XLOOKUP(Z259,载具属性!$E$98:$E$497,载具属性!$G$98:$G$497)</f>
        <v>12645</v>
      </c>
      <c r="Y259" s="43">
        <f ca="1">OFFSET(载具属性!L$33,AS259,0)*载具属性!M$30+OFFSET(载具属性!M$33,AT259,0)*载具属性!N$30+OFFSET(载具属性!N$33,AU259,0)*载具属性!O$30+OFFSET(载具属性!O$33,AV259,0)*载具属性!P$30</f>
        <v>7335</v>
      </c>
      <c r="Z259" s="40">
        <f ca="1">MATCH(SUM($T$7:T259),载具属性!$I$98:$I$497,1)</f>
        <v>181</v>
      </c>
      <c r="AA259" s="40">
        <f ca="1">OFFSET(载具产出!$F$399,IFERROR(MATCH(OFFSET($D259,0,MATCH($D$5,$E$6:$H$6,0)),载具产出!$E$112:$E$151,1),0),MATCH(AA$6,载具产出!$G$111:$O$111,0))*2</f>
        <v>18</v>
      </c>
      <c r="AB259" s="40">
        <f ca="1">OFFSET(载具产出!$F$399,IFERROR(MATCH(OFFSET($D259,0,MATCH($D$5,$E$6:$H$6,0)),载具产出!$E$112:$E$151,1),0),MATCH(AB$6,载具产出!$G$111:$O$111,0))*2</f>
        <v>21.28</v>
      </c>
      <c r="AC259" s="40">
        <f ca="1">OFFSET(载具产出!$F$399,IFERROR(MATCH(OFFSET($D259,0,MATCH($D$5,$E$6:$H$6,0)),载具产出!$E$112:$E$151,1),0),MATCH(AC$6,载具产出!$G$111:$O$111,0))*2</f>
        <v>15.76</v>
      </c>
      <c r="AD259" s="40">
        <f ca="1">OFFSET(载具产出!$F$399,IFERROR(MATCH(OFFSET($D259,0,MATCH($D$5,$E$6:$H$6,0)),载具产出!$E$112:$E$151,1),0),MATCH(AD$6,载具产出!$G$111:$O$111,0))*2</f>
        <v>0.96</v>
      </c>
      <c r="AE259" s="44">
        <f ca="1">SUM(AA$36:AA259)/3</f>
        <v>1562.8</v>
      </c>
      <c r="AF259" s="44">
        <f ca="1">SUM(AB$36:AB259)/3</f>
        <v>1715.62666666666</v>
      </c>
      <c r="AG259" s="44">
        <f ca="1">SUM(AC$36:AC259)/3</f>
        <v>543.573333333333</v>
      </c>
      <c r="AH259" s="44">
        <f ca="1">SUM(AD$36:AD259)/3</f>
        <v>8.00000000000001</v>
      </c>
      <c r="AI259" s="44">
        <f>_xlfn.XLOOKUP($D$5,载具产出!$D$71:$D$75,载具产出!$E$71:$E$75)*(D259-30+1)</f>
        <v>2634.66666666668</v>
      </c>
      <c r="AJ259" s="44">
        <f>IFERROR(MATCH(_xlfn.XLOOKUP($D$5,载具产出!$D$71:$D$75,载具产出!$E$71:$E$75)*(D259-30+1)*10,载具产出!$E$60:$E$67,1),0)+1</f>
        <v>7</v>
      </c>
      <c r="AK259" s="44">
        <f ca="1">IF($AJ259=1,($AI259)*(10*OFFSET(载具产出!$D$45,MATCH(AK$6,$AK$6:$AN$6,0)-1,$AJ259)+OFFSET(载具产出!$D$49,MATCH(AK$6,$AK$6:$AN$6,0)-1,$AJ259)*OFFSET(载具产出!$N$49,MATCH(AK$6,$AK$6:$AN$6,0)-1,0)),OFFSET(载具产出!F$59,$AJ259-1,0)*10+OFFSET(载具产出!J$59,$AJ259-1,0)+($AI259*10-_xlfn.XLOOKUP($AJ259-1,载具产出!$D$59:$D$67,载具产出!$E$59:$E$67))/10*(10*OFFSET(载具产出!$D$45,MATCH(AK$6,$AK$6:$AN$6,0)-1,$AJ259)+OFFSET(载具产出!$D$49,MATCH(AK$6,$AK$6:$AN$6,0)-1,$AJ259)*OFFSET(载具产出!$N$49,MATCH(AK$6,$AK$6:$AN$6,0)-1,0)))</f>
        <v>5749.36600000003</v>
      </c>
      <c r="AL259" s="44">
        <f ca="1">IF($AJ259=1,($AI259)*(10*OFFSET(载具产出!$D$45,MATCH(AL$6,$AK$6:$AN$6,0)-1,$AJ259)+OFFSET(载具产出!$D$49,MATCH(AL$6,$AK$6:$AN$6,0)-1,$AJ259)*OFFSET(载具产出!$N$49,MATCH(AL$6,$AK$6:$AN$6,0)-1,0)),OFFSET(载具产出!G$59,$AJ259-1,0)*10+OFFSET(载具产出!K$59,$AJ259-1,0)+($AI259*10-_xlfn.XLOOKUP($AJ259-1,载具产出!$D$59:$D$67,载具产出!$E$59:$E$67))/10*(10*OFFSET(载具产出!$D$45,MATCH(AL$6,$AK$6:$AN$6,0)-1,$AJ259)+OFFSET(载具产出!$D$49,MATCH(AL$6,$AK$6:$AN$6,0)-1,$AJ259)*OFFSET(载具产出!$N$49,MATCH(AL$6,$AK$6:$AN$6,0)-1,0)))</f>
        <v>2377.88666666668</v>
      </c>
      <c r="AM259" s="44">
        <f ca="1">IF($AJ259=1,($AI259)*(10*OFFSET(载具产出!$D$45,MATCH(AM$6,$AK$6:$AN$6,0)-1,$AJ259)+OFFSET(载具产出!$D$49,MATCH(AM$6,$AK$6:$AN$6,0)-1,$AJ259)*OFFSET(载具产出!$N$49,MATCH(AM$6,$AK$6:$AN$6,0)-1,0)),OFFSET(载具产出!H$59,$AJ259-1,0)*10+OFFSET(载具产出!L$59,$AJ259-1,0)+($AI259*10-_xlfn.XLOOKUP($AJ259-1,载具产出!$D$59:$D$67,载具产出!$E$59:$E$67))/10*(10*OFFSET(载具产出!$D$45,MATCH(AM$6,$AK$6:$AN$6,0)-1,$AJ259)+OFFSET(载具产出!$D$49,MATCH(AM$6,$AK$6:$AN$6,0)-1,$AJ259)*OFFSET(载具产出!$N$49,MATCH(AM$6,$AK$6:$AN$6,0)-1,0)))</f>
        <v>1301.34400000001</v>
      </c>
      <c r="AN259" s="44">
        <f ca="1">IF($AJ259=1,($AI259)*(10*OFFSET(载具产出!$D$45,MATCH(AN$6,$AK$6:$AN$6,0)-1,$AJ259)+OFFSET(载具产出!$D$49,MATCH(AN$6,$AK$6:$AN$6,0)-1,$AJ259)*OFFSET(载具产出!$N$49,MATCH(AN$6,$AK$6:$AN$6,0)-1,0)),OFFSET(载具产出!I$59,$AJ259-1,0)*10+OFFSET(载具产出!M$59,$AJ259-1,0)+($AI259*10-_xlfn.XLOOKUP($AJ259-1,载具产出!$D$59:$D$67,载具产出!$E$59:$E$67))/10*(10*OFFSET(载具产出!$D$45,MATCH(AN$6,$AK$6:$AN$6,0)-1,$AJ259)+OFFSET(载具产出!$D$49,MATCH(AN$6,$AK$6:$AN$6,0)-1,$AJ259)*OFFSET(载具产出!$N$49,MATCH(AN$6,$AK$6:$AN$6,0)-1,0)))</f>
        <v>403.858666666669</v>
      </c>
      <c r="AO259" s="44">
        <f ca="1" t="shared" si="60"/>
        <v>7312.16600000003</v>
      </c>
      <c r="AP259" s="44">
        <f ca="1" t="shared" si="61"/>
        <v>4093.51333333334</v>
      </c>
      <c r="AQ259" s="44">
        <f ca="1" t="shared" si="62"/>
        <v>1844.91733333334</v>
      </c>
      <c r="AR259" s="44">
        <f ca="1" t="shared" si="63"/>
        <v>411.858666666669</v>
      </c>
      <c r="AS259" s="45">
        <f ca="1">IFERROR(MATCH(AO259/载具产出!R$58,载具属性!$G$33:$G$92,1),0)</f>
        <v>39</v>
      </c>
      <c r="AT259" s="45">
        <f ca="1">IFERROR(MATCH(AP259/载具产出!S$58,载具属性!$G$33:$G$92,1),0)</f>
        <v>27</v>
      </c>
      <c r="AU259" s="45">
        <f ca="1">IFERROR(MATCH(AQ259/载具产出!T$58,载具属性!$G$33:$G$92,1),0)</f>
        <v>17</v>
      </c>
      <c r="AV259" s="45">
        <f ca="1">IFERROR(MATCH(AR259/载具产出!U$58,载具属性!$G$33:$G$92,1),0)</f>
        <v>7</v>
      </c>
      <c r="AW259" s="46" t="str">
        <f ca="1" t="shared" si="64"/>
        <v>[{62,1549},{63,199005},{2,577900},{6030001,4460},{6030002,4954},{6030003,1571},{6030004,21}]</v>
      </c>
      <c r="AX259" t="str">
        <f ca="1" t="shared" si="65"/>
        <v>{62,1549}</v>
      </c>
      <c r="AY259" t="str">
        <f ca="1" t="shared" si="66"/>
        <v>{63,199005}</v>
      </c>
      <c r="AZ259" t="str">
        <f ca="1" t="shared" si="67"/>
        <v>{2,577900}</v>
      </c>
      <c r="BA259" t="str">
        <f ca="1" t="shared" si="68"/>
        <v>{6030001,4460}</v>
      </c>
      <c r="BB259" t="str">
        <f ca="1" t="shared" si="69"/>
        <v>{6030002,4954}</v>
      </c>
      <c r="BC259" t="str">
        <f ca="1" t="shared" si="70"/>
        <v>{6030003,1571}</v>
      </c>
      <c r="BD259" t="str">
        <f ca="1" t="shared" si="71"/>
        <v>{6030004,21}</v>
      </c>
    </row>
    <row r="260" spans="3:56">
      <c r="C260">
        <f ca="1" t="shared" si="59"/>
        <v>125.507246376812</v>
      </c>
      <c r="D260" s="40">
        <v>254</v>
      </c>
      <c r="E260" s="40">
        <f t="shared" si="72"/>
        <v>131</v>
      </c>
      <c r="F260" s="40">
        <f t="shared" si="75"/>
        <v>151</v>
      </c>
      <c r="G260" s="41">
        <f t="shared" si="74"/>
        <v>207</v>
      </c>
      <c r="H260" s="40">
        <f>H259</f>
        <v>269</v>
      </c>
      <c r="I260" s="40">
        <f t="shared" si="58"/>
        <v>534</v>
      </c>
      <c r="J260" s="40">
        <f t="shared" si="73"/>
        <v>534</v>
      </c>
      <c r="K260" s="40">
        <f ca="1">SUM(U$36:U260)-SUM(OFFSET(载具产出!H$399,0,0,$R260+1,1))</f>
        <v>1556</v>
      </c>
      <c r="L260" s="40">
        <f ca="1">SUM(T$36:T260)-SUM(OFFSET(载具产出!G$399,0,0,$R260+1,1))</f>
        <v>200130</v>
      </c>
      <c r="M260" s="40">
        <f ca="1">SUM(V$36:V260)/2-SUM(OFFSET(载具产出!I$399,0,0,$R260+1,1))</f>
        <v>581500</v>
      </c>
      <c r="N260" s="40">
        <f ca="1">SUM(AA$36:AA260)-SUM(OFFSET(载具产出!J$399,0,0,$R260+1,1))</f>
        <v>4478.6</v>
      </c>
      <c r="O260" s="40">
        <f ca="1">SUM(AB$36:AB260)-SUM(OFFSET(载具产出!K$399,0,0,$R260+1,1))</f>
        <v>4976.19999999997</v>
      </c>
      <c r="P260" s="40">
        <f ca="1">SUM(AC$36:AC260)-SUM(OFFSET(载具产出!L$399,0,0,$R260+1,1))</f>
        <v>1587.64</v>
      </c>
      <c r="Q260" s="40">
        <f ca="1">SUM(AD$36:AD260)-SUM(OFFSET(载具产出!M$399,0,0,$R260+1,1))</f>
        <v>22.56</v>
      </c>
      <c r="R260" s="40">
        <v>19</v>
      </c>
      <c r="S260" s="40" t="str">
        <f ca="1">OFFSET(载具产出!$D$111,IFERROR(MATCH(OFFSET($D260,0,MATCH($D$5,$E$6:$H$6,0)),载具产出!$E$112:$E$151,1),0),0)</f>
        <v>卓越Ⅱ</v>
      </c>
      <c r="T260" s="40">
        <f ca="1">OFFSET(载具产出!$F$399,IFERROR(MATCH(OFFSET($D260,0,MATCH($D$5,$E$6:$H$6,0)),载具产出!$E$400:$E$439,1),0),MATCH(T$6,载具产出!$G$399:$O$399,0))</f>
        <v>1125</v>
      </c>
      <c r="U260" s="40">
        <v>7</v>
      </c>
      <c r="V260" s="40">
        <f ca="1">OFFSET(载具产出!$F$399,IFERROR(MATCH(OFFSET($D260,0,MATCH($D$5,$E$6:$H$6,0)),载具产出!$E$400:$E$439,1),0),MATCH(V$6,载具产出!$G$399:$O$399,0))</f>
        <v>7200</v>
      </c>
      <c r="W260" s="43">
        <f ca="1">_xlfn.XLOOKUP(Z260,载具属性!$E$98:$E$497,载具属性!$G$98:$G$497)+6000+OFFSET(载具属性!L$33,AS260,0)*载具属性!M$30+OFFSET(载具属性!M$33,AT260,0)*载具属性!N$30+OFFSET(载具属性!N$33,AU260,0)*载具属性!O$30+OFFSET(载具属性!O$33,AV260,0)*载具属性!P$30</f>
        <v>25980</v>
      </c>
      <c r="X260" s="43">
        <f ca="1">_xlfn.XLOOKUP(Z260,载具属性!$E$98:$E$497,载具属性!$G$98:$G$497)</f>
        <v>12645</v>
      </c>
      <c r="Y260" s="43">
        <f ca="1">OFFSET(载具属性!L$33,AS260,0)*载具属性!M$30+OFFSET(载具属性!M$33,AT260,0)*载具属性!N$30+OFFSET(载具属性!N$33,AU260,0)*载具属性!O$30+OFFSET(载具属性!O$33,AV260,0)*载具属性!P$30</f>
        <v>7335</v>
      </c>
      <c r="Z260" s="40">
        <f ca="1">MATCH(SUM($T$7:T260),载具属性!$I$98:$I$497,1)</f>
        <v>181</v>
      </c>
      <c r="AA260" s="40">
        <f ca="1">OFFSET(载具产出!$F$399,IFERROR(MATCH(OFFSET($D260,0,MATCH($D$5,$E$6:$H$6,0)),载具产出!$E$112:$E$151,1),0),MATCH(AA$6,载具产出!$G$111:$O$111,0))*2</f>
        <v>18</v>
      </c>
      <c r="AB260" s="40">
        <f ca="1">OFFSET(载具产出!$F$399,IFERROR(MATCH(OFFSET($D260,0,MATCH($D$5,$E$6:$H$6,0)),载具产出!$E$112:$E$151,1),0),MATCH(AB$6,载具产出!$G$111:$O$111,0))*2</f>
        <v>21.28</v>
      </c>
      <c r="AC260" s="40">
        <f ca="1">OFFSET(载具产出!$F$399,IFERROR(MATCH(OFFSET($D260,0,MATCH($D$5,$E$6:$H$6,0)),载具产出!$E$112:$E$151,1),0),MATCH(AC$6,载具产出!$G$111:$O$111,0))*2</f>
        <v>15.76</v>
      </c>
      <c r="AD260" s="40">
        <f ca="1">OFFSET(载具产出!$F$399,IFERROR(MATCH(OFFSET($D260,0,MATCH($D$5,$E$6:$H$6,0)),载具产出!$E$112:$E$151,1),0),MATCH(AD$6,载具产出!$G$111:$O$111,0))*2</f>
        <v>0.96</v>
      </c>
      <c r="AE260" s="44">
        <f ca="1">SUM(AA$36:AA260)/3</f>
        <v>1568.8</v>
      </c>
      <c r="AF260" s="44">
        <f ca="1">SUM(AB$36:AB260)/3</f>
        <v>1722.71999999999</v>
      </c>
      <c r="AG260" s="44">
        <f ca="1">SUM(AC$36:AC260)/3</f>
        <v>548.826666666666</v>
      </c>
      <c r="AH260" s="44">
        <f ca="1">SUM(AD$36:AD260)/3</f>
        <v>8.32000000000001</v>
      </c>
      <c r="AI260" s="44">
        <f>_xlfn.XLOOKUP($D$5,载具产出!$D$71:$D$75,载具产出!$E$71:$E$75)*(D260-30+1)</f>
        <v>2646.42857142858</v>
      </c>
      <c r="AJ260" s="44">
        <f>IFERROR(MATCH(_xlfn.XLOOKUP($D$5,载具产出!$D$71:$D$75,载具产出!$E$71:$E$75)*(D260-30+1)*10,载具产出!$E$60:$E$67,1),0)+1</f>
        <v>7</v>
      </c>
      <c r="AK260" s="44">
        <f ca="1">IF($AJ260=1,($AI260)*(10*OFFSET(载具产出!$D$45,MATCH(AK$6,$AK$6:$AN$6,0)-1,$AJ260)+OFFSET(载具产出!$D$49,MATCH(AK$6,$AK$6:$AN$6,0)-1,$AJ260)*OFFSET(载具产出!$N$49,MATCH(AK$6,$AK$6:$AN$6,0)-1,0)),OFFSET(载具产出!F$59,$AJ260-1,0)*10+OFFSET(载具产出!J$59,$AJ260-1,0)+($AI260*10-_xlfn.XLOOKUP($AJ260-1,载具产出!$D$59:$D$67,载具产出!$E$59:$E$67))/10*(10*OFFSET(载具产出!$D$45,MATCH(AK$6,$AK$6:$AN$6,0)-1,$AJ260)+OFFSET(载具产出!$D$49,MATCH(AK$6,$AK$6:$AN$6,0)-1,$AJ260)*OFFSET(载具产出!$N$49,MATCH(AK$6,$AK$6:$AN$6,0)-1,0)))</f>
        <v>5774.20714285716</v>
      </c>
      <c r="AL260" s="44">
        <f ca="1">IF($AJ260=1,($AI260)*(10*OFFSET(载具产出!$D$45,MATCH(AL$6,$AK$6:$AN$6,0)-1,$AJ260)+OFFSET(载具产出!$D$49,MATCH(AL$6,$AK$6:$AN$6,0)-1,$AJ260)*OFFSET(载具产出!$N$49,MATCH(AL$6,$AK$6:$AN$6,0)-1,0)),OFFSET(载具产出!G$59,$AJ260-1,0)*10+OFFSET(载具产出!K$59,$AJ260-1,0)+($AI260*10-_xlfn.XLOOKUP($AJ260-1,载具产出!$D$59:$D$67,载具产出!$E$59:$E$67))/10*(10*OFFSET(载具产出!$D$45,MATCH(AL$6,$AK$6:$AN$6,0)-1,$AJ260)+OFFSET(载具产出!$D$49,MATCH(AL$6,$AK$6:$AN$6,0)-1,$AJ260)*OFFSET(载具产出!$N$49,MATCH(AL$6,$AK$6:$AN$6,0)-1,0)))</f>
        <v>2388.94285714287</v>
      </c>
      <c r="AM260" s="44">
        <f ca="1">IF($AJ260=1,($AI260)*(10*OFFSET(载具产出!$D$45,MATCH(AM$6,$AK$6:$AN$6,0)-1,$AJ260)+OFFSET(载具产出!$D$49,MATCH(AM$6,$AK$6:$AN$6,0)-1,$AJ260)*OFFSET(载具产出!$N$49,MATCH(AM$6,$AK$6:$AN$6,0)-1,0)),OFFSET(载具产出!H$59,$AJ260-1,0)*10+OFFSET(载具产出!L$59,$AJ260-1,0)+($AI260*10-_xlfn.XLOOKUP($AJ260-1,载具产出!$D$59:$D$67,载具产出!$E$59:$E$67))/10*(10*OFFSET(载具产出!$D$45,MATCH(AM$6,$AK$6:$AN$6,0)-1,$AJ260)+OFFSET(载具产出!$D$49,MATCH(AM$6,$AK$6:$AN$6,0)-1,$AJ260)*OFFSET(载具产出!$N$49,MATCH(AM$6,$AK$6:$AN$6,0)-1,0)))</f>
        <v>1307.55428571429</v>
      </c>
      <c r="AN260" s="44">
        <f ca="1">IF($AJ260=1,($AI260)*(10*OFFSET(载具产出!$D$45,MATCH(AN$6,$AK$6:$AN$6,0)-1,$AJ260)+OFFSET(载具产出!$D$49,MATCH(AN$6,$AK$6:$AN$6,0)-1,$AJ260)*OFFSET(载具产出!$N$49,MATCH(AN$6,$AK$6:$AN$6,0)-1,0)),OFFSET(载具产出!I$59,$AJ260-1,0)*10+OFFSET(载具产出!M$59,$AJ260-1,0)+($AI260*10-_xlfn.XLOOKUP($AJ260-1,载具产出!$D$59:$D$67,载具产出!$E$59:$E$67))/10*(10*OFFSET(载具产出!$D$45,MATCH(AN$6,$AK$6:$AN$6,0)-1,$AJ260)+OFFSET(载具产出!$D$49,MATCH(AN$6,$AK$6:$AN$6,0)-1,$AJ260)*OFFSET(载具产出!$N$49,MATCH(AN$6,$AK$6:$AN$6,0)-1,0)))</f>
        <v>405.84642857143</v>
      </c>
      <c r="AO260" s="44">
        <f ca="1" t="shared" si="60"/>
        <v>7343.00714285716</v>
      </c>
      <c r="AP260" s="44">
        <f ca="1" t="shared" si="61"/>
        <v>4111.66285714286</v>
      </c>
      <c r="AQ260" s="44">
        <f ca="1" t="shared" si="62"/>
        <v>1856.38095238096</v>
      </c>
      <c r="AR260" s="44">
        <f ca="1" t="shared" si="63"/>
        <v>414.16642857143</v>
      </c>
      <c r="AS260" s="45">
        <f ca="1">IFERROR(MATCH(AO260/载具产出!R$58,载具属性!$G$33:$G$92,1),0)</f>
        <v>39</v>
      </c>
      <c r="AT260" s="45">
        <f ca="1">IFERROR(MATCH(AP260/载具产出!S$58,载具属性!$G$33:$G$92,1),0)</f>
        <v>27</v>
      </c>
      <c r="AU260" s="45">
        <f ca="1">IFERROR(MATCH(AQ260/载具产出!T$58,载具属性!$G$33:$G$92,1),0)</f>
        <v>17</v>
      </c>
      <c r="AV260" s="45">
        <f ca="1">IFERROR(MATCH(AR260/载具产出!U$58,载具属性!$G$33:$G$92,1),0)</f>
        <v>7</v>
      </c>
      <c r="AW260" s="46" t="str">
        <f ca="1" t="shared" si="64"/>
        <v>[{62,1556},{63,200130},{2,581500},{6030001,4478},{6030002,4976},{6030003,1587},{6030004,22}]</v>
      </c>
      <c r="AX260" t="str">
        <f ca="1" t="shared" si="65"/>
        <v>{62,1556}</v>
      </c>
      <c r="AY260" t="str">
        <f ca="1" t="shared" si="66"/>
        <v>{63,200130}</v>
      </c>
      <c r="AZ260" t="str">
        <f ca="1" t="shared" si="67"/>
        <v>{2,581500}</v>
      </c>
      <c r="BA260" t="str">
        <f ca="1" t="shared" si="68"/>
        <v>{6030001,4478}</v>
      </c>
      <c r="BB260" t="str">
        <f ca="1" t="shared" si="69"/>
        <v>{6030002,4976}</v>
      </c>
      <c r="BC260" t="str">
        <f ca="1" t="shared" si="70"/>
        <v>{6030003,1587}</v>
      </c>
      <c r="BD260" t="str">
        <f ca="1" t="shared" si="71"/>
        <v>{6030004,22}</v>
      </c>
    </row>
    <row r="261" spans="3:56">
      <c r="C261">
        <f ca="1" t="shared" si="59"/>
        <v>126.256038647343</v>
      </c>
      <c r="D261" s="40">
        <v>255</v>
      </c>
      <c r="E261" s="40">
        <f t="shared" si="72"/>
        <v>131</v>
      </c>
      <c r="F261" s="40">
        <f t="shared" si="75"/>
        <v>151</v>
      </c>
      <c r="G261" s="41">
        <f t="shared" si="74"/>
        <v>207</v>
      </c>
      <c r="H261" s="40">
        <f>H260+1</f>
        <v>270</v>
      </c>
      <c r="I261" s="40">
        <f t="shared" si="58"/>
        <v>536</v>
      </c>
      <c r="J261" s="40">
        <f t="shared" si="73"/>
        <v>536</v>
      </c>
      <c r="K261" s="40">
        <f ca="1">SUM(U$36:U261)-SUM(OFFSET(载具产出!H$399,0,0,$R261+1,1))</f>
        <v>1563</v>
      </c>
      <c r="L261" s="40">
        <f ca="1">SUM(T$36:T261)-SUM(OFFSET(载具产出!G$399,0,0,$R261+1,1))</f>
        <v>201255</v>
      </c>
      <c r="M261" s="40">
        <f ca="1">SUM(V$36:V261)/2-SUM(OFFSET(载具产出!I$399,0,0,$R261+1,1))</f>
        <v>585100</v>
      </c>
      <c r="N261" s="40">
        <f ca="1">SUM(AA$36:AA261)-SUM(OFFSET(载具产出!J$399,0,0,$R261+1,1))</f>
        <v>4496.6</v>
      </c>
      <c r="O261" s="40">
        <f ca="1">SUM(AB$36:AB261)-SUM(OFFSET(载具产出!K$399,0,0,$R261+1,1))</f>
        <v>4997.47999999997</v>
      </c>
      <c r="P261" s="40">
        <f ca="1">SUM(AC$36:AC261)-SUM(OFFSET(载具产出!L$399,0,0,$R261+1,1))</f>
        <v>1603.4</v>
      </c>
      <c r="Q261" s="40">
        <f ca="1">SUM(AD$36:AD261)-SUM(OFFSET(载具产出!M$399,0,0,$R261+1,1))</f>
        <v>23.52</v>
      </c>
      <c r="R261" s="40">
        <v>19</v>
      </c>
      <c r="S261" s="40" t="str">
        <f ca="1">OFFSET(载具产出!$D$111,IFERROR(MATCH(OFFSET($D261,0,MATCH($D$5,$E$6:$H$6,0)),载具产出!$E$112:$E$151,1),0),0)</f>
        <v>卓越Ⅱ</v>
      </c>
      <c r="T261" s="40">
        <f ca="1">OFFSET(载具产出!$F$399,IFERROR(MATCH(OFFSET($D261,0,MATCH($D$5,$E$6:$H$6,0)),载具产出!$E$400:$E$439,1),0),MATCH(T$6,载具产出!$G$399:$O$399,0))</f>
        <v>1125</v>
      </c>
      <c r="U261" s="40">
        <v>7</v>
      </c>
      <c r="V261" s="40">
        <f ca="1">OFFSET(载具产出!$F$399,IFERROR(MATCH(OFFSET($D261,0,MATCH($D$5,$E$6:$H$6,0)),载具产出!$E$400:$E$439,1),0),MATCH(V$6,载具产出!$G$399:$O$399,0))</f>
        <v>7200</v>
      </c>
      <c r="W261" s="43">
        <f ca="1">_xlfn.XLOOKUP(Z261,载具属性!$E$98:$E$497,载具属性!$G$98:$G$497)+6000+OFFSET(载具属性!L$33,AS261,0)*载具属性!M$30+OFFSET(载具属性!M$33,AT261,0)*载具属性!N$30+OFFSET(载具属性!N$33,AU261,0)*载具属性!O$30+OFFSET(载具属性!O$33,AV261,0)*载具属性!P$30</f>
        <v>26135</v>
      </c>
      <c r="X261" s="43">
        <f ca="1">_xlfn.XLOOKUP(Z261,载具属性!$E$98:$E$497,载具属性!$G$98:$G$497)</f>
        <v>12740</v>
      </c>
      <c r="Y261" s="43">
        <f ca="1">OFFSET(载具属性!L$33,AS261,0)*载具属性!M$30+OFFSET(载具属性!M$33,AT261,0)*载具属性!N$30+OFFSET(载具属性!N$33,AU261,0)*载具属性!O$30+OFFSET(载具属性!O$33,AV261,0)*载具属性!P$30</f>
        <v>7395</v>
      </c>
      <c r="Z261" s="40">
        <f ca="1">MATCH(SUM($T$7:T261),载具属性!$I$98:$I$497,1)</f>
        <v>182</v>
      </c>
      <c r="AA261" s="40">
        <f ca="1">OFFSET(载具产出!$F$399,IFERROR(MATCH(OFFSET($D261,0,MATCH($D$5,$E$6:$H$6,0)),载具产出!$E$112:$E$151,1),0),MATCH(AA$6,载具产出!$G$111:$O$111,0))*2</f>
        <v>18</v>
      </c>
      <c r="AB261" s="40">
        <f ca="1">OFFSET(载具产出!$F$399,IFERROR(MATCH(OFFSET($D261,0,MATCH($D$5,$E$6:$H$6,0)),载具产出!$E$112:$E$151,1),0),MATCH(AB$6,载具产出!$G$111:$O$111,0))*2</f>
        <v>21.28</v>
      </c>
      <c r="AC261" s="40">
        <f ca="1">OFFSET(载具产出!$F$399,IFERROR(MATCH(OFFSET($D261,0,MATCH($D$5,$E$6:$H$6,0)),载具产出!$E$112:$E$151,1),0),MATCH(AC$6,载具产出!$G$111:$O$111,0))*2</f>
        <v>15.76</v>
      </c>
      <c r="AD261" s="40">
        <f ca="1">OFFSET(载具产出!$F$399,IFERROR(MATCH(OFFSET($D261,0,MATCH($D$5,$E$6:$H$6,0)),载具产出!$E$112:$E$151,1),0),MATCH(AD$6,载具产出!$G$111:$O$111,0))*2</f>
        <v>0.96</v>
      </c>
      <c r="AE261" s="44">
        <f ca="1">SUM(AA$36:AA261)/3</f>
        <v>1574.8</v>
      </c>
      <c r="AF261" s="44">
        <f ca="1">SUM(AB$36:AB261)/3</f>
        <v>1729.81333333332</v>
      </c>
      <c r="AG261" s="44">
        <f ca="1">SUM(AC$36:AC261)/3</f>
        <v>554.079999999999</v>
      </c>
      <c r="AH261" s="44">
        <f ca="1">SUM(AD$36:AD261)/3</f>
        <v>8.64000000000001</v>
      </c>
      <c r="AI261" s="44">
        <f>_xlfn.XLOOKUP($D$5,载具产出!$D$71:$D$75,载具产出!$E$71:$E$75)*(D261-30+1)</f>
        <v>2658.19047619048</v>
      </c>
      <c r="AJ261" s="44">
        <f>IFERROR(MATCH(_xlfn.XLOOKUP($D$5,载具产出!$D$71:$D$75,载具产出!$E$71:$E$75)*(D261-30+1)*10,载具产出!$E$60:$E$67,1),0)+1</f>
        <v>7</v>
      </c>
      <c r="AK261" s="44">
        <f ca="1">IF($AJ261=1,($AI261)*(10*OFFSET(载具产出!$D$45,MATCH(AK$6,$AK$6:$AN$6,0)-1,$AJ261)+OFFSET(载具产出!$D$49,MATCH(AK$6,$AK$6:$AN$6,0)-1,$AJ261)*OFFSET(载具产出!$N$49,MATCH(AK$6,$AK$6:$AN$6,0)-1,0)),OFFSET(载具产出!F$59,$AJ261-1,0)*10+OFFSET(载具产出!J$59,$AJ261-1,0)+($AI261*10-_xlfn.XLOOKUP($AJ261-1,载具产出!$D$59:$D$67,载具产出!$E$59:$E$67))/10*(10*OFFSET(载具产出!$D$45,MATCH(AK$6,$AK$6:$AN$6,0)-1,$AJ261)+OFFSET(载具产出!$D$49,MATCH(AK$6,$AK$6:$AN$6,0)-1,$AJ261)*OFFSET(载具产出!$N$49,MATCH(AK$6,$AK$6:$AN$6,0)-1,0)))</f>
        <v>5799.04828571429</v>
      </c>
      <c r="AL261" s="44">
        <f ca="1">IF($AJ261=1,($AI261)*(10*OFFSET(载具产出!$D$45,MATCH(AL$6,$AK$6:$AN$6,0)-1,$AJ261)+OFFSET(载具产出!$D$49,MATCH(AL$6,$AK$6:$AN$6,0)-1,$AJ261)*OFFSET(载具产出!$N$49,MATCH(AL$6,$AK$6:$AN$6,0)-1,0)),OFFSET(载具产出!G$59,$AJ261-1,0)*10+OFFSET(载具产出!K$59,$AJ261-1,0)+($AI261*10-_xlfn.XLOOKUP($AJ261-1,载具产出!$D$59:$D$67,载具产出!$E$59:$E$67))/10*(10*OFFSET(载具产出!$D$45,MATCH(AL$6,$AK$6:$AN$6,0)-1,$AJ261)+OFFSET(载具产出!$D$49,MATCH(AL$6,$AK$6:$AN$6,0)-1,$AJ261)*OFFSET(载具产出!$N$49,MATCH(AL$6,$AK$6:$AN$6,0)-1,0)))</f>
        <v>2399.99904761905</v>
      </c>
      <c r="AM261" s="44">
        <f ca="1">IF($AJ261=1,($AI261)*(10*OFFSET(载具产出!$D$45,MATCH(AM$6,$AK$6:$AN$6,0)-1,$AJ261)+OFFSET(载具产出!$D$49,MATCH(AM$6,$AK$6:$AN$6,0)-1,$AJ261)*OFFSET(载具产出!$N$49,MATCH(AM$6,$AK$6:$AN$6,0)-1,0)),OFFSET(载具产出!H$59,$AJ261-1,0)*10+OFFSET(载具产出!L$59,$AJ261-1,0)+($AI261*10-_xlfn.XLOOKUP($AJ261-1,载具产出!$D$59:$D$67,载具产出!$E$59:$E$67))/10*(10*OFFSET(载具产出!$D$45,MATCH(AM$6,$AK$6:$AN$6,0)-1,$AJ261)+OFFSET(载具产出!$D$49,MATCH(AM$6,$AK$6:$AN$6,0)-1,$AJ261)*OFFSET(载具产出!$N$49,MATCH(AM$6,$AK$6:$AN$6,0)-1,0)))</f>
        <v>1313.76457142857</v>
      </c>
      <c r="AN261" s="44">
        <f ca="1">IF($AJ261=1,($AI261)*(10*OFFSET(载具产出!$D$45,MATCH(AN$6,$AK$6:$AN$6,0)-1,$AJ261)+OFFSET(载具产出!$D$49,MATCH(AN$6,$AK$6:$AN$6,0)-1,$AJ261)*OFFSET(载具产出!$N$49,MATCH(AN$6,$AK$6:$AN$6,0)-1,0)),OFFSET(载具产出!I$59,$AJ261-1,0)*10+OFFSET(载具产出!M$59,$AJ261-1,0)+($AI261*10-_xlfn.XLOOKUP($AJ261-1,载具产出!$D$59:$D$67,载具产出!$E$59:$E$67))/10*(10*OFFSET(载具产出!$D$45,MATCH(AN$6,$AK$6:$AN$6,0)-1,$AJ261)+OFFSET(载具产出!$D$49,MATCH(AN$6,$AK$6:$AN$6,0)-1,$AJ261)*OFFSET(载具产出!$N$49,MATCH(AN$6,$AK$6:$AN$6,0)-1,0)))</f>
        <v>407.834190476191</v>
      </c>
      <c r="AO261" s="44">
        <f ca="1" t="shared" si="60"/>
        <v>7373.84828571429</v>
      </c>
      <c r="AP261" s="44">
        <f ca="1" t="shared" si="61"/>
        <v>4129.81238095238</v>
      </c>
      <c r="AQ261" s="44">
        <f ca="1" t="shared" si="62"/>
        <v>1867.84457142857</v>
      </c>
      <c r="AR261" s="44">
        <f ca="1" t="shared" si="63"/>
        <v>416.474190476191</v>
      </c>
      <c r="AS261" s="45">
        <f ca="1">IFERROR(MATCH(AO261/载具产出!R$58,载具属性!$G$33:$G$92,1),0)</f>
        <v>40</v>
      </c>
      <c r="AT261" s="45">
        <f ca="1">IFERROR(MATCH(AP261/载具产出!S$58,载具属性!$G$33:$G$92,1),0)</f>
        <v>27</v>
      </c>
      <c r="AU261" s="45">
        <f ca="1">IFERROR(MATCH(AQ261/载具产出!T$58,载具属性!$G$33:$G$92,1),0)</f>
        <v>17</v>
      </c>
      <c r="AV261" s="45">
        <f ca="1">IFERROR(MATCH(AR261/载具产出!U$58,载具属性!$G$33:$G$92,1),0)</f>
        <v>7</v>
      </c>
      <c r="AW261" s="46" t="str">
        <f ca="1" t="shared" si="64"/>
        <v>[{62,1563},{63,201255},{2,585100},{6030001,4496},{6030002,4997},{6030003,1603},{6030004,23}]</v>
      </c>
      <c r="AX261" t="str">
        <f ca="1" t="shared" si="65"/>
        <v>{62,1563}</v>
      </c>
      <c r="AY261" t="str">
        <f ca="1" t="shared" si="66"/>
        <v>{63,201255}</v>
      </c>
      <c r="AZ261" t="str">
        <f ca="1" t="shared" si="67"/>
        <v>{2,585100}</v>
      </c>
      <c r="BA261" t="str">
        <f ca="1" t="shared" si="68"/>
        <v>{6030001,4496}</v>
      </c>
      <c r="BB261" t="str">
        <f ca="1" t="shared" si="69"/>
        <v>{6030002,4997}</v>
      </c>
      <c r="BC261" t="str">
        <f ca="1" t="shared" si="70"/>
        <v>{6030003,1603}</v>
      </c>
      <c r="BD261" t="str">
        <f ca="1" t="shared" si="71"/>
        <v>{6030004,23}</v>
      </c>
    </row>
    <row r="262" spans="3:56">
      <c r="C262">
        <f ca="1" t="shared" si="59"/>
        <v>125.649038461538</v>
      </c>
      <c r="D262" s="40">
        <v>256</v>
      </c>
      <c r="E262" s="40">
        <f t="shared" ref="E262:E306" si="76">F261-20</f>
        <v>131</v>
      </c>
      <c r="F262" s="40">
        <f t="shared" si="75"/>
        <v>151</v>
      </c>
      <c r="G262" s="41">
        <f t="shared" si="74"/>
        <v>208</v>
      </c>
      <c r="H262" s="40">
        <f>H261</f>
        <v>270</v>
      </c>
      <c r="I262" s="40">
        <f t="shared" si="58"/>
        <v>538</v>
      </c>
      <c r="J262" s="40">
        <f t="shared" si="73"/>
        <v>538</v>
      </c>
      <c r="K262" s="40">
        <f ca="1">SUM(U$36:U262)-SUM(OFFSET(载具产出!H$399,0,0,$R262+1,1))</f>
        <v>1570</v>
      </c>
      <c r="L262" s="40">
        <f ca="1">SUM(T$36:T262)-SUM(OFFSET(载具产出!G$399,0,0,$R262+1,1))</f>
        <v>202380</v>
      </c>
      <c r="M262" s="40">
        <f ca="1">SUM(V$36:V262)/2-SUM(OFFSET(载具产出!I$399,0,0,$R262+1,1))</f>
        <v>588700</v>
      </c>
      <c r="N262" s="40">
        <f ca="1">SUM(AA$36:AA262)-SUM(OFFSET(载具产出!J$399,0,0,$R262+1,1))</f>
        <v>4514.6</v>
      </c>
      <c r="O262" s="40">
        <f ca="1">SUM(AB$36:AB262)-SUM(OFFSET(载具产出!K$399,0,0,$R262+1,1))</f>
        <v>5018.75999999997</v>
      </c>
      <c r="P262" s="40">
        <f ca="1">SUM(AC$36:AC262)-SUM(OFFSET(载具产出!L$399,0,0,$R262+1,1))</f>
        <v>1619.16</v>
      </c>
      <c r="Q262" s="40">
        <f ca="1">SUM(AD$36:AD262)-SUM(OFFSET(载具产出!M$399,0,0,$R262+1,1))</f>
        <v>24.48</v>
      </c>
      <c r="R262" s="40">
        <v>19</v>
      </c>
      <c r="S262" s="40" t="str">
        <f ca="1">OFFSET(载具产出!$D$111,IFERROR(MATCH(OFFSET($D262,0,MATCH($D$5,$E$6:$H$6,0)),载具产出!$E$112:$E$151,1),0),0)</f>
        <v>卓越Ⅱ</v>
      </c>
      <c r="T262" s="40">
        <f ca="1">OFFSET(载具产出!$F$399,IFERROR(MATCH(OFFSET($D262,0,MATCH($D$5,$E$6:$H$6,0)),载具产出!$E$400:$E$439,1),0),MATCH(T$6,载具产出!$G$399:$O$399,0))</f>
        <v>1125</v>
      </c>
      <c r="U262" s="40">
        <v>7</v>
      </c>
      <c r="V262" s="40">
        <f ca="1">OFFSET(载具产出!$F$399,IFERROR(MATCH(OFFSET($D262,0,MATCH($D$5,$E$6:$H$6,0)),载具产出!$E$400:$E$439,1),0),MATCH(V$6,载具产出!$G$399:$O$399,0))</f>
        <v>7200</v>
      </c>
      <c r="W262" s="43">
        <f ca="1">_xlfn.XLOOKUP(Z262,载具属性!$E$98:$E$497,载具属性!$G$98:$G$497)+6000+OFFSET(载具属性!L$33,AS262,0)*载具属性!M$30+OFFSET(载具属性!M$33,AT262,0)*载具属性!N$30+OFFSET(载具属性!N$33,AU262,0)*载具属性!O$30+OFFSET(载具属性!O$33,AV262,0)*载具属性!P$30</f>
        <v>26135</v>
      </c>
      <c r="X262" s="43">
        <f ca="1">_xlfn.XLOOKUP(Z262,载具属性!$E$98:$E$497,载具属性!$G$98:$G$497)</f>
        <v>12740</v>
      </c>
      <c r="Y262" s="43">
        <f ca="1">OFFSET(载具属性!L$33,AS262,0)*载具属性!M$30+OFFSET(载具属性!M$33,AT262,0)*载具属性!N$30+OFFSET(载具属性!N$33,AU262,0)*载具属性!O$30+OFFSET(载具属性!O$33,AV262,0)*载具属性!P$30</f>
        <v>7395</v>
      </c>
      <c r="Z262" s="40">
        <f ca="1">MATCH(SUM($T$7:T262),载具属性!$I$98:$I$497,1)</f>
        <v>182</v>
      </c>
      <c r="AA262" s="40">
        <f ca="1">OFFSET(载具产出!$F$399,IFERROR(MATCH(OFFSET($D262,0,MATCH($D$5,$E$6:$H$6,0)),载具产出!$E$112:$E$151,1),0),MATCH(AA$6,载具产出!$G$111:$O$111,0))*2</f>
        <v>18</v>
      </c>
      <c r="AB262" s="40">
        <f ca="1">OFFSET(载具产出!$F$399,IFERROR(MATCH(OFFSET($D262,0,MATCH($D$5,$E$6:$H$6,0)),载具产出!$E$112:$E$151,1),0),MATCH(AB$6,载具产出!$G$111:$O$111,0))*2</f>
        <v>21.28</v>
      </c>
      <c r="AC262" s="40">
        <f ca="1">OFFSET(载具产出!$F$399,IFERROR(MATCH(OFFSET($D262,0,MATCH($D$5,$E$6:$H$6,0)),载具产出!$E$112:$E$151,1),0),MATCH(AC$6,载具产出!$G$111:$O$111,0))*2</f>
        <v>15.76</v>
      </c>
      <c r="AD262" s="40">
        <f ca="1">OFFSET(载具产出!$F$399,IFERROR(MATCH(OFFSET($D262,0,MATCH($D$5,$E$6:$H$6,0)),载具产出!$E$112:$E$151,1),0),MATCH(AD$6,载具产出!$G$111:$O$111,0))*2</f>
        <v>0.96</v>
      </c>
      <c r="AE262" s="44">
        <f ca="1">SUM(AA$36:AA262)/3</f>
        <v>1580.8</v>
      </c>
      <c r="AF262" s="44">
        <f ca="1">SUM(AB$36:AB262)/3</f>
        <v>1736.90666666666</v>
      </c>
      <c r="AG262" s="44">
        <f ca="1">SUM(AC$36:AC262)/3</f>
        <v>559.333333333333</v>
      </c>
      <c r="AH262" s="44">
        <f ca="1">SUM(AD$36:AD262)/3</f>
        <v>8.96000000000001</v>
      </c>
      <c r="AI262" s="44">
        <f>_xlfn.XLOOKUP($D$5,载具产出!$D$71:$D$75,载具产出!$E$71:$E$75)*(D262-30+1)</f>
        <v>2669.95238095239</v>
      </c>
      <c r="AJ262" s="44">
        <f>IFERROR(MATCH(_xlfn.XLOOKUP($D$5,载具产出!$D$71:$D$75,载具产出!$E$71:$E$75)*(D262-30+1)*10,载具产出!$E$60:$E$67,1),0)+1</f>
        <v>7</v>
      </c>
      <c r="AK262" s="44">
        <f ca="1">IF($AJ262=1,($AI262)*(10*OFFSET(载具产出!$D$45,MATCH(AK$6,$AK$6:$AN$6,0)-1,$AJ262)+OFFSET(载具产出!$D$49,MATCH(AK$6,$AK$6:$AN$6,0)-1,$AJ262)*OFFSET(载具产出!$N$49,MATCH(AK$6,$AK$6:$AN$6,0)-1,0)),OFFSET(载具产出!F$59,$AJ262-1,0)*10+OFFSET(载具产出!J$59,$AJ262-1,0)+($AI262*10-_xlfn.XLOOKUP($AJ262-1,载具产出!$D$59:$D$67,载具产出!$E$59:$E$67))/10*(10*OFFSET(载具产出!$D$45,MATCH(AK$6,$AK$6:$AN$6,0)-1,$AJ262)+OFFSET(载具产出!$D$49,MATCH(AK$6,$AK$6:$AN$6,0)-1,$AJ262)*OFFSET(载具产出!$N$49,MATCH(AK$6,$AK$6:$AN$6,0)-1,0)))</f>
        <v>5823.88942857145</v>
      </c>
      <c r="AL262" s="44">
        <f ca="1">IF($AJ262=1,($AI262)*(10*OFFSET(载具产出!$D$45,MATCH(AL$6,$AK$6:$AN$6,0)-1,$AJ262)+OFFSET(载具产出!$D$49,MATCH(AL$6,$AK$6:$AN$6,0)-1,$AJ262)*OFFSET(载具产出!$N$49,MATCH(AL$6,$AK$6:$AN$6,0)-1,0)),OFFSET(载具产出!G$59,$AJ262-1,0)*10+OFFSET(载具产出!K$59,$AJ262-1,0)+($AI262*10-_xlfn.XLOOKUP($AJ262-1,载具产出!$D$59:$D$67,载具产出!$E$59:$E$67))/10*(10*OFFSET(载具产出!$D$45,MATCH(AL$6,$AK$6:$AN$6,0)-1,$AJ262)+OFFSET(载具产出!$D$49,MATCH(AL$6,$AK$6:$AN$6,0)-1,$AJ262)*OFFSET(载具产出!$N$49,MATCH(AL$6,$AK$6:$AN$6,0)-1,0)))</f>
        <v>2411.05523809525</v>
      </c>
      <c r="AM262" s="44">
        <f ca="1">IF($AJ262=1,($AI262)*(10*OFFSET(载具产出!$D$45,MATCH(AM$6,$AK$6:$AN$6,0)-1,$AJ262)+OFFSET(载具产出!$D$49,MATCH(AM$6,$AK$6:$AN$6,0)-1,$AJ262)*OFFSET(载具产出!$N$49,MATCH(AM$6,$AK$6:$AN$6,0)-1,0)),OFFSET(载具产出!H$59,$AJ262-1,0)*10+OFFSET(载具产出!L$59,$AJ262-1,0)+($AI262*10-_xlfn.XLOOKUP($AJ262-1,载具产出!$D$59:$D$67,载具产出!$E$59:$E$67))/10*(10*OFFSET(载具产出!$D$45,MATCH(AM$6,$AK$6:$AN$6,0)-1,$AJ262)+OFFSET(载具产出!$D$49,MATCH(AM$6,$AK$6:$AN$6,0)-1,$AJ262)*OFFSET(载具产出!$N$49,MATCH(AM$6,$AK$6:$AN$6,0)-1,0)))</f>
        <v>1319.97485714286</v>
      </c>
      <c r="AN262" s="44">
        <f ca="1">IF($AJ262=1,($AI262)*(10*OFFSET(载具产出!$D$45,MATCH(AN$6,$AK$6:$AN$6,0)-1,$AJ262)+OFFSET(载具产出!$D$49,MATCH(AN$6,$AK$6:$AN$6,0)-1,$AJ262)*OFFSET(载具产出!$N$49,MATCH(AN$6,$AK$6:$AN$6,0)-1,0)),OFFSET(载具产出!I$59,$AJ262-1,0)*10+OFFSET(载具产出!M$59,$AJ262-1,0)+($AI262*10-_xlfn.XLOOKUP($AJ262-1,载具产出!$D$59:$D$67,载具产出!$E$59:$E$67))/10*(10*OFFSET(载具产出!$D$45,MATCH(AN$6,$AK$6:$AN$6,0)-1,$AJ262)+OFFSET(载具产出!$D$49,MATCH(AN$6,$AK$6:$AN$6,0)-1,$AJ262)*OFFSET(载具产出!$N$49,MATCH(AN$6,$AK$6:$AN$6,0)-1,0)))</f>
        <v>409.821952380954</v>
      </c>
      <c r="AO262" s="44">
        <f ca="1" t="shared" si="60"/>
        <v>7404.68942857145</v>
      </c>
      <c r="AP262" s="44">
        <f ca="1" t="shared" si="61"/>
        <v>4147.9619047619</v>
      </c>
      <c r="AQ262" s="44">
        <f ca="1" t="shared" si="62"/>
        <v>1879.30819047619</v>
      </c>
      <c r="AR262" s="44">
        <f ca="1" t="shared" si="63"/>
        <v>418.781952380954</v>
      </c>
      <c r="AS262" s="45">
        <f ca="1">IFERROR(MATCH(AO262/载具产出!R$58,载具属性!$G$33:$G$92,1),0)</f>
        <v>40</v>
      </c>
      <c r="AT262" s="45">
        <f ca="1">IFERROR(MATCH(AP262/载具产出!S$58,载具属性!$G$33:$G$92,1),0)</f>
        <v>27</v>
      </c>
      <c r="AU262" s="45">
        <f ca="1">IFERROR(MATCH(AQ262/载具产出!T$58,载具属性!$G$33:$G$92,1),0)</f>
        <v>17</v>
      </c>
      <c r="AV262" s="45">
        <f ca="1">IFERROR(MATCH(AR262/载具产出!U$58,载具属性!$G$33:$G$92,1),0)</f>
        <v>7</v>
      </c>
      <c r="AW262" s="46" t="str">
        <f ca="1" t="shared" si="64"/>
        <v>[{62,1570},{63,202380},{2,588700},{6030001,4514},{6030002,5018},{6030003,1619},{6030004,24}]</v>
      </c>
      <c r="AX262" t="str">
        <f ca="1" t="shared" si="65"/>
        <v>{62,1570}</v>
      </c>
      <c r="AY262" t="str">
        <f ca="1" t="shared" si="66"/>
        <v>{63,202380}</v>
      </c>
      <c r="AZ262" t="str">
        <f ca="1" t="shared" si="67"/>
        <v>{2,588700}</v>
      </c>
      <c r="BA262" t="str">
        <f ca="1" t="shared" si="68"/>
        <v>{6030001,4514}</v>
      </c>
      <c r="BB262" t="str">
        <f ca="1" t="shared" si="69"/>
        <v>{6030002,5018}</v>
      </c>
      <c r="BC262" t="str">
        <f ca="1" t="shared" si="70"/>
        <v>{6030003,1619}</v>
      </c>
      <c r="BD262" t="str">
        <f ca="1" t="shared" si="71"/>
        <v>{6030004,24}</v>
      </c>
    </row>
    <row r="263" spans="3:56">
      <c r="C263">
        <f ca="1" t="shared" si="59"/>
        <v>126.105769230769</v>
      </c>
      <c r="D263" s="40">
        <v>257</v>
      </c>
      <c r="E263" s="40">
        <f t="shared" si="76"/>
        <v>131</v>
      </c>
      <c r="F263" s="40">
        <f t="shared" si="75"/>
        <v>151</v>
      </c>
      <c r="G263" s="41">
        <f t="shared" si="74"/>
        <v>208</v>
      </c>
      <c r="H263" s="40">
        <f>H262+1</f>
        <v>271</v>
      </c>
      <c r="I263" s="40">
        <f t="shared" si="58"/>
        <v>540</v>
      </c>
      <c r="J263" s="40">
        <f t="shared" si="73"/>
        <v>540</v>
      </c>
      <c r="K263" s="40">
        <f ca="1">SUM(U$36:U263)-SUM(OFFSET(载具产出!H$399,0,0,$R263+1,1))</f>
        <v>1577</v>
      </c>
      <c r="L263" s="40">
        <f ca="1">SUM(T$36:T263)-SUM(OFFSET(载具产出!G$399,0,0,$R263+1,1))</f>
        <v>203505</v>
      </c>
      <c r="M263" s="40">
        <f ca="1">SUM(V$36:V263)/2-SUM(OFFSET(载具产出!I$399,0,0,$R263+1,1))</f>
        <v>592300</v>
      </c>
      <c r="N263" s="40">
        <f ca="1">SUM(AA$36:AA263)-SUM(OFFSET(载具产出!J$399,0,0,$R263+1,1))</f>
        <v>4532.6</v>
      </c>
      <c r="O263" s="40">
        <f ca="1">SUM(AB$36:AB263)-SUM(OFFSET(载具产出!K$399,0,0,$R263+1,1))</f>
        <v>5040.03999999997</v>
      </c>
      <c r="P263" s="40">
        <f ca="1">SUM(AC$36:AC263)-SUM(OFFSET(载具产出!L$399,0,0,$R263+1,1))</f>
        <v>1634.92</v>
      </c>
      <c r="Q263" s="40">
        <f ca="1">SUM(AD$36:AD263)-SUM(OFFSET(载具产出!M$399,0,0,$R263+1,1))</f>
        <v>25.44</v>
      </c>
      <c r="R263" s="40">
        <v>19</v>
      </c>
      <c r="S263" s="40" t="str">
        <f ca="1">OFFSET(载具产出!$D$111,IFERROR(MATCH(OFFSET($D263,0,MATCH($D$5,$E$6:$H$6,0)),载具产出!$E$112:$E$151,1),0),0)</f>
        <v>卓越Ⅱ</v>
      </c>
      <c r="T263" s="40">
        <f ca="1">OFFSET(载具产出!$F$399,IFERROR(MATCH(OFFSET($D263,0,MATCH($D$5,$E$6:$H$6,0)),载具产出!$E$400:$E$439,1),0),MATCH(T$6,载具产出!$G$399:$O$399,0))</f>
        <v>1125</v>
      </c>
      <c r="U263" s="40">
        <v>7</v>
      </c>
      <c r="V263" s="40">
        <f ca="1">OFFSET(载具产出!$F$399,IFERROR(MATCH(OFFSET($D263,0,MATCH($D$5,$E$6:$H$6,0)),载具产出!$E$400:$E$439,1),0),MATCH(V$6,载具产出!$G$399:$O$399,0))</f>
        <v>7200</v>
      </c>
      <c r="W263" s="43">
        <f ca="1">_xlfn.XLOOKUP(Z263,载具属性!$E$98:$E$497,载具属性!$G$98:$G$497)+6000+OFFSET(载具属性!L$33,AS263,0)*载具属性!M$30+OFFSET(载具属性!M$33,AT263,0)*载具属性!N$30+OFFSET(载具属性!N$33,AU263,0)*载具属性!O$30+OFFSET(载具属性!O$33,AV263,0)*载具属性!P$30</f>
        <v>26230</v>
      </c>
      <c r="X263" s="43">
        <f ca="1">_xlfn.XLOOKUP(Z263,载具属性!$E$98:$E$497,载具属性!$G$98:$G$497)</f>
        <v>12835</v>
      </c>
      <c r="Y263" s="43">
        <f ca="1">OFFSET(载具属性!L$33,AS263,0)*载具属性!M$30+OFFSET(载具属性!M$33,AT263,0)*载具属性!N$30+OFFSET(载具属性!N$33,AU263,0)*载具属性!O$30+OFFSET(载具属性!O$33,AV263,0)*载具属性!P$30</f>
        <v>7395</v>
      </c>
      <c r="Z263" s="40">
        <f ca="1">MATCH(SUM($T$7:T263),载具属性!$I$98:$I$497,1)</f>
        <v>183</v>
      </c>
      <c r="AA263" s="40">
        <f ca="1">OFFSET(载具产出!$F$399,IFERROR(MATCH(OFFSET($D263,0,MATCH($D$5,$E$6:$H$6,0)),载具产出!$E$112:$E$151,1),0),MATCH(AA$6,载具产出!$G$111:$O$111,0))*2</f>
        <v>18</v>
      </c>
      <c r="AB263" s="40">
        <f ca="1">OFFSET(载具产出!$F$399,IFERROR(MATCH(OFFSET($D263,0,MATCH($D$5,$E$6:$H$6,0)),载具产出!$E$112:$E$151,1),0),MATCH(AB$6,载具产出!$G$111:$O$111,0))*2</f>
        <v>21.28</v>
      </c>
      <c r="AC263" s="40">
        <f ca="1">OFFSET(载具产出!$F$399,IFERROR(MATCH(OFFSET($D263,0,MATCH($D$5,$E$6:$H$6,0)),载具产出!$E$112:$E$151,1),0),MATCH(AC$6,载具产出!$G$111:$O$111,0))*2</f>
        <v>15.76</v>
      </c>
      <c r="AD263" s="40">
        <f ca="1">OFFSET(载具产出!$F$399,IFERROR(MATCH(OFFSET($D263,0,MATCH($D$5,$E$6:$H$6,0)),载具产出!$E$112:$E$151,1),0),MATCH(AD$6,载具产出!$G$111:$O$111,0))*2</f>
        <v>0.96</v>
      </c>
      <c r="AE263" s="44">
        <f ca="1">SUM(AA$36:AA263)/3</f>
        <v>1586.8</v>
      </c>
      <c r="AF263" s="44">
        <f ca="1">SUM(AB$36:AB263)/3</f>
        <v>1743.99999999999</v>
      </c>
      <c r="AG263" s="44">
        <f ca="1">SUM(AC$36:AC263)/3</f>
        <v>564.586666666666</v>
      </c>
      <c r="AH263" s="44">
        <f ca="1">SUM(AD$36:AD263)/3</f>
        <v>9.28000000000001</v>
      </c>
      <c r="AI263" s="44">
        <f>_xlfn.XLOOKUP($D$5,载具产出!$D$71:$D$75,载具产出!$E$71:$E$75)*(D263-30+1)</f>
        <v>2681.71428571429</v>
      </c>
      <c r="AJ263" s="44">
        <f>IFERROR(MATCH(_xlfn.XLOOKUP($D$5,载具产出!$D$71:$D$75,载具产出!$E$71:$E$75)*(D263-30+1)*10,载具产出!$E$60:$E$67,1),0)+1</f>
        <v>7</v>
      </c>
      <c r="AK263" s="44">
        <f ca="1">IF($AJ263=1,($AI263)*(10*OFFSET(载具产出!$D$45,MATCH(AK$6,$AK$6:$AN$6,0)-1,$AJ263)+OFFSET(载具产出!$D$49,MATCH(AK$6,$AK$6:$AN$6,0)-1,$AJ263)*OFFSET(载具产出!$N$49,MATCH(AK$6,$AK$6:$AN$6,0)-1,0)),OFFSET(载具产出!F$59,$AJ263-1,0)*10+OFFSET(载具产出!J$59,$AJ263-1,0)+($AI263*10-_xlfn.XLOOKUP($AJ263-1,载具产出!$D$59:$D$67,载具产出!$E$59:$E$67))/10*(10*OFFSET(载具产出!$D$45,MATCH(AK$6,$AK$6:$AN$6,0)-1,$AJ263)+OFFSET(载具产出!$D$49,MATCH(AK$6,$AK$6:$AN$6,0)-1,$AJ263)*OFFSET(载具产出!$N$49,MATCH(AK$6,$AK$6:$AN$6,0)-1,0)))</f>
        <v>5848.73057142858</v>
      </c>
      <c r="AL263" s="44">
        <f ca="1">IF($AJ263=1,($AI263)*(10*OFFSET(载具产出!$D$45,MATCH(AL$6,$AK$6:$AN$6,0)-1,$AJ263)+OFFSET(载具产出!$D$49,MATCH(AL$6,$AK$6:$AN$6,0)-1,$AJ263)*OFFSET(载具产出!$N$49,MATCH(AL$6,$AK$6:$AN$6,0)-1,0)),OFFSET(载具产出!G$59,$AJ263-1,0)*10+OFFSET(载具产出!K$59,$AJ263-1,0)+($AI263*10-_xlfn.XLOOKUP($AJ263-1,载具产出!$D$59:$D$67,载具产出!$E$59:$E$67))/10*(10*OFFSET(载具产出!$D$45,MATCH(AL$6,$AK$6:$AN$6,0)-1,$AJ263)+OFFSET(载具产出!$D$49,MATCH(AL$6,$AK$6:$AN$6,0)-1,$AJ263)*OFFSET(载具产出!$N$49,MATCH(AL$6,$AK$6:$AN$6,0)-1,0)))</f>
        <v>2422.11142857143</v>
      </c>
      <c r="AM263" s="44">
        <f ca="1">IF($AJ263=1,($AI263)*(10*OFFSET(载具产出!$D$45,MATCH(AM$6,$AK$6:$AN$6,0)-1,$AJ263)+OFFSET(载具产出!$D$49,MATCH(AM$6,$AK$6:$AN$6,0)-1,$AJ263)*OFFSET(载具产出!$N$49,MATCH(AM$6,$AK$6:$AN$6,0)-1,0)),OFFSET(载具产出!H$59,$AJ263-1,0)*10+OFFSET(载具产出!L$59,$AJ263-1,0)+($AI263*10-_xlfn.XLOOKUP($AJ263-1,载具产出!$D$59:$D$67,载具产出!$E$59:$E$67))/10*(10*OFFSET(载具产出!$D$45,MATCH(AM$6,$AK$6:$AN$6,0)-1,$AJ263)+OFFSET(载具产出!$D$49,MATCH(AM$6,$AK$6:$AN$6,0)-1,$AJ263)*OFFSET(载具产出!$N$49,MATCH(AM$6,$AK$6:$AN$6,0)-1,0)))</f>
        <v>1326.18514285714</v>
      </c>
      <c r="AN263" s="44">
        <f ca="1">IF($AJ263=1,($AI263)*(10*OFFSET(载具产出!$D$45,MATCH(AN$6,$AK$6:$AN$6,0)-1,$AJ263)+OFFSET(载具产出!$D$49,MATCH(AN$6,$AK$6:$AN$6,0)-1,$AJ263)*OFFSET(载具产出!$N$49,MATCH(AN$6,$AK$6:$AN$6,0)-1,0)),OFFSET(载具产出!I$59,$AJ263-1,0)*10+OFFSET(载具产出!M$59,$AJ263-1,0)+($AI263*10-_xlfn.XLOOKUP($AJ263-1,载具产出!$D$59:$D$67,载具产出!$E$59:$E$67))/10*(10*OFFSET(载具产出!$D$45,MATCH(AN$6,$AK$6:$AN$6,0)-1,$AJ263)+OFFSET(载具产出!$D$49,MATCH(AN$6,$AK$6:$AN$6,0)-1,$AJ263)*OFFSET(载具产出!$N$49,MATCH(AN$6,$AK$6:$AN$6,0)-1,0)))</f>
        <v>411.809714285715</v>
      </c>
      <c r="AO263" s="44">
        <f ca="1" t="shared" si="60"/>
        <v>7435.53057142858</v>
      </c>
      <c r="AP263" s="44">
        <f ca="1" t="shared" si="61"/>
        <v>4166.11142857142</v>
      </c>
      <c r="AQ263" s="44">
        <f ca="1" t="shared" si="62"/>
        <v>1890.77180952381</v>
      </c>
      <c r="AR263" s="44">
        <f ca="1" t="shared" si="63"/>
        <v>421.089714285715</v>
      </c>
      <c r="AS263" s="45">
        <f ca="1">IFERROR(MATCH(AO263/载具产出!R$58,载具属性!$G$33:$G$92,1),0)</f>
        <v>40</v>
      </c>
      <c r="AT263" s="45">
        <f ca="1">IFERROR(MATCH(AP263/载具产出!S$58,载具属性!$G$33:$G$92,1),0)</f>
        <v>27</v>
      </c>
      <c r="AU263" s="45">
        <f ca="1">IFERROR(MATCH(AQ263/载具产出!T$58,载具属性!$G$33:$G$92,1),0)</f>
        <v>17</v>
      </c>
      <c r="AV263" s="45">
        <f ca="1">IFERROR(MATCH(AR263/载具产出!U$58,载具属性!$G$33:$G$92,1),0)</f>
        <v>7</v>
      </c>
      <c r="AW263" s="46" t="str">
        <f ca="1" t="shared" si="64"/>
        <v>[{62,1577},{63,203505},{2,592300},{6030001,4532},{6030002,5040},{6030003,1634},{6030004,25}]</v>
      </c>
      <c r="AX263" t="str">
        <f ca="1" t="shared" si="65"/>
        <v>{62,1577}</v>
      </c>
      <c r="AY263" t="str">
        <f ca="1" t="shared" si="66"/>
        <v>{63,203505}</v>
      </c>
      <c r="AZ263" t="str">
        <f ca="1" t="shared" si="67"/>
        <v>{2,592300}</v>
      </c>
      <c r="BA263" t="str">
        <f ca="1" t="shared" si="68"/>
        <v>{6030001,4532}</v>
      </c>
      <c r="BB263" t="str">
        <f ca="1" t="shared" si="69"/>
        <v>{6030002,5040}</v>
      </c>
      <c r="BC263" t="str">
        <f ca="1" t="shared" si="70"/>
        <v>{6030003,1634}</v>
      </c>
      <c r="BD263" t="str">
        <f ca="1" t="shared" si="71"/>
        <v>{6030004,25}</v>
      </c>
    </row>
    <row r="264" spans="3:56">
      <c r="C264">
        <f ca="1" t="shared" si="59"/>
        <v>126.105769230769</v>
      </c>
      <c r="D264" s="40">
        <v>258</v>
      </c>
      <c r="E264" s="40">
        <f t="shared" si="76"/>
        <v>131</v>
      </c>
      <c r="F264" s="40">
        <f t="shared" si="75"/>
        <v>152</v>
      </c>
      <c r="G264" s="41">
        <f t="shared" si="74"/>
        <v>208</v>
      </c>
      <c r="H264" s="40">
        <f>H263</f>
        <v>271</v>
      </c>
      <c r="I264" s="40">
        <f t="shared" si="58"/>
        <v>542</v>
      </c>
      <c r="J264" s="40">
        <f t="shared" ref="J264:J306" si="77">MIN(INT(H264*(120-(D264-60))/120+(D264-60)/120*I264),I264)</f>
        <v>542</v>
      </c>
      <c r="K264" s="40">
        <f ca="1">SUM(U$36:U264)-SUM(OFFSET(载具产出!H$399,0,0,$R264+1,1))</f>
        <v>1584</v>
      </c>
      <c r="L264" s="40">
        <f ca="1">SUM(T$36:T264)-SUM(OFFSET(载具产出!G$399,0,0,$R264+1,1))</f>
        <v>204630</v>
      </c>
      <c r="M264" s="40">
        <f ca="1">SUM(V$36:V264)/2-SUM(OFFSET(载具产出!I$399,0,0,$R264+1,1))</f>
        <v>595900</v>
      </c>
      <c r="N264" s="40">
        <f ca="1">SUM(AA$36:AA264)-SUM(OFFSET(载具产出!J$399,0,0,$R264+1,1))</f>
        <v>4550.6</v>
      </c>
      <c r="O264" s="40">
        <f ca="1">SUM(AB$36:AB264)-SUM(OFFSET(载具产出!K$399,0,0,$R264+1,1))</f>
        <v>5061.31999999997</v>
      </c>
      <c r="P264" s="40">
        <f ca="1">SUM(AC$36:AC264)-SUM(OFFSET(载具产出!L$399,0,0,$R264+1,1))</f>
        <v>1650.68</v>
      </c>
      <c r="Q264" s="40">
        <f ca="1">SUM(AD$36:AD264)-SUM(OFFSET(载具产出!M$399,0,0,$R264+1,1))</f>
        <v>26.4</v>
      </c>
      <c r="R264" s="40">
        <v>19</v>
      </c>
      <c r="S264" s="40" t="str">
        <f ca="1">OFFSET(载具产出!$D$111,IFERROR(MATCH(OFFSET($D264,0,MATCH($D$5,$E$6:$H$6,0)),载具产出!$E$112:$E$151,1),0),0)</f>
        <v>卓越Ⅱ</v>
      </c>
      <c r="T264" s="40">
        <f ca="1">OFFSET(载具产出!$F$399,IFERROR(MATCH(OFFSET($D264,0,MATCH($D$5,$E$6:$H$6,0)),载具产出!$E$400:$E$439,1),0),MATCH(T$6,载具产出!$G$399:$O$399,0))</f>
        <v>1125</v>
      </c>
      <c r="U264" s="40">
        <v>7</v>
      </c>
      <c r="V264" s="40">
        <f ca="1">OFFSET(载具产出!$F$399,IFERROR(MATCH(OFFSET($D264,0,MATCH($D$5,$E$6:$H$6,0)),载具产出!$E$400:$E$439,1),0),MATCH(V$6,载具产出!$G$399:$O$399,0))</f>
        <v>7200</v>
      </c>
      <c r="W264" s="43">
        <f ca="1">_xlfn.XLOOKUP(Z264,载具属性!$E$98:$E$497,载具属性!$G$98:$G$497)+6000+OFFSET(载具属性!L$33,AS264,0)*载具属性!M$30+OFFSET(载具属性!M$33,AT264,0)*载具属性!N$30+OFFSET(载具属性!N$33,AU264,0)*载具属性!O$30+OFFSET(载具属性!O$33,AV264,0)*载具属性!P$30</f>
        <v>26230</v>
      </c>
      <c r="X264" s="43">
        <f ca="1">_xlfn.XLOOKUP(Z264,载具属性!$E$98:$E$497,载具属性!$G$98:$G$497)</f>
        <v>12835</v>
      </c>
      <c r="Y264" s="43">
        <f ca="1">OFFSET(载具属性!L$33,AS264,0)*载具属性!M$30+OFFSET(载具属性!M$33,AT264,0)*载具属性!N$30+OFFSET(载具属性!N$33,AU264,0)*载具属性!O$30+OFFSET(载具属性!O$33,AV264,0)*载具属性!P$30</f>
        <v>7395</v>
      </c>
      <c r="Z264" s="40">
        <f ca="1">MATCH(SUM($T$7:T264),载具属性!$I$98:$I$497,1)</f>
        <v>183</v>
      </c>
      <c r="AA264" s="40">
        <f ca="1">OFFSET(载具产出!$F$399,IFERROR(MATCH(OFFSET($D264,0,MATCH($D$5,$E$6:$H$6,0)),载具产出!$E$112:$E$151,1),0),MATCH(AA$6,载具产出!$G$111:$O$111,0))*2</f>
        <v>18</v>
      </c>
      <c r="AB264" s="40">
        <f ca="1">OFFSET(载具产出!$F$399,IFERROR(MATCH(OFFSET($D264,0,MATCH($D$5,$E$6:$H$6,0)),载具产出!$E$112:$E$151,1),0),MATCH(AB$6,载具产出!$G$111:$O$111,0))*2</f>
        <v>21.28</v>
      </c>
      <c r="AC264" s="40">
        <f ca="1">OFFSET(载具产出!$F$399,IFERROR(MATCH(OFFSET($D264,0,MATCH($D$5,$E$6:$H$6,0)),载具产出!$E$112:$E$151,1),0),MATCH(AC$6,载具产出!$G$111:$O$111,0))*2</f>
        <v>15.76</v>
      </c>
      <c r="AD264" s="40">
        <f ca="1">OFFSET(载具产出!$F$399,IFERROR(MATCH(OFFSET($D264,0,MATCH($D$5,$E$6:$H$6,0)),载具产出!$E$112:$E$151,1),0),MATCH(AD$6,载具产出!$G$111:$O$111,0))*2</f>
        <v>0.96</v>
      </c>
      <c r="AE264" s="44">
        <f ca="1">SUM(AA$36:AA264)/3</f>
        <v>1592.8</v>
      </c>
      <c r="AF264" s="44">
        <f ca="1">SUM(AB$36:AB264)/3</f>
        <v>1751.09333333332</v>
      </c>
      <c r="AG264" s="44">
        <f ca="1">SUM(AC$36:AC264)/3</f>
        <v>569.839999999999</v>
      </c>
      <c r="AH264" s="44">
        <f ca="1">SUM(AD$36:AD264)/3</f>
        <v>9.60000000000001</v>
      </c>
      <c r="AI264" s="44">
        <f>_xlfn.XLOOKUP($D$5,载具产出!$D$71:$D$75,载具产出!$E$71:$E$75)*(D264-30+1)</f>
        <v>2693.4761904762</v>
      </c>
      <c r="AJ264" s="44">
        <f>IFERROR(MATCH(_xlfn.XLOOKUP($D$5,载具产出!$D$71:$D$75,载具产出!$E$71:$E$75)*(D264-30+1)*10,载具产出!$E$60:$E$67,1),0)+1</f>
        <v>7</v>
      </c>
      <c r="AK264" s="44">
        <f ca="1">IF($AJ264=1,($AI264)*(10*OFFSET(载具产出!$D$45,MATCH(AK$6,$AK$6:$AN$6,0)-1,$AJ264)+OFFSET(载具产出!$D$49,MATCH(AK$6,$AK$6:$AN$6,0)-1,$AJ264)*OFFSET(载具产出!$N$49,MATCH(AK$6,$AK$6:$AN$6,0)-1,0)),OFFSET(载具产出!F$59,$AJ264-1,0)*10+OFFSET(载具产出!J$59,$AJ264-1,0)+($AI264*10-_xlfn.XLOOKUP($AJ264-1,载具产出!$D$59:$D$67,载具产出!$E$59:$E$67))/10*(10*OFFSET(载具产出!$D$45,MATCH(AK$6,$AK$6:$AN$6,0)-1,$AJ264)+OFFSET(载具产出!$D$49,MATCH(AK$6,$AK$6:$AN$6,0)-1,$AJ264)*OFFSET(载具产出!$N$49,MATCH(AK$6,$AK$6:$AN$6,0)-1,0)))</f>
        <v>5873.57171428573</v>
      </c>
      <c r="AL264" s="44">
        <f ca="1">IF($AJ264=1,($AI264)*(10*OFFSET(载具产出!$D$45,MATCH(AL$6,$AK$6:$AN$6,0)-1,$AJ264)+OFFSET(载具产出!$D$49,MATCH(AL$6,$AK$6:$AN$6,0)-1,$AJ264)*OFFSET(载具产出!$N$49,MATCH(AL$6,$AK$6:$AN$6,0)-1,0)),OFFSET(载具产出!G$59,$AJ264-1,0)*10+OFFSET(载具产出!K$59,$AJ264-1,0)+($AI264*10-_xlfn.XLOOKUP($AJ264-1,载具产出!$D$59:$D$67,载具产出!$E$59:$E$67))/10*(10*OFFSET(载具产出!$D$45,MATCH(AL$6,$AK$6:$AN$6,0)-1,$AJ264)+OFFSET(载具产出!$D$49,MATCH(AL$6,$AK$6:$AN$6,0)-1,$AJ264)*OFFSET(载具产出!$N$49,MATCH(AL$6,$AK$6:$AN$6,0)-1,0)))</f>
        <v>2433.16761904763</v>
      </c>
      <c r="AM264" s="44">
        <f ca="1">IF($AJ264=1,($AI264)*(10*OFFSET(载具产出!$D$45,MATCH(AM$6,$AK$6:$AN$6,0)-1,$AJ264)+OFFSET(载具产出!$D$49,MATCH(AM$6,$AK$6:$AN$6,0)-1,$AJ264)*OFFSET(载具产出!$N$49,MATCH(AM$6,$AK$6:$AN$6,0)-1,0)),OFFSET(载具产出!H$59,$AJ264-1,0)*10+OFFSET(载具产出!L$59,$AJ264-1,0)+($AI264*10-_xlfn.XLOOKUP($AJ264-1,载具产出!$D$59:$D$67,载具产出!$E$59:$E$67))/10*(10*OFFSET(载具产出!$D$45,MATCH(AM$6,$AK$6:$AN$6,0)-1,$AJ264)+OFFSET(载具产出!$D$49,MATCH(AM$6,$AK$6:$AN$6,0)-1,$AJ264)*OFFSET(载具产出!$N$49,MATCH(AM$6,$AK$6:$AN$6,0)-1,0)))</f>
        <v>1332.39542857143</v>
      </c>
      <c r="AN264" s="44">
        <f ca="1">IF($AJ264=1,($AI264)*(10*OFFSET(载具产出!$D$45,MATCH(AN$6,$AK$6:$AN$6,0)-1,$AJ264)+OFFSET(载具产出!$D$49,MATCH(AN$6,$AK$6:$AN$6,0)-1,$AJ264)*OFFSET(载具产出!$N$49,MATCH(AN$6,$AK$6:$AN$6,0)-1,0)),OFFSET(载具产出!I$59,$AJ264-1,0)*10+OFFSET(载具产出!M$59,$AJ264-1,0)+($AI264*10-_xlfn.XLOOKUP($AJ264-1,载具产出!$D$59:$D$67,载具产出!$E$59:$E$67))/10*(10*OFFSET(载具产出!$D$45,MATCH(AN$6,$AK$6:$AN$6,0)-1,$AJ264)+OFFSET(载具产出!$D$49,MATCH(AN$6,$AK$6:$AN$6,0)-1,$AJ264)*OFFSET(载具产出!$N$49,MATCH(AN$6,$AK$6:$AN$6,0)-1,0)))</f>
        <v>413.797476190478</v>
      </c>
      <c r="AO264" s="44">
        <f ca="1" t="shared" si="60"/>
        <v>7466.37171428573</v>
      </c>
      <c r="AP264" s="44">
        <f ca="1" t="shared" si="61"/>
        <v>4184.26095238095</v>
      </c>
      <c r="AQ264" s="44">
        <f ca="1" t="shared" si="62"/>
        <v>1902.23542857143</v>
      </c>
      <c r="AR264" s="44">
        <f ca="1" t="shared" si="63"/>
        <v>423.397476190478</v>
      </c>
      <c r="AS264" s="45">
        <f ca="1">IFERROR(MATCH(AO264/载具产出!R$58,载具属性!$G$33:$G$92,1),0)</f>
        <v>40</v>
      </c>
      <c r="AT264" s="45">
        <f ca="1">IFERROR(MATCH(AP264/载具产出!S$58,载具属性!$G$33:$G$92,1),0)</f>
        <v>27</v>
      </c>
      <c r="AU264" s="45">
        <f ca="1">IFERROR(MATCH(AQ264/载具产出!T$58,载具属性!$G$33:$G$92,1),0)</f>
        <v>17</v>
      </c>
      <c r="AV264" s="45">
        <f ca="1">IFERROR(MATCH(AR264/载具产出!U$58,载具属性!$G$33:$G$92,1),0)</f>
        <v>7</v>
      </c>
      <c r="AW264" s="46" t="str">
        <f ca="1" t="shared" si="64"/>
        <v>[{62,1584},{63,204630},{2,595900},{6030001,4550},{6030002,5061},{6030003,1650},{6030004,26}]</v>
      </c>
      <c r="AX264" t="str">
        <f ca="1" t="shared" si="65"/>
        <v>{62,1584}</v>
      </c>
      <c r="AY264" t="str">
        <f ca="1" t="shared" si="66"/>
        <v>{63,204630}</v>
      </c>
      <c r="AZ264" t="str">
        <f ca="1" t="shared" si="67"/>
        <v>{2,595900}</v>
      </c>
      <c r="BA264" t="str">
        <f ca="1" t="shared" si="68"/>
        <v>{6030001,4550}</v>
      </c>
      <c r="BB264" t="str">
        <f ca="1" t="shared" si="69"/>
        <v>{6030002,5061}</v>
      </c>
      <c r="BC264" t="str">
        <f ca="1" t="shared" si="70"/>
        <v>{6030003,1650}</v>
      </c>
      <c r="BD264" t="str">
        <f ca="1" t="shared" si="71"/>
        <v>{6030004,26}</v>
      </c>
    </row>
    <row r="265" spans="3:56">
      <c r="C265">
        <f ca="1" t="shared" si="59"/>
        <v>126.5625</v>
      </c>
      <c r="D265" s="40">
        <v>259</v>
      </c>
      <c r="E265" s="40">
        <f t="shared" si="76"/>
        <v>132</v>
      </c>
      <c r="F265" s="40">
        <f t="shared" si="75"/>
        <v>152</v>
      </c>
      <c r="G265" s="41">
        <f t="shared" si="74"/>
        <v>208</v>
      </c>
      <c r="H265" s="40">
        <f>H264+1</f>
        <v>272</v>
      </c>
      <c r="I265" s="40">
        <f t="shared" si="58"/>
        <v>544</v>
      </c>
      <c r="J265" s="40">
        <f t="shared" si="77"/>
        <v>544</v>
      </c>
      <c r="K265" s="40">
        <f ca="1">SUM(U$36:U265)-SUM(OFFSET(载具产出!H$399,0,0,$R265+1,1))</f>
        <v>1590</v>
      </c>
      <c r="L265" s="40">
        <f ca="1">SUM(T$36:T265)-SUM(OFFSET(载具产出!G$399,0,0,$R265+1,1))</f>
        <v>204525</v>
      </c>
      <c r="M265" s="40">
        <f ca="1">SUM(V$36:V265)/2-SUM(OFFSET(载具产出!I$399,0,0,$R265+1,1))</f>
        <v>591700</v>
      </c>
      <c r="N265" s="40">
        <f ca="1">SUM(AA$36:AA265)-SUM(OFFSET(载具产出!J$399,0,0,$R265+1,1))</f>
        <v>4559.6</v>
      </c>
      <c r="O265" s="40">
        <f ca="1">SUM(AB$36:AB265)-SUM(OFFSET(载具产出!K$399,0,0,$R265+1,1))</f>
        <v>5073.39999999997</v>
      </c>
      <c r="P265" s="40">
        <f ca="1">SUM(AC$36:AC265)-SUM(OFFSET(载具产出!L$399,0,0,$R265+1,1))</f>
        <v>1657.84</v>
      </c>
      <c r="Q265" s="40">
        <f ca="1">SUM(AD$36:AD265)-SUM(OFFSET(载具产出!M$399,0,0,$R265+1,1))</f>
        <v>26.16</v>
      </c>
      <c r="R265" s="40">
        <v>20</v>
      </c>
      <c r="S265" s="40" t="str">
        <f ca="1">OFFSET(载具产出!$D$111,IFERROR(MATCH(OFFSET($D265,0,MATCH($D$5,$E$6:$H$6,0)),载具产出!$E$112:$E$151,1),0),0)</f>
        <v>卓越Ⅱ</v>
      </c>
      <c r="T265" s="40">
        <f ca="1">OFFSET(载具产出!$F$399,IFERROR(MATCH(OFFSET($D265,0,MATCH($D$5,$E$6:$H$6,0)),载具产出!$E$400:$E$439,1),0),MATCH(T$6,载具产出!$G$399:$O$399,0))</f>
        <v>1125</v>
      </c>
      <c r="U265" s="40">
        <v>7</v>
      </c>
      <c r="V265" s="40">
        <f ca="1">OFFSET(载具产出!$F$399,IFERROR(MATCH(OFFSET($D265,0,MATCH($D$5,$E$6:$H$6,0)),载具产出!$E$400:$E$439,1),0),MATCH(V$6,载具产出!$G$399:$O$399,0))</f>
        <v>7200</v>
      </c>
      <c r="W265" s="43">
        <f ca="1">_xlfn.XLOOKUP(Z265,载具属性!$E$98:$E$497,载具属性!$G$98:$G$497)+6000+OFFSET(载具属性!L$33,AS265,0)*载具属性!M$30+OFFSET(载具属性!M$33,AT265,0)*载具属性!N$30+OFFSET(载具属性!N$33,AU265,0)*载具属性!O$30+OFFSET(载具属性!O$33,AV265,0)*载具属性!P$30</f>
        <v>26325</v>
      </c>
      <c r="X265" s="43">
        <f ca="1">_xlfn.XLOOKUP(Z265,载具属性!$E$98:$E$497,载具属性!$G$98:$G$497)</f>
        <v>12930</v>
      </c>
      <c r="Y265" s="43">
        <f ca="1">OFFSET(载具属性!L$33,AS265,0)*载具属性!M$30+OFFSET(载具属性!M$33,AT265,0)*载具属性!N$30+OFFSET(载具属性!N$33,AU265,0)*载具属性!O$30+OFFSET(载具属性!O$33,AV265,0)*载具属性!P$30</f>
        <v>7395</v>
      </c>
      <c r="Z265" s="40">
        <f ca="1">MATCH(SUM($T$7:T265),载具属性!$I$98:$I$497,1)</f>
        <v>184</v>
      </c>
      <c r="AA265" s="40">
        <f ca="1">OFFSET(载具产出!$F$399,IFERROR(MATCH(OFFSET($D265,0,MATCH($D$5,$E$6:$H$6,0)),载具产出!$E$112:$E$151,1),0),MATCH(AA$6,载具产出!$G$111:$O$111,0))*2</f>
        <v>18</v>
      </c>
      <c r="AB265" s="40">
        <f ca="1">OFFSET(载具产出!$F$399,IFERROR(MATCH(OFFSET($D265,0,MATCH($D$5,$E$6:$H$6,0)),载具产出!$E$112:$E$151,1),0),MATCH(AB$6,载具产出!$G$111:$O$111,0))*2</f>
        <v>21.28</v>
      </c>
      <c r="AC265" s="40">
        <f ca="1">OFFSET(载具产出!$F$399,IFERROR(MATCH(OFFSET($D265,0,MATCH($D$5,$E$6:$H$6,0)),载具产出!$E$112:$E$151,1),0),MATCH(AC$6,载具产出!$G$111:$O$111,0))*2</f>
        <v>15.76</v>
      </c>
      <c r="AD265" s="40">
        <f ca="1">OFFSET(载具产出!$F$399,IFERROR(MATCH(OFFSET($D265,0,MATCH($D$5,$E$6:$H$6,0)),载具产出!$E$112:$E$151,1),0),MATCH(AD$6,载具产出!$G$111:$O$111,0))*2</f>
        <v>0.96</v>
      </c>
      <c r="AE265" s="44">
        <f ca="1">SUM(AA$36:AA265)/3</f>
        <v>1598.8</v>
      </c>
      <c r="AF265" s="44">
        <f ca="1">SUM(AB$36:AB265)/3</f>
        <v>1758.18666666666</v>
      </c>
      <c r="AG265" s="44">
        <f ca="1">SUM(AC$36:AC265)/3</f>
        <v>575.093333333333</v>
      </c>
      <c r="AH265" s="44">
        <f ca="1">SUM(AD$36:AD265)/3</f>
        <v>9.92000000000001</v>
      </c>
      <c r="AI265" s="44">
        <f>_xlfn.XLOOKUP($D$5,载具产出!$D$71:$D$75,载具产出!$E$71:$E$75)*(D265-30+1)</f>
        <v>2705.2380952381</v>
      </c>
      <c r="AJ265" s="44">
        <f>IFERROR(MATCH(_xlfn.XLOOKUP($D$5,载具产出!$D$71:$D$75,载具产出!$E$71:$E$75)*(D265-30+1)*10,载具产出!$E$60:$E$67,1),0)+1</f>
        <v>7</v>
      </c>
      <c r="AK265" s="44">
        <f ca="1">IF($AJ265=1,($AI265)*(10*OFFSET(载具产出!$D$45,MATCH(AK$6,$AK$6:$AN$6,0)-1,$AJ265)+OFFSET(载具产出!$D$49,MATCH(AK$6,$AK$6:$AN$6,0)-1,$AJ265)*OFFSET(载具产出!$N$49,MATCH(AK$6,$AK$6:$AN$6,0)-1,0)),OFFSET(载具产出!F$59,$AJ265-1,0)*10+OFFSET(载具产出!J$59,$AJ265-1,0)+($AI265*10-_xlfn.XLOOKUP($AJ265-1,载具产出!$D$59:$D$67,载具产出!$E$59:$E$67))/10*(10*OFFSET(载具产出!$D$45,MATCH(AK$6,$AK$6:$AN$6,0)-1,$AJ265)+OFFSET(载具产出!$D$49,MATCH(AK$6,$AK$6:$AN$6,0)-1,$AJ265)*OFFSET(载具产出!$N$49,MATCH(AK$6,$AK$6:$AN$6,0)-1,0)))</f>
        <v>5898.41285714287</v>
      </c>
      <c r="AL265" s="44">
        <f ca="1">IF($AJ265=1,($AI265)*(10*OFFSET(载具产出!$D$45,MATCH(AL$6,$AK$6:$AN$6,0)-1,$AJ265)+OFFSET(载具产出!$D$49,MATCH(AL$6,$AK$6:$AN$6,0)-1,$AJ265)*OFFSET(载具产出!$N$49,MATCH(AL$6,$AK$6:$AN$6,0)-1,0)),OFFSET(载具产出!G$59,$AJ265-1,0)*10+OFFSET(载具产出!K$59,$AJ265-1,0)+($AI265*10-_xlfn.XLOOKUP($AJ265-1,载具产出!$D$59:$D$67,载具产出!$E$59:$E$67))/10*(10*OFFSET(载具产出!$D$45,MATCH(AL$6,$AK$6:$AN$6,0)-1,$AJ265)+OFFSET(载具产出!$D$49,MATCH(AL$6,$AK$6:$AN$6,0)-1,$AJ265)*OFFSET(载具产出!$N$49,MATCH(AL$6,$AK$6:$AN$6,0)-1,0)))</f>
        <v>2444.22380952381</v>
      </c>
      <c r="AM265" s="44">
        <f ca="1">IF($AJ265=1,($AI265)*(10*OFFSET(载具产出!$D$45,MATCH(AM$6,$AK$6:$AN$6,0)-1,$AJ265)+OFFSET(载具产出!$D$49,MATCH(AM$6,$AK$6:$AN$6,0)-1,$AJ265)*OFFSET(载具产出!$N$49,MATCH(AM$6,$AK$6:$AN$6,0)-1,0)),OFFSET(载具产出!H$59,$AJ265-1,0)*10+OFFSET(载具产出!L$59,$AJ265-1,0)+($AI265*10-_xlfn.XLOOKUP($AJ265-1,载具产出!$D$59:$D$67,载具产出!$E$59:$E$67))/10*(10*OFFSET(载具产出!$D$45,MATCH(AM$6,$AK$6:$AN$6,0)-1,$AJ265)+OFFSET(载具产出!$D$49,MATCH(AM$6,$AK$6:$AN$6,0)-1,$AJ265)*OFFSET(载具产出!$N$49,MATCH(AM$6,$AK$6:$AN$6,0)-1,0)))</f>
        <v>1338.60571428572</v>
      </c>
      <c r="AN265" s="44">
        <f ca="1">IF($AJ265=1,($AI265)*(10*OFFSET(载具产出!$D$45,MATCH(AN$6,$AK$6:$AN$6,0)-1,$AJ265)+OFFSET(载具产出!$D$49,MATCH(AN$6,$AK$6:$AN$6,0)-1,$AJ265)*OFFSET(载具产出!$N$49,MATCH(AN$6,$AK$6:$AN$6,0)-1,0)),OFFSET(载具产出!I$59,$AJ265-1,0)*10+OFFSET(载具产出!M$59,$AJ265-1,0)+($AI265*10-_xlfn.XLOOKUP($AJ265-1,载具产出!$D$59:$D$67,载具产出!$E$59:$E$67))/10*(10*OFFSET(载具产出!$D$45,MATCH(AN$6,$AK$6:$AN$6,0)-1,$AJ265)+OFFSET(载具产出!$D$49,MATCH(AN$6,$AK$6:$AN$6,0)-1,$AJ265)*OFFSET(载具产出!$N$49,MATCH(AN$6,$AK$6:$AN$6,0)-1,0)))</f>
        <v>415.785238095239</v>
      </c>
      <c r="AO265" s="44">
        <f ca="1" t="shared" si="60"/>
        <v>7497.21285714287</v>
      </c>
      <c r="AP265" s="44">
        <f ca="1" t="shared" si="61"/>
        <v>4202.41047619047</v>
      </c>
      <c r="AQ265" s="44">
        <f ca="1" t="shared" si="62"/>
        <v>1913.69904761905</v>
      </c>
      <c r="AR265" s="44">
        <f ca="1" t="shared" si="63"/>
        <v>425.705238095239</v>
      </c>
      <c r="AS265" s="45">
        <f ca="1">IFERROR(MATCH(AO265/载具产出!R$58,载具属性!$G$33:$G$92,1),0)</f>
        <v>40</v>
      </c>
      <c r="AT265" s="45">
        <f ca="1">IFERROR(MATCH(AP265/载具产出!S$58,载具属性!$G$33:$G$92,1),0)</f>
        <v>27</v>
      </c>
      <c r="AU265" s="45">
        <f ca="1">IFERROR(MATCH(AQ265/载具产出!T$58,载具属性!$G$33:$G$92,1),0)</f>
        <v>17</v>
      </c>
      <c r="AV265" s="45">
        <f ca="1">IFERROR(MATCH(AR265/载具产出!U$58,载具属性!$G$33:$G$92,1),0)</f>
        <v>7</v>
      </c>
      <c r="AW265" s="46" t="str">
        <f ca="1" t="shared" si="64"/>
        <v>[{62,1590},{63,204525},{2,591700},{6030001,4559},{6030002,5073},{6030003,1657},{6030004,26}]</v>
      </c>
      <c r="AX265" t="str">
        <f ca="1" t="shared" si="65"/>
        <v>{62,1590}</v>
      </c>
      <c r="AY265" t="str">
        <f ca="1" t="shared" si="66"/>
        <v>{63,204525}</v>
      </c>
      <c r="AZ265" t="str">
        <f ca="1" t="shared" si="67"/>
        <v>{2,591700}</v>
      </c>
      <c r="BA265" t="str">
        <f ca="1" t="shared" si="68"/>
        <v>{6030001,4559}</v>
      </c>
      <c r="BB265" t="str">
        <f ca="1" t="shared" si="69"/>
        <v>{6030002,5073}</v>
      </c>
      <c r="BC265" t="str">
        <f ca="1" t="shared" si="70"/>
        <v>{6030003,1657}</v>
      </c>
      <c r="BD265" t="str">
        <f ca="1" t="shared" si="71"/>
        <v>{6030004,26}</v>
      </c>
    </row>
    <row r="266" spans="3:56">
      <c r="C266">
        <f ca="1" t="shared" si="59"/>
        <v>125.956937799043</v>
      </c>
      <c r="D266" s="40">
        <v>260</v>
      </c>
      <c r="E266" s="40">
        <f t="shared" si="76"/>
        <v>132</v>
      </c>
      <c r="F266" s="40">
        <f t="shared" si="75"/>
        <v>152</v>
      </c>
      <c r="G266" s="41">
        <f t="shared" si="74"/>
        <v>209</v>
      </c>
      <c r="H266" s="40">
        <f>H265</f>
        <v>272</v>
      </c>
      <c r="I266" s="40">
        <f t="shared" si="58"/>
        <v>546</v>
      </c>
      <c r="J266" s="40">
        <f t="shared" si="77"/>
        <v>546</v>
      </c>
      <c r="K266" s="40">
        <f ca="1">SUM(U$36:U266)-SUM(OFFSET(载具产出!H$399,0,0,$R266+1,1))</f>
        <v>1597</v>
      </c>
      <c r="L266" s="40">
        <f ca="1">SUM(T$36:T266)-SUM(OFFSET(载具产出!G$399,0,0,$R266+1,1))</f>
        <v>205650</v>
      </c>
      <c r="M266" s="40">
        <f ca="1">SUM(V$36:V266)/2-SUM(OFFSET(载具产出!I$399,0,0,$R266+1,1))</f>
        <v>595300</v>
      </c>
      <c r="N266" s="40">
        <f ca="1">SUM(AA$36:AA266)-SUM(OFFSET(载具产出!J$399,0,0,$R266+1,1))</f>
        <v>4577.6</v>
      </c>
      <c r="O266" s="40">
        <f ca="1">SUM(AB$36:AB266)-SUM(OFFSET(载具产出!K$399,0,0,$R266+1,1))</f>
        <v>5094.67999999997</v>
      </c>
      <c r="P266" s="40">
        <f ca="1">SUM(AC$36:AC266)-SUM(OFFSET(载具产出!L$399,0,0,$R266+1,1))</f>
        <v>1673.6</v>
      </c>
      <c r="Q266" s="40">
        <f ca="1">SUM(AD$36:AD266)-SUM(OFFSET(载具产出!M$399,0,0,$R266+1,1))</f>
        <v>27.12</v>
      </c>
      <c r="R266" s="40">
        <v>20</v>
      </c>
      <c r="S266" s="40" t="str">
        <f ca="1">OFFSET(载具产出!$D$111,IFERROR(MATCH(OFFSET($D266,0,MATCH($D$5,$E$6:$H$6,0)),载具产出!$E$112:$E$151,1),0),0)</f>
        <v>卓越Ⅱ</v>
      </c>
      <c r="T266" s="40">
        <f ca="1">OFFSET(载具产出!$F$399,IFERROR(MATCH(OFFSET($D266,0,MATCH($D$5,$E$6:$H$6,0)),载具产出!$E$400:$E$439,1),0),MATCH(T$6,载具产出!$G$399:$O$399,0))</f>
        <v>1125</v>
      </c>
      <c r="U266" s="40">
        <v>7</v>
      </c>
      <c r="V266" s="40">
        <f ca="1">OFFSET(载具产出!$F$399,IFERROR(MATCH(OFFSET($D266,0,MATCH($D$5,$E$6:$H$6,0)),载具产出!$E$400:$E$439,1),0),MATCH(V$6,载具产出!$G$399:$O$399,0))</f>
        <v>7200</v>
      </c>
      <c r="W266" s="43">
        <f ca="1">_xlfn.XLOOKUP(Z266,载具属性!$E$98:$E$497,载具属性!$G$98:$G$497)+6000+OFFSET(载具属性!L$33,AS266,0)*载具属性!M$30+OFFSET(载具属性!M$33,AT266,0)*载具属性!N$30+OFFSET(载具属性!N$33,AU266,0)*载具属性!O$30+OFFSET(载具属性!O$33,AV266,0)*载具属性!P$30</f>
        <v>26325</v>
      </c>
      <c r="X266" s="43">
        <f ca="1">_xlfn.XLOOKUP(Z266,载具属性!$E$98:$E$497,载具属性!$G$98:$G$497)</f>
        <v>12930</v>
      </c>
      <c r="Y266" s="43">
        <f ca="1">OFFSET(载具属性!L$33,AS266,0)*载具属性!M$30+OFFSET(载具属性!M$33,AT266,0)*载具属性!N$30+OFFSET(载具属性!N$33,AU266,0)*载具属性!O$30+OFFSET(载具属性!O$33,AV266,0)*载具属性!P$30</f>
        <v>7395</v>
      </c>
      <c r="Z266" s="40">
        <f ca="1">MATCH(SUM($T$7:T266),载具属性!$I$98:$I$497,1)</f>
        <v>184</v>
      </c>
      <c r="AA266" s="40">
        <f ca="1">OFFSET(载具产出!$F$399,IFERROR(MATCH(OFFSET($D266,0,MATCH($D$5,$E$6:$H$6,0)),载具产出!$E$112:$E$151,1),0),MATCH(AA$6,载具产出!$G$111:$O$111,0))*2</f>
        <v>18</v>
      </c>
      <c r="AB266" s="40">
        <f ca="1">OFFSET(载具产出!$F$399,IFERROR(MATCH(OFFSET($D266,0,MATCH($D$5,$E$6:$H$6,0)),载具产出!$E$112:$E$151,1),0),MATCH(AB$6,载具产出!$G$111:$O$111,0))*2</f>
        <v>21.28</v>
      </c>
      <c r="AC266" s="40">
        <f ca="1">OFFSET(载具产出!$F$399,IFERROR(MATCH(OFFSET($D266,0,MATCH($D$5,$E$6:$H$6,0)),载具产出!$E$112:$E$151,1),0),MATCH(AC$6,载具产出!$G$111:$O$111,0))*2</f>
        <v>15.76</v>
      </c>
      <c r="AD266" s="40">
        <f ca="1">OFFSET(载具产出!$F$399,IFERROR(MATCH(OFFSET($D266,0,MATCH($D$5,$E$6:$H$6,0)),载具产出!$E$112:$E$151,1),0),MATCH(AD$6,载具产出!$G$111:$O$111,0))*2</f>
        <v>0.96</v>
      </c>
      <c r="AE266" s="44">
        <f ca="1">SUM(AA$36:AA266)/3</f>
        <v>1604.8</v>
      </c>
      <c r="AF266" s="44">
        <f ca="1">SUM(AB$36:AB266)/3</f>
        <v>1765.27999999999</v>
      </c>
      <c r="AG266" s="44">
        <f ca="1">SUM(AC$36:AC266)/3</f>
        <v>580.346666666666</v>
      </c>
      <c r="AH266" s="44">
        <f ca="1">SUM(AD$36:AD266)/3</f>
        <v>10.24</v>
      </c>
      <c r="AI266" s="44">
        <f>_xlfn.XLOOKUP($D$5,载具产出!$D$71:$D$75,载具产出!$E$71:$E$75)*(D266-30+1)</f>
        <v>2717.00000000001</v>
      </c>
      <c r="AJ266" s="44">
        <f>IFERROR(MATCH(_xlfn.XLOOKUP($D$5,载具产出!$D$71:$D$75,载具产出!$E$71:$E$75)*(D266-30+1)*10,载具产出!$E$60:$E$67,1),0)+1</f>
        <v>7</v>
      </c>
      <c r="AK266" s="44">
        <f ca="1">IF($AJ266=1,($AI266)*(10*OFFSET(载具产出!$D$45,MATCH(AK$6,$AK$6:$AN$6,0)-1,$AJ266)+OFFSET(载具产出!$D$49,MATCH(AK$6,$AK$6:$AN$6,0)-1,$AJ266)*OFFSET(载具产出!$N$49,MATCH(AK$6,$AK$6:$AN$6,0)-1,0)),OFFSET(载具产出!F$59,$AJ266-1,0)*10+OFFSET(载具产出!J$59,$AJ266-1,0)+($AI266*10-_xlfn.XLOOKUP($AJ266-1,载具产出!$D$59:$D$67,载具产出!$E$59:$E$67))/10*(10*OFFSET(载具产出!$D$45,MATCH(AK$6,$AK$6:$AN$6,0)-1,$AJ266)+OFFSET(载具产出!$D$49,MATCH(AK$6,$AK$6:$AN$6,0)-1,$AJ266)*OFFSET(载具产出!$N$49,MATCH(AK$6,$AK$6:$AN$6,0)-1,0)))</f>
        <v>5923.25400000002</v>
      </c>
      <c r="AL266" s="44">
        <f ca="1">IF($AJ266=1,($AI266)*(10*OFFSET(载具产出!$D$45,MATCH(AL$6,$AK$6:$AN$6,0)-1,$AJ266)+OFFSET(载具产出!$D$49,MATCH(AL$6,$AK$6:$AN$6,0)-1,$AJ266)*OFFSET(载具产出!$N$49,MATCH(AL$6,$AK$6:$AN$6,0)-1,0)),OFFSET(载具产出!G$59,$AJ266-1,0)*10+OFFSET(载具产出!K$59,$AJ266-1,0)+($AI266*10-_xlfn.XLOOKUP($AJ266-1,载具产出!$D$59:$D$67,载具产出!$E$59:$E$67))/10*(10*OFFSET(载具产出!$D$45,MATCH(AL$6,$AK$6:$AN$6,0)-1,$AJ266)+OFFSET(载具产出!$D$49,MATCH(AL$6,$AK$6:$AN$6,0)-1,$AJ266)*OFFSET(载具产出!$N$49,MATCH(AL$6,$AK$6:$AN$6,0)-1,0)))</f>
        <v>2455.28000000001</v>
      </c>
      <c r="AM266" s="44">
        <f ca="1">IF($AJ266=1,($AI266)*(10*OFFSET(载具产出!$D$45,MATCH(AM$6,$AK$6:$AN$6,0)-1,$AJ266)+OFFSET(载具产出!$D$49,MATCH(AM$6,$AK$6:$AN$6,0)-1,$AJ266)*OFFSET(载具产出!$N$49,MATCH(AM$6,$AK$6:$AN$6,0)-1,0)),OFFSET(载具产出!H$59,$AJ266-1,0)*10+OFFSET(载具产出!L$59,$AJ266-1,0)+($AI266*10-_xlfn.XLOOKUP($AJ266-1,载具产出!$D$59:$D$67,载具产出!$E$59:$E$67))/10*(10*OFFSET(载具产出!$D$45,MATCH(AM$6,$AK$6:$AN$6,0)-1,$AJ266)+OFFSET(载具产出!$D$49,MATCH(AM$6,$AK$6:$AN$6,0)-1,$AJ266)*OFFSET(载具产出!$N$49,MATCH(AM$6,$AK$6:$AN$6,0)-1,0)))</f>
        <v>1344.81600000001</v>
      </c>
      <c r="AN266" s="44">
        <f ca="1">IF($AJ266=1,($AI266)*(10*OFFSET(载具产出!$D$45,MATCH(AN$6,$AK$6:$AN$6,0)-1,$AJ266)+OFFSET(载具产出!$D$49,MATCH(AN$6,$AK$6:$AN$6,0)-1,$AJ266)*OFFSET(载具产出!$N$49,MATCH(AN$6,$AK$6:$AN$6,0)-1,0)),OFFSET(载具产出!I$59,$AJ266-1,0)*10+OFFSET(载具产出!M$59,$AJ266-1,0)+($AI266*10-_xlfn.XLOOKUP($AJ266-1,载具产出!$D$59:$D$67,载具产出!$E$59:$E$67))/10*(10*OFFSET(载具产出!$D$45,MATCH(AN$6,$AK$6:$AN$6,0)-1,$AJ266)+OFFSET(载具产出!$D$49,MATCH(AN$6,$AK$6:$AN$6,0)-1,$AJ266)*OFFSET(载具产出!$N$49,MATCH(AN$6,$AK$6:$AN$6,0)-1,0)))</f>
        <v>417.773000000002</v>
      </c>
      <c r="AO266" s="44">
        <f ca="1" t="shared" si="60"/>
        <v>7528.05400000002</v>
      </c>
      <c r="AP266" s="44">
        <f ca="1" t="shared" si="61"/>
        <v>4220.56</v>
      </c>
      <c r="AQ266" s="44">
        <f ca="1" t="shared" si="62"/>
        <v>1925.16266666667</v>
      </c>
      <c r="AR266" s="44">
        <f ca="1" t="shared" si="63"/>
        <v>428.013000000002</v>
      </c>
      <c r="AS266" s="45">
        <f ca="1">IFERROR(MATCH(AO266/载具产出!R$58,载具属性!$G$33:$G$92,1),0)</f>
        <v>40</v>
      </c>
      <c r="AT266" s="45">
        <f ca="1">IFERROR(MATCH(AP266/载具产出!S$58,载具属性!$G$33:$G$92,1),0)</f>
        <v>27</v>
      </c>
      <c r="AU266" s="45">
        <f ca="1">IFERROR(MATCH(AQ266/载具产出!T$58,载具属性!$G$33:$G$92,1),0)</f>
        <v>17</v>
      </c>
      <c r="AV266" s="45">
        <f ca="1">IFERROR(MATCH(AR266/载具产出!U$58,载具属性!$G$33:$G$92,1),0)</f>
        <v>7</v>
      </c>
      <c r="AW266" s="46" t="str">
        <f ca="1" t="shared" si="64"/>
        <v>[{62,1597},{63,205650},{2,595300},{6030001,4577},{6030002,5094},{6030003,1673},{6030004,27}]</v>
      </c>
      <c r="AX266" t="str">
        <f ca="1" t="shared" si="65"/>
        <v>{62,1597}</v>
      </c>
      <c r="AY266" t="str">
        <f ca="1" t="shared" si="66"/>
        <v>{63,205650}</v>
      </c>
      <c r="AZ266" t="str">
        <f ca="1" t="shared" si="67"/>
        <v>{2,595300}</v>
      </c>
      <c r="BA266" t="str">
        <f ca="1" t="shared" si="68"/>
        <v>{6030001,4577}</v>
      </c>
      <c r="BB266" t="str">
        <f ca="1" t="shared" si="69"/>
        <v>{6030002,5094}</v>
      </c>
      <c r="BC266" t="str">
        <f ca="1" t="shared" si="70"/>
        <v>{6030003,1673}</v>
      </c>
      <c r="BD266" t="str">
        <f ca="1" t="shared" si="71"/>
        <v>{6030004,27}</v>
      </c>
    </row>
    <row r="267" spans="3:56">
      <c r="C267">
        <f ca="1" t="shared" si="59"/>
        <v>125.956937799043</v>
      </c>
      <c r="D267" s="40">
        <v>261</v>
      </c>
      <c r="E267" s="40">
        <f t="shared" si="76"/>
        <v>132</v>
      </c>
      <c r="F267" s="40">
        <f t="shared" si="75"/>
        <v>152</v>
      </c>
      <c r="G267" s="41">
        <f t="shared" ref="G267:G306" si="78">G263+1</f>
        <v>209</v>
      </c>
      <c r="H267" s="40">
        <f>H266+1</f>
        <v>273</v>
      </c>
      <c r="I267" s="40">
        <f t="shared" si="58"/>
        <v>548</v>
      </c>
      <c r="J267" s="40">
        <f t="shared" si="77"/>
        <v>548</v>
      </c>
      <c r="K267" s="40">
        <f ca="1">SUM(U$36:U267)-SUM(OFFSET(载具产出!H$399,0,0,$R267+1,1))</f>
        <v>1604</v>
      </c>
      <c r="L267" s="40">
        <f ca="1">SUM(T$36:T267)-SUM(OFFSET(载具产出!G$399,0,0,$R267+1,1))</f>
        <v>206775</v>
      </c>
      <c r="M267" s="40">
        <f ca="1">SUM(V$36:V267)/2-SUM(OFFSET(载具产出!I$399,0,0,$R267+1,1))</f>
        <v>598900</v>
      </c>
      <c r="N267" s="40">
        <f ca="1">SUM(AA$36:AA267)-SUM(OFFSET(载具产出!J$399,0,0,$R267+1,1))</f>
        <v>4595.6</v>
      </c>
      <c r="O267" s="40">
        <f ca="1">SUM(AB$36:AB267)-SUM(OFFSET(载具产出!K$399,0,0,$R267+1,1))</f>
        <v>5115.95999999997</v>
      </c>
      <c r="P267" s="40">
        <f ca="1">SUM(AC$36:AC267)-SUM(OFFSET(载具产出!L$399,0,0,$R267+1,1))</f>
        <v>1689.36</v>
      </c>
      <c r="Q267" s="40">
        <f ca="1">SUM(AD$36:AD267)-SUM(OFFSET(载具产出!M$399,0,0,$R267+1,1))</f>
        <v>28.08</v>
      </c>
      <c r="R267" s="40">
        <v>20</v>
      </c>
      <c r="S267" s="40" t="str">
        <f ca="1">OFFSET(载具产出!$D$111,IFERROR(MATCH(OFFSET($D267,0,MATCH($D$5,$E$6:$H$6,0)),载具产出!$E$112:$E$151,1),0),0)</f>
        <v>卓越Ⅱ</v>
      </c>
      <c r="T267" s="40">
        <f ca="1">OFFSET(载具产出!$F$399,IFERROR(MATCH(OFFSET($D267,0,MATCH($D$5,$E$6:$H$6,0)),载具产出!$E$400:$E$439,1),0),MATCH(T$6,载具产出!$G$399:$O$399,0))</f>
        <v>1125</v>
      </c>
      <c r="U267" s="40">
        <v>7</v>
      </c>
      <c r="V267" s="40">
        <f ca="1">OFFSET(载具产出!$F$399,IFERROR(MATCH(OFFSET($D267,0,MATCH($D$5,$E$6:$H$6,0)),载具产出!$E$400:$E$439,1),0),MATCH(V$6,载具产出!$G$399:$O$399,0))</f>
        <v>7200</v>
      </c>
      <c r="W267" s="43">
        <f ca="1">_xlfn.XLOOKUP(Z267,载具属性!$E$98:$E$497,载具属性!$G$98:$G$497)+6000+OFFSET(载具属性!L$33,AS267,0)*载具属性!M$30+OFFSET(载具属性!M$33,AT267,0)*载具属性!N$30+OFFSET(载具属性!N$33,AU267,0)*载具属性!O$30+OFFSET(载具属性!O$33,AV267,0)*载具属性!P$30</f>
        <v>26325</v>
      </c>
      <c r="X267" s="43">
        <f ca="1">_xlfn.XLOOKUP(Z267,载具属性!$E$98:$E$497,载具属性!$G$98:$G$497)</f>
        <v>12930</v>
      </c>
      <c r="Y267" s="43">
        <f ca="1">OFFSET(载具属性!L$33,AS267,0)*载具属性!M$30+OFFSET(载具属性!M$33,AT267,0)*载具属性!N$30+OFFSET(载具属性!N$33,AU267,0)*载具属性!O$30+OFFSET(载具属性!O$33,AV267,0)*载具属性!P$30</f>
        <v>7395</v>
      </c>
      <c r="Z267" s="40">
        <f ca="1">MATCH(SUM($T$7:T267),载具属性!$I$98:$I$497,1)</f>
        <v>184</v>
      </c>
      <c r="AA267" s="40">
        <f ca="1">OFFSET(载具产出!$F$399,IFERROR(MATCH(OFFSET($D267,0,MATCH($D$5,$E$6:$H$6,0)),载具产出!$E$112:$E$151,1),0),MATCH(AA$6,载具产出!$G$111:$O$111,0))*2</f>
        <v>18</v>
      </c>
      <c r="AB267" s="40">
        <f ca="1">OFFSET(载具产出!$F$399,IFERROR(MATCH(OFFSET($D267,0,MATCH($D$5,$E$6:$H$6,0)),载具产出!$E$112:$E$151,1),0),MATCH(AB$6,载具产出!$G$111:$O$111,0))*2</f>
        <v>21.28</v>
      </c>
      <c r="AC267" s="40">
        <f ca="1">OFFSET(载具产出!$F$399,IFERROR(MATCH(OFFSET($D267,0,MATCH($D$5,$E$6:$H$6,0)),载具产出!$E$112:$E$151,1),0),MATCH(AC$6,载具产出!$G$111:$O$111,0))*2</f>
        <v>15.76</v>
      </c>
      <c r="AD267" s="40">
        <f ca="1">OFFSET(载具产出!$F$399,IFERROR(MATCH(OFFSET($D267,0,MATCH($D$5,$E$6:$H$6,0)),载具产出!$E$112:$E$151,1),0),MATCH(AD$6,载具产出!$G$111:$O$111,0))*2</f>
        <v>0.96</v>
      </c>
      <c r="AE267" s="44">
        <f ca="1">SUM(AA$36:AA267)/3</f>
        <v>1610.8</v>
      </c>
      <c r="AF267" s="44">
        <f ca="1">SUM(AB$36:AB267)/3</f>
        <v>1772.37333333332</v>
      </c>
      <c r="AG267" s="44">
        <f ca="1">SUM(AC$36:AC267)/3</f>
        <v>585.599999999999</v>
      </c>
      <c r="AH267" s="44">
        <f ca="1">SUM(AD$36:AD267)/3</f>
        <v>10.56</v>
      </c>
      <c r="AI267" s="44">
        <f>_xlfn.XLOOKUP($D$5,载具产出!$D$71:$D$75,载具产出!$E$71:$E$75)*(D267-30+1)</f>
        <v>2728.76190476191</v>
      </c>
      <c r="AJ267" s="44">
        <f>IFERROR(MATCH(_xlfn.XLOOKUP($D$5,载具产出!$D$71:$D$75,载具产出!$E$71:$E$75)*(D267-30+1)*10,载具产出!$E$60:$E$67,1),0)+1</f>
        <v>7</v>
      </c>
      <c r="AK267" s="44">
        <f ca="1">IF($AJ267=1,($AI267)*(10*OFFSET(载具产出!$D$45,MATCH(AK$6,$AK$6:$AN$6,0)-1,$AJ267)+OFFSET(载具产出!$D$49,MATCH(AK$6,$AK$6:$AN$6,0)-1,$AJ267)*OFFSET(载具产出!$N$49,MATCH(AK$6,$AK$6:$AN$6,0)-1,0)),OFFSET(载具产出!F$59,$AJ267-1,0)*10+OFFSET(载具产出!J$59,$AJ267-1,0)+($AI267*10-_xlfn.XLOOKUP($AJ267-1,载具产出!$D$59:$D$67,载具产出!$E$59:$E$67))/10*(10*OFFSET(载具产出!$D$45,MATCH(AK$6,$AK$6:$AN$6,0)-1,$AJ267)+OFFSET(载具产出!$D$49,MATCH(AK$6,$AK$6:$AN$6,0)-1,$AJ267)*OFFSET(载具产出!$N$49,MATCH(AK$6,$AK$6:$AN$6,0)-1,0)))</f>
        <v>5948.09514285715</v>
      </c>
      <c r="AL267" s="44">
        <f ca="1">IF($AJ267=1,($AI267)*(10*OFFSET(载具产出!$D$45,MATCH(AL$6,$AK$6:$AN$6,0)-1,$AJ267)+OFFSET(载具产出!$D$49,MATCH(AL$6,$AK$6:$AN$6,0)-1,$AJ267)*OFFSET(载具产出!$N$49,MATCH(AL$6,$AK$6:$AN$6,0)-1,0)),OFFSET(载具产出!G$59,$AJ267-1,0)*10+OFFSET(载具产出!K$59,$AJ267-1,0)+($AI267*10-_xlfn.XLOOKUP($AJ267-1,载具产出!$D$59:$D$67,载具产出!$E$59:$E$67))/10*(10*OFFSET(载具产出!$D$45,MATCH(AL$6,$AK$6:$AN$6,0)-1,$AJ267)+OFFSET(载具产出!$D$49,MATCH(AL$6,$AK$6:$AN$6,0)-1,$AJ267)*OFFSET(载具产出!$N$49,MATCH(AL$6,$AK$6:$AN$6,0)-1,0)))</f>
        <v>2466.3361904762</v>
      </c>
      <c r="AM267" s="44">
        <f ca="1">IF($AJ267=1,($AI267)*(10*OFFSET(载具产出!$D$45,MATCH(AM$6,$AK$6:$AN$6,0)-1,$AJ267)+OFFSET(载具产出!$D$49,MATCH(AM$6,$AK$6:$AN$6,0)-1,$AJ267)*OFFSET(载具产出!$N$49,MATCH(AM$6,$AK$6:$AN$6,0)-1,0)),OFFSET(载具产出!H$59,$AJ267-1,0)*10+OFFSET(载具产出!L$59,$AJ267-1,0)+($AI267*10-_xlfn.XLOOKUP($AJ267-1,载具产出!$D$59:$D$67,载具产出!$E$59:$E$67))/10*(10*OFFSET(载具产出!$D$45,MATCH(AM$6,$AK$6:$AN$6,0)-1,$AJ267)+OFFSET(载具产出!$D$49,MATCH(AM$6,$AK$6:$AN$6,0)-1,$AJ267)*OFFSET(载具产出!$N$49,MATCH(AM$6,$AK$6:$AN$6,0)-1,0)))</f>
        <v>1351.02628571429</v>
      </c>
      <c r="AN267" s="44">
        <f ca="1">IF($AJ267=1,($AI267)*(10*OFFSET(载具产出!$D$45,MATCH(AN$6,$AK$6:$AN$6,0)-1,$AJ267)+OFFSET(载具产出!$D$49,MATCH(AN$6,$AK$6:$AN$6,0)-1,$AJ267)*OFFSET(载具产出!$N$49,MATCH(AN$6,$AK$6:$AN$6,0)-1,0)),OFFSET(载具产出!I$59,$AJ267-1,0)*10+OFFSET(载具产出!M$59,$AJ267-1,0)+($AI267*10-_xlfn.XLOOKUP($AJ267-1,载具产出!$D$59:$D$67,载具产出!$E$59:$E$67))/10*(10*OFFSET(载具产出!$D$45,MATCH(AN$6,$AK$6:$AN$6,0)-1,$AJ267)+OFFSET(载具产出!$D$49,MATCH(AN$6,$AK$6:$AN$6,0)-1,$AJ267)*OFFSET(载具产出!$N$49,MATCH(AN$6,$AK$6:$AN$6,0)-1,0)))</f>
        <v>419.760761904763</v>
      </c>
      <c r="AO267" s="44">
        <f ca="1" t="shared" si="60"/>
        <v>7558.89514285715</v>
      </c>
      <c r="AP267" s="44">
        <f ca="1" t="shared" si="61"/>
        <v>4238.70952380952</v>
      </c>
      <c r="AQ267" s="44">
        <f ca="1" t="shared" si="62"/>
        <v>1936.62628571429</v>
      </c>
      <c r="AR267" s="44">
        <f ca="1" t="shared" si="63"/>
        <v>430.320761904763</v>
      </c>
      <c r="AS267" s="45">
        <f ca="1">IFERROR(MATCH(AO267/载具产出!R$58,载具属性!$G$33:$G$92,1),0)</f>
        <v>40</v>
      </c>
      <c r="AT267" s="45">
        <f ca="1">IFERROR(MATCH(AP267/载具产出!S$58,载具属性!$G$33:$G$92,1),0)</f>
        <v>27</v>
      </c>
      <c r="AU267" s="45">
        <f ca="1">IFERROR(MATCH(AQ267/载具产出!T$58,载具属性!$G$33:$G$92,1),0)</f>
        <v>17</v>
      </c>
      <c r="AV267" s="45">
        <f ca="1">IFERROR(MATCH(AR267/载具产出!U$58,载具属性!$G$33:$G$92,1),0)</f>
        <v>7</v>
      </c>
      <c r="AW267" s="46" t="str">
        <f ca="1" t="shared" si="64"/>
        <v>[{62,1604},{63,206775},{2,598900},{6030001,4595},{6030002,5115},{6030003,1689},{6030004,28}]</v>
      </c>
      <c r="AX267" t="str">
        <f ca="1" t="shared" si="65"/>
        <v>{62,1604}</v>
      </c>
      <c r="AY267" t="str">
        <f ca="1" t="shared" si="66"/>
        <v>{63,206775}</v>
      </c>
      <c r="AZ267" t="str">
        <f ca="1" t="shared" si="67"/>
        <v>{2,598900}</v>
      </c>
      <c r="BA267" t="str">
        <f ca="1" t="shared" si="68"/>
        <v>{6030001,4595}</v>
      </c>
      <c r="BB267" t="str">
        <f ca="1" t="shared" si="69"/>
        <v>{6030002,5115}</v>
      </c>
      <c r="BC267" t="str">
        <f ca="1" t="shared" si="70"/>
        <v>{6030003,1689}</v>
      </c>
      <c r="BD267" t="str">
        <f ca="1" t="shared" si="71"/>
        <v>{6030004,28}</v>
      </c>
    </row>
    <row r="268" spans="3:56">
      <c r="C268">
        <f ca="1" t="shared" si="59"/>
        <v>126.411483253589</v>
      </c>
      <c r="D268" s="40">
        <v>262</v>
      </c>
      <c r="E268" s="40">
        <f t="shared" si="76"/>
        <v>132</v>
      </c>
      <c r="F268" s="40">
        <f t="shared" si="75"/>
        <v>152</v>
      </c>
      <c r="G268" s="41">
        <f t="shared" si="78"/>
        <v>209</v>
      </c>
      <c r="H268" s="40">
        <f>H267</f>
        <v>273</v>
      </c>
      <c r="I268" s="40">
        <f t="shared" si="58"/>
        <v>550</v>
      </c>
      <c r="J268" s="40">
        <f t="shared" si="77"/>
        <v>550</v>
      </c>
      <c r="K268" s="40">
        <f ca="1">SUM(U$36:U268)-SUM(OFFSET(载具产出!H$399,0,0,$R268+1,1))</f>
        <v>1611</v>
      </c>
      <c r="L268" s="40">
        <f ca="1">SUM(T$36:T268)-SUM(OFFSET(载具产出!G$399,0,0,$R268+1,1))</f>
        <v>207900</v>
      </c>
      <c r="M268" s="40">
        <f ca="1">SUM(V$36:V268)/2-SUM(OFFSET(载具产出!I$399,0,0,$R268+1,1))</f>
        <v>602500</v>
      </c>
      <c r="N268" s="40">
        <f ca="1">SUM(AA$36:AA268)-SUM(OFFSET(载具产出!J$399,0,0,$R268+1,1))</f>
        <v>4613.6</v>
      </c>
      <c r="O268" s="40">
        <f ca="1">SUM(AB$36:AB268)-SUM(OFFSET(载具产出!K$399,0,0,$R268+1,1))</f>
        <v>5137.23999999997</v>
      </c>
      <c r="P268" s="40">
        <f ca="1">SUM(AC$36:AC268)-SUM(OFFSET(载具产出!L$399,0,0,$R268+1,1))</f>
        <v>1705.12</v>
      </c>
      <c r="Q268" s="40">
        <f ca="1">SUM(AD$36:AD268)-SUM(OFFSET(载具产出!M$399,0,0,$R268+1,1))</f>
        <v>29.04</v>
      </c>
      <c r="R268" s="40">
        <v>20</v>
      </c>
      <c r="S268" s="40" t="str">
        <f ca="1">OFFSET(载具产出!$D$111,IFERROR(MATCH(OFFSET($D268,0,MATCH($D$5,$E$6:$H$6,0)),载具产出!$E$112:$E$151,1),0),0)</f>
        <v>卓越Ⅱ</v>
      </c>
      <c r="T268" s="40">
        <f ca="1">OFFSET(载具产出!$F$399,IFERROR(MATCH(OFFSET($D268,0,MATCH($D$5,$E$6:$H$6,0)),载具产出!$E$400:$E$439,1),0),MATCH(T$6,载具产出!$G$399:$O$399,0))</f>
        <v>1125</v>
      </c>
      <c r="U268" s="40">
        <v>7</v>
      </c>
      <c r="V268" s="40">
        <f ca="1">OFFSET(载具产出!$F$399,IFERROR(MATCH(OFFSET($D268,0,MATCH($D$5,$E$6:$H$6,0)),载具产出!$E$400:$E$439,1),0),MATCH(V$6,载具产出!$G$399:$O$399,0))</f>
        <v>7200</v>
      </c>
      <c r="W268" s="43">
        <f ca="1">_xlfn.XLOOKUP(Z268,载具属性!$E$98:$E$497,载具属性!$G$98:$G$497)+6000+OFFSET(载具属性!L$33,AS268,0)*载具属性!M$30+OFFSET(载具属性!M$33,AT268,0)*载具属性!N$30+OFFSET(载具属性!N$33,AU268,0)*载具属性!O$30+OFFSET(载具属性!O$33,AV268,0)*载具属性!P$30</f>
        <v>26420</v>
      </c>
      <c r="X268" s="43">
        <f ca="1">_xlfn.XLOOKUP(Z268,载具属性!$E$98:$E$497,载具属性!$G$98:$G$497)</f>
        <v>13025</v>
      </c>
      <c r="Y268" s="43">
        <f ca="1">OFFSET(载具属性!L$33,AS268,0)*载具属性!M$30+OFFSET(载具属性!M$33,AT268,0)*载具属性!N$30+OFFSET(载具属性!N$33,AU268,0)*载具属性!O$30+OFFSET(载具属性!O$33,AV268,0)*载具属性!P$30</f>
        <v>7395</v>
      </c>
      <c r="Z268" s="40">
        <f ca="1">MATCH(SUM($T$7:T268),载具属性!$I$98:$I$497,1)</f>
        <v>185</v>
      </c>
      <c r="AA268" s="40">
        <f ca="1">OFFSET(载具产出!$F$399,IFERROR(MATCH(OFFSET($D268,0,MATCH($D$5,$E$6:$H$6,0)),载具产出!$E$112:$E$151,1),0),MATCH(AA$6,载具产出!$G$111:$O$111,0))*2</f>
        <v>18</v>
      </c>
      <c r="AB268" s="40">
        <f ca="1">OFFSET(载具产出!$F$399,IFERROR(MATCH(OFFSET($D268,0,MATCH($D$5,$E$6:$H$6,0)),载具产出!$E$112:$E$151,1),0),MATCH(AB$6,载具产出!$G$111:$O$111,0))*2</f>
        <v>21.28</v>
      </c>
      <c r="AC268" s="40">
        <f ca="1">OFFSET(载具产出!$F$399,IFERROR(MATCH(OFFSET($D268,0,MATCH($D$5,$E$6:$H$6,0)),载具产出!$E$112:$E$151,1),0),MATCH(AC$6,载具产出!$G$111:$O$111,0))*2</f>
        <v>15.76</v>
      </c>
      <c r="AD268" s="40">
        <f ca="1">OFFSET(载具产出!$F$399,IFERROR(MATCH(OFFSET($D268,0,MATCH($D$5,$E$6:$H$6,0)),载具产出!$E$112:$E$151,1),0),MATCH(AD$6,载具产出!$G$111:$O$111,0))*2</f>
        <v>0.96</v>
      </c>
      <c r="AE268" s="44">
        <f ca="1">SUM(AA$36:AA268)/3</f>
        <v>1616.8</v>
      </c>
      <c r="AF268" s="44">
        <f ca="1">SUM(AB$36:AB268)/3</f>
        <v>1779.46666666666</v>
      </c>
      <c r="AG268" s="44">
        <f ca="1">SUM(AC$36:AC268)/3</f>
        <v>590.853333333333</v>
      </c>
      <c r="AH268" s="44">
        <f ca="1">SUM(AD$36:AD268)/3</f>
        <v>10.88</v>
      </c>
      <c r="AI268" s="44">
        <f>_xlfn.XLOOKUP($D$5,载具产出!$D$71:$D$75,载具产出!$E$71:$E$75)*(D268-30+1)</f>
        <v>2740.52380952382</v>
      </c>
      <c r="AJ268" s="44">
        <f>IFERROR(MATCH(_xlfn.XLOOKUP($D$5,载具产出!$D$71:$D$75,载具产出!$E$71:$E$75)*(D268-30+1)*10,载具产出!$E$60:$E$67,1),0)+1</f>
        <v>7</v>
      </c>
      <c r="AK268" s="44">
        <f ca="1">IF($AJ268=1,($AI268)*(10*OFFSET(载具产出!$D$45,MATCH(AK$6,$AK$6:$AN$6,0)-1,$AJ268)+OFFSET(载具产出!$D$49,MATCH(AK$6,$AK$6:$AN$6,0)-1,$AJ268)*OFFSET(载具产出!$N$49,MATCH(AK$6,$AK$6:$AN$6,0)-1,0)),OFFSET(载具产出!F$59,$AJ268-1,0)*10+OFFSET(载具产出!J$59,$AJ268-1,0)+($AI268*10-_xlfn.XLOOKUP($AJ268-1,载具产出!$D$59:$D$67,载具产出!$E$59:$E$67))/10*(10*OFFSET(载具产出!$D$45,MATCH(AK$6,$AK$6:$AN$6,0)-1,$AJ268)+OFFSET(载具产出!$D$49,MATCH(AK$6,$AK$6:$AN$6,0)-1,$AJ268)*OFFSET(载具产出!$N$49,MATCH(AK$6,$AK$6:$AN$6,0)-1,0)))</f>
        <v>5972.93628571431</v>
      </c>
      <c r="AL268" s="44">
        <f ca="1">IF($AJ268=1,($AI268)*(10*OFFSET(载具产出!$D$45,MATCH(AL$6,$AK$6:$AN$6,0)-1,$AJ268)+OFFSET(载具产出!$D$49,MATCH(AL$6,$AK$6:$AN$6,0)-1,$AJ268)*OFFSET(载具产出!$N$49,MATCH(AL$6,$AK$6:$AN$6,0)-1,0)),OFFSET(载具产出!G$59,$AJ268-1,0)*10+OFFSET(载具产出!K$59,$AJ268-1,0)+($AI268*10-_xlfn.XLOOKUP($AJ268-1,载具产出!$D$59:$D$67,载具产出!$E$59:$E$67))/10*(10*OFFSET(载具产出!$D$45,MATCH(AL$6,$AK$6:$AN$6,0)-1,$AJ268)+OFFSET(载具产出!$D$49,MATCH(AL$6,$AK$6:$AN$6,0)-1,$AJ268)*OFFSET(载具产出!$N$49,MATCH(AL$6,$AK$6:$AN$6,0)-1,0)))</f>
        <v>2477.39238095239</v>
      </c>
      <c r="AM268" s="44">
        <f ca="1">IF($AJ268=1,($AI268)*(10*OFFSET(载具产出!$D$45,MATCH(AM$6,$AK$6:$AN$6,0)-1,$AJ268)+OFFSET(载具产出!$D$49,MATCH(AM$6,$AK$6:$AN$6,0)-1,$AJ268)*OFFSET(载具产出!$N$49,MATCH(AM$6,$AK$6:$AN$6,0)-1,0)),OFFSET(载具产出!H$59,$AJ268-1,0)*10+OFFSET(载具产出!L$59,$AJ268-1,0)+($AI268*10-_xlfn.XLOOKUP($AJ268-1,载具产出!$D$59:$D$67,载具产出!$E$59:$E$67))/10*(10*OFFSET(载具产出!$D$45,MATCH(AM$6,$AK$6:$AN$6,0)-1,$AJ268)+OFFSET(载具产出!$D$49,MATCH(AM$6,$AK$6:$AN$6,0)-1,$AJ268)*OFFSET(载具产出!$N$49,MATCH(AM$6,$AK$6:$AN$6,0)-1,0)))</f>
        <v>1357.23657142858</v>
      </c>
      <c r="AN268" s="44">
        <f ca="1">IF($AJ268=1,($AI268)*(10*OFFSET(载具产出!$D$45,MATCH(AN$6,$AK$6:$AN$6,0)-1,$AJ268)+OFFSET(载具产出!$D$49,MATCH(AN$6,$AK$6:$AN$6,0)-1,$AJ268)*OFFSET(载具产出!$N$49,MATCH(AN$6,$AK$6:$AN$6,0)-1,0)),OFFSET(载具产出!I$59,$AJ268-1,0)*10+OFFSET(载具产出!M$59,$AJ268-1,0)+($AI268*10-_xlfn.XLOOKUP($AJ268-1,载具产出!$D$59:$D$67,载具产出!$E$59:$E$67))/10*(10*OFFSET(载具产出!$D$45,MATCH(AN$6,$AK$6:$AN$6,0)-1,$AJ268)+OFFSET(载具产出!$D$49,MATCH(AN$6,$AK$6:$AN$6,0)-1,$AJ268)*OFFSET(载具产出!$N$49,MATCH(AN$6,$AK$6:$AN$6,0)-1,0)))</f>
        <v>421.748523809526</v>
      </c>
      <c r="AO268" s="44">
        <f ca="1" t="shared" si="60"/>
        <v>7589.73628571431</v>
      </c>
      <c r="AP268" s="44">
        <f ca="1" t="shared" si="61"/>
        <v>4256.85904761905</v>
      </c>
      <c r="AQ268" s="44">
        <f ca="1" t="shared" si="62"/>
        <v>1948.08990476191</v>
      </c>
      <c r="AR268" s="44">
        <f ca="1" t="shared" si="63"/>
        <v>432.628523809526</v>
      </c>
      <c r="AS268" s="45">
        <f ca="1">IFERROR(MATCH(AO268/载具产出!R$58,载具属性!$G$33:$G$92,1),0)</f>
        <v>40</v>
      </c>
      <c r="AT268" s="45">
        <f ca="1">IFERROR(MATCH(AP268/载具产出!S$58,载具属性!$G$33:$G$92,1),0)</f>
        <v>27</v>
      </c>
      <c r="AU268" s="45">
        <f ca="1">IFERROR(MATCH(AQ268/载具产出!T$58,载具属性!$G$33:$G$92,1),0)</f>
        <v>17</v>
      </c>
      <c r="AV268" s="45">
        <f ca="1">IFERROR(MATCH(AR268/载具产出!U$58,载具属性!$G$33:$G$92,1),0)</f>
        <v>7</v>
      </c>
      <c r="AW268" s="46" t="str">
        <f ca="1" t="shared" si="64"/>
        <v>[{62,1611},{63,207900},{2,602500},{6030001,4613},{6030002,5137},{6030003,1705},{6030004,29}]</v>
      </c>
      <c r="AX268" t="str">
        <f ca="1" t="shared" si="65"/>
        <v>{62,1611}</v>
      </c>
      <c r="AY268" t="str">
        <f ca="1" t="shared" si="66"/>
        <v>{63,207900}</v>
      </c>
      <c r="AZ268" t="str">
        <f ca="1" t="shared" si="67"/>
        <v>{2,602500}</v>
      </c>
      <c r="BA268" t="str">
        <f ca="1" t="shared" si="68"/>
        <v>{6030001,4613}</v>
      </c>
      <c r="BB268" t="str">
        <f ca="1" t="shared" si="69"/>
        <v>{6030002,5137}</v>
      </c>
      <c r="BC268" t="str">
        <f ca="1" t="shared" si="70"/>
        <v>{6030003,1705}</v>
      </c>
      <c r="BD268" t="str">
        <f ca="1" t="shared" si="71"/>
        <v>{6030004,29}</v>
      </c>
    </row>
    <row r="269" spans="3:56">
      <c r="C269">
        <f ca="1" t="shared" si="59"/>
        <v>126.411483253589</v>
      </c>
      <c r="D269" s="40">
        <v>263</v>
      </c>
      <c r="E269" s="40">
        <f t="shared" si="76"/>
        <v>132</v>
      </c>
      <c r="F269" s="40">
        <f t="shared" si="75"/>
        <v>152</v>
      </c>
      <c r="G269" s="41">
        <f t="shared" si="78"/>
        <v>209</v>
      </c>
      <c r="H269" s="40">
        <f>H268+1</f>
        <v>274</v>
      </c>
      <c r="I269" s="40">
        <f t="shared" si="58"/>
        <v>552</v>
      </c>
      <c r="J269" s="40">
        <f t="shared" si="77"/>
        <v>552</v>
      </c>
      <c r="K269" s="40">
        <f ca="1">SUM(U$36:U269)-SUM(OFFSET(载具产出!H$399,0,0,$R269+1,1))</f>
        <v>1618</v>
      </c>
      <c r="L269" s="40">
        <f ca="1">SUM(T$36:T269)-SUM(OFFSET(载具产出!G$399,0,0,$R269+1,1))</f>
        <v>209025</v>
      </c>
      <c r="M269" s="40">
        <f ca="1">SUM(V$36:V269)/2-SUM(OFFSET(载具产出!I$399,0,0,$R269+1,1))</f>
        <v>606100</v>
      </c>
      <c r="N269" s="40">
        <f ca="1">SUM(AA$36:AA269)-SUM(OFFSET(载具产出!J$399,0,0,$R269+1,1))</f>
        <v>4631.6</v>
      </c>
      <c r="O269" s="40">
        <f ca="1">SUM(AB$36:AB269)-SUM(OFFSET(载具产出!K$399,0,0,$R269+1,1))</f>
        <v>5158.51999999997</v>
      </c>
      <c r="P269" s="40">
        <f ca="1">SUM(AC$36:AC269)-SUM(OFFSET(载具产出!L$399,0,0,$R269+1,1))</f>
        <v>1720.88</v>
      </c>
      <c r="Q269" s="40">
        <f ca="1">SUM(AD$36:AD269)-SUM(OFFSET(载具产出!M$399,0,0,$R269+1,1))</f>
        <v>30</v>
      </c>
      <c r="R269" s="40">
        <v>20</v>
      </c>
      <c r="S269" s="40" t="str">
        <f ca="1">OFFSET(载具产出!$D$111,IFERROR(MATCH(OFFSET($D269,0,MATCH($D$5,$E$6:$H$6,0)),载具产出!$E$112:$E$151,1),0),0)</f>
        <v>卓越Ⅱ</v>
      </c>
      <c r="T269" s="40">
        <f ca="1">OFFSET(载具产出!$F$399,IFERROR(MATCH(OFFSET($D269,0,MATCH($D$5,$E$6:$H$6,0)),载具产出!$E$400:$E$439,1),0),MATCH(T$6,载具产出!$G$399:$O$399,0))</f>
        <v>1125</v>
      </c>
      <c r="U269" s="40">
        <v>7</v>
      </c>
      <c r="V269" s="40">
        <f ca="1">OFFSET(载具产出!$F$399,IFERROR(MATCH(OFFSET($D269,0,MATCH($D$5,$E$6:$H$6,0)),载具产出!$E$400:$E$439,1),0),MATCH(V$6,载具产出!$G$399:$O$399,0))</f>
        <v>7200</v>
      </c>
      <c r="W269" s="43">
        <f ca="1">_xlfn.XLOOKUP(Z269,载具属性!$E$98:$E$497,载具属性!$G$98:$G$497)+6000+OFFSET(载具属性!L$33,AS269,0)*载具属性!M$30+OFFSET(载具属性!M$33,AT269,0)*载具属性!N$30+OFFSET(载具属性!N$33,AU269,0)*载具属性!O$30+OFFSET(载具属性!O$33,AV269,0)*载具属性!P$30</f>
        <v>26420</v>
      </c>
      <c r="X269" s="43">
        <f ca="1">_xlfn.XLOOKUP(Z269,载具属性!$E$98:$E$497,载具属性!$G$98:$G$497)</f>
        <v>13025</v>
      </c>
      <c r="Y269" s="43">
        <f ca="1">OFFSET(载具属性!L$33,AS269,0)*载具属性!M$30+OFFSET(载具属性!M$33,AT269,0)*载具属性!N$30+OFFSET(载具属性!N$33,AU269,0)*载具属性!O$30+OFFSET(载具属性!O$33,AV269,0)*载具属性!P$30</f>
        <v>7395</v>
      </c>
      <c r="Z269" s="40">
        <f ca="1">MATCH(SUM($T$7:T269),载具属性!$I$98:$I$497,1)</f>
        <v>185</v>
      </c>
      <c r="AA269" s="40">
        <f ca="1">OFFSET(载具产出!$F$399,IFERROR(MATCH(OFFSET($D269,0,MATCH($D$5,$E$6:$H$6,0)),载具产出!$E$112:$E$151,1),0),MATCH(AA$6,载具产出!$G$111:$O$111,0))*2</f>
        <v>18</v>
      </c>
      <c r="AB269" s="40">
        <f ca="1">OFFSET(载具产出!$F$399,IFERROR(MATCH(OFFSET($D269,0,MATCH($D$5,$E$6:$H$6,0)),载具产出!$E$112:$E$151,1),0),MATCH(AB$6,载具产出!$G$111:$O$111,0))*2</f>
        <v>21.28</v>
      </c>
      <c r="AC269" s="40">
        <f ca="1">OFFSET(载具产出!$F$399,IFERROR(MATCH(OFFSET($D269,0,MATCH($D$5,$E$6:$H$6,0)),载具产出!$E$112:$E$151,1),0),MATCH(AC$6,载具产出!$G$111:$O$111,0))*2</f>
        <v>15.76</v>
      </c>
      <c r="AD269" s="40">
        <f ca="1">OFFSET(载具产出!$F$399,IFERROR(MATCH(OFFSET($D269,0,MATCH($D$5,$E$6:$H$6,0)),载具产出!$E$112:$E$151,1),0),MATCH(AD$6,载具产出!$G$111:$O$111,0))*2</f>
        <v>0.96</v>
      </c>
      <c r="AE269" s="44">
        <f ca="1">SUM(AA$36:AA269)/3</f>
        <v>1622.8</v>
      </c>
      <c r="AF269" s="44">
        <f ca="1">SUM(AB$36:AB269)/3</f>
        <v>1786.55999999999</v>
      </c>
      <c r="AG269" s="44">
        <f ca="1">SUM(AC$36:AC269)/3</f>
        <v>596.106666666666</v>
      </c>
      <c r="AH269" s="44">
        <f ca="1">SUM(AD$36:AD269)/3</f>
        <v>11.2</v>
      </c>
      <c r="AI269" s="44">
        <f>_xlfn.XLOOKUP($D$5,载具产出!$D$71:$D$75,载具产出!$E$71:$E$75)*(D269-30+1)</f>
        <v>2752.28571428572</v>
      </c>
      <c r="AJ269" s="44">
        <f>IFERROR(MATCH(_xlfn.XLOOKUP($D$5,载具产出!$D$71:$D$75,载具产出!$E$71:$E$75)*(D269-30+1)*10,载具产出!$E$60:$E$67,1),0)+1</f>
        <v>7</v>
      </c>
      <c r="AK269" s="44">
        <f ca="1">IF($AJ269=1,($AI269)*(10*OFFSET(载具产出!$D$45,MATCH(AK$6,$AK$6:$AN$6,0)-1,$AJ269)+OFFSET(载具产出!$D$49,MATCH(AK$6,$AK$6:$AN$6,0)-1,$AJ269)*OFFSET(载具产出!$N$49,MATCH(AK$6,$AK$6:$AN$6,0)-1,0)),OFFSET(载具产出!F$59,$AJ269-1,0)*10+OFFSET(载具产出!J$59,$AJ269-1,0)+($AI269*10-_xlfn.XLOOKUP($AJ269-1,载具产出!$D$59:$D$67,载具产出!$E$59:$E$67))/10*(10*OFFSET(载具产出!$D$45,MATCH(AK$6,$AK$6:$AN$6,0)-1,$AJ269)+OFFSET(载具产出!$D$49,MATCH(AK$6,$AK$6:$AN$6,0)-1,$AJ269)*OFFSET(载具产出!$N$49,MATCH(AK$6,$AK$6:$AN$6,0)-1,0)))</f>
        <v>5997.77742857144</v>
      </c>
      <c r="AL269" s="44">
        <f ca="1">IF($AJ269=1,($AI269)*(10*OFFSET(载具产出!$D$45,MATCH(AL$6,$AK$6:$AN$6,0)-1,$AJ269)+OFFSET(载具产出!$D$49,MATCH(AL$6,$AK$6:$AN$6,0)-1,$AJ269)*OFFSET(载具产出!$N$49,MATCH(AL$6,$AK$6:$AN$6,0)-1,0)),OFFSET(载具产出!G$59,$AJ269-1,0)*10+OFFSET(载具产出!K$59,$AJ269-1,0)+($AI269*10-_xlfn.XLOOKUP($AJ269-1,载具产出!$D$59:$D$67,载具产出!$E$59:$E$67))/10*(10*OFFSET(载具产出!$D$45,MATCH(AL$6,$AK$6:$AN$6,0)-1,$AJ269)+OFFSET(载具产出!$D$49,MATCH(AL$6,$AK$6:$AN$6,0)-1,$AJ269)*OFFSET(载具产出!$N$49,MATCH(AL$6,$AK$6:$AN$6,0)-1,0)))</f>
        <v>2488.44857142858</v>
      </c>
      <c r="AM269" s="44">
        <f ca="1">IF($AJ269=1,($AI269)*(10*OFFSET(载具产出!$D$45,MATCH(AM$6,$AK$6:$AN$6,0)-1,$AJ269)+OFFSET(载具产出!$D$49,MATCH(AM$6,$AK$6:$AN$6,0)-1,$AJ269)*OFFSET(载具产出!$N$49,MATCH(AM$6,$AK$6:$AN$6,0)-1,0)),OFFSET(载具产出!H$59,$AJ269-1,0)*10+OFFSET(载具产出!L$59,$AJ269-1,0)+($AI269*10-_xlfn.XLOOKUP($AJ269-1,载具产出!$D$59:$D$67,载具产出!$E$59:$E$67))/10*(10*OFFSET(载具产出!$D$45,MATCH(AM$6,$AK$6:$AN$6,0)-1,$AJ269)+OFFSET(载具产出!$D$49,MATCH(AM$6,$AK$6:$AN$6,0)-1,$AJ269)*OFFSET(载具产出!$N$49,MATCH(AM$6,$AK$6:$AN$6,0)-1,0)))</f>
        <v>1363.44685714286</v>
      </c>
      <c r="AN269" s="44">
        <f ca="1">IF($AJ269=1,($AI269)*(10*OFFSET(载具产出!$D$45,MATCH(AN$6,$AK$6:$AN$6,0)-1,$AJ269)+OFFSET(载具产出!$D$49,MATCH(AN$6,$AK$6:$AN$6,0)-1,$AJ269)*OFFSET(载具产出!$N$49,MATCH(AN$6,$AK$6:$AN$6,0)-1,0)),OFFSET(载具产出!I$59,$AJ269-1,0)*10+OFFSET(载具产出!M$59,$AJ269-1,0)+($AI269*10-_xlfn.XLOOKUP($AJ269-1,载具产出!$D$59:$D$67,载具产出!$E$59:$E$67))/10*(10*OFFSET(载具产出!$D$45,MATCH(AN$6,$AK$6:$AN$6,0)-1,$AJ269)+OFFSET(载具产出!$D$49,MATCH(AN$6,$AK$6:$AN$6,0)-1,$AJ269)*OFFSET(载具产出!$N$49,MATCH(AN$6,$AK$6:$AN$6,0)-1,0)))</f>
        <v>423.736285714287</v>
      </c>
      <c r="AO269" s="44">
        <f ca="1" t="shared" si="60"/>
        <v>7620.57742857144</v>
      </c>
      <c r="AP269" s="44">
        <f ca="1" t="shared" si="61"/>
        <v>4275.00857142857</v>
      </c>
      <c r="AQ269" s="44">
        <f ca="1" t="shared" si="62"/>
        <v>1959.55352380953</v>
      </c>
      <c r="AR269" s="44">
        <f ca="1" t="shared" si="63"/>
        <v>434.936285714287</v>
      </c>
      <c r="AS269" s="45">
        <f ca="1">IFERROR(MATCH(AO269/载具产出!R$58,载具属性!$G$33:$G$92,1),0)</f>
        <v>40</v>
      </c>
      <c r="AT269" s="45">
        <f ca="1">IFERROR(MATCH(AP269/载具产出!S$58,载具属性!$G$33:$G$92,1),0)</f>
        <v>27</v>
      </c>
      <c r="AU269" s="45">
        <f ca="1">IFERROR(MATCH(AQ269/载具产出!T$58,载具属性!$G$33:$G$92,1),0)</f>
        <v>17</v>
      </c>
      <c r="AV269" s="45">
        <f ca="1">IFERROR(MATCH(AR269/载具产出!U$58,载具属性!$G$33:$G$92,1),0)</f>
        <v>7</v>
      </c>
      <c r="AW269" s="46" t="str">
        <f ca="1" t="shared" si="64"/>
        <v>[{62,1618},{63,209025},{2,606100},{6030001,4631},{6030002,5158},{6030003,1720},{6030004,30}]</v>
      </c>
      <c r="AX269" t="str">
        <f ca="1" t="shared" si="65"/>
        <v>{62,1618}</v>
      </c>
      <c r="AY269" t="str">
        <f ca="1" t="shared" si="66"/>
        <v>{63,209025}</v>
      </c>
      <c r="AZ269" t="str">
        <f ca="1" t="shared" si="67"/>
        <v>{2,606100}</v>
      </c>
      <c r="BA269" t="str">
        <f ca="1" t="shared" si="68"/>
        <v>{6030001,4631}</v>
      </c>
      <c r="BB269" t="str">
        <f ca="1" t="shared" si="69"/>
        <v>{6030002,5158}</v>
      </c>
      <c r="BC269" t="str">
        <f ca="1" t="shared" si="70"/>
        <v>{6030003,1720}</v>
      </c>
      <c r="BD269" t="str">
        <f ca="1" t="shared" si="71"/>
        <v>{6030004,30}</v>
      </c>
    </row>
    <row r="270" spans="3:56">
      <c r="C270">
        <f ca="1" t="shared" si="59"/>
        <v>126.261904761905</v>
      </c>
      <c r="D270" s="40">
        <v>264</v>
      </c>
      <c r="E270" s="40">
        <f t="shared" si="76"/>
        <v>132</v>
      </c>
      <c r="F270" s="40">
        <f t="shared" si="75"/>
        <v>153</v>
      </c>
      <c r="G270" s="41">
        <f t="shared" si="78"/>
        <v>210</v>
      </c>
      <c r="H270" s="40">
        <f>H269</f>
        <v>274</v>
      </c>
      <c r="I270" s="40">
        <f t="shared" si="58"/>
        <v>554</v>
      </c>
      <c r="J270" s="40">
        <f t="shared" si="77"/>
        <v>554</v>
      </c>
      <c r="K270" s="40">
        <f ca="1">SUM(U$36:U270)-SUM(OFFSET(载具产出!H$399,0,0,$R270+1,1))</f>
        <v>1625</v>
      </c>
      <c r="L270" s="40">
        <f ca="1">SUM(T$36:T270)-SUM(OFFSET(载具产出!G$399,0,0,$R270+1,1))</f>
        <v>210150</v>
      </c>
      <c r="M270" s="40">
        <f ca="1">SUM(V$36:V270)/2-SUM(OFFSET(载具产出!I$399,0,0,$R270+1,1))</f>
        <v>609700</v>
      </c>
      <c r="N270" s="40">
        <f ca="1">SUM(AA$36:AA270)-SUM(OFFSET(载具产出!J$399,0,0,$R270+1,1))</f>
        <v>4649.6</v>
      </c>
      <c r="O270" s="40">
        <f ca="1">SUM(AB$36:AB270)-SUM(OFFSET(载具产出!K$399,0,0,$R270+1,1))</f>
        <v>5179.79999999997</v>
      </c>
      <c r="P270" s="40">
        <f ca="1">SUM(AC$36:AC270)-SUM(OFFSET(载具产出!L$399,0,0,$R270+1,1))</f>
        <v>1736.64</v>
      </c>
      <c r="Q270" s="40">
        <f ca="1">SUM(AD$36:AD270)-SUM(OFFSET(载具产出!M$399,0,0,$R270+1,1))</f>
        <v>30.96</v>
      </c>
      <c r="R270" s="40">
        <v>20</v>
      </c>
      <c r="S270" s="40" t="str">
        <f ca="1">OFFSET(载具产出!$D$111,IFERROR(MATCH(OFFSET($D270,0,MATCH($D$5,$E$6:$H$6,0)),载具产出!$E$112:$E$151,1),0),0)</f>
        <v>卓越Ⅱ</v>
      </c>
      <c r="T270" s="40">
        <f ca="1">OFFSET(载具产出!$F$399,IFERROR(MATCH(OFFSET($D270,0,MATCH($D$5,$E$6:$H$6,0)),载具产出!$E$400:$E$439,1),0),MATCH(T$6,载具产出!$G$399:$O$399,0))</f>
        <v>1125</v>
      </c>
      <c r="U270" s="40">
        <v>7</v>
      </c>
      <c r="V270" s="40">
        <f ca="1">OFFSET(载具产出!$F$399,IFERROR(MATCH(OFFSET($D270,0,MATCH($D$5,$E$6:$H$6,0)),载具产出!$E$400:$E$439,1),0),MATCH(V$6,载具产出!$G$399:$O$399,0))</f>
        <v>7200</v>
      </c>
      <c r="W270" s="43">
        <f ca="1">_xlfn.XLOOKUP(Z270,载具属性!$E$98:$E$497,载具属性!$G$98:$G$497)+6000+OFFSET(载具属性!L$33,AS270,0)*载具属性!M$30+OFFSET(载具属性!M$33,AT270,0)*载具属性!N$30+OFFSET(载具属性!N$33,AU270,0)*载具属性!O$30+OFFSET(载具属性!O$33,AV270,0)*载具属性!P$30</f>
        <v>26515</v>
      </c>
      <c r="X270" s="43">
        <f ca="1">_xlfn.XLOOKUP(Z270,载具属性!$E$98:$E$497,载具属性!$G$98:$G$497)</f>
        <v>13120</v>
      </c>
      <c r="Y270" s="43">
        <f ca="1">OFFSET(载具属性!L$33,AS270,0)*载具属性!M$30+OFFSET(载具属性!M$33,AT270,0)*载具属性!N$30+OFFSET(载具属性!N$33,AU270,0)*载具属性!O$30+OFFSET(载具属性!O$33,AV270,0)*载具属性!P$30</f>
        <v>7395</v>
      </c>
      <c r="Z270" s="40">
        <f ca="1">MATCH(SUM($T$7:T270),载具属性!$I$98:$I$497,1)</f>
        <v>186</v>
      </c>
      <c r="AA270" s="40">
        <f ca="1">OFFSET(载具产出!$F$399,IFERROR(MATCH(OFFSET($D270,0,MATCH($D$5,$E$6:$H$6,0)),载具产出!$E$112:$E$151,1),0),MATCH(AA$6,载具产出!$G$111:$O$111,0))*2</f>
        <v>18</v>
      </c>
      <c r="AB270" s="40">
        <f ca="1">OFFSET(载具产出!$F$399,IFERROR(MATCH(OFFSET($D270,0,MATCH($D$5,$E$6:$H$6,0)),载具产出!$E$112:$E$151,1),0),MATCH(AB$6,载具产出!$G$111:$O$111,0))*2</f>
        <v>21.28</v>
      </c>
      <c r="AC270" s="40">
        <f ca="1">OFFSET(载具产出!$F$399,IFERROR(MATCH(OFFSET($D270,0,MATCH($D$5,$E$6:$H$6,0)),载具产出!$E$112:$E$151,1),0),MATCH(AC$6,载具产出!$G$111:$O$111,0))*2</f>
        <v>15.76</v>
      </c>
      <c r="AD270" s="40">
        <f ca="1">OFFSET(载具产出!$F$399,IFERROR(MATCH(OFFSET($D270,0,MATCH($D$5,$E$6:$H$6,0)),载具产出!$E$112:$E$151,1),0),MATCH(AD$6,载具产出!$G$111:$O$111,0))*2</f>
        <v>0.96</v>
      </c>
      <c r="AE270" s="44">
        <f ca="1">SUM(AA$36:AA270)/3</f>
        <v>1628.8</v>
      </c>
      <c r="AF270" s="44">
        <f ca="1">SUM(AB$36:AB270)/3</f>
        <v>1793.65333333332</v>
      </c>
      <c r="AG270" s="44">
        <f ca="1">SUM(AC$36:AC270)/3</f>
        <v>601.359999999999</v>
      </c>
      <c r="AH270" s="44">
        <f ca="1">SUM(AD$36:AD270)/3</f>
        <v>11.52</v>
      </c>
      <c r="AI270" s="44">
        <f>_xlfn.XLOOKUP($D$5,载具产出!$D$71:$D$75,载具产出!$E$71:$E$75)*(D270-30+1)</f>
        <v>2764.04761904763</v>
      </c>
      <c r="AJ270" s="44">
        <f>IFERROR(MATCH(_xlfn.XLOOKUP($D$5,载具产出!$D$71:$D$75,载具产出!$E$71:$E$75)*(D270-30+1)*10,载具产出!$E$60:$E$67,1),0)+1</f>
        <v>7</v>
      </c>
      <c r="AK270" s="44">
        <f ca="1">IF($AJ270=1,($AI270)*(10*OFFSET(载具产出!$D$45,MATCH(AK$6,$AK$6:$AN$6,0)-1,$AJ270)+OFFSET(载具产出!$D$49,MATCH(AK$6,$AK$6:$AN$6,0)-1,$AJ270)*OFFSET(载具产出!$N$49,MATCH(AK$6,$AK$6:$AN$6,0)-1,0)),OFFSET(载具产出!F$59,$AJ270-1,0)*10+OFFSET(载具产出!J$59,$AJ270-1,0)+($AI270*10-_xlfn.XLOOKUP($AJ270-1,载具产出!$D$59:$D$67,载具产出!$E$59:$E$67))/10*(10*OFFSET(载具产出!$D$45,MATCH(AK$6,$AK$6:$AN$6,0)-1,$AJ270)+OFFSET(载具产出!$D$49,MATCH(AK$6,$AK$6:$AN$6,0)-1,$AJ270)*OFFSET(载具产出!$N$49,MATCH(AK$6,$AK$6:$AN$6,0)-1,0)))</f>
        <v>6022.61857142859</v>
      </c>
      <c r="AL270" s="44">
        <f ca="1">IF($AJ270=1,($AI270)*(10*OFFSET(载具产出!$D$45,MATCH(AL$6,$AK$6:$AN$6,0)-1,$AJ270)+OFFSET(载具产出!$D$49,MATCH(AL$6,$AK$6:$AN$6,0)-1,$AJ270)*OFFSET(载具产出!$N$49,MATCH(AL$6,$AK$6:$AN$6,0)-1,0)),OFFSET(载具产出!G$59,$AJ270-1,0)*10+OFFSET(载具产出!K$59,$AJ270-1,0)+($AI270*10-_xlfn.XLOOKUP($AJ270-1,载具产出!$D$59:$D$67,载具产出!$E$59:$E$67))/10*(10*OFFSET(载具产出!$D$45,MATCH(AL$6,$AK$6:$AN$6,0)-1,$AJ270)+OFFSET(载具产出!$D$49,MATCH(AL$6,$AK$6:$AN$6,0)-1,$AJ270)*OFFSET(载具产出!$N$49,MATCH(AL$6,$AK$6:$AN$6,0)-1,0)))</f>
        <v>2499.50476190477</v>
      </c>
      <c r="AM270" s="44">
        <f ca="1">IF($AJ270=1,($AI270)*(10*OFFSET(载具产出!$D$45,MATCH(AM$6,$AK$6:$AN$6,0)-1,$AJ270)+OFFSET(载具产出!$D$49,MATCH(AM$6,$AK$6:$AN$6,0)-1,$AJ270)*OFFSET(载具产出!$N$49,MATCH(AM$6,$AK$6:$AN$6,0)-1,0)),OFFSET(载具产出!H$59,$AJ270-1,0)*10+OFFSET(载具产出!L$59,$AJ270-1,0)+($AI270*10-_xlfn.XLOOKUP($AJ270-1,载具产出!$D$59:$D$67,载具产出!$E$59:$E$67))/10*(10*OFFSET(载具产出!$D$45,MATCH(AM$6,$AK$6:$AN$6,0)-1,$AJ270)+OFFSET(载具产出!$D$49,MATCH(AM$6,$AK$6:$AN$6,0)-1,$AJ270)*OFFSET(载具产出!$N$49,MATCH(AM$6,$AK$6:$AN$6,0)-1,0)))</f>
        <v>1369.65714285715</v>
      </c>
      <c r="AN270" s="44">
        <f ca="1">IF($AJ270=1,($AI270)*(10*OFFSET(载具产出!$D$45,MATCH(AN$6,$AK$6:$AN$6,0)-1,$AJ270)+OFFSET(载具产出!$D$49,MATCH(AN$6,$AK$6:$AN$6,0)-1,$AJ270)*OFFSET(载具产出!$N$49,MATCH(AN$6,$AK$6:$AN$6,0)-1,0)),OFFSET(载具产出!I$59,$AJ270-1,0)*10+OFFSET(载具产出!M$59,$AJ270-1,0)+($AI270*10-_xlfn.XLOOKUP($AJ270-1,载具产出!$D$59:$D$67,载具产出!$E$59:$E$67))/10*(10*OFFSET(载具产出!$D$45,MATCH(AN$6,$AK$6:$AN$6,0)-1,$AJ270)+OFFSET(载具产出!$D$49,MATCH(AN$6,$AK$6:$AN$6,0)-1,$AJ270)*OFFSET(载具产出!$N$49,MATCH(AN$6,$AK$6:$AN$6,0)-1,0)))</f>
        <v>425.724047619049</v>
      </c>
      <c r="AO270" s="44">
        <f ca="1" t="shared" si="60"/>
        <v>7651.41857142859</v>
      </c>
      <c r="AP270" s="44">
        <f ca="1" t="shared" si="61"/>
        <v>4293.1580952381</v>
      </c>
      <c r="AQ270" s="44">
        <f ca="1" t="shared" si="62"/>
        <v>1971.01714285715</v>
      </c>
      <c r="AR270" s="44">
        <f ca="1" t="shared" si="63"/>
        <v>437.244047619049</v>
      </c>
      <c r="AS270" s="45">
        <f ca="1">IFERROR(MATCH(AO270/载具产出!R$58,载具属性!$G$33:$G$92,1),0)</f>
        <v>40</v>
      </c>
      <c r="AT270" s="45">
        <f ca="1">IFERROR(MATCH(AP270/载具产出!S$58,载具属性!$G$33:$G$92,1),0)</f>
        <v>27</v>
      </c>
      <c r="AU270" s="45">
        <f ca="1">IFERROR(MATCH(AQ270/载具产出!T$58,载具属性!$G$33:$G$92,1),0)</f>
        <v>17</v>
      </c>
      <c r="AV270" s="45">
        <f ca="1">IFERROR(MATCH(AR270/载具产出!U$58,载具属性!$G$33:$G$92,1),0)</f>
        <v>7</v>
      </c>
      <c r="AW270" s="46" t="str">
        <f ca="1" t="shared" si="64"/>
        <v>[{62,1625},{63,210150},{2,609700},{6030001,4649},{6030002,5179},{6030003,1736},{6030004,30}]</v>
      </c>
      <c r="AX270" t="str">
        <f ca="1" t="shared" si="65"/>
        <v>{62,1625}</v>
      </c>
      <c r="AY270" t="str">
        <f ca="1" t="shared" si="66"/>
        <v>{63,210150}</v>
      </c>
      <c r="AZ270" t="str">
        <f ca="1" t="shared" si="67"/>
        <v>{2,609700}</v>
      </c>
      <c r="BA270" t="str">
        <f ca="1" t="shared" si="68"/>
        <v>{6030001,4649}</v>
      </c>
      <c r="BB270" t="str">
        <f ca="1" t="shared" si="69"/>
        <v>{6030002,5179}</v>
      </c>
      <c r="BC270" t="str">
        <f ca="1" t="shared" si="70"/>
        <v>{6030003,1736}</v>
      </c>
      <c r="BD270" t="str">
        <f ca="1" t="shared" si="71"/>
        <v>{6030004,30}</v>
      </c>
    </row>
    <row r="271" spans="3:56">
      <c r="C271">
        <f ca="1" t="shared" si="59"/>
        <v>126.690476190476</v>
      </c>
      <c r="D271" s="40">
        <v>265</v>
      </c>
      <c r="E271" s="40">
        <f t="shared" si="76"/>
        <v>133</v>
      </c>
      <c r="F271" s="40">
        <f t="shared" si="75"/>
        <v>153</v>
      </c>
      <c r="G271" s="41">
        <f t="shared" si="78"/>
        <v>210</v>
      </c>
      <c r="H271" s="40">
        <f>H270+1</f>
        <v>275</v>
      </c>
      <c r="I271" s="40">
        <f t="shared" si="58"/>
        <v>556</v>
      </c>
      <c r="J271" s="40">
        <f t="shared" si="77"/>
        <v>556</v>
      </c>
      <c r="K271" s="40">
        <f ca="1">SUM(U$36:U271)-SUM(OFFSET(载具产出!H$399,0,0,$R271+1,1))</f>
        <v>1632</v>
      </c>
      <c r="L271" s="40">
        <f ca="1">SUM(T$36:T271)-SUM(OFFSET(载具产出!G$399,0,0,$R271+1,1))</f>
        <v>211275</v>
      </c>
      <c r="M271" s="40">
        <f ca="1">SUM(V$36:V271)/2-SUM(OFFSET(载具产出!I$399,0,0,$R271+1,1))</f>
        <v>613300</v>
      </c>
      <c r="N271" s="40">
        <f ca="1">SUM(AA$36:AA271)-SUM(OFFSET(载具产出!J$399,0,0,$R271+1,1))</f>
        <v>4667.6</v>
      </c>
      <c r="O271" s="40">
        <f ca="1">SUM(AB$36:AB271)-SUM(OFFSET(载具产出!K$399,0,0,$R271+1,1))</f>
        <v>5201.07999999997</v>
      </c>
      <c r="P271" s="40">
        <f ca="1">SUM(AC$36:AC271)-SUM(OFFSET(载具产出!L$399,0,0,$R271+1,1))</f>
        <v>1752.4</v>
      </c>
      <c r="Q271" s="40">
        <f ca="1">SUM(AD$36:AD271)-SUM(OFFSET(载具产出!M$399,0,0,$R271+1,1))</f>
        <v>31.92</v>
      </c>
      <c r="R271" s="40">
        <v>20</v>
      </c>
      <c r="S271" s="40" t="str">
        <f ca="1">OFFSET(载具产出!$D$111,IFERROR(MATCH(OFFSET($D271,0,MATCH($D$5,$E$6:$H$6,0)),载具产出!$E$112:$E$151,1),0),0)</f>
        <v>卓越Ⅱ</v>
      </c>
      <c r="T271" s="40">
        <f ca="1">OFFSET(载具产出!$F$399,IFERROR(MATCH(OFFSET($D271,0,MATCH($D$5,$E$6:$H$6,0)),载具产出!$E$400:$E$439,1),0),MATCH(T$6,载具产出!$G$399:$O$399,0))</f>
        <v>1125</v>
      </c>
      <c r="U271" s="40">
        <v>7</v>
      </c>
      <c r="V271" s="40">
        <f ca="1">OFFSET(载具产出!$F$399,IFERROR(MATCH(OFFSET($D271,0,MATCH($D$5,$E$6:$H$6,0)),载具产出!$E$400:$E$439,1),0),MATCH(V$6,载具产出!$G$399:$O$399,0))</f>
        <v>7200</v>
      </c>
      <c r="W271" s="43">
        <f ca="1">_xlfn.XLOOKUP(Z271,载具属性!$E$98:$E$497,载具属性!$G$98:$G$497)+6000+OFFSET(载具属性!L$33,AS271,0)*载具属性!M$30+OFFSET(载具属性!M$33,AT271,0)*载具属性!N$30+OFFSET(载具属性!N$33,AU271,0)*载具属性!O$30+OFFSET(载具属性!O$33,AV271,0)*载具属性!P$30</f>
        <v>26605</v>
      </c>
      <c r="X271" s="43">
        <f ca="1">_xlfn.XLOOKUP(Z271,载具属性!$E$98:$E$497,载具属性!$G$98:$G$497)</f>
        <v>13120</v>
      </c>
      <c r="Y271" s="43">
        <f ca="1">OFFSET(载具属性!L$33,AS271,0)*载具属性!M$30+OFFSET(载具属性!M$33,AT271,0)*载具属性!N$30+OFFSET(载具属性!N$33,AU271,0)*载具属性!O$30+OFFSET(载具属性!O$33,AV271,0)*载具属性!P$30</f>
        <v>7485</v>
      </c>
      <c r="Z271" s="40">
        <f ca="1">MATCH(SUM($T$7:T271),载具属性!$I$98:$I$497,1)</f>
        <v>186</v>
      </c>
      <c r="AA271" s="40">
        <f ca="1">OFFSET(载具产出!$F$399,IFERROR(MATCH(OFFSET($D271,0,MATCH($D$5,$E$6:$H$6,0)),载具产出!$E$112:$E$151,1),0),MATCH(AA$6,载具产出!$G$111:$O$111,0))*2</f>
        <v>18</v>
      </c>
      <c r="AB271" s="40">
        <f ca="1">OFFSET(载具产出!$F$399,IFERROR(MATCH(OFFSET($D271,0,MATCH($D$5,$E$6:$H$6,0)),载具产出!$E$112:$E$151,1),0),MATCH(AB$6,载具产出!$G$111:$O$111,0))*2</f>
        <v>21.28</v>
      </c>
      <c r="AC271" s="40">
        <f ca="1">OFFSET(载具产出!$F$399,IFERROR(MATCH(OFFSET($D271,0,MATCH($D$5,$E$6:$H$6,0)),载具产出!$E$112:$E$151,1),0),MATCH(AC$6,载具产出!$G$111:$O$111,0))*2</f>
        <v>15.76</v>
      </c>
      <c r="AD271" s="40">
        <f ca="1">OFFSET(载具产出!$F$399,IFERROR(MATCH(OFFSET($D271,0,MATCH($D$5,$E$6:$H$6,0)),载具产出!$E$112:$E$151,1),0),MATCH(AD$6,载具产出!$G$111:$O$111,0))*2</f>
        <v>0.96</v>
      </c>
      <c r="AE271" s="44">
        <f ca="1">SUM(AA$36:AA271)/3</f>
        <v>1634.8</v>
      </c>
      <c r="AF271" s="44">
        <f ca="1">SUM(AB$36:AB271)/3</f>
        <v>1800.74666666666</v>
      </c>
      <c r="AG271" s="44">
        <f ca="1">SUM(AC$36:AC271)/3</f>
        <v>606.613333333333</v>
      </c>
      <c r="AH271" s="44">
        <f ca="1">SUM(AD$36:AD271)/3</f>
        <v>11.84</v>
      </c>
      <c r="AI271" s="44">
        <f>_xlfn.XLOOKUP($D$5,载具产出!$D$71:$D$75,载具产出!$E$71:$E$75)*(D271-30+1)</f>
        <v>2775.80952380953</v>
      </c>
      <c r="AJ271" s="44">
        <f>IFERROR(MATCH(_xlfn.XLOOKUP($D$5,载具产出!$D$71:$D$75,载具产出!$E$71:$E$75)*(D271-30+1)*10,载具产出!$E$60:$E$67,1),0)+1</f>
        <v>7</v>
      </c>
      <c r="AK271" s="44">
        <f ca="1">IF($AJ271=1,($AI271)*(10*OFFSET(载具产出!$D$45,MATCH(AK$6,$AK$6:$AN$6,0)-1,$AJ271)+OFFSET(载具产出!$D$49,MATCH(AK$6,$AK$6:$AN$6,0)-1,$AJ271)*OFFSET(载具产出!$N$49,MATCH(AK$6,$AK$6:$AN$6,0)-1,0)),OFFSET(载具产出!F$59,$AJ271-1,0)*10+OFFSET(载具产出!J$59,$AJ271-1,0)+($AI271*10-_xlfn.XLOOKUP($AJ271-1,载具产出!$D$59:$D$67,载具产出!$E$59:$E$67))/10*(10*OFFSET(载具产出!$D$45,MATCH(AK$6,$AK$6:$AN$6,0)-1,$AJ271)+OFFSET(载具产出!$D$49,MATCH(AK$6,$AK$6:$AN$6,0)-1,$AJ271)*OFFSET(载具产出!$N$49,MATCH(AK$6,$AK$6:$AN$6,0)-1,0)))</f>
        <v>6047.45971428573</v>
      </c>
      <c r="AL271" s="44">
        <f ca="1">IF($AJ271=1,($AI271)*(10*OFFSET(载具产出!$D$45,MATCH(AL$6,$AK$6:$AN$6,0)-1,$AJ271)+OFFSET(载具产出!$D$49,MATCH(AL$6,$AK$6:$AN$6,0)-1,$AJ271)*OFFSET(载具产出!$N$49,MATCH(AL$6,$AK$6:$AN$6,0)-1,0)),OFFSET(载具产出!G$59,$AJ271-1,0)*10+OFFSET(载具产出!K$59,$AJ271-1,0)+($AI271*10-_xlfn.XLOOKUP($AJ271-1,载具产出!$D$59:$D$67,载具产出!$E$59:$E$67))/10*(10*OFFSET(载具产出!$D$45,MATCH(AL$6,$AK$6:$AN$6,0)-1,$AJ271)+OFFSET(载具产出!$D$49,MATCH(AL$6,$AK$6:$AN$6,0)-1,$AJ271)*OFFSET(载具产出!$N$49,MATCH(AL$6,$AK$6:$AN$6,0)-1,0)))</f>
        <v>2510.56095238096</v>
      </c>
      <c r="AM271" s="44">
        <f ca="1">IF($AJ271=1,($AI271)*(10*OFFSET(载具产出!$D$45,MATCH(AM$6,$AK$6:$AN$6,0)-1,$AJ271)+OFFSET(载具产出!$D$49,MATCH(AM$6,$AK$6:$AN$6,0)-1,$AJ271)*OFFSET(载具产出!$N$49,MATCH(AM$6,$AK$6:$AN$6,0)-1,0)),OFFSET(载具产出!H$59,$AJ271-1,0)*10+OFFSET(载具产出!L$59,$AJ271-1,0)+($AI271*10-_xlfn.XLOOKUP($AJ271-1,载具产出!$D$59:$D$67,载具产出!$E$59:$E$67))/10*(10*OFFSET(载具产出!$D$45,MATCH(AM$6,$AK$6:$AN$6,0)-1,$AJ271)+OFFSET(载具产出!$D$49,MATCH(AM$6,$AK$6:$AN$6,0)-1,$AJ271)*OFFSET(载具产出!$N$49,MATCH(AM$6,$AK$6:$AN$6,0)-1,0)))</f>
        <v>1375.86742857143</v>
      </c>
      <c r="AN271" s="44">
        <f ca="1">IF($AJ271=1,($AI271)*(10*OFFSET(载具产出!$D$45,MATCH(AN$6,$AK$6:$AN$6,0)-1,$AJ271)+OFFSET(载具产出!$D$49,MATCH(AN$6,$AK$6:$AN$6,0)-1,$AJ271)*OFFSET(载具产出!$N$49,MATCH(AN$6,$AK$6:$AN$6,0)-1,0)),OFFSET(载具产出!I$59,$AJ271-1,0)*10+OFFSET(载具产出!M$59,$AJ271-1,0)+($AI271*10-_xlfn.XLOOKUP($AJ271-1,载具产出!$D$59:$D$67,载具产出!$E$59:$E$67))/10*(10*OFFSET(载具产出!$D$45,MATCH(AN$6,$AK$6:$AN$6,0)-1,$AJ271)+OFFSET(载具产出!$D$49,MATCH(AN$6,$AK$6:$AN$6,0)-1,$AJ271)*OFFSET(载具产出!$N$49,MATCH(AN$6,$AK$6:$AN$6,0)-1,0)))</f>
        <v>427.711809523811</v>
      </c>
      <c r="AO271" s="44">
        <f ca="1" t="shared" si="60"/>
        <v>7682.25971428573</v>
      </c>
      <c r="AP271" s="44">
        <f ca="1" t="shared" si="61"/>
        <v>4311.30761904762</v>
      </c>
      <c r="AQ271" s="44">
        <f ca="1" t="shared" si="62"/>
        <v>1982.48076190476</v>
      </c>
      <c r="AR271" s="44">
        <f ca="1" t="shared" si="63"/>
        <v>439.551809523811</v>
      </c>
      <c r="AS271" s="45">
        <f ca="1">IFERROR(MATCH(AO271/载具产出!R$58,载具属性!$G$33:$G$92,1),0)</f>
        <v>40</v>
      </c>
      <c r="AT271" s="45">
        <f ca="1">IFERROR(MATCH(AP271/载具产出!S$58,载具属性!$G$33:$G$92,1),0)</f>
        <v>28</v>
      </c>
      <c r="AU271" s="45">
        <f ca="1">IFERROR(MATCH(AQ271/载具产出!T$58,载具属性!$G$33:$G$92,1),0)</f>
        <v>17</v>
      </c>
      <c r="AV271" s="45">
        <f ca="1">IFERROR(MATCH(AR271/载具产出!U$58,载具属性!$G$33:$G$92,1),0)</f>
        <v>7</v>
      </c>
      <c r="AW271" s="46" t="str">
        <f ca="1" t="shared" si="64"/>
        <v>[{62,1632},{63,211275},{2,613300},{6030001,4667},{6030002,5201},{6030003,1752},{6030004,31}]</v>
      </c>
      <c r="AX271" t="str">
        <f ca="1" t="shared" si="65"/>
        <v>{62,1632}</v>
      </c>
      <c r="AY271" t="str">
        <f ca="1" t="shared" si="66"/>
        <v>{63,211275}</v>
      </c>
      <c r="AZ271" t="str">
        <f ca="1" t="shared" si="67"/>
        <v>{2,613300}</v>
      </c>
      <c r="BA271" t="str">
        <f ca="1" t="shared" si="68"/>
        <v>{6030001,4667}</v>
      </c>
      <c r="BB271" t="str">
        <f ca="1" t="shared" si="69"/>
        <v>{6030002,5201}</v>
      </c>
      <c r="BC271" t="str">
        <f ca="1" t="shared" si="70"/>
        <v>{6030003,1752}</v>
      </c>
      <c r="BD271" t="str">
        <f ca="1" t="shared" si="71"/>
        <v>{6030004,31}</v>
      </c>
    </row>
    <row r="272" spans="3:56">
      <c r="C272">
        <f ca="1" t="shared" si="59"/>
        <v>127.142857142857</v>
      </c>
      <c r="D272" s="40">
        <v>266</v>
      </c>
      <c r="E272" s="40">
        <f t="shared" si="76"/>
        <v>133</v>
      </c>
      <c r="F272" s="40">
        <f t="shared" si="75"/>
        <v>153</v>
      </c>
      <c r="G272" s="41">
        <f t="shared" si="78"/>
        <v>210</v>
      </c>
      <c r="H272" s="40">
        <f>H271</f>
        <v>275</v>
      </c>
      <c r="I272" s="40">
        <f t="shared" si="58"/>
        <v>558</v>
      </c>
      <c r="J272" s="40">
        <f t="shared" si="77"/>
        <v>558</v>
      </c>
      <c r="K272" s="40">
        <f ca="1">SUM(U$36:U272)-SUM(OFFSET(载具产出!H$399,0,0,$R272+1,1))</f>
        <v>1639</v>
      </c>
      <c r="L272" s="40">
        <f ca="1">SUM(T$36:T272)-SUM(OFFSET(载具产出!G$399,0,0,$R272+1,1))</f>
        <v>212400</v>
      </c>
      <c r="M272" s="40">
        <f ca="1">SUM(V$36:V272)/2-SUM(OFFSET(载具产出!I$399,0,0,$R272+1,1))</f>
        <v>616900</v>
      </c>
      <c r="N272" s="40">
        <f ca="1">SUM(AA$36:AA272)-SUM(OFFSET(载具产出!J$399,0,0,$R272+1,1))</f>
        <v>4685.6</v>
      </c>
      <c r="O272" s="40">
        <f ca="1">SUM(AB$36:AB272)-SUM(OFFSET(载具产出!K$399,0,0,$R272+1,1))</f>
        <v>5222.35999999997</v>
      </c>
      <c r="P272" s="40">
        <f ca="1">SUM(AC$36:AC272)-SUM(OFFSET(载具产出!L$399,0,0,$R272+1,1))</f>
        <v>1768.16</v>
      </c>
      <c r="Q272" s="40">
        <f ca="1">SUM(AD$36:AD272)-SUM(OFFSET(载具产出!M$399,0,0,$R272+1,1))</f>
        <v>32.88</v>
      </c>
      <c r="R272" s="40">
        <v>20</v>
      </c>
      <c r="S272" s="40" t="str">
        <f ca="1">OFFSET(载具产出!$D$111,IFERROR(MATCH(OFFSET($D272,0,MATCH($D$5,$E$6:$H$6,0)),载具产出!$E$112:$E$151,1),0),0)</f>
        <v>卓越Ⅱ</v>
      </c>
      <c r="T272" s="40">
        <f ca="1">OFFSET(载具产出!$F$399,IFERROR(MATCH(OFFSET($D272,0,MATCH($D$5,$E$6:$H$6,0)),载具产出!$E$400:$E$439,1),0),MATCH(T$6,载具产出!$G$399:$O$399,0))</f>
        <v>1125</v>
      </c>
      <c r="U272" s="40">
        <v>7</v>
      </c>
      <c r="V272" s="40">
        <f ca="1">OFFSET(载具产出!$F$399,IFERROR(MATCH(OFFSET($D272,0,MATCH($D$5,$E$6:$H$6,0)),载具产出!$E$400:$E$439,1),0),MATCH(V$6,载具产出!$G$399:$O$399,0))</f>
        <v>7200</v>
      </c>
      <c r="W272" s="43">
        <f ca="1">_xlfn.XLOOKUP(Z272,载具属性!$E$98:$E$497,载具属性!$G$98:$G$497)+6000+OFFSET(载具属性!L$33,AS272,0)*载具属性!M$30+OFFSET(载具属性!M$33,AT272,0)*载具属性!N$30+OFFSET(载具属性!N$33,AU272,0)*载具属性!O$30+OFFSET(载具属性!O$33,AV272,0)*载具属性!P$30</f>
        <v>26700</v>
      </c>
      <c r="X272" s="43">
        <f ca="1">_xlfn.XLOOKUP(Z272,载具属性!$E$98:$E$497,载具属性!$G$98:$G$497)</f>
        <v>13215</v>
      </c>
      <c r="Y272" s="43">
        <f ca="1">OFFSET(载具属性!L$33,AS272,0)*载具属性!M$30+OFFSET(载具属性!M$33,AT272,0)*载具属性!N$30+OFFSET(载具属性!N$33,AU272,0)*载具属性!O$30+OFFSET(载具属性!O$33,AV272,0)*载具属性!P$30</f>
        <v>7485</v>
      </c>
      <c r="Z272" s="40">
        <f ca="1">MATCH(SUM($T$7:T272),载具属性!$I$98:$I$497,1)</f>
        <v>187</v>
      </c>
      <c r="AA272" s="40">
        <f ca="1">OFFSET(载具产出!$F$399,IFERROR(MATCH(OFFSET($D272,0,MATCH($D$5,$E$6:$H$6,0)),载具产出!$E$112:$E$151,1),0),MATCH(AA$6,载具产出!$G$111:$O$111,0))*2</f>
        <v>18</v>
      </c>
      <c r="AB272" s="40">
        <f ca="1">OFFSET(载具产出!$F$399,IFERROR(MATCH(OFFSET($D272,0,MATCH($D$5,$E$6:$H$6,0)),载具产出!$E$112:$E$151,1),0),MATCH(AB$6,载具产出!$G$111:$O$111,0))*2</f>
        <v>21.28</v>
      </c>
      <c r="AC272" s="40">
        <f ca="1">OFFSET(载具产出!$F$399,IFERROR(MATCH(OFFSET($D272,0,MATCH($D$5,$E$6:$H$6,0)),载具产出!$E$112:$E$151,1),0),MATCH(AC$6,载具产出!$G$111:$O$111,0))*2</f>
        <v>15.76</v>
      </c>
      <c r="AD272" s="40">
        <f ca="1">OFFSET(载具产出!$F$399,IFERROR(MATCH(OFFSET($D272,0,MATCH($D$5,$E$6:$H$6,0)),载具产出!$E$112:$E$151,1),0),MATCH(AD$6,载具产出!$G$111:$O$111,0))*2</f>
        <v>0.96</v>
      </c>
      <c r="AE272" s="44">
        <f ca="1">SUM(AA$36:AA272)/3</f>
        <v>1640.8</v>
      </c>
      <c r="AF272" s="44">
        <f ca="1">SUM(AB$36:AB272)/3</f>
        <v>1807.83999999999</v>
      </c>
      <c r="AG272" s="44">
        <f ca="1">SUM(AC$36:AC272)/3</f>
        <v>611.866666666666</v>
      </c>
      <c r="AH272" s="44">
        <f ca="1">SUM(AD$36:AD272)/3</f>
        <v>12.16</v>
      </c>
      <c r="AI272" s="44">
        <f>_xlfn.XLOOKUP($D$5,载具产出!$D$71:$D$75,载具产出!$E$71:$E$75)*(D272-30+1)</f>
        <v>2787.57142857144</v>
      </c>
      <c r="AJ272" s="44">
        <f>IFERROR(MATCH(_xlfn.XLOOKUP($D$5,载具产出!$D$71:$D$75,载具产出!$E$71:$E$75)*(D272-30+1)*10,载具产出!$E$60:$E$67,1),0)+1</f>
        <v>7</v>
      </c>
      <c r="AK272" s="44">
        <f ca="1">IF($AJ272=1,($AI272)*(10*OFFSET(载具产出!$D$45,MATCH(AK$6,$AK$6:$AN$6,0)-1,$AJ272)+OFFSET(载具产出!$D$49,MATCH(AK$6,$AK$6:$AN$6,0)-1,$AJ272)*OFFSET(载具产出!$N$49,MATCH(AK$6,$AK$6:$AN$6,0)-1,0)),OFFSET(载具产出!F$59,$AJ272-1,0)*10+OFFSET(载具产出!J$59,$AJ272-1,0)+($AI272*10-_xlfn.XLOOKUP($AJ272-1,载具产出!$D$59:$D$67,载具产出!$E$59:$E$67))/10*(10*OFFSET(载具产出!$D$45,MATCH(AK$6,$AK$6:$AN$6,0)-1,$AJ272)+OFFSET(载具产出!$D$49,MATCH(AK$6,$AK$6:$AN$6,0)-1,$AJ272)*OFFSET(载具产出!$N$49,MATCH(AK$6,$AK$6:$AN$6,0)-1,0)))</f>
        <v>6072.30085714288</v>
      </c>
      <c r="AL272" s="44">
        <f ca="1">IF($AJ272=1,($AI272)*(10*OFFSET(载具产出!$D$45,MATCH(AL$6,$AK$6:$AN$6,0)-1,$AJ272)+OFFSET(载具产出!$D$49,MATCH(AL$6,$AK$6:$AN$6,0)-1,$AJ272)*OFFSET(载具产出!$N$49,MATCH(AL$6,$AK$6:$AN$6,0)-1,0)),OFFSET(载具产出!G$59,$AJ272-1,0)*10+OFFSET(载具产出!K$59,$AJ272-1,0)+($AI272*10-_xlfn.XLOOKUP($AJ272-1,载具产出!$D$59:$D$67,载具产出!$E$59:$E$67))/10*(10*OFFSET(载具产出!$D$45,MATCH(AL$6,$AK$6:$AN$6,0)-1,$AJ272)+OFFSET(载具产出!$D$49,MATCH(AL$6,$AK$6:$AN$6,0)-1,$AJ272)*OFFSET(载具产出!$N$49,MATCH(AL$6,$AK$6:$AN$6,0)-1,0)))</f>
        <v>2521.61714285715</v>
      </c>
      <c r="AM272" s="44">
        <f ca="1">IF($AJ272=1,($AI272)*(10*OFFSET(载具产出!$D$45,MATCH(AM$6,$AK$6:$AN$6,0)-1,$AJ272)+OFFSET(载具产出!$D$49,MATCH(AM$6,$AK$6:$AN$6,0)-1,$AJ272)*OFFSET(载具产出!$N$49,MATCH(AM$6,$AK$6:$AN$6,0)-1,0)),OFFSET(载具产出!H$59,$AJ272-1,0)*10+OFFSET(载具产出!L$59,$AJ272-1,0)+($AI272*10-_xlfn.XLOOKUP($AJ272-1,载具产出!$D$59:$D$67,载具产出!$E$59:$E$67))/10*(10*OFFSET(载具产出!$D$45,MATCH(AM$6,$AK$6:$AN$6,0)-1,$AJ272)+OFFSET(载具产出!$D$49,MATCH(AM$6,$AK$6:$AN$6,0)-1,$AJ272)*OFFSET(载具产出!$N$49,MATCH(AM$6,$AK$6:$AN$6,0)-1,0)))</f>
        <v>1382.07771428572</v>
      </c>
      <c r="AN272" s="44">
        <f ca="1">IF($AJ272=1,($AI272)*(10*OFFSET(载具产出!$D$45,MATCH(AN$6,$AK$6:$AN$6,0)-1,$AJ272)+OFFSET(载具产出!$D$49,MATCH(AN$6,$AK$6:$AN$6,0)-1,$AJ272)*OFFSET(载具产出!$N$49,MATCH(AN$6,$AK$6:$AN$6,0)-1,0)),OFFSET(载具产出!I$59,$AJ272-1,0)*10+OFFSET(载具产出!M$59,$AJ272-1,0)+($AI272*10-_xlfn.XLOOKUP($AJ272-1,载具产出!$D$59:$D$67,载具产出!$E$59:$E$67))/10*(10*OFFSET(载具产出!$D$45,MATCH(AN$6,$AK$6:$AN$6,0)-1,$AJ272)+OFFSET(载具产出!$D$49,MATCH(AN$6,$AK$6:$AN$6,0)-1,$AJ272)*OFFSET(载具产出!$N$49,MATCH(AN$6,$AK$6:$AN$6,0)-1,0)))</f>
        <v>429.699571428573</v>
      </c>
      <c r="AO272" s="44">
        <f ca="1" t="shared" si="60"/>
        <v>7713.10085714288</v>
      </c>
      <c r="AP272" s="44">
        <f ca="1" t="shared" si="61"/>
        <v>4329.45714285714</v>
      </c>
      <c r="AQ272" s="44">
        <f ca="1" t="shared" si="62"/>
        <v>1993.94438095239</v>
      </c>
      <c r="AR272" s="44">
        <f ca="1" t="shared" si="63"/>
        <v>441.859571428573</v>
      </c>
      <c r="AS272" s="45">
        <f ca="1">IFERROR(MATCH(AO272/载具产出!R$58,载具属性!$G$33:$G$92,1),0)</f>
        <v>40</v>
      </c>
      <c r="AT272" s="45">
        <f ca="1">IFERROR(MATCH(AP272/载具产出!S$58,载具属性!$G$33:$G$92,1),0)</f>
        <v>28</v>
      </c>
      <c r="AU272" s="45">
        <f ca="1">IFERROR(MATCH(AQ272/载具产出!T$58,载具属性!$G$33:$G$92,1),0)</f>
        <v>17</v>
      </c>
      <c r="AV272" s="45">
        <f ca="1">IFERROR(MATCH(AR272/载具产出!U$58,载具属性!$G$33:$G$92,1),0)</f>
        <v>7</v>
      </c>
      <c r="AW272" s="46" t="str">
        <f ca="1" t="shared" si="64"/>
        <v>[{62,1639},{63,212400},{2,616900},{6030001,4685},{6030002,5222},{6030003,1768},{6030004,32}]</v>
      </c>
      <c r="AX272" t="str">
        <f ca="1" t="shared" si="65"/>
        <v>{62,1639}</v>
      </c>
      <c r="AY272" t="str">
        <f ca="1" t="shared" si="66"/>
        <v>{63,212400}</v>
      </c>
      <c r="AZ272" t="str">
        <f ca="1" t="shared" si="67"/>
        <v>{2,616900}</v>
      </c>
      <c r="BA272" t="str">
        <f ca="1" t="shared" si="68"/>
        <v>{6030001,4685}</v>
      </c>
      <c r="BB272" t="str">
        <f ca="1" t="shared" si="69"/>
        <v>{6030002,5222}</v>
      </c>
      <c r="BC272" t="str">
        <f ca="1" t="shared" si="70"/>
        <v>{6030003,1768}</v>
      </c>
      <c r="BD272" t="str">
        <f ca="1" t="shared" si="71"/>
        <v>{6030004,32}</v>
      </c>
    </row>
    <row r="273" spans="3:56">
      <c r="C273">
        <f ca="1" t="shared" si="59"/>
        <v>127.142857142857</v>
      </c>
      <c r="D273" s="40">
        <v>267</v>
      </c>
      <c r="E273" s="40">
        <f t="shared" si="76"/>
        <v>133</v>
      </c>
      <c r="F273" s="40">
        <f t="shared" si="75"/>
        <v>153</v>
      </c>
      <c r="G273" s="41">
        <f t="shared" si="78"/>
        <v>210</v>
      </c>
      <c r="H273" s="40">
        <f>H272+1</f>
        <v>276</v>
      </c>
      <c r="I273" s="40">
        <f t="shared" si="58"/>
        <v>560</v>
      </c>
      <c r="J273" s="40">
        <f t="shared" si="77"/>
        <v>560</v>
      </c>
      <c r="K273" s="40">
        <f ca="1">SUM(U$36:U273)-SUM(OFFSET(载具产出!H$399,0,0,$R273+1,1))</f>
        <v>1646</v>
      </c>
      <c r="L273" s="40">
        <f ca="1">SUM(T$36:T273)-SUM(OFFSET(载具产出!G$399,0,0,$R273+1,1))</f>
        <v>213525</v>
      </c>
      <c r="M273" s="40">
        <f ca="1">SUM(V$36:V273)/2-SUM(OFFSET(载具产出!I$399,0,0,$R273+1,1))</f>
        <v>620500</v>
      </c>
      <c r="N273" s="40">
        <f ca="1">SUM(AA$36:AA273)-SUM(OFFSET(载具产出!J$399,0,0,$R273+1,1))</f>
        <v>4703.6</v>
      </c>
      <c r="O273" s="40">
        <f ca="1">SUM(AB$36:AB273)-SUM(OFFSET(载具产出!K$399,0,0,$R273+1,1))</f>
        <v>5243.63999999997</v>
      </c>
      <c r="P273" s="40">
        <f ca="1">SUM(AC$36:AC273)-SUM(OFFSET(载具产出!L$399,0,0,$R273+1,1))</f>
        <v>1783.92</v>
      </c>
      <c r="Q273" s="40">
        <f ca="1">SUM(AD$36:AD273)-SUM(OFFSET(载具产出!M$399,0,0,$R273+1,1))</f>
        <v>33.84</v>
      </c>
      <c r="R273" s="40">
        <v>20</v>
      </c>
      <c r="S273" s="40" t="str">
        <f ca="1">OFFSET(载具产出!$D$111,IFERROR(MATCH(OFFSET($D273,0,MATCH($D$5,$E$6:$H$6,0)),载具产出!$E$112:$E$151,1),0),0)</f>
        <v>卓越Ⅱ</v>
      </c>
      <c r="T273" s="40">
        <f ca="1">OFFSET(载具产出!$F$399,IFERROR(MATCH(OFFSET($D273,0,MATCH($D$5,$E$6:$H$6,0)),载具产出!$E$400:$E$439,1),0),MATCH(T$6,载具产出!$G$399:$O$399,0))</f>
        <v>1125</v>
      </c>
      <c r="U273" s="40">
        <v>7</v>
      </c>
      <c r="V273" s="40">
        <f ca="1">OFFSET(载具产出!$F$399,IFERROR(MATCH(OFFSET($D273,0,MATCH($D$5,$E$6:$H$6,0)),载具产出!$E$400:$E$439,1),0),MATCH(V$6,载具产出!$G$399:$O$399,0))</f>
        <v>7200</v>
      </c>
      <c r="W273" s="43">
        <f ca="1">_xlfn.XLOOKUP(Z273,载具属性!$E$98:$E$497,载具属性!$G$98:$G$497)+6000+OFFSET(载具属性!L$33,AS273,0)*载具属性!M$30+OFFSET(载具属性!M$33,AT273,0)*载具属性!N$30+OFFSET(载具属性!N$33,AU273,0)*载具属性!O$30+OFFSET(载具属性!O$33,AV273,0)*载具属性!P$30</f>
        <v>26700</v>
      </c>
      <c r="X273" s="43">
        <f ca="1">_xlfn.XLOOKUP(Z273,载具属性!$E$98:$E$497,载具属性!$G$98:$G$497)</f>
        <v>13215</v>
      </c>
      <c r="Y273" s="43">
        <f ca="1">OFFSET(载具属性!L$33,AS273,0)*载具属性!M$30+OFFSET(载具属性!M$33,AT273,0)*载具属性!N$30+OFFSET(载具属性!N$33,AU273,0)*载具属性!O$30+OFFSET(载具属性!O$33,AV273,0)*载具属性!P$30</f>
        <v>7485</v>
      </c>
      <c r="Z273" s="40">
        <f ca="1">MATCH(SUM($T$7:T273),载具属性!$I$98:$I$497,1)</f>
        <v>187</v>
      </c>
      <c r="AA273" s="40">
        <f ca="1">OFFSET(载具产出!$F$399,IFERROR(MATCH(OFFSET($D273,0,MATCH($D$5,$E$6:$H$6,0)),载具产出!$E$112:$E$151,1),0),MATCH(AA$6,载具产出!$G$111:$O$111,0))*2</f>
        <v>18</v>
      </c>
      <c r="AB273" s="40">
        <f ca="1">OFFSET(载具产出!$F$399,IFERROR(MATCH(OFFSET($D273,0,MATCH($D$5,$E$6:$H$6,0)),载具产出!$E$112:$E$151,1),0),MATCH(AB$6,载具产出!$G$111:$O$111,0))*2</f>
        <v>21.28</v>
      </c>
      <c r="AC273" s="40">
        <f ca="1">OFFSET(载具产出!$F$399,IFERROR(MATCH(OFFSET($D273,0,MATCH($D$5,$E$6:$H$6,0)),载具产出!$E$112:$E$151,1),0),MATCH(AC$6,载具产出!$G$111:$O$111,0))*2</f>
        <v>15.76</v>
      </c>
      <c r="AD273" s="40">
        <f ca="1">OFFSET(载具产出!$F$399,IFERROR(MATCH(OFFSET($D273,0,MATCH($D$5,$E$6:$H$6,0)),载具产出!$E$112:$E$151,1),0),MATCH(AD$6,载具产出!$G$111:$O$111,0))*2</f>
        <v>0.96</v>
      </c>
      <c r="AE273" s="44">
        <f ca="1">SUM(AA$36:AA273)/3</f>
        <v>1646.8</v>
      </c>
      <c r="AF273" s="44">
        <f ca="1">SUM(AB$36:AB273)/3</f>
        <v>1814.93333333332</v>
      </c>
      <c r="AG273" s="44">
        <f ca="1">SUM(AC$36:AC273)/3</f>
        <v>617.119999999999</v>
      </c>
      <c r="AH273" s="44">
        <f ca="1">SUM(AD$36:AD273)/3</f>
        <v>12.48</v>
      </c>
      <c r="AI273" s="44">
        <f>_xlfn.XLOOKUP($D$5,载具产出!$D$71:$D$75,载具产出!$E$71:$E$75)*(D273-30+1)</f>
        <v>2799.33333333334</v>
      </c>
      <c r="AJ273" s="44">
        <f>IFERROR(MATCH(_xlfn.XLOOKUP($D$5,载具产出!$D$71:$D$75,载具产出!$E$71:$E$75)*(D273-30+1)*10,载具产出!$E$60:$E$67,1),0)+1</f>
        <v>7</v>
      </c>
      <c r="AK273" s="44">
        <f ca="1">IF($AJ273=1,($AI273)*(10*OFFSET(载具产出!$D$45,MATCH(AK$6,$AK$6:$AN$6,0)-1,$AJ273)+OFFSET(载具产出!$D$49,MATCH(AK$6,$AK$6:$AN$6,0)-1,$AJ273)*OFFSET(载具产出!$N$49,MATCH(AK$6,$AK$6:$AN$6,0)-1,0)),OFFSET(载具产出!F$59,$AJ273-1,0)*10+OFFSET(载具产出!J$59,$AJ273-1,0)+($AI273*10-_xlfn.XLOOKUP($AJ273-1,载具产出!$D$59:$D$67,载具产出!$E$59:$E$67))/10*(10*OFFSET(载具产出!$D$45,MATCH(AK$6,$AK$6:$AN$6,0)-1,$AJ273)+OFFSET(载具产出!$D$49,MATCH(AK$6,$AK$6:$AN$6,0)-1,$AJ273)*OFFSET(载具产出!$N$49,MATCH(AK$6,$AK$6:$AN$6,0)-1,0)))</f>
        <v>6097.14200000001</v>
      </c>
      <c r="AL273" s="44">
        <f ca="1">IF($AJ273=1,($AI273)*(10*OFFSET(载具产出!$D$45,MATCH(AL$6,$AK$6:$AN$6,0)-1,$AJ273)+OFFSET(载具产出!$D$49,MATCH(AL$6,$AK$6:$AN$6,0)-1,$AJ273)*OFFSET(载具产出!$N$49,MATCH(AL$6,$AK$6:$AN$6,0)-1,0)),OFFSET(载具产出!G$59,$AJ273-1,0)*10+OFFSET(载具产出!K$59,$AJ273-1,0)+($AI273*10-_xlfn.XLOOKUP($AJ273-1,载具产出!$D$59:$D$67,载具产出!$E$59:$E$67))/10*(10*OFFSET(载具产出!$D$45,MATCH(AL$6,$AK$6:$AN$6,0)-1,$AJ273)+OFFSET(载具产出!$D$49,MATCH(AL$6,$AK$6:$AN$6,0)-1,$AJ273)*OFFSET(载具产出!$N$49,MATCH(AL$6,$AK$6:$AN$6,0)-1,0)))</f>
        <v>2532.67333333334</v>
      </c>
      <c r="AM273" s="44">
        <f ca="1">IF($AJ273=1,($AI273)*(10*OFFSET(载具产出!$D$45,MATCH(AM$6,$AK$6:$AN$6,0)-1,$AJ273)+OFFSET(载具产出!$D$49,MATCH(AM$6,$AK$6:$AN$6,0)-1,$AJ273)*OFFSET(载具产出!$N$49,MATCH(AM$6,$AK$6:$AN$6,0)-1,0)),OFFSET(载具产出!H$59,$AJ273-1,0)*10+OFFSET(载具产出!L$59,$AJ273-1,0)+($AI273*10-_xlfn.XLOOKUP($AJ273-1,载具产出!$D$59:$D$67,载具产出!$E$59:$E$67))/10*(10*OFFSET(载具产出!$D$45,MATCH(AM$6,$AK$6:$AN$6,0)-1,$AJ273)+OFFSET(载具产出!$D$49,MATCH(AM$6,$AK$6:$AN$6,0)-1,$AJ273)*OFFSET(载具产出!$N$49,MATCH(AM$6,$AK$6:$AN$6,0)-1,0)))</f>
        <v>1388.288</v>
      </c>
      <c r="AN273" s="44">
        <f ca="1">IF($AJ273=1,($AI273)*(10*OFFSET(载具产出!$D$45,MATCH(AN$6,$AK$6:$AN$6,0)-1,$AJ273)+OFFSET(载具产出!$D$49,MATCH(AN$6,$AK$6:$AN$6,0)-1,$AJ273)*OFFSET(载具产出!$N$49,MATCH(AN$6,$AK$6:$AN$6,0)-1,0)),OFFSET(载具产出!I$59,$AJ273-1,0)*10+OFFSET(载具产出!M$59,$AJ273-1,0)+($AI273*10-_xlfn.XLOOKUP($AJ273-1,载具产出!$D$59:$D$67,载具产出!$E$59:$E$67))/10*(10*OFFSET(载具产出!$D$45,MATCH(AN$6,$AK$6:$AN$6,0)-1,$AJ273)+OFFSET(载具产出!$D$49,MATCH(AN$6,$AK$6:$AN$6,0)-1,$AJ273)*OFFSET(载具产出!$N$49,MATCH(AN$6,$AK$6:$AN$6,0)-1,0)))</f>
        <v>431.687333333334</v>
      </c>
      <c r="AO273" s="44">
        <f ca="1" t="shared" si="60"/>
        <v>7743.94200000001</v>
      </c>
      <c r="AP273" s="44">
        <f ca="1" t="shared" si="61"/>
        <v>4347.60666666666</v>
      </c>
      <c r="AQ273" s="44">
        <f ca="1" t="shared" si="62"/>
        <v>2005.408</v>
      </c>
      <c r="AR273" s="44">
        <f ca="1" t="shared" si="63"/>
        <v>444.167333333334</v>
      </c>
      <c r="AS273" s="45">
        <f ca="1">IFERROR(MATCH(AO273/载具产出!R$58,载具属性!$G$33:$G$92,1),0)</f>
        <v>40</v>
      </c>
      <c r="AT273" s="45">
        <f ca="1">IFERROR(MATCH(AP273/载具产出!S$58,载具属性!$G$33:$G$92,1),0)</f>
        <v>28</v>
      </c>
      <c r="AU273" s="45">
        <f ca="1">IFERROR(MATCH(AQ273/载具产出!T$58,载具属性!$G$33:$G$92,1),0)</f>
        <v>17</v>
      </c>
      <c r="AV273" s="45">
        <f ca="1">IFERROR(MATCH(AR273/载具产出!U$58,载具属性!$G$33:$G$92,1),0)</f>
        <v>7</v>
      </c>
      <c r="AW273" s="46" t="str">
        <f ca="1" t="shared" si="64"/>
        <v>[{62,1646},{63,213525},{2,620500},{6030001,4703},{6030002,5243},{6030003,1783},{6030004,33}]</v>
      </c>
      <c r="AX273" t="str">
        <f ca="1" t="shared" si="65"/>
        <v>{62,1646}</v>
      </c>
      <c r="AY273" t="str">
        <f ca="1" t="shared" si="66"/>
        <v>{63,213525}</v>
      </c>
      <c r="AZ273" t="str">
        <f ca="1" t="shared" si="67"/>
        <v>{2,620500}</v>
      </c>
      <c r="BA273" t="str">
        <f ca="1" t="shared" si="68"/>
        <v>{6030001,4703}</v>
      </c>
      <c r="BB273" t="str">
        <f ca="1" t="shared" si="69"/>
        <v>{6030002,5243}</v>
      </c>
      <c r="BC273" t="str">
        <f ca="1" t="shared" si="70"/>
        <v>{6030003,1783}</v>
      </c>
      <c r="BD273" t="str">
        <f ca="1" t="shared" si="71"/>
        <v>{6030004,33}</v>
      </c>
    </row>
    <row r="274" spans="3:56">
      <c r="C274">
        <f ca="1" t="shared" si="59"/>
        <v>126.990521327014</v>
      </c>
      <c r="D274" s="40">
        <v>268</v>
      </c>
      <c r="E274" s="40">
        <f t="shared" si="76"/>
        <v>133</v>
      </c>
      <c r="F274" s="40">
        <f t="shared" si="75"/>
        <v>153</v>
      </c>
      <c r="G274" s="41">
        <f t="shared" si="78"/>
        <v>211</v>
      </c>
      <c r="H274" s="40">
        <f>H273</f>
        <v>276</v>
      </c>
      <c r="I274" s="40">
        <f t="shared" si="58"/>
        <v>562</v>
      </c>
      <c r="J274" s="40">
        <f t="shared" si="77"/>
        <v>562</v>
      </c>
      <c r="K274" s="40">
        <f ca="1">SUM(U$36:U274)-SUM(OFFSET(载具产出!H$399,0,0,$R274+1,1))</f>
        <v>1653</v>
      </c>
      <c r="L274" s="40">
        <f ca="1">SUM(T$36:T274)-SUM(OFFSET(载具产出!G$399,0,0,$R274+1,1))</f>
        <v>214650</v>
      </c>
      <c r="M274" s="40">
        <f ca="1">SUM(V$36:V274)/2-SUM(OFFSET(载具产出!I$399,0,0,$R274+1,1))</f>
        <v>624100</v>
      </c>
      <c r="N274" s="40">
        <f ca="1">SUM(AA$36:AA274)-SUM(OFFSET(载具产出!J$399,0,0,$R274+1,1))</f>
        <v>4721.6</v>
      </c>
      <c r="O274" s="40">
        <f ca="1">SUM(AB$36:AB274)-SUM(OFFSET(载具产出!K$399,0,0,$R274+1,1))</f>
        <v>5264.91999999997</v>
      </c>
      <c r="P274" s="40">
        <f ca="1">SUM(AC$36:AC274)-SUM(OFFSET(载具产出!L$399,0,0,$R274+1,1))</f>
        <v>1799.68</v>
      </c>
      <c r="Q274" s="40">
        <f ca="1">SUM(AD$36:AD274)-SUM(OFFSET(载具产出!M$399,0,0,$R274+1,1))</f>
        <v>34.8</v>
      </c>
      <c r="R274" s="40">
        <v>20</v>
      </c>
      <c r="S274" s="40" t="str">
        <f ca="1">OFFSET(载具产出!$D$111,IFERROR(MATCH(OFFSET($D274,0,MATCH($D$5,$E$6:$H$6,0)),载具产出!$E$112:$E$151,1),0),0)</f>
        <v>卓越Ⅱ</v>
      </c>
      <c r="T274" s="40">
        <f ca="1">OFFSET(载具产出!$F$399,IFERROR(MATCH(OFFSET($D274,0,MATCH($D$5,$E$6:$H$6,0)),载具产出!$E$400:$E$439,1),0),MATCH(T$6,载具产出!$G$399:$O$399,0))</f>
        <v>1125</v>
      </c>
      <c r="U274" s="40">
        <v>7</v>
      </c>
      <c r="V274" s="40">
        <f ca="1">OFFSET(载具产出!$F$399,IFERROR(MATCH(OFFSET($D274,0,MATCH($D$5,$E$6:$H$6,0)),载具产出!$E$400:$E$439,1),0),MATCH(V$6,载具产出!$G$399:$O$399,0))</f>
        <v>7200</v>
      </c>
      <c r="W274" s="43">
        <f ca="1">_xlfn.XLOOKUP(Z274,载具属性!$E$98:$E$497,载具属性!$G$98:$G$497)+6000+OFFSET(载具属性!L$33,AS274,0)*载具属性!M$30+OFFSET(载具属性!M$33,AT274,0)*载具属性!N$30+OFFSET(载具属性!N$33,AU274,0)*载具属性!O$30+OFFSET(载具属性!O$33,AV274,0)*载具属性!P$30</f>
        <v>26795</v>
      </c>
      <c r="X274" s="43">
        <f ca="1">_xlfn.XLOOKUP(Z274,载具属性!$E$98:$E$497,载具属性!$G$98:$G$497)</f>
        <v>13310</v>
      </c>
      <c r="Y274" s="43">
        <f ca="1">OFFSET(载具属性!L$33,AS274,0)*载具属性!M$30+OFFSET(载具属性!M$33,AT274,0)*载具属性!N$30+OFFSET(载具属性!N$33,AU274,0)*载具属性!O$30+OFFSET(载具属性!O$33,AV274,0)*载具属性!P$30</f>
        <v>7485</v>
      </c>
      <c r="Z274" s="40">
        <f ca="1">MATCH(SUM($T$7:T274),载具属性!$I$98:$I$497,1)</f>
        <v>188</v>
      </c>
      <c r="AA274" s="40">
        <f ca="1">OFFSET(载具产出!$F$399,IFERROR(MATCH(OFFSET($D274,0,MATCH($D$5,$E$6:$H$6,0)),载具产出!$E$112:$E$151,1),0),MATCH(AA$6,载具产出!$G$111:$O$111,0))*2</f>
        <v>18</v>
      </c>
      <c r="AB274" s="40">
        <f ca="1">OFFSET(载具产出!$F$399,IFERROR(MATCH(OFFSET($D274,0,MATCH($D$5,$E$6:$H$6,0)),载具产出!$E$112:$E$151,1),0),MATCH(AB$6,载具产出!$G$111:$O$111,0))*2</f>
        <v>21.28</v>
      </c>
      <c r="AC274" s="40">
        <f ca="1">OFFSET(载具产出!$F$399,IFERROR(MATCH(OFFSET($D274,0,MATCH($D$5,$E$6:$H$6,0)),载具产出!$E$112:$E$151,1),0),MATCH(AC$6,载具产出!$G$111:$O$111,0))*2</f>
        <v>15.76</v>
      </c>
      <c r="AD274" s="40">
        <f ca="1">OFFSET(载具产出!$F$399,IFERROR(MATCH(OFFSET($D274,0,MATCH($D$5,$E$6:$H$6,0)),载具产出!$E$112:$E$151,1),0),MATCH(AD$6,载具产出!$G$111:$O$111,0))*2</f>
        <v>0.96</v>
      </c>
      <c r="AE274" s="44">
        <f ca="1">SUM(AA$36:AA274)/3</f>
        <v>1652.8</v>
      </c>
      <c r="AF274" s="44">
        <f ca="1">SUM(AB$36:AB274)/3</f>
        <v>1822.02666666666</v>
      </c>
      <c r="AG274" s="44">
        <f ca="1">SUM(AC$36:AC274)/3</f>
        <v>622.373333333333</v>
      </c>
      <c r="AH274" s="44">
        <f ca="1">SUM(AD$36:AD274)/3</f>
        <v>12.8</v>
      </c>
      <c r="AI274" s="44">
        <f>_xlfn.XLOOKUP($D$5,载具产出!$D$71:$D$75,载具产出!$E$71:$E$75)*(D274-30+1)</f>
        <v>2811.09523809525</v>
      </c>
      <c r="AJ274" s="44">
        <f>IFERROR(MATCH(_xlfn.XLOOKUP($D$5,载具产出!$D$71:$D$75,载具产出!$E$71:$E$75)*(D274-30+1)*10,载具产出!$E$60:$E$67,1),0)+1</f>
        <v>7</v>
      </c>
      <c r="AK274" s="44">
        <f ca="1">IF($AJ274=1,($AI274)*(10*OFFSET(载具产出!$D$45,MATCH(AK$6,$AK$6:$AN$6,0)-1,$AJ274)+OFFSET(载具产出!$D$49,MATCH(AK$6,$AK$6:$AN$6,0)-1,$AJ274)*OFFSET(载具产出!$N$49,MATCH(AK$6,$AK$6:$AN$6,0)-1,0)),OFFSET(载具产出!F$59,$AJ274-1,0)*10+OFFSET(载具产出!J$59,$AJ274-1,0)+($AI274*10-_xlfn.XLOOKUP($AJ274-1,载具产出!$D$59:$D$67,载具产出!$E$59:$E$67))/10*(10*OFFSET(载具产出!$D$45,MATCH(AK$6,$AK$6:$AN$6,0)-1,$AJ274)+OFFSET(载具产出!$D$49,MATCH(AK$6,$AK$6:$AN$6,0)-1,$AJ274)*OFFSET(载具产出!$N$49,MATCH(AK$6,$AK$6:$AN$6,0)-1,0)))</f>
        <v>6121.98314285717</v>
      </c>
      <c r="AL274" s="44">
        <f ca="1">IF($AJ274=1,($AI274)*(10*OFFSET(载具产出!$D$45,MATCH(AL$6,$AK$6:$AN$6,0)-1,$AJ274)+OFFSET(载具产出!$D$49,MATCH(AL$6,$AK$6:$AN$6,0)-1,$AJ274)*OFFSET(载具产出!$N$49,MATCH(AL$6,$AK$6:$AN$6,0)-1,0)),OFFSET(载具产出!G$59,$AJ274-1,0)*10+OFFSET(载具产出!K$59,$AJ274-1,0)+($AI274*10-_xlfn.XLOOKUP($AJ274-1,载具产出!$D$59:$D$67,载具产出!$E$59:$E$67))/10*(10*OFFSET(载具产出!$D$45,MATCH(AL$6,$AK$6:$AN$6,0)-1,$AJ274)+OFFSET(载具产出!$D$49,MATCH(AL$6,$AK$6:$AN$6,0)-1,$AJ274)*OFFSET(载具产出!$N$49,MATCH(AL$6,$AK$6:$AN$6,0)-1,0)))</f>
        <v>2543.72952380953</v>
      </c>
      <c r="AM274" s="44">
        <f ca="1">IF($AJ274=1,($AI274)*(10*OFFSET(载具产出!$D$45,MATCH(AM$6,$AK$6:$AN$6,0)-1,$AJ274)+OFFSET(载具产出!$D$49,MATCH(AM$6,$AK$6:$AN$6,0)-1,$AJ274)*OFFSET(载具产出!$N$49,MATCH(AM$6,$AK$6:$AN$6,0)-1,0)),OFFSET(载具产出!H$59,$AJ274-1,0)*10+OFFSET(载具产出!L$59,$AJ274-1,0)+($AI274*10-_xlfn.XLOOKUP($AJ274-1,载具产出!$D$59:$D$67,载具产出!$E$59:$E$67))/10*(10*OFFSET(载具产出!$D$45,MATCH(AM$6,$AK$6:$AN$6,0)-1,$AJ274)+OFFSET(载具产出!$D$49,MATCH(AM$6,$AK$6:$AN$6,0)-1,$AJ274)*OFFSET(载具产出!$N$49,MATCH(AM$6,$AK$6:$AN$6,0)-1,0)))</f>
        <v>1394.49828571429</v>
      </c>
      <c r="AN274" s="44">
        <f ca="1">IF($AJ274=1,($AI274)*(10*OFFSET(载具产出!$D$45,MATCH(AN$6,$AK$6:$AN$6,0)-1,$AJ274)+OFFSET(载具产出!$D$49,MATCH(AN$6,$AK$6:$AN$6,0)-1,$AJ274)*OFFSET(载具产出!$N$49,MATCH(AN$6,$AK$6:$AN$6,0)-1,0)),OFFSET(载具产出!I$59,$AJ274-1,0)*10+OFFSET(载具产出!M$59,$AJ274-1,0)+($AI274*10-_xlfn.XLOOKUP($AJ274-1,载具产出!$D$59:$D$67,载具产出!$E$59:$E$67))/10*(10*OFFSET(载具产出!$D$45,MATCH(AN$6,$AK$6:$AN$6,0)-1,$AJ274)+OFFSET(载具产出!$D$49,MATCH(AN$6,$AK$6:$AN$6,0)-1,$AJ274)*OFFSET(载具产出!$N$49,MATCH(AN$6,$AK$6:$AN$6,0)-1,0)))</f>
        <v>433.675095238097</v>
      </c>
      <c r="AO274" s="44">
        <f ca="1" t="shared" si="60"/>
        <v>7774.78314285717</v>
      </c>
      <c r="AP274" s="44">
        <f ca="1" t="shared" si="61"/>
        <v>4365.75619047619</v>
      </c>
      <c r="AQ274" s="44">
        <f ca="1" t="shared" si="62"/>
        <v>2016.87161904762</v>
      </c>
      <c r="AR274" s="44">
        <f ca="1" t="shared" si="63"/>
        <v>446.475095238097</v>
      </c>
      <c r="AS274" s="45">
        <f ca="1">IFERROR(MATCH(AO274/载具产出!R$58,载具属性!$G$33:$G$92,1),0)</f>
        <v>40</v>
      </c>
      <c r="AT274" s="45">
        <f ca="1">IFERROR(MATCH(AP274/载具产出!S$58,载具属性!$G$33:$G$92,1),0)</f>
        <v>28</v>
      </c>
      <c r="AU274" s="45">
        <f ca="1">IFERROR(MATCH(AQ274/载具产出!T$58,载具属性!$G$33:$G$92,1),0)</f>
        <v>17</v>
      </c>
      <c r="AV274" s="45">
        <f ca="1">IFERROR(MATCH(AR274/载具产出!U$58,载具属性!$G$33:$G$92,1),0)</f>
        <v>7</v>
      </c>
      <c r="AW274" s="46" t="str">
        <f ca="1" t="shared" si="64"/>
        <v>[{62,1653},{63,214650},{2,624100},{6030001,4721},{6030002,5264},{6030003,1799},{6030004,34}]</v>
      </c>
      <c r="AX274" t="str">
        <f ca="1" t="shared" si="65"/>
        <v>{62,1653}</v>
      </c>
      <c r="AY274" t="str">
        <f ca="1" t="shared" si="66"/>
        <v>{63,214650}</v>
      </c>
      <c r="AZ274" t="str">
        <f ca="1" t="shared" si="67"/>
        <v>{2,624100}</v>
      </c>
      <c r="BA274" t="str">
        <f ca="1" t="shared" si="68"/>
        <v>{6030001,4721}</v>
      </c>
      <c r="BB274" t="str">
        <f ca="1" t="shared" si="69"/>
        <v>{6030002,5264}</v>
      </c>
      <c r="BC274" t="str">
        <f ca="1" t="shared" si="70"/>
        <v>{6030003,1799}</v>
      </c>
      <c r="BD274" t="str">
        <f ca="1" t="shared" si="71"/>
        <v>{6030004,34}</v>
      </c>
    </row>
    <row r="275" spans="3:56">
      <c r="C275">
        <f ca="1" t="shared" si="59"/>
        <v>126.990521327014</v>
      </c>
      <c r="D275" s="40">
        <v>269</v>
      </c>
      <c r="E275" s="40">
        <f t="shared" si="76"/>
        <v>133</v>
      </c>
      <c r="F275" s="40">
        <f t="shared" si="75"/>
        <v>153</v>
      </c>
      <c r="G275" s="41">
        <f t="shared" si="78"/>
        <v>211</v>
      </c>
      <c r="H275" s="40">
        <f>H274+1</f>
        <v>277</v>
      </c>
      <c r="I275" s="40">
        <f t="shared" si="58"/>
        <v>564</v>
      </c>
      <c r="J275" s="40">
        <f t="shared" si="77"/>
        <v>564</v>
      </c>
      <c r="K275" s="40">
        <f ca="1">SUM(U$36:U275)-SUM(OFFSET(载具产出!H$399,0,0,$R275+1,1))</f>
        <v>1660</v>
      </c>
      <c r="L275" s="40">
        <f ca="1">SUM(T$36:T275)-SUM(OFFSET(载具产出!G$399,0,0,$R275+1,1))</f>
        <v>215775</v>
      </c>
      <c r="M275" s="40">
        <f ca="1">SUM(V$36:V275)/2-SUM(OFFSET(载具产出!I$399,0,0,$R275+1,1))</f>
        <v>627700</v>
      </c>
      <c r="N275" s="40">
        <f ca="1">SUM(AA$36:AA275)-SUM(OFFSET(载具产出!J$399,0,0,$R275+1,1))</f>
        <v>4739.6</v>
      </c>
      <c r="O275" s="40">
        <f ca="1">SUM(AB$36:AB275)-SUM(OFFSET(载具产出!K$399,0,0,$R275+1,1))</f>
        <v>5286.19999999997</v>
      </c>
      <c r="P275" s="40">
        <f ca="1">SUM(AC$36:AC275)-SUM(OFFSET(载具产出!L$399,0,0,$R275+1,1))</f>
        <v>1815.44</v>
      </c>
      <c r="Q275" s="40">
        <f ca="1">SUM(AD$36:AD275)-SUM(OFFSET(载具产出!M$399,0,0,$R275+1,1))</f>
        <v>35.76</v>
      </c>
      <c r="R275" s="40">
        <v>20</v>
      </c>
      <c r="S275" s="40" t="str">
        <f ca="1">OFFSET(载具产出!$D$111,IFERROR(MATCH(OFFSET($D275,0,MATCH($D$5,$E$6:$H$6,0)),载具产出!$E$112:$E$151,1),0),0)</f>
        <v>卓越Ⅱ</v>
      </c>
      <c r="T275" s="40">
        <f ca="1">OFFSET(载具产出!$F$399,IFERROR(MATCH(OFFSET($D275,0,MATCH($D$5,$E$6:$H$6,0)),载具产出!$E$400:$E$439,1),0),MATCH(T$6,载具产出!$G$399:$O$399,0))</f>
        <v>1125</v>
      </c>
      <c r="U275" s="40">
        <v>7</v>
      </c>
      <c r="V275" s="40">
        <f ca="1">OFFSET(载具产出!$F$399,IFERROR(MATCH(OFFSET($D275,0,MATCH($D$5,$E$6:$H$6,0)),载具产出!$E$400:$E$439,1),0),MATCH(V$6,载具产出!$G$399:$O$399,0))</f>
        <v>7200</v>
      </c>
      <c r="W275" s="43">
        <f ca="1">_xlfn.XLOOKUP(Z275,载具属性!$E$98:$E$497,载具属性!$G$98:$G$497)+6000+OFFSET(载具属性!L$33,AS275,0)*载具属性!M$30+OFFSET(载具属性!M$33,AT275,0)*载具属性!N$30+OFFSET(载具属性!N$33,AU275,0)*载具属性!O$30+OFFSET(载具属性!O$33,AV275,0)*载具属性!P$30</f>
        <v>26795</v>
      </c>
      <c r="X275" s="43">
        <f ca="1">_xlfn.XLOOKUP(Z275,载具属性!$E$98:$E$497,载具属性!$G$98:$G$497)</f>
        <v>13310</v>
      </c>
      <c r="Y275" s="43">
        <f ca="1">OFFSET(载具属性!L$33,AS275,0)*载具属性!M$30+OFFSET(载具属性!M$33,AT275,0)*载具属性!N$30+OFFSET(载具属性!N$33,AU275,0)*载具属性!O$30+OFFSET(载具属性!O$33,AV275,0)*载具属性!P$30</f>
        <v>7485</v>
      </c>
      <c r="Z275" s="40">
        <f ca="1">MATCH(SUM($T$7:T275),载具属性!$I$98:$I$497,1)</f>
        <v>188</v>
      </c>
      <c r="AA275" s="40">
        <f ca="1">OFFSET(载具产出!$F$399,IFERROR(MATCH(OFFSET($D275,0,MATCH($D$5,$E$6:$H$6,0)),载具产出!$E$112:$E$151,1),0),MATCH(AA$6,载具产出!$G$111:$O$111,0))*2</f>
        <v>18</v>
      </c>
      <c r="AB275" s="40">
        <f ca="1">OFFSET(载具产出!$F$399,IFERROR(MATCH(OFFSET($D275,0,MATCH($D$5,$E$6:$H$6,0)),载具产出!$E$112:$E$151,1),0),MATCH(AB$6,载具产出!$G$111:$O$111,0))*2</f>
        <v>21.28</v>
      </c>
      <c r="AC275" s="40">
        <f ca="1">OFFSET(载具产出!$F$399,IFERROR(MATCH(OFFSET($D275,0,MATCH($D$5,$E$6:$H$6,0)),载具产出!$E$112:$E$151,1),0),MATCH(AC$6,载具产出!$G$111:$O$111,0))*2</f>
        <v>15.76</v>
      </c>
      <c r="AD275" s="40">
        <f ca="1">OFFSET(载具产出!$F$399,IFERROR(MATCH(OFFSET($D275,0,MATCH($D$5,$E$6:$H$6,0)),载具产出!$E$112:$E$151,1),0),MATCH(AD$6,载具产出!$G$111:$O$111,0))*2</f>
        <v>0.96</v>
      </c>
      <c r="AE275" s="44">
        <f ca="1">SUM(AA$36:AA275)/3</f>
        <v>1658.8</v>
      </c>
      <c r="AF275" s="44">
        <f ca="1">SUM(AB$36:AB275)/3</f>
        <v>1829.11999999999</v>
      </c>
      <c r="AG275" s="44">
        <f ca="1">SUM(AC$36:AC275)/3</f>
        <v>627.626666666666</v>
      </c>
      <c r="AH275" s="44">
        <f ca="1">SUM(AD$36:AD275)/3</f>
        <v>13.12</v>
      </c>
      <c r="AI275" s="44">
        <f>_xlfn.XLOOKUP($D$5,载具产出!$D$71:$D$75,载具产出!$E$71:$E$75)*(D275-30+1)</f>
        <v>2822.85714285715</v>
      </c>
      <c r="AJ275" s="44">
        <f>IFERROR(MATCH(_xlfn.XLOOKUP($D$5,载具产出!$D$71:$D$75,载具产出!$E$71:$E$75)*(D275-30+1)*10,载具产出!$E$60:$E$67,1),0)+1</f>
        <v>7</v>
      </c>
      <c r="AK275" s="44">
        <f ca="1">IF($AJ275=1,($AI275)*(10*OFFSET(载具产出!$D$45,MATCH(AK$6,$AK$6:$AN$6,0)-1,$AJ275)+OFFSET(载具产出!$D$49,MATCH(AK$6,$AK$6:$AN$6,0)-1,$AJ275)*OFFSET(载具产出!$N$49,MATCH(AK$6,$AK$6:$AN$6,0)-1,0)),OFFSET(载具产出!F$59,$AJ275-1,0)*10+OFFSET(载具产出!J$59,$AJ275-1,0)+($AI275*10-_xlfn.XLOOKUP($AJ275-1,载具产出!$D$59:$D$67,载具产出!$E$59:$E$67))/10*(10*OFFSET(载具产出!$D$45,MATCH(AK$6,$AK$6:$AN$6,0)-1,$AJ275)+OFFSET(载具产出!$D$49,MATCH(AK$6,$AK$6:$AN$6,0)-1,$AJ275)*OFFSET(载具产出!$N$49,MATCH(AK$6,$AK$6:$AN$6,0)-1,0)))</f>
        <v>6146.8242857143</v>
      </c>
      <c r="AL275" s="44">
        <f ca="1">IF($AJ275=1,($AI275)*(10*OFFSET(载具产出!$D$45,MATCH(AL$6,$AK$6:$AN$6,0)-1,$AJ275)+OFFSET(载具产出!$D$49,MATCH(AL$6,$AK$6:$AN$6,0)-1,$AJ275)*OFFSET(载具产出!$N$49,MATCH(AL$6,$AK$6:$AN$6,0)-1,0)),OFFSET(载具产出!G$59,$AJ275-1,0)*10+OFFSET(载具产出!K$59,$AJ275-1,0)+($AI275*10-_xlfn.XLOOKUP($AJ275-1,载具产出!$D$59:$D$67,载具产出!$E$59:$E$67))/10*(10*OFFSET(载具产出!$D$45,MATCH(AL$6,$AK$6:$AN$6,0)-1,$AJ275)+OFFSET(载具产出!$D$49,MATCH(AL$6,$AK$6:$AN$6,0)-1,$AJ275)*OFFSET(载具产出!$N$49,MATCH(AL$6,$AK$6:$AN$6,0)-1,0)))</f>
        <v>2554.78571428572</v>
      </c>
      <c r="AM275" s="44">
        <f ca="1">IF($AJ275=1,($AI275)*(10*OFFSET(载具产出!$D$45,MATCH(AM$6,$AK$6:$AN$6,0)-1,$AJ275)+OFFSET(载具产出!$D$49,MATCH(AM$6,$AK$6:$AN$6,0)-1,$AJ275)*OFFSET(载具产出!$N$49,MATCH(AM$6,$AK$6:$AN$6,0)-1,0)),OFFSET(载具产出!H$59,$AJ275-1,0)*10+OFFSET(载具产出!L$59,$AJ275-1,0)+($AI275*10-_xlfn.XLOOKUP($AJ275-1,载具产出!$D$59:$D$67,载具产出!$E$59:$E$67))/10*(10*OFFSET(载具产出!$D$45,MATCH(AM$6,$AK$6:$AN$6,0)-1,$AJ275)+OFFSET(载具产出!$D$49,MATCH(AM$6,$AK$6:$AN$6,0)-1,$AJ275)*OFFSET(载具产出!$N$49,MATCH(AM$6,$AK$6:$AN$6,0)-1,0)))</f>
        <v>1400.70857142858</v>
      </c>
      <c r="AN275" s="44">
        <f ca="1">IF($AJ275=1,($AI275)*(10*OFFSET(载具产出!$D$45,MATCH(AN$6,$AK$6:$AN$6,0)-1,$AJ275)+OFFSET(载具产出!$D$49,MATCH(AN$6,$AK$6:$AN$6,0)-1,$AJ275)*OFFSET(载具产出!$N$49,MATCH(AN$6,$AK$6:$AN$6,0)-1,0)),OFFSET(载具产出!I$59,$AJ275-1,0)*10+OFFSET(载具产出!M$59,$AJ275-1,0)+($AI275*10-_xlfn.XLOOKUP($AJ275-1,载具产出!$D$59:$D$67,载具产出!$E$59:$E$67))/10*(10*OFFSET(载具产出!$D$45,MATCH(AN$6,$AK$6:$AN$6,0)-1,$AJ275)+OFFSET(载具产出!$D$49,MATCH(AN$6,$AK$6:$AN$6,0)-1,$AJ275)*OFFSET(载具产出!$N$49,MATCH(AN$6,$AK$6:$AN$6,0)-1,0)))</f>
        <v>435.662857142858</v>
      </c>
      <c r="AO275" s="44">
        <f ca="1" t="shared" si="60"/>
        <v>7805.6242857143</v>
      </c>
      <c r="AP275" s="44">
        <f ca="1" t="shared" si="61"/>
        <v>4383.90571428571</v>
      </c>
      <c r="AQ275" s="44">
        <f ca="1" t="shared" si="62"/>
        <v>2028.33523809524</v>
      </c>
      <c r="AR275" s="44">
        <f ca="1" t="shared" si="63"/>
        <v>448.782857142858</v>
      </c>
      <c r="AS275" s="45">
        <f ca="1">IFERROR(MATCH(AO275/载具产出!R$58,载具属性!$G$33:$G$92,1),0)</f>
        <v>40</v>
      </c>
      <c r="AT275" s="45">
        <f ca="1">IFERROR(MATCH(AP275/载具产出!S$58,载具属性!$G$33:$G$92,1),0)</f>
        <v>28</v>
      </c>
      <c r="AU275" s="45">
        <f ca="1">IFERROR(MATCH(AQ275/载具产出!T$58,载具属性!$G$33:$G$92,1),0)</f>
        <v>17</v>
      </c>
      <c r="AV275" s="45">
        <f ca="1">IFERROR(MATCH(AR275/载具产出!U$58,载具属性!$G$33:$G$92,1),0)</f>
        <v>7</v>
      </c>
      <c r="AW275" s="46" t="str">
        <f ca="1" t="shared" si="64"/>
        <v>[{62,1660},{63,215775},{2,627700},{6030001,4739},{6030002,5286},{6030003,1815},{6030004,35}]</v>
      </c>
      <c r="AX275" t="str">
        <f ca="1" t="shared" si="65"/>
        <v>{62,1660}</v>
      </c>
      <c r="AY275" t="str">
        <f ca="1" t="shared" si="66"/>
        <v>{63,215775}</v>
      </c>
      <c r="AZ275" t="str">
        <f ca="1" t="shared" si="67"/>
        <v>{2,627700}</v>
      </c>
      <c r="BA275" t="str">
        <f ca="1" t="shared" si="68"/>
        <v>{6030001,4739}</v>
      </c>
      <c r="BB275" t="str">
        <f ca="1" t="shared" si="69"/>
        <v>{6030002,5286}</v>
      </c>
      <c r="BC275" t="str">
        <f ca="1" t="shared" si="70"/>
        <v>{6030003,1815}</v>
      </c>
      <c r="BD275" t="str">
        <f ca="1" t="shared" si="71"/>
        <v>{6030004,35}</v>
      </c>
    </row>
    <row r="276" spans="3:56">
      <c r="C276">
        <f ca="1" t="shared" si="59"/>
        <v>127.725118483412</v>
      </c>
      <c r="D276" s="40">
        <v>270</v>
      </c>
      <c r="E276" s="40">
        <f t="shared" si="76"/>
        <v>133</v>
      </c>
      <c r="F276" s="40">
        <f t="shared" si="75"/>
        <v>154</v>
      </c>
      <c r="G276" s="41">
        <f t="shared" si="78"/>
        <v>211</v>
      </c>
      <c r="H276" s="40">
        <f>H275</f>
        <v>277</v>
      </c>
      <c r="I276" s="40">
        <f t="shared" si="58"/>
        <v>566</v>
      </c>
      <c r="J276" s="40">
        <f t="shared" si="77"/>
        <v>566</v>
      </c>
      <c r="K276" s="40">
        <f ca="1">SUM(U$36:U276)-SUM(OFFSET(载具产出!H$399,0,0,$R276+1,1))</f>
        <v>1667</v>
      </c>
      <c r="L276" s="40">
        <f ca="1">SUM(T$36:T276)-SUM(OFFSET(载具产出!G$399,0,0,$R276+1,1))</f>
        <v>216900</v>
      </c>
      <c r="M276" s="40">
        <f ca="1">SUM(V$36:V276)/2-SUM(OFFSET(载具产出!I$399,0,0,$R276+1,1))</f>
        <v>631300</v>
      </c>
      <c r="N276" s="40">
        <f ca="1">SUM(AA$36:AA276)-SUM(OFFSET(载具产出!J$399,0,0,$R276+1,1))</f>
        <v>4757.6</v>
      </c>
      <c r="O276" s="40">
        <f ca="1">SUM(AB$36:AB276)-SUM(OFFSET(载具产出!K$399,0,0,$R276+1,1))</f>
        <v>5307.47999999997</v>
      </c>
      <c r="P276" s="40">
        <f ca="1">SUM(AC$36:AC276)-SUM(OFFSET(载具产出!L$399,0,0,$R276+1,1))</f>
        <v>1831.2</v>
      </c>
      <c r="Q276" s="40">
        <f ca="1">SUM(AD$36:AD276)-SUM(OFFSET(载具产出!M$399,0,0,$R276+1,1))</f>
        <v>36.72</v>
      </c>
      <c r="R276" s="40">
        <v>20</v>
      </c>
      <c r="S276" s="40" t="str">
        <f ca="1">OFFSET(载具产出!$D$111,IFERROR(MATCH(OFFSET($D276,0,MATCH($D$5,$E$6:$H$6,0)),载具产出!$E$112:$E$151,1),0),0)</f>
        <v>卓越Ⅱ</v>
      </c>
      <c r="T276" s="40">
        <f ca="1">OFFSET(载具产出!$F$399,IFERROR(MATCH(OFFSET($D276,0,MATCH($D$5,$E$6:$H$6,0)),载具产出!$E$400:$E$439,1),0),MATCH(T$6,载具产出!$G$399:$O$399,0))</f>
        <v>1125</v>
      </c>
      <c r="U276" s="40">
        <v>7</v>
      </c>
      <c r="V276" s="40">
        <f ca="1">OFFSET(载具产出!$F$399,IFERROR(MATCH(OFFSET($D276,0,MATCH($D$5,$E$6:$H$6,0)),载具产出!$E$400:$E$439,1),0),MATCH(V$6,载具产出!$G$399:$O$399,0))</f>
        <v>7200</v>
      </c>
      <c r="W276" s="43">
        <f ca="1">_xlfn.XLOOKUP(Z276,载具属性!$E$98:$E$497,载具属性!$G$98:$G$497)+6000+OFFSET(载具属性!L$33,AS276,0)*载具属性!M$30+OFFSET(载具属性!M$33,AT276,0)*载具属性!N$30+OFFSET(载具属性!N$33,AU276,0)*载具属性!O$30+OFFSET(载具属性!O$33,AV276,0)*载具属性!P$30</f>
        <v>26950</v>
      </c>
      <c r="X276" s="43">
        <f ca="1">_xlfn.XLOOKUP(Z276,载具属性!$E$98:$E$497,载具属性!$G$98:$G$497)</f>
        <v>13405</v>
      </c>
      <c r="Y276" s="43">
        <f ca="1">OFFSET(载具属性!L$33,AS276,0)*载具属性!M$30+OFFSET(载具属性!M$33,AT276,0)*载具属性!N$30+OFFSET(载具属性!N$33,AU276,0)*载具属性!O$30+OFFSET(载具属性!O$33,AV276,0)*载具属性!P$30</f>
        <v>7545</v>
      </c>
      <c r="Z276" s="40">
        <f ca="1">MATCH(SUM($T$7:T276),载具属性!$I$98:$I$497,1)</f>
        <v>189</v>
      </c>
      <c r="AA276" s="40">
        <f ca="1">OFFSET(载具产出!$F$399,IFERROR(MATCH(OFFSET($D276,0,MATCH($D$5,$E$6:$H$6,0)),载具产出!$E$112:$E$151,1),0),MATCH(AA$6,载具产出!$G$111:$O$111,0))*2</f>
        <v>18</v>
      </c>
      <c r="AB276" s="40">
        <f ca="1">OFFSET(载具产出!$F$399,IFERROR(MATCH(OFFSET($D276,0,MATCH($D$5,$E$6:$H$6,0)),载具产出!$E$112:$E$151,1),0),MATCH(AB$6,载具产出!$G$111:$O$111,0))*2</f>
        <v>21.28</v>
      </c>
      <c r="AC276" s="40">
        <f ca="1">OFFSET(载具产出!$F$399,IFERROR(MATCH(OFFSET($D276,0,MATCH($D$5,$E$6:$H$6,0)),载具产出!$E$112:$E$151,1),0),MATCH(AC$6,载具产出!$G$111:$O$111,0))*2</f>
        <v>15.76</v>
      </c>
      <c r="AD276" s="40">
        <f ca="1">OFFSET(载具产出!$F$399,IFERROR(MATCH(OFFSET($D276,0,MATCH($D$5,$E$6:$H$6,0)),载具产出!$E$112:$E$151,1),0),MATCH(AD$6,载具产出!$G$111:$O$111,0))*2</f>
        <v>0.96</v>
      </c>
      <c r="AE276" s="44">
        <f ca="1">SUM(AA$36:AA276)/3</f>
        <v>1664.8</v>
      </c>
      <c r="AF276" s="44">
        <f ca="1">SUM(AB$36:AB276)/3</f>
        <v>1836.21333333332</v>
      </c>
      <c r="AG276" s="44">
        <f ca="1">SUM(AC$36:AC276)/3</f>
        <v>632.879999999999</v>
      </c>
      <c r="AH276" s="44">
        <f ca="1">SUM(AD$36:AD276)/3</f>
        <v>13.44</v>
      </c>
      <c r="AI276" s="44">
        <f>_xlfn.XLOOKUP($D$5,载具产出!$D$71:$D$75,载具产出!$E$71:$E$75)*(D276-30+1)</f>
        <v>2834.61904761906</v>
      </c>
      <c r="AJ276" s="44">
        <f>IFERROR(MATCH(_xlfn.XLOOKUP($D$5,载具产出!$D$71:$D$75,载具产出!$E$71:$E$75)*(D276-30+1)*10,载具产出!$E$60:$E$67,1),0)+1</f>
        <v>7</v>
      </c>
      <c r="AK276" s="44">
        <f ca="1">IF($AJ276=1,($AI276)*(10*OFFSET(载具产出!$D$45,MATCH(AK$6,$AK$6:$AN$6,0)-1,$AJ276)+OFFSET(载具产出!$D$49,MATCH(AK$6,$AK$6:$AN$6,0)-1,$AJ276)*OFFSET(载具产出!$N$49,MATCH(AK$6,$AK$6:$AN$6,0)-1,0)),OFFSET(载具产出!F$59,$AJ276-1,0)*10+OFFSET(载具产出!J$59,$AJ276-1,0)+($AI276*10-_xlfn.XLOOKUP($AJ276-1,载具产出!$D$59:$D$67,载具产出!$E$59:$E$67))/10*(10*OFFSET(载具产出!$D$45,MATCH(AK$6,$AK$6:$AN$6,0)-1,$AJ276)+OFFSET(载具产出!$D$49,MATCH(AK$6,$AK$6:$AN$6,0)-1,$AJ276)*OFFSET(载具产出!$N$49,MATCH(AK$6,$AK$6:$AN$6,0)-1,0)))</f>
        <v>6171.66542857145</v>
      </c>
      <c r="AL276" s="44">
        <f ca="1">IF($AJ276=1,($AI276)*(10*OFFSET(载具产出!$D$45,MATCH(AL$6,$AK$6:$AN$6,0)-1,$AJ276)+OFFSET(载具产出!$D$49,MATCH(AL$6,$AK$6:$AN$6,0)-1,$AJ276)*OFFSET(载具产出!$N$49,MATCH(AL$6,$AK$6:$AN$6,0)-1,0)),OFFSET(载具产出!G$59,$AJ276-1,0)*10+OFFSET(载具产出!K$59,$AJ276-1,0)+($AI276*10-_xlfn.XLOOKUP($AJ276-1,载具产出!$D$59:$D$67,载具产出!$E$59:$E$67))/10*(10*OFFSET(载具产出!$D$45,MATCH(AL$6,$AK$6:$AN$6,0)-1,$AJ276)+OFFSET(载具产出!$D$49,MATCH(AL$6,$AK$6:$AN$6,0)-1,$AJ276)*OFFSET(载具产出!$N$49,MATCH(AL$6,$AK$6:$AN$6,0)-1,0)))</f>
        <v>2565.84190476192</v>
      </c>
      <c r="AM276" s="44">
        <f ca="1">IF($AJ276=1,($AI276)*(10*OFFSET(载具产出!$D$45,MATCH(AM$6,$AK$6:$AN$6,0)-1,$AJ276)+OFFSET(载具产出!$D$49,MATCH(AM$6,$AK$6:$AN$6,0)-1,$AJ276)*OFFSET(载具产出!$N$49,MATCH(AM$6,$AK$6:$AN$6,0)-1,0)),OFFSET(载具产出!H$59,$AJ276-1,0)*10+OFFSET(载具产出!L$59,$AJ276-1,0)+($AI276*10-_xlfn.XLOOKUP($AJ276-1,载具产出!$D$59:$D$67,载具产出!$E$59:$E$67))/10*(10*OFFSET(载具产出!$D$45,MATCH(AM$6,$AK$6:$AN$6,0)-1,$AJ276)+OFFSET(载具产出!$D$49,MATCH(AM$6,$AK$6:$AN$6,0)-1,$AJ276)*OFFSET(载具产出!$N$49,MATCH(AM$6,$AK$6:$AN$6,0)-1,0)))</f>
        <v>1406.91885714286</v>
      </c>
      <c r="AN276" s="44">
        <f ca="1">IF($AJ276=1,($AI276)*(10*OFFSET(载具产出!$D$45,MATCH(AN$6,$AK$6:$AN$6,0)-1,$AJ276)+OFFSET(载具产出!$D$49,MATCH(AN$6,$AK$6:$AN$6,0)-1,$AJ276)*OFFSET(载具产出!$N$49,MATCH(AN$6,$AK$6:$AN$6,0)-1,0)),OFFSET(载具产出!I$59,$AJ276-1,0)*10+OFFSET(载具产出!M$59,$AJ276-1,0)+($AI276*10-_xlfn.XLOOKUP($AJ276-1,载具产出!$D$59:$D$67,载具产出!$E$59:$E$67))/10*(10*OFFSET(载具产出!$D$45,MATCH(AN$6,$AK$6:$AN$6,0)-1,$AJ276)+OFFSET(载具产出!$D$49,MATCH(AN$6,$AK$6:$AN$6,0)-1,$AJ276)*OFFSET(载具产出!$N$49,MATCH(AN$6,$AK$6:$AN$6,0)-1,0)))</f>
        <v>437.650619047621</v>
      </c>
      <c r="AO276" s="44">
        <f ca="1" t="shared" si="60"/>
        <v>7836.46542857146</v>
      </c>
      <c r="AP276" s="44">
        <f ca="1" t="shared" si="61"/>
        <v>4402.05523809524</v>
      </c>
      <c r="AQ276" s="44">
        <f ca="1" t="shared" si="62"/>
        <v>2039.79885714286</v>
      </c>
      <c r="AR276" s="44">
        <f ca="1" t="shared" si="63"/>
        <v>451.090619047621</v>
      </c>
      <c r="AS276" s="45">
        <f ca="1">IFERROR(MATCH(AO276/载具产出!R$58,载具属性!$G$33:$G$92,1),0)</f>
        <v>41</v>
      </c>
      <c r="AT276" s="45">
        <f ca="1">IFERROR(MATCH(AP276/载具产出!S$58,载具属性!$G$33:$G$92,1),0)</f>
        <v>28</v>
      </c>
      <c r="AU276" s="45">
        <f ca="1">IFERROR(MATCH(AQ276/载具产出!T$58,载具属性!$G$33:$G$92,1),0)</f>
        <v>17</v>
      </c>
      <c r="AV276" s="45">
        <f ca="1">IFERROR(MATCH(AR276/载具产出!U$58,载具属性!$G$33:$G$92,1),0)</f>
        <v>7</v>
      </c>
      <c r="AW276" s="46" t="str">
        <f ca="1" t="shared" si="64"/>
        <v>[{62,1667},{63,216900},{2,631300},{6030001,4757},{6030002,5307},{6030003,1831},{6030004,36}]</v>
      </c>
      <c r="AX276" t="str">
        <f ca="1" t="shared" si="65"/>
        <v>{62,1667}</v>
      </c>
      <c r="AY276" t="str">
        <f ca="1" t="shared" si="66"/>
        <v>{63,216900}</v>
      </c>
      <c r="AZ276" t="str">
        <f ca="1" t="shared" si="67"/>
        <v>{2,631300}</v>
      </c>
      <c r="BA276" t="str">
        <f ca="1" t="shared" si="68"/>
        <v>{6030001,4757}</v>
      </c>
      <c r="BB276" t="str">
        <f ca="1" t="shared" si="69"/>
        <v>{6030002,5307}</v>
      </c>
      <c r="BC276" t="str">
        <f ca="1" t="shared" si="70"/>
        <v>{6030003,1831}</v>
      </c>
      <c r="BD276" t="str">
        <f ca="1" t="shared" si="71"/>
        <v>{6030004,36}</v>
      </c>
    </row>
    <row r="277" spans="3:56">
      <c r="C277">
        <f ca="1" t="shared" si="59"/>
        <v>127.725118483412</v>
      </c>
      <c r="D277" s="40">
        <v>271</v>
      </c>
      <c r="E277" s="40">
        <f t="shared" si="76"/>
        <v>134</v>
      </c>
      <c r="F277" s="40">
        <f t="shared" si="75"/>
        <v>154</v>
      </c>
      <c r="G277" s="41">
        <f t="shared" si="78"/>
        <v>211</v>
      </c>
      <c r="H277" s="40">
        <f>H276+1</f>
        <v>278</v>
      </c>
      <c r="I277" s="40">
        <f t="shared" si="58"/>
        <v>568</v>
      </c>
      <c r="J277" s="40">
        <f t="shared" si="77"/>
        <v>568</v>
      </c>
      <c r="K277" s="40">
        <f ca="1">SUM(U$36:U277)-SUM(OFFSET(载具产出!H$399,0,0,$R277+1,1))</f>
        <v>1674</v>
      </c>
      <c r="L277" s="40">
        <f ca="1">SUM(T$36:T277)-SUM(OFFSET(载具产出!G$399,0,0,$R277+1,1))</f>
        <v>218025</v>
      </c>
      <c r="M277" s="40">
        <f ca="1">SUM(V$36:V277)/2-SUM(OFFSET(载具产出!I$399,0,0,$R277+1,1))</f>
        <v>634900</v>
      </c>
      <c r="N277" s="40">
        <f ca="1">SUM(AA$36:AA277)-SUM(OFFSET(载具产出!J$399,0,0,$R277+1,1))</f>
        <v>4775.6</v>
      </c>
      <c r="O277" s="40">
        <f ca="1">SUM(AB$36:AB277)-SUM(OFFSET(载具产出!K$399,0,0,$R277+1,1))</f>
        <v>5328.75999999997</v>
      </c>
      <c r="P277" s="40">
        <f ca="1">SUM(AC$36:AC277)-SUM(OFFSET(载具产出!L$399,0,0,$R277+1,1))</f>
        <v>1846.96</v>
      </c>
      <c r="Q277" s="40">
        <f ca="1">SUM(AD$36:AD277)-SUM(OFFSET(载具产出!M$399,0,0,$R277+1,1))</f>
        <v>37.68</v>
      </c>
      <c r="R277" s="40">
        <v>20</v>
      </c>
      <c r="S277" s="40" t="str">
        <f ca="1">OFFSET(载具产出!$D$111,IFERROR(MATCH(OFFSET($D277,0,MATCH($D$5,$E$6:$H$6,0)),载具产出!$E$112:$E$151,1),0),0)</f>
        <v>卓越Ⅱ</v>
      </c>
      <c r="T277" s="40">
        <f ca="1">OFFSET(载具产出!$F$399,IFERROR(MATCH(OFFSET($D277,0,MATCH($D$5,$E$6:$H$6,0)),载具产出!$E$400:$E$439,1),0),MATCH(T$6,载具产出!$G$399:$O$399,0))</f>
        <v>1125</v>
      </c>
      <c r="U277" s="40">
        <v>7</v>
      </c>
      <c r="V277" s="40">
        <f ca="1">OFFSET(载具产出!$F$399,IFERROR(MATCH(OFFSET($D277,0,MATCH($D$5,$E$6:$H$6,0)),载具产出!$E$400:$E$439,1),0),MATCH(V$6,载具产出!$G$399:$O$399,0))</f>
        <v>7200</v>
      </c>
      <c r="W277" s="43">
        <f ca="1">_xlfn.XLOOKUP(Z277,载具属性!$E$98:$E$497,载具属性!$G$98:$G$497)+6000+OFFSET(载具属性!L$33,AS277,0)*载具属性!M$30+OFFSET(载具属性!M$33,AT277,0)*载具属性!N$30+OFFSET(载具属性!N$33,AU277,0)*载具属性!O$30+OFFSET(载具属性!O$33,AV277,0)*载具属性!P$30</f>
        <v>26950</v>
      </c>
      <c r="X277" s="43">
        <f ca="1">_xlfn.XLOOKUP(Z277,载具属性!$E$98:$E$497,载具属性!$G$98:$G$497)</f>
        <v>13405</v>
      </c>
      <c r="Y277" s="43">
        <f ca="1">OFFSET(载具属性!L$33,AS277,0)*载具属性!M$30+OFFSET(载具属性!M$33,AT277,0)*载具属性!N$30+OFFSET(载具属性!N$33,AU277,0)*载具属性!O$30+OFFSET(载具属性!O$33,AV277,0)*载具属性!P$30</f>
        <v>7545</v>
      </c>
      <c r="Z277" s="40">
        <f ca="1">MATCH(SUM($T$7:T277),载具属性!$I$98:$I$497,1)</f>
        <v>189</v>
      </c>
      <c r="AA277" s="40">
        <f ca="1">OFFSET(载具产出!$F$399,IFERROR(MATCH(OFFSET($D277,0,MATCH($D$5,$E$6:$H$6,0)),载具产出!$E$112:$E$151,1),0),MATCH(AA$6,载具产出!$G$111:$O$111,0))*2</f>
        <v>18</v>
      </c>
      <c r="AB277" s="40">
        <f ca="1">OFFSET(载具产出!$F$399,IFERROR(MATCH(OFFSET($D277,0,MATCH($D$5,$E$6:$H$6,0)),载具产出!$E$112:$E$151,1),0),MATCH(AB$6,载具产出!$G$111:$O$111,0))*2</f>
        <v>21.28</v>
      </c>
      <c r="AC277" s="40">
        <f ca="1">OFFSET(载具产出!$F$399,IFERROR(MATCH(OFFSET($D277,0,MATCH($D$5,$E$6:$H$6,0)),载具产出!$E$112:$E$151,1),0),MATCH(AC$6,载具产出!$G$111:$O$111,0))*2</f>
        <v>15.76</v>
      </c>
      <c r="AD277" s="40">
        <f ca="1">OFFSET(载具产出!$F$399,IFERROR(MATCH(OFFSET($D277,0,MATCH($D$5,$E$6:$H$6,0)),载具产出!$E$112:$E$151,1),0),MATCH(AD$6,载具产出!$G$111:$O$111,0))*2</f>
        <v>0.96</v>
      </c>
      <c r="AE277" s="44">
        <f ca="1">SUM(AA$36:AA277)/3</f>
        <v>1670.8</v>
      </c>
      <c r="AF277" s="44">
        <f ca="1">SUM(AB$36:AB277)/3</f>
        <v>1843.30666666666</v>
      </c>
      <c r="AG277" s="44">
        <f ca="1">SUM(AC$36:AC277)/3</f>
        <v>638.133333333333</v>
      </c>
      <c r="AH277" s="44">
        <f ca="1">SUM(AD$36:AD277)/3</f>
        <v>13.76</v>
      </c>
      <c r="AI277" s="44">
        <f>_xlfn.XLOOKUP($D$5,载具产出!$D$71:$D$75,载具产出!$E$71:$E$75)*(D277-30+1)</f>
        <v>2846.38095238096</v>
      </c>
      <c r="AJ277" s="44">
        <f>IFERROR(MATCH(_xlfn.XLOOKUP($D$5,载具产出!$D$71:$D$75,载具产出!$E$71:$E$75)*(D277-30+1)*10,载具产出!$E$60:$E$67,1),0)+1</f>
        <v>7</v>
      </c>
      <c r="AK277" s="44">
        <f ca="1">IF($AJ277=1,($AI277)*(10*OFFSET(载具产出!$D$45,MATCH(AK$6,$AK$6:$AN$6,0)-1,$AJ277)+OFFSET(载具产出!$D$49,MATCH(AK$6,$AK$6:$AN$6,0)-1,$AJ277)*OFFSET(载具产出!$N$49,MATCH(AK$6,$AK$6:$AN$6,0)-1,0)),OFFSET(载具产出!F$59,$AJ277-1,0)*10+OFFSET(载具产出!J$59,$AJ277-1,0)+($AI277*10-_xlfn.XLOOKUP($AJ277-1,载具产出!$D$59:$D$67,载具产出!$E$59:$E$67))/10*(10*OFFSET(载具产出!$D$45,MATCH(AK$6,$AK$6:$AN$6,0)-1,$AJ277)+OFFSET(载具产出!$D$49,MATCH(AK$6,$AK$6:$AN$6,0)-1,$AJ277)*OFFSET(载具产出!$N$49,MATCH(AK$6,$AK$6:$AN$6,0)-1,0)))</f>
        <v>6196.50657142859</v>
      </c>
      <c r="AL277" s="44">
        <f ca="1">IF($AJ277=1,($AI277)*(10*OFFSET(载具产出!$D$45,MATCH(AL$6,$AK$6:$AN$6,0)-1,$AJ277)+OFFSET(载具产出!$D$49,MATCH(AL$6,$AK$6:$AN$6,0)-1,$AJ277)*OFFSET(载具产出!$N$49,MATCH(AL$6,$AK$6:$AN$6,0)-1,0)),OFFSET(载具产出!G$59,$AJ277-1,0)*10+OFFSET(载具产出!K$59,$AJ277-1,0)+($AI277*10-_xlfn.XLOOKUP($AJ277-1,载具产出!$D$59:$D$67,载具产出!$E$59:$E$67))/10*(10*OFFSET(载具产出!$D$45,MATCH(AL$6,$AK$6:$AN$6,0)-1,$AJ277)+OFFSET(载具产出!$D$49,MATCH(AL$6,$AK$6:$AN$6,0)-1,$AJ277)*OFFSET(载具产出!$N$49,MATCH(AL$6,$AK$6:$AN$6,0)-1,0)))</f>
        <v>2576.8980952381</v>
      </c>
      <c r="AM277" s="44">
        <f ca="1">IF($AJ277=1,($AI277)*(10*OFFSET(载具产出!$D$45,MATCH(AM$6,$AK$6:$AN$6,0)-1,$AJ277)+OFFSET(载具产出!$D$49,MATCH(AM$6,$AK$6:$AN$6,0)-1,$AJ277)*OFFSET(载具产出!$N$49,MATCH(AM$6,$AK$6:$AN$6,0)-1,0)),OFFSET(载具产出!H$59,$AJ277-1,0)*10+OFFSET(载具产出!L$59,$AJ277-1,0)+($AI277*10-_xlfn.XLOOKUP($AJ277-1,载具产出!$D$59:$D$67,载具产出!$E$59:$E$67))/10*(10*OFFSET(载具产出!$D$45,MATCH(AM$6,$AK$6:$AN$6,0)-1,$AJ277)+OFFSET(载具产出!$D$49,MATCH(AM$6,$AK$6:$AN$6,0)-1,$AJ277)*OFFSET(载具产出!$N$49,MATCH(AM$6,$AK$6:$AN$6,0)-1,0)))</f>
        <v>1413.12914285715</v>
      </c>
      <c r="AN277" s="44">
        <f ca="1">IF($AJ277=1,($AI277)*(10*OFFSET(载具产出!$D$45,MATCH(AN$6,$AK$6:$AN$6,0)-1,$AJ277)+OFFSET(载具产出!$D$49,MATCH(AN$6,$AK$6:$AN$6,0)-1,$AJ277)*OFFSET(载具产出!$N$49,MATCH(AN$6,$AK$6:$AN$6,0)-1,0)),OFFSET(载具产出!I$59,$AJ277-1,0)*10+OFFSET(载具产出!M$59,$AJ277-1,0)+($AI277*10-_xlfn.XLOOKUP($AJ277-1,载具产出!$D$59:$D$67,载具产出!$E$59:$E$67))/10*(10*OFFSET(载具产出!$D$45,MATCH(AN$6,$AK$6:$AN$6,0)-1,$AJ277)+OFFSET(载具产出!$D$49,MATCH(AN$6,$AK$6:$AN$6,0)-1,$AJ277)*OFFSET(载具产出!$N$49,MATCH(AN$6,$AK$6:$AN$6,0)-1,0)))</f>
        <v>439.638380952382</v>
      </c>
      <c r="AO277" s="44">
        <f ca="1" t="shared" si="60"/>
        <v>7867.30657142859</v>
      </c>
      <c r="AP277" s="44">
        <f ca="1" t="shared" si="61"/>
        <v>4420.20476190476</v>
      </c>
      <c r="AQ277" s="44">
        <f ca="1" t="shared" si="62"/>
        <v>2051.26247619048</v>
      </c>
      <c r="AR277" s="44">
        <f ca="1" t="shared" si="63"/>
        <v>453.398380952382</v>
      </c>
      <c r="AS277" s="45">
        <f ca="1">IFERROR(MATCH(AO277/载具产出!R$58,载具属性!$G$33:$G$92,1),0)</f>
        <v>41</v>
      </c>
      <c r="AT277" s="45">
        <f ca="1">IFERROR(MATCH(AP277/载具产出!S$58,载具属性!$G$33:$G$92,1),0)</f>
        <v>28</v>
      </c>
      <c r="AU277" s="45">
        <f ca="1">IFERROR(MATCH(AQ277/载具产出!T$58,载具属性!$G$33:$G$92,1),0)</f>
        <v>17</v>
      </c>
      <c r="AV277" s="45">
        <f ca="1">IFERROR(MATCH(AR277/载具产出!U$58,载具属性!$G$33:$G$92,1),0)</f>
        <v>7</v>
      </c>
      <c r="AW277" s="46" t="str">
        <f ca="1" t="shared" si="64"/>
        <v>[{62,1674},{63,218025},{2,634900},{6030001,4775},{6030002,5328},{6030003,1846},{6030004,37}]</v>
      </c>
      <c r="AX277" t="str">
        <f ca="1" t="shared" si="65"/>
        <v>{62,1674}</v>
      </c>
      <c r="AY277" t="str">
        <f ca="1" t="shared" si="66"/>
        <v>{63,218025}</v>
      </c>
      <c r="AZ277" t="str">
        <f ca="1" t="shared" si="67"/>
        <v>{2,634900}</v>
      </c>
      <c r="BA277" t="str">
        <f ca="1" t="shared" si="68"/>
        <v>{6030001,4775}</v>
      </c>
      <c r="BB277" t="str">
        <f ca="1" t="shared" si="69"/>
        <v>{6030002,5328}</v>
      </c>
      <c r="BC277" t="str">
        <f ca="1" t="shared" si="70"/>
        <v>{6030003,1846}</v>
      </c>
      <c r="BD277" t="str">
        <f ca="1" t="shared" si="71"/>
        <v>{6030004,37}</v>
      </c>
    </row>
    <row r="278" spans="3:56">
      <c r="C278">
        <f ca="1" t="shared" si="59"/>
        <v>127.570754716981</v>
      </c>
      <c r="D278" s="40">
        <v>272</v>
      </c>
      <c r="E278" s="40">
        <f t="shared" si="76"/>
        <v>134</v>
      </c>
      <c r="F278" s="40">
        <f t="shared" si="75"/>
        <v>154</v>
      </c>
      <c r="G278" s="41">
        <f t="shared" si="78"/>
        <v>212</v>
      </c>
      <c r="H278" s="40">
        <f>H277</f>
        <v>278</v>
      </c>
      <c r="I278" s="40">
        <f t="shared" si="58"/>
        <v>570</v>
      </c>
      <c r="J278" s="40">
        <f t="shared" si="77"/>
        <v>570</v>
      </c>
      <c r="K278" s="40">
        <f ca="1">SUM(U$36:U278)-SUM(OFFSET(载具产出!H$399,0,0,$R278+1,1))</f>
        <v>1681</v>
      </c>
      <c r="L278" s="40">
        <f ca="1">SUM(T$36:T278)-SUM(OFFSET(载具产出!G$399,0,0,$R278+1,1))</f>
        <v>219150</v>
      </c>
      <c r="M278" s="40">
        <f ca="1">SUM(V$36:V278)/2-SUM(OFFSET(载具产出!I$399,0,0,$R278+1,1))</f>
        <v>638500</v>
      </c>
      <c r="N278" s="40">
        <f ca="1">SUM(AA$36:AA278)-SUM(OFFSET(载具产出!J$399,0,0,$R278+1,1))</f>
        <v>4793.6</v>
      </c>
      <c r="O278" s="40">
        <f ca="1">SUM(AB$36:AB278)-SUM(OFFSET(载具产出!K$399,0,0,$R278+1,1))</f>
        <v>5350.03999999997</v>
      </c>
      <c r="P278" s="40">
        <f ca="1">SUM(AC$36:AC278)-SUM(OFFSET(载具产出!L$399,0,0,$R278+1,1))</f>
        <v>1862.72</v>
      </c>
      <c r="Q278" s="40">
        <f ca="1">SUM(AD$36:AD278)-SUM(OFFSET(载具产出!M$399,0,0,$R278+1,1))</f>
        <v>38.64</v>
      </c>
      <c r="R278" s="40">
        <v>20</v>
      </c>
      <c r="S278" s="40" t="str">
        <f ca="1">OFFSET(载具产出!$D$111,IFERROR(MATCH(OFFSET($D278,0,MATCH($D$5,$E$6:$H$6,0)),载具产出!$E$112:$E$151,1),0),0)</f>
        <v>卓越Ⅱ</v>
      </c>
      <c r="T278" s="40">
        <f ca="1">OFFSET(载具产出!$F$399,IFERROR(MATCH(OFFSET($D278,0,MATCH($D$5,$E$6:$H$6,0)),载具产出!$E$400:$E$439,1),0),MATCH(T$6,载具产出!$G$399:$O$399,0))</f>
        <v>1125</v>
      </c>
      <c r="U278" s="40">
        <v>7</v>
      </c>
      <c r="V278" s="40">
        <f ca="1">OFFSET(载具产出!$F$399,IFERROR(MATCH(OFFSET($D278,0,MATCH($D$5,$E$6:$H$6,0)),载具产出!$E$400:$E$439,1),0),MATCH(V$6,载具产出!$G$399:$O$399,0))</f>
        <v>7200</v>
      </c>
      <c r="W278" s="43">
        <f ca="1">_xlfn.XLOOKUP(Z278,载具属性!$E$98:$E$497,载具属性!$G$98:$G$497)+6000+OFFSET(载具属性!L$33,AS278,0)*载具属性!M$30+OFFSET(载具属性!M$33,AT278,0)*载具属性!N$30+OFFSET(载具属性!N$33,AU278,0)*载具属性!O$30+OFFSET(载具属性!O$33,AV278,0)*载具属性!P$30</f>
        <v>27045</v>
      </c>
      <c r="X278" s="43">
        <f ca="1">_xlfn.XLOOKUP(Z278,载具属性!$E$98:$E$497,载具属性!$G$98:$G$497)</f>
        <v>13500</v>
      </c>
      <c r="Y278" s="43">
        <f ca="1">OFFSET(载具属性!L$33,AS278,0)*载具属性!M$30+OFFSET(载具属性!M$33,AT278,0)*载具属性!N$30+OFFSET(载具属性!N$33,AU278,0)*载具属性!O$30+OFFSET(载具属性!O$33,AV278,0)*载具属性!P$30</f>
        <v>7545</v>
      </c>
      <c r="Z278" s="40">
        <f ca="1">MATCH(SUM($T$7:T278),载具属性!$I$98:$I$497,1)</f>
        <v>190</v>
      </c>
      <c r="AA278" s="40">
        <f ca="1">OFFSET(载具产出!$F$399,IFERROR(MATCH(OFFSET($D278,0,MATCH($D$5,$E$6:$H$6,0)),载具产出!$E$112:$E$151,1),0),MATCH(AA$6,载具产出!$G$111:$O$111,0))*2</f>
        <v>18</v>
      </c>
      <c r="AB278" s="40">
        <f ca="1">OFFSET(载具产出!$F$399,IFERROR(MATCH(OFFSET($D278,0,MATCH($D$5,$E$6:$H$6,0)),载具产出!$E$112:$E$151,1),0),MATCH(AB$6,载具产出!$G$111:$O$111,0))*2</f>
        <v>21.28</v>
      </c>
      <c r="AC278" s="40">
        <f ca="1">OFFSET(载具产出!$F$399,IFERROR(MATCH(OFFSET($D278,0,MATCH($D$5,$E$6:$H$6,0)),载具产出!$E$112:$E$151,1),0),MATCH(AC$6,载具产出!$G$111:$O$111,0))*2</f>
        <v>15.76</v>
      </c>
      <c r="AD278" s="40">
        <f ca="1">OFFSET(载具产出!$F$399,IFERROR(MATCH(OFFSET($D278,0,MATCH($D$5,$E$6:$H$6,0)),载具产出!$E$112:$E$151,1),0),MATCH(AD$6,载具产出!$G$111:$O$111,0))*2</f>
        <v>0.96</v>
      </c>
      <c r="AE278" s="44">
        <f ca="1">SUM(AA$36:AA278)/3</f>
        <v>1676.8</v>
      </c>
      <c r="AF278" s="44">
        <f ca="1">SUM(AB$36:AB278)/3</f>
        <v>1850.39999999999</v>
      </c>
      <c r="AG278" s="44">
        <f ca="1">SUM(AC$36:AC278)/3</f>
        <v>643.386666666666</v>
      </c>
      <c r="AH278" s="44">
        <f ca="1">SUM(AD$36:AD278)/3</f>
        <v>14.08</v>
      </c>
      <c r="AI278" s="44">
        <f>_xlfn.XLOOKUP($D$5,载具产出!$D$71:$D$75,载具产出!$E$71:$E$75)*(D278-30+1)</f>
        <v>2858.14285714287</v>
      </c>
      <c r="AJ278" s="44">
        <f>IFERROR(MATCH(_xlfn.XLOOKUP($D$5,载具产出!$D$71:$D$75,载具产出!$E$71:$E$75)*(D278-30+1)*10,载具产出!$E$60:$E$67,1),0)+1</f>
        <v>7</v>
      </c>
      <c r="AK278" s="44">
        <f ca="1">IF($AJ278=1,($AI278)*(10*OFFSET(载具产出!$D$45,MATCH(AK$6,$AK$6:$AN$6,0)-1,$AJ278)+OFFSET(载具产出!$D$49,MATCH(AK$6,$AK$6:$AN$6,0)-1,$AJ278)*OFFSET(载具产出!$N$49,MATCH(AK$6,$AK$6:$AN$6,0)-1,0)),OFFSET(载具产出!F$59,$AJ278-1,0)*10+OFFSET(载具产出!J$59,$AJ278-1,0)+($AI278*10-_xlfn.XLOOKUP($AJ278-1,载具产出!$D$59:$D$67,载具产出!$E$59:$E$67))/10*(10*OFFSET(载具产出!$D$45,MATCH(AK$6,$AK$6:$AN$6,0)-1,$AJ278)+OFFSET(载具产出!$D$49,MATCH(AK$6,$AK$6:$AN$6,0)-1,$AJ278)*OFFSET(载具产出!$N$49,MATCH(AK$6,$AK$6:$AN$6,0)-1,0)))</f>
        <v>6221.34771428574</v>
      </c>
      <c r="AL278" s="44">
        <f ca="1">IF($AJ278=1,($AI278)*(10*OFFSET(载具产出!$D$45,MATCH(AL$6,$AK$6:$AN$6,0)-1,$AJ278)+OFFSET(载具产出!$D$49,MATCH(AL$6,$AK$6:$AN$6,0)-1,$AJ278)*OFFSET(载具产出!$N$49,MATCH(AL$6,$AK$6:$AN$6,0)-1,0)),OFFSET(载具产出!G$59,$AJ278-1,0)*10+OFFSET(载具产出!K$59,$AJ278-1,0)+($AI278*10-_xlfn.XLOOKUP($AJ278-1,载具产出!$D$59:$D$67,载具产出!$E$59:$E$67))/10*(10*OFFSET(载具产出!$D$45,MATCH(AL$6,$AK$6:$AN$6,0)-1,$AJ278)+OFFSET(载具产出!$D$49,MATCH(AL$6,$AK$6:$AN$6,0)-1,$AJ278)*OFFSET(载具产出!$N$49,MATCH(AL$6,$AK$6:$AN$6,0)-1,0)))</f>
        <v>2587.9542857143</v>
      </c>
      <c r="AM278" s="44">
        <f ca="1">IF($AJ278=1,($AI278)*(10*OFFSET(载具产出!$D$45,MATCH(AM$6,$AK$6:$AN$6,0)-1,$AJ278)+OFFSET(载具产出!$D$49,MATCH(AM$6,$AK$6:$AN$6,0)-1,$AJ278)*OFFSET(载具产出!$N$49,MATCH(AM$6,$AK$6:$AN$6,0)-1,0)),OFFSET(载具产出!H$59,$AJ278-1,0)*10+OFFSET(载具产出!L$59,$AJ278-1,0)+($AI278*10-_xlfn.XLOOKUP($AJ278-1,载具产出!$D$59:$D$67,载具产出!$E$59:$E$67))/10*(10*OFFSET(载具产出!$D$45,MATCH(AM$6,$AK$6:$AN$6,0)-1,$AJ278)+OFFSET(载具产出!$D$49,MATCH(AM$6,$AK$6:$AN$6,0)-1,$AJ278)*OFFSET(载具产出!$N$49,MATCH(AM$6,$AK$6:$AN$6,0)-1,0)))</f>
        <v>1419.33942857144</v>
      </c>
      <c r="AN278" s="44">
        <f ca="1">IF($AJ278=1,($AI278)*(10*OFFSET(载具产出!$D$45,MATCH(AN$6,$AK$6:$AN$6,0)-1,$AJ278)+OFFSET(载具产出!$D$49,MATCH(AN$6,$AK$6:$AN$6,0)-1,$AJ278)*OFFSET(载具产出!$N$49,MATCH(AN$6,$AK$6:$AN$6,0)-1,0)),OFFSET(载具产出!I$59,$AJ278-1,0)*10+OFFSET(载具产出!M$59,$AJ278-1,0)+($AI278*10-_xlfn.XLOOKUP($AJ278-1,载具产出!$D$59:$D$67,载具产出!$E$59:$E$67))/10*(10*OFFSET(载具产出!$D$45,MATCH(AN$6,$AK$6:$AN$6,0)-1,$AJ278)+OFFSET(载具产出!$D$49,MATCH(AN$6,$AK$6:$AN$6,0)-1,$AJ278)*OFFSET(载具产出!$N$49,MATCH(AN$6,$AK$6:$AN$6,0)-1,0)))</f>
        <v>441.626142857145</v>
      </c>
      <c r="AO278" s="44">
        <f ca="1" t="shared" si="60"/>
        <v>7898.14771428574</v>
      </c>
      <c r="AP278" s="44">
        <f ca="1" t="shared" si="61"/>
        <v>4438.35428571429</v>
      </c>
      <c r="AQ278" s="44">
        <f ca="1" t="shared" si="62"/>
        <v>2062.7260952381</v>
      </c>
      <c r="AR278" s="44">
        <f ca="1" t="shared" si="63"/>
        <v>455.706142857145</v>
      </c>
      <c r="AS278" s="45">
        <f ca="1">IFERROR(MATCH(AO278/载具产出!R$58,载具属性!$G$33:$G$92,1),0)</f>
        <v>41</v>
      </c>
      <c r="AT278" s="45">
        <f ca="1">IFERROR(MATCH(AP278/载具产出!S$58,载具属性!$G$33:$G$92,1),0)</f>
        <v>28</v>
      </c>
      <c r="AU278" s="45">
        <f ca="1">IFERROR(MATCH(AQ278/载具产出!T$58,载具属性!$G$33:$G$92,1),0)</f>
        <v>17</v>
      </c>
      <c r="AV278" s="45">
        <f ca="1">IFERROR(MATCH(AR278/载具产出!U$58,载具属性!$G$33:$G$92,1),0)</f>
        <v>7</v>
      </c>
      <c r="AW278" s="46" t="str">
        <f ca="1" t="shared" si="64"/>
        <v>[{62,1681},{63,219150},{2,638500},{6030001,4793},{6030002,5350},{6030003,1862},{6030004,38}]</v>
      </c>
      <c r="AX278" t="str">
        <f ca="1" t="shared" si="65"/>
        <v>{62,1681}</v>
      </c>
      <c r="AY278" t="str">
        <f ca="1" t="shared" si="66"/>
        <v>{63,219150}</v>
      </c>
      <c r="AZ278" t="str">
        <f ca="1" t="shared" si="67"/>
        <v>{2,638500}</v>
      </c>
      <c r="BA278" t="str">
        <f ca="1" t="shared" si="68"/>
        <v>{6030001,4793}</v>
      </c>
      <c r="BB278" t="str">
        <f ca="1" t="shared" si="69"/>
        <v>{6030002,5350}</v>
      </c>
      <c r="BC278" t="str">
        <f ca="1" t="shared" si="70"/>
        <v>{6030003,1862}</v>
      </c>
      <c r="BD278" t="str">
        <f ca="1" t="shared" si="71"/>
        <v>{6030004,38}</v>
      </c>
    </row>
    <row r="279" spans="3:56">
      <c r="C279">
        <f ca="1" t="shared" si="59"/>
        <v>127.570754716981</v>
      </c>
      <c r="D279" s="40">
        <v>273</v>
      </c>
      <c r="E279" s="40">
        <f t="shared" si="76"/>
        <v>134</v>
      </c>
      <c r="F279" s="40">
        <f t="shared" si="75"/>
        <v>154</v>
      </c>
      <c r="G279" s="41">
        <f t="shared" si="78"/>
        <v>212</v>
      </c>
      <c r="H279" s="40">
        <f>H278+1</f>
        <v>279</v>
      </c>
      <c r="I279" s="40">
        <f t="shared" si="58"/>
        <v>572</v>
      </c>
      <c r="J279" s="40">
        <f t="shared" si="77"/>
        <v>572</v>
      </c>
      <c r="K279" s="40">
        <f ca="1">SUM(U$36:U279)-SUM(OFFSET(载具产出!H$399,0,0,$R279+1,1))</f>
        <v>1688</v>
      </c>
      <c r="L279" s="40">
        <f ca="1">SUM(T$36:T279)-SUM(OFFSET(载具产出!G$399,0,0,$R279+1,1))</f>
        <v>220275</v>
      </c>
      <c r="M279" s="40">
        <f ca="1">SUM(V$36:V279)/2-SUM(OFFSET(载具产出!I$399,0,0,$R279+1,1))</f>
        <v>642100</v>
      </c>
      <c r="N279" s="40">
        <f ca="1">SUM(AA$36:AA279)-SUM(OFFSET(载具产出!J$399,0,0,$R279+1,1))</f>
        <v>4811.6</v>
      </c>
      <c r="O279" s="40">
        <f ca="1">SUM(AB$36:AB279)-SUM(OFFSET(载具产出!K$399,0,0,$R279+1,1))</f>
        <v>5371.31999999997</v>
      </c>
      <c r="P279" s="40">
        <f ca="1">SUM(AC$36:AC279)-SUM(OFFSET(载具产出!L$399,0,0,$R279+1,1))</f>
        <v>1878.48</v>
      </c>
      <c r="Q279" s="40">
        <f ca="1">SUM(AD$36:AD279)-SUM(OFFSET(载具产出!M$399,0,0,$R279+1,1))</f>
        <v>39.6</v>
      </c>
      <c r="R279" s="40">
        <v>20</v>
      </c>
      <c r="S279" s="40" t="str">
        <f ca="1">OFFSET(载具产出!$D$111,IFERROR(MATCH(OFFSET($D279,0,MATCH($D$5,$E$6:$H$6,0)),载具产出!$E$112:$E$151,1),0),0)</f>
        <v>卓越Ⅱ</v>
      </c>
      <c r="T279" s="40">
        <f ca="1">OFFSET(载具产出!$F$399,IFERROR(MATCH(OFFSET($D279,0,MATCH($D$5,$E$6:$H$6,0)),载具产出!$E$400:$E$439,1),0),MATCH(T$6,载具产出!$G$399:$O$399,0))</f>
        <v>1125</v>
      </c>
      <c r="U279" s="40">
        <v>7</v>
      </c>
      <c r="V279" s="40">
        <f ca="1">OFFSET(载具产出!$F$399,IFERROR(MATCH(OFFSET($D279,0,MATCH($D$5,$E$6:$H$6,0)),载具产出!$E$400:$E$439,1),0),MATCH(V$6,载具产出!$G$399:$O$399,0))</f>
        <v>7200</v>
      </c>
      <c r="W279" s="43">
        <f ca="1">_xlfn.XLOOKUP(Z279,载具属性!$E$98:$E$497,载具属性!$G$98:$G$497)+6000+OFFSET(载具属性!L$33,AS279,0)*载具属性!M$30+OFFSET(载具属性!M$33,AT279,0)*载具属性!N$30+OFFSET(载具属性!N$33,AU279,0)*载具属性!O$30+OFFSET(载具属性!O$33,AV279,0)*载具属性!P$30</f>
        <v>27045</v>
      </c>
      <c r="X279" s="43">
        <f ca="1">_xlfn.XLOOKUP(Z279,载具属性!$E$98:$E$497,载具属性!$G$98:$G$497)</f>
        <v>13500</v>
      </c>
      <c r="Y279" s="43">
        <f ca="1">OFFSET(载具属性!L$33,AS279,0)*载具属性!M$30+OFFSET(载具属性!M$33,AT279,0)*载具属性!N$30+OFFSET(载具属性!N$33,AU279,0)*载具属性!O$30+OFFSET(载具属性!O$33,AV279,0)*载具属性!P$30</f>
        <v>7545</v>
      </c>
      <c r="Z279" s="40">
        <f ca="1">MATCH(SUM($T$7:T279),载具属性!$I$98:$I$497,1)</f>
        <v>190</v>
      </c>
      <c r="AA279" s="40">
        <f ca="1">OFFSET(载具产出!$F$399,IFERROR(MATCH(OFFSET($D279,0,MATCH($D$5,$E$6:$H$6,0)),载具产出!$E$112:$E$151,1),0),MATCH(AA$6,载具产出!$G$111:$O$111,0))*2</f>
        <v>18</v>
      </c>
      <c r="AB279" s="40">
        <f ca="1">OFFSET(载具产出!$F$399,IFERROR(MATCH(OFFSET($D279,0,MATCH($D$5,$E$6:$H$6,0)),载具产出!$E$112:$E$151,1),0),MATCH(AB$6,载具产出!$G$111:$O$111,0))*2</f>
        <v>21.28</v>
      </c>
      <c r="AC279" s="40">
        <f ca="1">OFFSET(载具产出!$F$399,IFERROR(MATCH(OFFSET($D279,0,MATCH($D$5,$E$6:$H$6,0)),载具产出!$E$112:$E$151,1),0),MATCH(AC$6,载具产出!$G$111:$O$111,0))*2</f>
        <v>15.76</v>
      </c>
      <c r="AD279" s="40">
        <f ca="1">OFFSET(载具产出!$F$399,IFERROR(MATCH(OFFSET($D279,0,MATCH($D$5,$E$6:$H$6,0)),载具产出!$E$112:$E$151,1),0),MATCH(AD$6,载具产出!$G$111:$O$111,0))*2</f>
        <v>0.96</v>
      </c>
      <c r="AE279" s="44">
        <f ca="1">SUM(AA$36:AA279)/3</f>
        <v>1682.8</v>
      </c>
      <c r="AF279" s="44">
        <f ca="1">SUM(AB$36:AB279)/3</f>
        <v>1857.49333333332</v>
      </c>
      <c r="AG279" s="44">
        <f ca="1">SUM(AC$36:AC279)/3</f>
        <v>648.639999999999</v>
      </c>
      <c r="AH279" s="44">
        <f ca="1">SUM(AD$36:AD279)/3</f>
        <v>14.4</v>
      </c>
      <c r="AI279" s="44">
        <f>_xlfn.XLOOKUP($D$5,载具产出!$D$71:$D$75,载具产出!$E$71:$E$75)*(D279-30+1)</f>
        <v>2869.90476190477</v>
      </c>
      <c r="AJ279" s="44">
        <f>IFERROR(MATCH(_xlfn.XLOOKUP($D$5,载具产出!$D$71:$D$75,载具产出!$E$71:$E$75)*(D279-30+1)*10,载具产出!$E$60:$E$67,1),0)+1</f>
        <v>7</v>
      </c>
      <c r="AK279" s="44">
        <f ca="1">IF($AJ279=1,($AI279)*(10*OFFSET(载具产出!$D$45,MATCH(AK$6,$AK$6:$AN$6,0)-1,$AJ279)+OFFSET(载具产出!$D$49,MATCH(AK$6,$AK$6:$AN$6,0)-1,$AJ279)*OFFSET(载具产出!$N$49,MATCH(AK$6,$AK$6:$AN$6,0)-1,0)),OFFSET(载具产出!F$59,$AJ279-1,0)*10+OFFSET(载具产出!J$59,$AJ279-1,0)+($AI279*10-_xlfn.XLOOKUP($AJ279-1,载具产出!$D$59:$D$67,载具产出!$E$59:$E$67))/10*(10*OFFSET(载具产出!$D$45,MATCH(AK$6,$AK$6:$AN$6,0)-1,$AJ279)+OFFSET(载具产出!$D$49,MATCH(AK$6,$AK$6:$AN$6,0)-1,$AJ279)*OFFSET(载具产出!$N$49,MATCH(AK$6,$AK$6:$AN$6,0)-1,0)))</f>
        <v>6246.18885714287</v>
      </c>
      <c r="AL279" s="44">
        <f ca="1">IF($AJ279=1,($AI279)*(10*OFFSET(载具产出!$D$45,MATCH(AL$6,$AK$6:$AN$6,0)-1,$AJ279)+OFFSET(载具产出!$D$49,MATCH(AL$6,$AK$6:$AN$6,0)-1,$AJ279)*OFFSET(载具产出!$N$49,MATCH(AL$6,$AK$6:$AN$6,0)-1,0)),OFFSET(载具产出!G$59,$AJ279-1,0)*10+OFFSET(载具产出!K$59,$AJ279-1,0)+($AI279*10-_xlfn.XLOOKUP($AJ279-1,载具产出!$D$59:$D$67,载具产出!$E$59:$E$67))/10*(10*OFFSET(载具产出!$D$45,MATCH(AL$6,$AK$6:$AN$6,0)-1,$AJ279)+OFFSET(载具产出!$D$49,MATCH(AL$6,$AK$6:$AN$6,0)-1,$AJ279)*OFFSET(载具产出!$N$49,MATCH(AL$6,$AK$6:$AN$6,0)-1,0)))</f>
        <v>2599.01047619048</v>
      </c>
      <c r="AM279" s="44">
        <f ca="1">IF($AJ279=1,($AI279)*(10*OFFSET(载具产出!$D$45,MATCH(AM$6,$AK$6:$AN$6,0)-1,$AJ279)+OFFSET(载具产出!$D$49,MATCH(AM$6,$AK$6:$AN$6,0)-1,$AJ279)*OFFSET(载具产出!$N$49,MATCH(AM$6,$AK$6:$AN$6,0)-1,0)),OFFSET(载具产出!H$59,$AJ279-1,0)*10+OFFSET(载具产出!L$59,$AJ279-1,0)+($AI279*10-_xlfn.XLOOKUP($AJ279-1,载具产出!$D$59:$D$67,载具产出!$E$59:$E$67))/10*(10*OFFSET(载具产出!$D$45,MATCH(AM$6,$AK$6:$AN$6,0)-1,$AJ279)+OFFSET(载具产出!$D$49,MATCH(AM$6,$AK$6:$AN$6,0)-1,$AJ279)*OFFSET(载具产出!$N$49,MATCH(AM$6,$AK$6:$AN$6,0)-1,0)))</f>
        <v>1425.54971428572</v>
      </c>
      <c r="AN279" s="44">
        <f ca="1">IF($AJ279=1,($AI279)*(10*OFFSET(载具产出!$D$45,MATCH(AN$6,$AK$6:$AN$6,0)-1,$AJ279)+OFFSET(载具产出!$D$49,MATCH(AN$6,$AK$6:$AN$6,0)-1,$AJ279)*OFFSET(载具产出!$N$49,MATCH(AN$6,$AK$6:$AN$6,0)-1,0)),OFFSET(载具产出!I$59,$AJ279-1,0)*10+OFFSET(载具产出!M$59,$AJ279-1,0)+($AI279*10-_xlfn.XLOOKUP($AJ279-1,载具产出!$D$59:$D$67,载具产出!$E$59:$E$67))/10*(10*OFFSET(载具产出!$D$45,MATCH(AN$6,$AK$6:$AN$6,0)-1,$AJ279)+OFFSET(载具产出!$D$49,MATCH(AN$6,$AK$6:$AN$6,0)-1,$AJ279)*OFFSET(载具产出!$N$49,MATCH(AN$6,$AK$6:$AN$6,0)-1,0)))</f>
        <v>443.613904761906</v>
      </c>
      <c r="AO279" s="44">
        <f ca="1" t="shared" si="60"/>
        <v>7928.98885714287</v>
      </c>
      <c r="AP279" s="44">
        <f ca="1" t="shared" si="61"/>
        <v>4456.50380952381</v>
      </c>
      <c r="AQ279" s="44">
        <f ca="1" t="shared" si="62"/>
        <v>2074.18971428572</v>
      </c>
      <c r="AR279" s="44">
        <f ca="1" t="shared" si="63"/>
        <v>458.013904761906</v>
      </c>
      <c r="AS279" s="45">
        <f ca="1">IFERROR(MATCH(AO279/载具产出!R$58,载具属性!$G$33:$G$92,1),0)</f>
        <v>41</v>
      </c>
      <c r="AT279" s="45">
        <f ca="1">IFERROR(MATCH(AP279/载具产出!S$58,载具属性!$G$33:$G$92,1),0)</f>
        <v>28</v>
      </c>
      <c r="AU279" s="45">
        <f ca="1">IFERROR(MATCH(AQ279/载具产出!T$58,载具属性!$G$33:$G$92,1),0)</f>
        <v>17</v>
      </c>
      <c r="AV279" s="45">
        <f ca="1">IFERROR(MATCH(AR279/载具产出!U$58,载具属性!$G$33:$G$92,1),0)</f>
        <v>7</v>
      </c>
      <c r="AW279" s="46" t="str">
        <f ca="1" t="shared" si="64"/>
        <v>[{62,1688},{63,220275},{2,642100},{6030001,4811},{6030002,5371},{6030003,1878},{6030004,39}]</v>
      </c>
      <c r="AX279" t="str">
        <f ca="1" t="shared" si="65"/>
        <v>{62,1688}</v>
      </c>
      <c r="AY279" t="str">
        <f ca="1" t="shared" si="66"/>
        <v>{63,220275}</v>
      </c>
      <c r="AZ279" t="str">
        <f ca="1" t="shared" si="67"/>
        <v>{2,642100}</v>
      </c>
      <c r="BA279" t="str">
        <f ca="1" t="shared" si="68"/>
        <v>{6030001,4811}</v>
      </c>
      <c r="BB279" t="str">
        <f ca="1" t="shared" si="69"/>
        <v>{6030002,5371}</v>
      </c>
      <c r="BC279" t="str">
        <f ca="1" t="shared" si="70"/>
        <v>{6030003,1878}</v>
      </c>
      <c r="BD279" t="str">
        <f ca="1" t="shared" si="71"/>
        <v>{6030004,39}</v>
      </c>
    </row>
    <row r="280" spans="3:56">
      <c r="C280">
        <f ca="1" t="shared" si="59"/>
        <v>128.018867924528</v>
      </c>
      <c r="D280" s="40">
        <v>274</v>
      </c>
      <c r="E280" s="40">
        <f t="shared" si="76"/>
        <v>134</v>
      </c>
      <c r="F280" s="40">
        <f t="shared" si="75"/>
        <v>154</v>
      </c>
      <c r="G280" s="41">
        <f t="shared" si="78"/>
        <v>212</v>
      </c>
      <c r="H280" s="40">
        <f>H279</f>
        <v>279</v>
      </c>
      <c r="I280" s="40">
        <f t="shared" si="58"/>
        <v>574</v>
      </c>
      <c r="J280" s="40">
        <f t="shared" si="77"/>
        <v>574</v>
      </c>
      <c r="K280" s="40">
        <f ca="1">SUM(U$36:U280)-SUM(OFFSET(载具产出!H$399,0,0,$R280+1,1))</f>
        <v>1695</v>
      </c>
      <c r="L280" s="40">
        <f ca="1">SUM(T$36:T280)-SUM(OFFSET(载具产出!G$399,0,0,$R280+1,1))</f>
        <v>221400</v>
      </c>
      <c r="M280" s="40">
        <f ca="1">SUM(V$36:V280)/2-SUM(OFFSET(载具产出!I$399,0,0,$R280+1,1))</f>
        <v>645700</v>
      </c>
      <c r="N280" s="40">
        <f ca="1">SUM(AA$36:AA280)-SUM(OFFSET(载具产出!J$399,0,0,$R280+1,1))</f>
        <v>4829.6</v>
      </c>
      <c r="O280" s="40">
        <f ca="1">SUM(AB$36:AB280)-SUM(OFFSET(载具产出!K$399,0,0,$R280+1,1))</f>
        <v>5392.59999999997</v>
      </c>
      <c r="P280" s="40">
        <f ca="1">SUM(AC$36:AC280)-SUM(OFFSET(载具产出!L$399,0,0,$R280+1,1))</f>
        <v>1894.24</v>
      </c>
      <c r="Q280" s="40">
        <f ca="1">SUM(AD$36:AD280)-SUM(OFFSET(载具产出!M$399,0,0,$R280+1,1))</f>
        <v>40.56</v>
      </c>
      <c r="R280" s="40">
        <v>20</v>
      </c>
      <c r="S280" s="40" t="str">
        <f ca="1">OFFSET(载具产出!$D$111,IFERROR(MATCH(OFFSET($D280,0,MATCH($D$5,$E$6:$H$6,0)),载具产出!$E$112:$E$151,1),0),0)</f>
        <v>卓越Ⅱ</v>
      </c>
      <c r="T280" s="40">
        <f ca="1">OFFSET(载具产出!$F$399,IFERROR(MATCH(OFFSET($D280,0,MATCH($D$5,$E$6:$H$6,0)),载具产出!$E$400:$E$439,1),0),MATCH(T$6,载具产出!$G$399:$O$399,0))</f>
        <v>1125</v>
      </c>
      <c r="U280" s="40">
        <v>7</v>
      </c>
      <c r="V280" s="40">
        <f ca="1">OFFSET(载具产出!$F$399,IFERROR(MATCH(OFFSET($D280,0,MATCH($D$5,$E$6:$H$6,0)),载具产出!$E$400:$E$439,1),0),MATCH(V$6,载具产出!$G$399:$O$399,0))</f>
        <v>7200</v>
      </c>
      <c r="W280" s="43">
        <f ca="1">_xlfn.XLOOKUP(Z280,载具属性!$E$98:$E$497,载具属性!$G$98:$G$497)+6000+OFFSET(载具属性!L$33,AS280,0)*载具属性!M$30+OFFSET(载具属性!M$33,AT280,0)*载具属性!N$30+OFFSET(载具属性!N$33,AU280,0)*载具属性!O$30+OFFSET(载具属性!O$33,AV280,0)*载具属性!P$30</f>
        <v>27140</v>
      </c>
      <c r="X280" s="43">
        <f ca="1">_xlfn.XLOOKUP(Z280,载具属性!$E$98:$E$497,载具属性!$G$98:$G$497)</f>
        <v>13595</v>
      </c>
      <c r="Y280" s="43">
        <f ca="1">OFFSET(载具属性!L$33,AS280,0)*载具属性!M$30+OFFSET(载具属性!M$33,AT280,0)*载具属性!N$30+OFFSET(载具属性!N$33,AU280,0)*载具属性!O$30+OFFSET(载具属性!O$33,AV280,0)*载具属性!P$30</f>
        <v>7545</v>
      </c>
      <c r="Z280" s="40">
        <f ca="1">MATCH(SUM($T$7:T280),载具属性!$I$98:$I$497,1)</f>
        <v>191</v>
      </c>
      <c r="AA280" s="40">
        <f ca="1">OFFSET(载具产出!$F$399,IFERROR(MATCH(OFFSET($D280,0,MATCH($D$5,$E$6:$H$6,0)),载具产出!$E$112:$E$151,1),0),MATCH(AA$6,载具产出!$G$111:$O$111,0))*2</f>
        <v>18</v>
      </c>
      <c r="AB280" s="40">
        <f ca="1">OFFSET(载具产出!$F$399,IFERROR(MATCH(OFFSET($D280,0,MATCH($D$5,$E$6:$H$6,0)),载具产出!$E$112:$E$151,1),0),MATCH(AB$6,载具产出!$G$111:$O$111,0))*2</f>
        <v>21.28</v>
      </c>
      <c r="AC280" s="40">
        <f ca="1">OFFSET(载具产出!$F$399,IFERROR(MATCH(OFFSET($D280,0,MATCH($D$5,$E$6:$H$6,0)),载具产出!$E$112:$E$151,1),0),MATCH(AC$6,载具产出!$G$111:$O$111,0))*2</f>
        <v>15.76</v>
      </c>
      <c r="AD280" s="40">
        <f ca="1">OFFSET(载具产出!$F$399,IFERROR(MATCH(OFFSET($D280,0,MATCH($D$5,$E$6:$H$6,0)),载具产出!$E$112:$E$151,1),0),MATCH(AD$6,载具产出!$G$111:$O$111,0))*2</f>
        <v>0.96</v>
      </c>
      <c r="AE280" s="44">
        <f ca="1">SUM(AA$36:AA280)/3</f>
        <v>1688.8</v>
      </c>
      <c r="AF280" s="44">
        <f ca="1">SUM(AB$36:AB280)/3</f>
        <v>1864.58666666666</v>
      </c>
      <c r="AG280" s="44">
        <f ca="1">SUM(AC$36:AC280)/3</f>
        <v>653.893333333333</v>
      </c>
      <c r="AH280" s="44">
        <f ca="1">SUM(AD$36:AD280)/3</f>
        <v>14.72</v>
      </c>
      <c r="AI280" s="44">
        <f>_xlfn.XLOOKUP($D$5,载具产出!$D$71:$D$75,载具产出!$E$71:$E$75)*(D280-30+1)</f>
        <v>2881.66666666668</v>
      </c>
      <c r="AJ280" s="44">
        <f>IFERROR(MATCH(_xlfn.XLOOKUP($D$5,载具产出!$D$71:$D$75,载具产出!$E$71:$E$75)*(D280-30+1)*10,载具产出!$E$60:$E$67,1),0)+1</f>
        <v>7</v>
      </c>
      <c r="AK280" s="44">
        <f ca="1">IF($AJ280=1,($AI280)*(10*OFFSET(载具产出!$D$45,MATCH(AK$6,$AK$6:$AN$6,0)-1,$AJ280)+OFFSET(载具产出!$D$49,MATCH(AK$6,$AK$6:$AN$6,0)-1,$AJ280)*OFFSET(载具产出!$N$49,MATCH(AK$6,$AK$6:$AN$6,0)-1,0)),OFFSET(载具产出!F$59,$AJ280-1,0)*10+OFFSET(载具产出!J$59,$AJ280-1,0)+($AI280*10-_xlfn.XLOOKUP($AJ280-1,载具产出!$D$59:$D$67,载具产出!$E$59:$E$67))/10*(10*OFFSET(载具产出!$D$45,MATCH(AK$6,$AK$6:$AN$6,0)-1,$AJ280)+OFFSET(载具产出!$D$49,MATCH(AK$6,$AK$6:$AN$6,0)-1,$AJ280)*OFFSET(载具产出!$N$49,MATCH(AK$6,$AK$6:$AN$6,0)-1,0)))</f>
        <v>6271.03000000003</v>
      </c>
      <c r="AL280" s="44">
        <f ca="1">IF($AJ280=1,($AI280)*(10*OFFSET(载具产出!$D$45,MATCH(AL$6,$AK$6:$AN$6,0)-1,$AJ280)+OFFSET(载具产出!$D$49,MATCH(AL$6,$AK$6:$AN$6,0)-1,$AJ280)*OFFSET(载具产出!$N$49,MATCH(AL$6,$AK$6:$AN$6,0)-1,0)),OFFSET(载具产出!G$59,$AJ280-1,0)*10+OFFSET(载具产出!K$59,$AJ280-1,0)+($AI280*10-_xlfn.XLOOKUP($AJ280-1,载具产出!$D$59:$D$67,载具产出!$E$59:$E$67))/10*(10*OFFSET(载具产出!$D$45,MATCH(AL$6,$AK$6:$AN$6,0)-1,$AJ280)+OFFSET(载具产出!$D$49,MATCH(AL$6,$AK$6:$AN$6,0)-1,$AJ280)*OFFSET(载具产出!$N$49,MATCH(AL$6,$AK$6:$AN$6,0)-1,0)))</f>
        <v>2610.06666666668</v>
      </c>
      <c r="AM280" s="44">
        <f ca="1">IF($AJ280=1,($AI280)*(10*OFFSET(载具产出!$D$45,MATCH(AM$6,$AK$6:$AN$6,0)-1,$AJ280)+OFFSET(载具产出!$D$49,MATCH(AM$6,$AK$6:$AN$6,0)-1,$AJ280)*OFFSET(载具产出!$N$49,MATCH(AM$6,$AK$6:$AN$6,0)-1,0)),OFFSET(载具产出!H$59,$AJ280-1,0)*10+OFFSET(载具产出!L$59,$AJ280-1,0)+($AI280*10-_xlfn.XLOOKUP($AJ280-1,载具产出!$D$59:$D$67,载具产出!$E$59:$E$67))/10*(10*OFFSET(载具产出!$D$45,MATCH(AM$6,$AK$6:$AN$6,0)-1,$AJ280)+OFFSET(载具产出!$D$49,MATCH(AM$6,$AK$6:$AN$6,0)-1,$AJ280)*OFFSET(载具产出!$N$49,MATCH(AM$6,$AK$6:$AN$6,0)-1,0)))</f>
        <v>1431.76000000001</v>
      </c>
      <c r="AN280" s="44">
        <f ca="1">IF($AJ280=1,($AI280)*(10*OFFSET(载具产出!$D$45,MATCH(AN$6,$AK$6:$AN$6,0)-1,$AJ280)+OFFSET(载具产出!$D$49,MATCH(AN$6,$AK$6:$AN$6,0)-1,$AJ280)*OFFSET(载具产出!$N$49,MATCH(AN$6,$AK$6:$AN$6,0)-1,0)),OFFSET(载具产出!I$59,$AJ280-1,0)*10+OFFSET(载具产出!M$59,$AJ280-1,0)+($AI280*10-_xlfn.XLOOKUP($AJ280-1,载具产出!$D$59:$D$67,载具产出!$E$59:$E$67))/10*(10*OFFSET(载具产出!$D$45,MATCH(AN$6,$AK$6:$AN$6,0)-1,$AJ280)+OFFSET(载具产出!$D$49,MATCH(AN$6,$AK$6:$AN$6,0)-1,$AJ280)*OFFSET(载具产出!$N$49,MATCH(AN$6,$AK$6:$AN$6,0)-1,0)))</f>
        <v>445.601666666669</v>
      </c>
      <c r="AO280" s="44">
        <f ca="1" t="shared" si="60"/>
        <v>7959.83000000003</v>
      </c>
      <c r="AP280" s="44">
        <f ca="1" t="shared" si="61"/>
        <v>4474.65333333334</v>
      </c>
      <c r="AQ280" s="44">
        <f ca="1" t="shared" si="62"/>
        <v>2085.65333333334</v>
      </c>
      <c r="AR280" s="44">
        <f ca="1" t="shared" si="63"/>
        <v>460.321666666669</v>
      </c>
      <c r="AS280" s="45">
        <f ca="1">IFERROR(MATCH(AO280/载具产出!R$58,载具属性!$G$33:$G$92,1),0)</f>
        <v>41</v>
      </c>
      <c r="AT280" s="45">
        <f ca="1">IFERROR(MATCH(AP280/载具产出!S$58,载具属性!$G$33:$G$92,1),0)</f>
        <v>28</v>
      </c>
      <c r="AU280" s="45">
        <f ca="1">IFERROR(MATCH(AQ280/载具产出!T$58,载具属性!$G$33:$G$92,1),0)</f>
        <v>17</v>
      </c>
      <c r="AV280" s="45">
        <f ca="1">IFERROR(MATCH(AR280/载具产出!U$58,载具属性!$G$33:$G$92,1),0)</f>
        <v>7</v>
      </c>
      <c r="AW280" s="46" t="str">
        <f ca="1" t="shared" si="64"/>
        <v>[{62,1695},{63,221400},{2,645700},{6030001,4829},{6030002,5392},{6030003,1894},{6030004,40}]</v>
      </c>
      <c r="AX280" t="str">
        <f ca="1" t="shared" si="65"/>
        <v>{62,1695}</v>
      </c>
      <c r="AY280" t="str">
        <f ca="1" t="shared" si="66"/>
        <v>{63,221400}</v>
      </c>
      <c r="AZ280" t="str">
        <f ca="1" t="shared" si="67"/>
        <v>{2,645700}</v>
      </c>
      <c r="BA280" t="str">
        <f ca="1" t="shared" si="68"/>
        <v>{6030001,4829}</v>
      </c>
      <c r="BB280" t="str">
        <f ca="1" t="shared" si="69"/>
        <v>{6030002,5392}</v>
      </c>
      <c r="BC280" t="str">
        <f ca="1" t="shared" si="70"/>
        <v>{6030003,1894}</v>
      </c>
      <c r="BD280" t="str">
        <f ca="1" t="shared" si="71"/>
        <v>{6030004,40}</v>
      </c>
    </row>
    <row r="281" spans="3:56">
      <c r="C281">
        <f ca="1" t="shared" si="59"/>
        <v>128.018867924528</v>
      </c>
      <c r="D281" s="40">
        <v>275</v>
      </c>
      <c r="E281" s="40">
        <f t="shared" si="76"/>
        <v>134</v>
      </c>
      <c r="F281" s="40">
        <f t="shared" si="75"/>
        <v>154</v>
      </c>
      <c r="G281" s="41">
        <f t="shared" si="78"/>
        <v>212</v>
      </c>
      <c r="H281" s="40">
        <f>H280+1</f>
        <v>280</v>
      </c>
      <c r="I281" s="40">
        <f t="shared" si="58"/>
        <v>576</v>
      </c>
      <c r="J281" s="40">
        <f t="shared" si="77"/>
        <v>576</v>
      </c>
      <c r="K281" s="40">
        <f ca="1">SUM(U$36:U281)-SUM(OFFSET(载具产出!H$399,0,0,$R281+1,1))</f>
        <v>1702</v>
      </c>
      <c r="L281" s="40">
        <f ca="1">SUM(T$36:T281)-SUM(OFFSET(载具产出!G$399,0,0,$R281+1,1))</f>
        <v>222525</v>
      </c>
      <c r="M281" s="40">
        <f ca="1">SUM(V$36:V281)/2-SUM(OFFSET(载具产出!I$399,0,0,$R281+1,1))</f>
        <v>649300</v>
      </c>
      <c r="N281" s="40">
        <f ca="1">SUM(AA$36:AA281)-SUM(OFFSET(载具产出!J$399,0,0,$R281+1,1))</f>
        <v>4847.6</v>
      </c>
      <c r="O281" s="40">
        <f ca="1">SUM(AB$36:AB281)-SUM(OFFSET(载具产出!K$399,0,0,$R281+1,1))</f>
        <v>5413.87999999997</v>
      </c>
      <c r="P281" s="40">
        <f ca="1">SUM(AC$36:AC281)-SUM(OFFSET(载具产出!L$399,0,0,$R281+1,1))</f>
        <v>1910</v>
      </c>
      <c r="Q281" s="40">
        <f ca="1">SUM(AD$36:AD281)-SUM(OFFSET(载具产出!M$399,0,0,$R281+1,1))</f>
        <v>41.52</v>
      </c>
      <c r="R281" s="40">
        <v>20</v>
      </c>
      <c r="S281" s="40" t="str">
        <f ca="1">OFFSET(载具产出!$D$111,IFERROR(MATCH(OFFSET($D281,0,MATCH($D$5,$E$6:$H$6,0)),载具产出!$E$112:$E$151,1),0),0)</f>
        <v>卓越Ⅱ</v>
      </c>
      <c r="T281" s="40">
        <f ca="1">OFFSET(载具产出!$F$399,IFERROR(MATCH(OFFSET($D281,0,MATCH($D$5,$E$6:$H$6,0)),载具产出!$E$400:$E$439,1),0),MATCH(T$6,载具产出!$G$399:$O$399,0))</f>
        <v>1125</v>
      </c>
      <c r="U281" s="40">
        <v>7</v>
      </c>
      <c r="V281" s="40">
        <f ca="1">OFFSET(载具产出!$F$399,IFERROR(MATCH(OFFSET($D281,0,MATCH($D$5,$E$6:$H$6,0)),载具产出!$E$400:$E$439,1),0),MATCH(V$6,载具产出!$G$399:$O$399,0))</f>
        <v>7200</v>
      </c>
      <c r="W281" s="43">
        <f ca="1">_xlfn.XLOOKUP(Z281,载具属性!$E$98:$E$497,载具属性!$G$98:$G$497)+6000+OFFSET(载具属性!L$33,AS281,0)*载具属性!M$30+OFFSET(载具属性!M$33,AT281,0)*载具属性!N$30+OFFSET(载具属性!N$33,AU281,0)*载具属性!O$30+OFFSET(载具属性!O$33,AV281,0)*载具属性!P$30</f>
        <v>27140</v>
      </c>
      <c r="X281" s="43">
        <f ca="1">_xlfn.XLOOKUP(Z281,载具属性!$E$98:$E$497,载具属性!$G$98:$G$497)</f>
        <v>13595</v>
      </c>
      <c r="Y281" s="43">
        <f ca="1">OFFSET(载具属性!L$33,AS281,0)*载具属性!M$30+OFFSET(载具属性!M$33,AT281,0)*载具属性!N$30+OFFSET(载具属性!N$33,AU281,0)*载具属性!O$30+OFFSET(载具属性!O$33,AV281,0)*载具属性!P$30</f>
        <v>7545</v>
      </c>
      <c r="Z281" s="40">
        <f ca="1">MATCH(SUM($T$7:T281),载具属性!$I$98:$I$497,1)</f>
        <v>191</v>
      </c>
      <c r="AA281" s="40">
        <f ca="1">OFFSET(载具产出!$F$399,IFERROR(MATCH(OFFSET($D281,0,MATCH($D$5,$E$6:$H$6,0)),载具产出!$E$112:$E$151,1),0),MATCH(AA$6,载具产出!$G$111:$O$111,0))*2</f>
        <v>18</v>
      </c>
      <c r="AB281" s="40">
        <f ca="1">OFFSET(载具产出!$F$399,IFERROR(MATCH(OFFSET($D281,0,MATCH($D$5,$E$6:$H$6,0)),载具产出!$E$112:$E$151,1),0),MATCH(AB$6,载具产出!$G$111:$O$111,0))*2</f>
        <v>21.28</v>
      </c>
      <c r="AC281" s="40">
        <f ca="1">OFFSET(载具产出!$F$399,IFERROR(MATCH(OFFSET($D281,0,MATCH($D$5,$E$6:$H$6,0)),载具产出!$E$112:$E$151,1),0),MATCH(AC$6,载具产出!$G$111:$O$111,0))*2</f>
        <v>15.76</v>
      </c>
      <c r="AD281" s="40">
        <f ca="1">OFFSET(载具产出!$F$399,IFERROR(MATCH(OFFSET($D281,0,MATCH($D$5,$E$6:$H$6,0)),载具产出!$E$112:$E$151,1),0),MATCH(AD$6,载具产出!$G$111:$O$111,0))*2</f>
        <v>0.96</v>
      </c>
      <c r="AE281" s="44">
        <f ca="1">SUM(AA$36:AA281)/3</f>
        <v>1694.8</v>
      </c>
      <c r="AF281" s="44">
        <f ca="1">SUM(AB$36:AB281)/3</f>
        <v>1871.67999999999</v>
      </c>
      <c r="AG281" s="44">
        <f ca="1">SUM(AC$36:AC281)/3</f>
        <v>659.146666666666</v>
      </c>
      <c r="AH281" s="44">
        <f ca="1">SUM(AD$36:AD281)/3</f>
        <v>15.04</v>
      </c>
      <c r="AI281" s="44">
        <f>_xlfn.XLOOKUP($D$5,载具产出!$D$71:$D$75,载具产出!$E$71:$E$75)*(D281-30+1)</f>
        <v>2893.42857142858</v>
      </c>
      <c r="AJ281" s="44">
        <f>IFERROR(MATCH(_xlfn.XLOOKUP($D$5,载具产出!$D$71:$D$75,载具产出!$E$71:$E$75)*(D281-30+1)*10,载具产出!$E$60:$E$67,1),0)+1</f>
        <v>7</v>
      </c>
      <c r="AK281" s="44">
        <f ca="1">IF($AJ281=1,($AI281)*(10*OFFSET(载具产出!$D$45,MATCH(AK$6,$AK$6:$AN$6,0)-1,$AJ281)+OFFSET(载具产出!$D$49,MATCH(AK$6,$AK$6:$AN$6,0)-1,$AJ281)*OFFSET(载具产出!$N$49,MATCH(AK$6,$AK$6:$AN$6,0)-1,0)),OFFSET(载具产出!F$59,$AJ281-1,0)*10+OFFSET(载具产出!J$59,$AJ281-1,0)+($AI281*10-_xlfn.XLOOKUP($AJ281-1,载具产出!$D$59:$D$67,载具产出!$E$59:$E$67))/10*(10*OFFSET(载具产出!$D$45,MATCH(AK$6,$AK$6:$AN$6,0)-1,$AJ281)+OFFSET(载具产出!$D$49,MATCH(AK$6,$AK$6:$AN$6,0)-1,$AJ281)*OFFSET(载具产出!$N$49,MATCH(AK$6,$AK$6:$AN$6,0)-1,0)))</f>
        <v>6295.87114285716</v>
      </c>
      <c r="AL281" s="44">
        <f ca="1">IF($AJ281=1,($AI281)*(10*OFFSET(载具产出!$D$45,MATCH(AL$6,$AK$6:$AN$6,0)-1,$AJ281)+OFFSET(载具产出!$D$49,MATCH(AL$6,$AK$6:$AN$6,0)-1,$AJ281)*OFFSET(载具产出!$N$49,MATCH(AL$6,$AK$6:$AN$6,0)-1,0)),OFFSET(载具产出!G$59,$AJ281-1,0)*10+OFFSET(载具产出!K$59,$AJ281-1,0)+($AI281*10-_xlfn.XLOOKUP($AJ281-1,载具产出!$D$59:$D$67,载具产出!$E$59:$E$67))/10*(10*OFFSET(载具产出!$D$45,MATCH(AL$6,$AK$6:$AN$6,0)-1,$AJ281)+OFFSET(载具产出!$D$49,MATCH(AL$6,$AK$6:$AN$6,0)-1,$AJ281)*OFFSET(载具产出!$N$49,MATCH(AL$6,$AK$6:$AN$6,0)-1,0)))</f>
        <v>2621.12285714287</v>
      </c>
      <c r="AM281" s="44">
        <f ca="1">IF($AJ281=1,($AI281)*(10*OFFSET(载具产出!$D$45,MATCH(AM$6,$AK$6:$AN$6,0)-1,$AJ281)+OFFSET(载具产出!$D$49,MATCH(AM$6,$AK$6:$AN$6,0)-1,$AJ281)*OFFSET(载具产出!$N$49,MATCH(AM$6,$AK$6:$AN$6,0)-1,0)),OFFSET(载具产出!H$59,$AJ281-1,0)*10+OFFSET(载具产出!L$59,$AJ281-1,0)+($AI281*10-_xlfn.XLOOKUP($AJ281-1,载具产出!$D$59:$D$67,载具产出!$E$59:$E$67))/10*(10*OFFSET(载具产出!$D$45,MATCH(AM$6,$AK$6:$AN$6,0)-1,$AJ281)+OFFSET(载具产出!$D$49,MATCH(AM$6,$AK$6:$AN$6,0)-1,$AJ281)*OFFSET(载具产出!$N$49,MATCH(AM$6,$AK$6:$AN$6,0)-1,0)))</f>
        <v>1437.97028571429</v>
      </c>
      <c r="AN281" s="44">
        <f ca="1">IF($AJ281=1,($AI281)*(10*OFFSET(载具产出!$D$45,MATCH(AN$6,$AK$6:$AN$6,0)-1,$AJ281)+OFFSET(载具产出!$D$49,MATCH(AN$6,$AK$6:$AN$6,0)-1,$AJ281)*OFFSET(载具产出!$N$49,MATCH(AN$6,$AK$6:$AN$6,0)-1,0)),OFFSET(载具产出!I$59,$AJ281-1,0)*10+OFFSET(载具产出!M$59,$AJ281-1,0)+($AI281*10-_xlfn.XLOOKUP($AJ281-1,载具产出!$D$59:$D$67,载具产出!$E$59:$E$67))/10*(10*OFFSET(载具产出!$D$45,MATCH(AN$6,$AK$6:$AN$6,0)-1,$AJ281)+OFFSET(载具产出!$D$49,MATCH(AN$6,$AK$6:$AN$6,0)-1,$AJ281)*OFFSET(载具产出!$N$49,MATCH(AN$6,$AK$6:$AN$6,0)-1,0)))</f>
        <v>447.58942857143</v>
      </c>
      <c r="AO281" s="44">
        <f ca="1" t="shared" si="60"/>
        <v>7990.67114285716</v>
      </c>
      <c r="AP281" s="44">
        <f ca="1" t="shared" si="61"/>
        <v>4492.80285714285</v>
      </c>
      <c r="AQ281" s="44">
        <f ca="1" t="shared" si="62"/>
        <v>2097.11695238096</v>
      </c>
      <c r="AR281" s="44">
        <f ca="1" t="shared" si="63"/>
        <v>462.62942857143</v>
      </c>
      <c r="AS281" s="45">
        <f ca="1">IFERROR(MATCH(AO281/载具产出!R$58,载具属性!$G$33:$G$92,1),0)</f>
        <v>41</v>
      </c>
      <c r="AT281" s="45">
        <f ca="1">IFERROR(MATCH(AP281/载具产出!S$58,载具属性!$G$33:$G$92,1),0)</f>
        <v>28</v>
      </c>
      <c r="AU281" s="45">
        <f ca="1">IFERROR(MATCH(AQ281/载具产出!T$58,载具属性!$G$33:$G$92,1),0)</f>
        <v>17</v>
      </c>
      <c r="AV281" s="45">
        <f ca="1">IFERROR(MATCH(AR281/载具产出!U$58,载具属性!$G$33:$G$92,1),0)</f>
        <v>7</v>
      </c>
      <c r="AW281" s="46" t="str">
        <f ca="1" t="shared" si="64"/>
        <v>[{62,1702},{63,222525},{2,649300},{6030001,4847},{6030002,5413},{6030003,1910},{6030004,41}]</v>
      </c>
      <c r="AX281" t="str">
        <f ca="1" t="shared" si="65"/>
        <v>{62,1702}</v>
      </c>
      <c r="AY281" t="str">
        <f ca="1" t="shared" si="66"/>
        <v>{63,222525}</v>
      </c>
      <c r="AZ281" t="str">
        <f ca="1" t="shared" si="67"/>
        <v>{2,649300}</v>
      </c>
      <c r="BA281" t="str">
        <f ca="1" t="shared" si="68"/>
        <v>{6030001,4847}</v>
      </c>
      <c r="BB281" t="str">
        <f ca="1" t="shared" si="69"/>
        <v>{6030002,5413}</v>
      </c>
      <c r="BC281" t="str">
        <f ca="1" t="shared" si="70"/>
        <v>{6030003,1910}</v>
      </c>
      <c r="BD281" t="str">
        <f ca="1" t="shared" si="71"/>
        <v>{6030004,41}</v>
      </c>
    </row>
    <row r="282" spans="3:56">
      <c r="C282">
        <f ca="1" t="shared" si="59"/>
        <v>127.417840375587</v>
      </c>
      <c r="D282" s="40">
        <v>276</v>
      </c>
      <c r="E282" s="40">
        <f t="shared" si="76"/>
        <v>134</v>
      </c>
      <c r="F282" s="40">
        <f t="shared" si="75"/>
        <v>155</v>
      </c>
      <c r="G282" s="41">
        <f t="shared" si="78"/>
        <v>213</v>
      </c>
      <c r="H282" s="40">
        <f>H281</f>
        <v>280</v>
      </c>
      <c r="I282" s="40">
        <f t="shared" si="58"/>
        <v>578</v>
      </c>
      <c r="J282" s="40">
        <f t="shared" si="77"/>
        <v>578</v>
      </c>
      <c r="K282" s="40">
        <f ca="1">SUM(U$36:U282)-SUM(OFFSET(载具产出!H$399,0,0,$R282+1,1))</f>
        <v>1709</v>
      </c>
      <c r="L282" s="40">
        <f ca="1">SUM(T$36:T282)-SUM(OFFSET(载具产出!G$399,0,0,$R282+1,1))</f>
        <v>223650</v>
      </c>
      <c r="M282" s="40">
        <f ca="1">SUM(V$36:V282)/2-SUM(OFFSET(载具产出!I$399,0,0,$R282+1,1))</f>
        <v>652900</v>
      </c>
      <c r="N282" s="40">
        <f ca="1">SUM(AA$36:AA282)-SUM(OFFSET(载具产出!J$399,0,0,$R282+1,1))</f>
        <v>4865.6</v>
      </c>
      <c r="O282" s="40">
        <f ca="1">SUM(AB$36:AB282)-SUM(OFFSET(载具产出!K$399,0,0,$R282+1,1))</f>
        <v>5435.15999999997</v>
      </c>
      <c r="P282" s="40">
        <f ca="1">SUM(AC$36:AC282)-SUM(OFFSET(载具产出!L$399,0,0,$R282+1,1))</f>
        <v>1925.76</v>
      </c>
      <c r="Q282" s="40">
        <f ca="1">SUM(AD$36:AD282)-SUM(OFFSET(载具产出!M$399,0,0,$R282+1,1))</f>
        <v>42.48</v>
      </c>
      <c r="R282" s="40">
        <v>20</v>
      </c>
      <c r="S282" s="40" t="str">
        <f ca="1">OFFSET(载具产出!$D$111,IFERROR(MATCH(OFFSET($D282,0,MATCH($D$5,$E$6:$H$6,0)),载具产出!$E$112:$E$151,1),0),0)</f>
        <v>卓越Ⅱ</v>
      </c>
      <c r="T282" s="40">
        <f ca="1">OFFSET(载具产出!$F$399,IFERROR(MATCH(OFFSET($D282,0,MATCH($D$5,$E$6:$H$6,0)),载具产出!$E$400:$E$439,1),0),MATCH(T$6,载具产出!$G$399:$O$399,0))</f>
        <v>1125</v>
      </c>
      <c r="U282" s="40">
        <v>7</v>
      </c>
      <c r="V282" s="40">
        <f ca="1">OFFSET(载具产出!$F$399,IFERROR(MATCH(OFFSET($D282,0,MATCH($D$5,$E$6:$H$6,0)),载具产出!$E$400:$E$439,1),0),MATCH(V$6,载具产出!$G$399:$O$399,0))</f>
        <v>7200</v>
      </c>
      <c r="W282" s="43">
        <f ca="1">_xlfn.XLOOKUP(Z282,载具属性!$E$98:$E$497,载具属性!$G$98:$G$497)+6000+OFFSET(载具属性!L$33,AS282,0)*载具属性!M$30+OFFSET(载具属性!M$33,AT282,0)*载具属性!N$30+OFFSET(载具属性!N$33,AU282,0)*载具属性!O$30+OFFSET(载具属性!O$33,AV282,0)*载具属性!P$30</f>
        <v>27140</v>
      </c>
      <c r="X282" s="43">
        <f ca="1">_xlfn.XLOOKUP(Z282,载具属性!$E$98:$E$497,载具属性!$G$98:$G$497)</f>
        <v>13595</v>
      </c>
      <c r="Y282" s="43">
        <f ca="1">OFFSET(载具属性!L$33,AS282,0)*载具属性!M$30+OFFSET(载具属性!M$33,AT282,0)*载具属性!N$30+OFFSET(载具属性!N$33,AU282,0)*载具属性!O$30+OFFSET(载具属性!O$33,AV282,0)*载具属性!P$30</f>
        <v>7545</v>
      </c>
      <c r="Z282" s="40">
        <f ca="1">MATCH(SUM($T$7:T282),载具属性!$I$98:$I$497,1)</f>
        <v>191</v>
      </c>
      <c r="AA282" s="40">
        <f ca="1">OFFSET(载具产出!$F$399,IFERROR(MATCH(OFFSET($D282,0,MATCH($D$5,$E$6:$H$6,0)),载具产出!$E$112:$E$151,1),0),MATCH(AA$6,载具产出!$G$111:$O$111,0))*2</f>
        <v>18</v>
      </c>
      <c r="AB282" s="40">
        <f ca="1">OFFSET(载具产出!$F$399,IFERROR(MATCH(OFFSET($D282,0,MATCH($D$5,$E$6:$H$6,0)),载具产出!$E$112:$E$151,1),0),MATCH(AB$6,载具产出!$G$111:$O$111,0))*2</f>
        <v>21.28</v>
      </c>
      <c r="AC282" s="40">
        <f ca="1">OFFSET(载具产出!$F$399,IFERROR(MATCH(OFFSET($D282,0,MATCH($D$5,$E$6:$H$6,0)),载具产出!$E$112:$E$151,1),0),MATCH(AC$6,载具产出!$G$111:$O$111,0))*2</f>
        <v>15.76</v>
      </c>
      <c r="AD282" s="40">
        <f ca="1">OFFSET(载具产出!$F$399,IFERROR(MATCH(OFFSET($D282,0,MATCH($D$5,$E$6:$H$6,0)),载具产出!$E$112:$E$151,1),0),MATCH(AD$6,载具产出!$G$111:$O$111,0))*2</f>
        <v>0.96</v>
      </c>
      <c r="AE282" s="44">
        <f ca="1">SUM(AA$36:AA282)/3</f>
        <v>1700.8</v>
      </c>
      <c r="AF282" s="44">
        <f ca="1">SUM(AB$36:AB282)/3</f>
        <v>1878.77333333332</v>
      </c>
      <c r="AG282" s="44">
        <f ca="1">SUM(AC$36:AC282)/3</f>
        <v>664.399999999999</v>
      </c>
      <c r="AH282" s="44">
        <f ca="1">SUM(AD$36:AD282)/3</f>
        <v>15.36</v>
      </c>
      <c r="AI282" s="44">
        <f>_xlfn.XLOOKUP($D$5,载具产出!$D$71:$D$75,载具产出!$E$71:$E$75)*(D282-30+1)</f>
        <v>2905.19047619049</v>
      </c>
      <c r="AJ282" s="44">
        <f>IFERROR(MATCH(_xlfn.XLOOKUP($D$5,载具产出!$D$71:$D$75,载具产出!$E$71:$E$75)*(D282-30+1)*10,载具产出!$E$60:$E$67,1),0)+1</f>
        <v>7</v>
      </c>
      <c r="AK282" s="44">
        <f ca="1">IF($AJ282=1,($AI282)*(10*OFFSET(载具产出!$D$45,MATCH(AK$6,$AK$6:$AN$6,0)-1,$AJ282)+OFFSET(载具产出!$D$49,MATCH(AK$6,$AK$6:$AN$6,0)-1,$AJ282)*OFFSET(载具产出!$N$49,MATCH(AK$6,$AK$6:$AN$6,0)-1,0)),OFFSET(载具产出!F$59,$AJ282-1,0)*10+OFFSET(载具产出!J$59,$AJ282-1,0)+($AI282*10-_xlfn.XLOOKUP($AJ282-1,载具产出!$D$59:$D$67,载具产出!$E$59:$E$67))/10*(10*OFFSET(载具产出!$D$45,MATCH(AK$6,$AK$6:$AN$6,0)-1,$AJ282)+OFFSET(载具产出!$D$49,MATCH(AK$6,$AK$6:$AN$6,0)-1,$AJ282)*OFFSET(载具产出!$N$49,MATCH(AK$6,$AK$6:$AN$6,0)-1,0)))</f>
        <v>6320.71228571431</v>
      </c>
      <c r="AL282" s="44">
        <f ca="1">IF($AJ282=1,($AI282)*(10*OFFSET(载具产出!$D$45,MATCH(AL$6,$AK$6:$AN$6,0)-1,$AJ282)+OFFSET(载具产出!$D$49,MATCH(AL$6,$AK$6:$AN$6,0)-1,$AJ282)*OFFSET(载具产出!$N$49,MATCH(AL$6,$AK$6:$AN$6,0)-1,0)),OFFSET(载具产出!G$59,$AJ282-1,0)*10+OFFSET(载具产出!K$59,$AJ282-1,0)+($AI282*10-_xlfn.XLOOKUP($AJ282-1,载具产出!$D$59:$D$67,载具产出!$E$59:$E$67))/10*(10*OFFSET(载具产出!$D$45,MATCH(AL$6,$AK$6:$AN$6,0)-1,$AJ282)+OFFSET(载具产出!$D$49,MATCH(AL$6,$AK$6:$AN$6,0)-1,$AJ282)*OFFSET(载具产出!$N$49,MATCH(AL$6,$AK$6:$AN$6,0)-1,0)))</f>
        <v>2632.17904761906</v>
      </c>
      <c r="AM282" s="44">
        <f ca="1">IF($AJ282=1,($AI282)*(10*OFFSET(载具产出!$D$45,MATCH(AM$6,$AK$6:$AN$6,0)-1,$AJ282)+OFFSET(载具产出!$D$49,MATCH(AM$6,$AK$6:$AN$6,0)-1,$AJ282)*OFFSET(载具产出!$N$49,MATCH(AM$6,$AK$6:$AN$6,0)-1,0)),OFFSET(载具产出!H$59,$AJ282-1,0)*10+OFFSET(载具产出!L$59,$AJ282-1,0)+($AI282*10-_xlfn.XLOOKUP($AJ282-1,载具产出!$D$59:$D$67,载具产出!$E$59:$E$67))/10*(10*OFFSET(载具产出!$D$45,MATCH(AM$6,$AK$6:$AN$6,0)-1,$AJ282)+OFFSET(载具产出!$D$49,MATCH(AM$6,$AK$6:$AN$6,0)-1,$AJ282)*OFFSET(载具产出!$N$49,MATCH(AM$6,$AK$6:$AN$6,0)-1,0)))</f>
        <v>1444.18057142858</v>
      </c>
      <c r="AN282" s="44">
        <f ca="1">IF($AJ282=1,($AI282)*(10*OFFSET(载具产出!$D$45,MATCH(AN$6,$AK$6:$AN$6,0)-1,$AJ282)+OFFSET(载具产出!$D$49,MATCH(AN$6,$AK$6:$AN$6,0)-1,$AJ282)*OFFSET(载具产出!$N$49,MATCH(AN$6,$AK$6:$AN$6,0)-1,0)),OFFSET(载具产出!I$59,$AJ282-1,0)*10+OFFSET(载具产出!M$59,$AJ282-1,0)+($AI282*10-_xlfn.XLOOKUP($AJ282-1,载具产出!$D$59:$D$67,载具产出!$E$59:$E$67))/10*(10*OFFSET(载具产出!$D$45,MATCH(AN$6,$AK$6:$AN$6,0)-1,$AJ282)+OFFSET(载具产出!$D$49,MATCH(AN$6,$AK$6:$AN$6,0)-1,$AJ282)*OFFSET(载具产出!$N$49,MATCH(AN$6,$AK$6:$AN$6,0)-1,0)))</f>
        <v>449.577190476193</v>
      </c>
      <c r="AO282" s="44">
        <f ca="1" t="shared" si="60"/>
        <v>8021.51228571432</v>
      </c>
      <c r="AP282" s="44">
        <f ca="1" t="shared" si="61"/>
        <v>4510.95238095238</v>
      </c>
      <c r="AQ282" s="44">
        <f ca="1" t="shared" si="62"/>
        <v>2108.58057142858</v>
      </c>
      <c r="AR282" s="44">
        <f ca="1" t="shared" si="63"/>
        <v>464.937190476193</v>
      </c>
      <c r="AS282" s="45">
        <f ca="1">IFERROR(MATCH(AO282/载具产出!R$58,载具属性!$G$33:$G$92,1),0)</f>
        <v>41</v>
      </c>
      <c r="AT282" s="45">
        <f ca="1">IFERROR(MATCH(AP282/载具产出!S$58,载具属性!$G$33:$G$92,1),0)</f>
        <v>28</v>
      </c>
      <c r="AU282" s="45">
        <f ca="1">IFERROR(MATCH(AQ282/载具产出!T$58,载具属性!$G$33:$G$92,1),0)</f>
        <v>17</v>
      </c>
      <c r="AV282" s="45">
        <f ca="1">IFERROR(MATCH(AR282/载具产出!U$58,载具属性!$G$33:$G$92,1),0)</f>
        <v>7</v>
      </c>
      <c r="AW282" s="46" t="str">
        <f ca="1" t="shared" si="64"/>
        <v>[{62,1709},{63,223650},{2,652900},{6030001,4865},{6030002,5435},{6030003,1925},{6030004,42}]</v>
      </c>
      <c r="AX282" t="str">
        <f ca="1" t="shared" si="65"/>
        <v>{62,1709}</v>
      </c>
      <c r="AY282" t="str">
        <f ca="1" t="shared" si="66"/>
        <v>{63,223650}</v>
      </c>
      <c r="AZ282" t="str">
        <f ca="1" t="shared" si="67"/>
        <v>{2,652900}</v>
      </c>
      <c r="BA282" t="str">
        <f ca="1" t="shared" si="68"/>
        <v>{6030001,4865}</v>
      </c>
      <c r="BB282" t="str">
        <f ca="1" t="shared" si="69"/>
        <v>{6030002,5435}</v>
      </c>
      <c r="BC282" t="str">
        <f ca="1" t="shared" si="70"/>
        <v>{6030003,1925}</v>
      </c>
      <c r="BD282" t="str">
        <f ca="1" t="shared" si="71"/>
        <v>{6030004,42}</v>
      </c>
    </row>
    <row r="283" spans="3:56">
      <c r="C283">
        <f ca="1" t="shared" si="59"/>
        <v>127.863849765258</v>
      </c>
      <c r="D283" s="40">
        <v>277</v>
      </c>
      <c r="E283" s="40">
        <f t="shared" si="76"/>
        <v>135</v>
      </c>
      <c r="F283" s="40">
        <f t="shared" si="75"/>
        <v>155</v>
      </c>
      <c r="G283" s="41">
        <f t="shared" si="78"/>
        <v>213</v>
      </c>
      <c r="H283" s="40">
        <f>H282+1</f>
        <v>281</v>
      </c>
      <c r="I283" s="40">
        <f t="shared" si="58"/>
        <v>580</v>
      </c>
      <c r="J283" s="40">
        <f t="shared" si="77"/>
        <v>580</v>
      </c>
      <c r="K283" s="40">
        <f ca="1">SUM(U$36:U283)-SUM(OFFSET(载具产出!H$399,0,0,$R283+1,1))</f>
        <v>1716</v>
      </c>
      <c r="L283" s="40">
        <f ca="1">SUM(T$36:T283)-SUM(OFFSET(载具产出!G$399,0,0,$R283+1,1))</f>
        <v>224775</v>
      </c>
      <c r="M283" s="40">
        <f ca="1">SUM(V$36:V283)/2-SUM(OFFSET(载具产出!I$399,0,0,$R283+1,1))</f>
        <v>656500</v>
      </c>
      <c r="N283" s="40">
        <f ca="1">SUM(AA$36:AA283)-SUM(OFFSET(载具产出!J$399,0,0,$R283+1,1))</f>
        <v>4883.6</v>
      </c>
      <c r="O283" s="40">
        <f ca="1">SUM(AB$36:AB283)-SUM(OFFSET(载具产出!K$399,0,0,$R283+1,1))</f>
        <v>5456.43999999997</v>
      </c>
      <c r="P283" s="40">
        <f ca="1">SUM(AC$36:AC283)-SUM(OFFSET(载具产出!L$399,0,0,$R283+1,1))</f>
        <v>1941.52</v>
      </c>
      <c r="Q283" s="40">
        <f ca="1">SUM(AD$36:AD283)-SUM(OFFSET(载具产出!M$399,0,0,$R283+1,1))</f>
        <v>43.44</v>
      </c>
      <c r="R283" s="40">
        <v>20</v>
      </c>
      <c r="S283" s="40" t="str">
        <f ca="1">OFFSET(载具产出!$D$111,IFERROR(MATCH(OFFSET($D283,0,MATCH($D$5,$E$6:$H$6,0)),载具产出!$E$112:$E$151,1),0),0)</f>
        <v>卓越Ⅱ</v>
      </c>
      <c r="T283" s="40">
        <f ca="1">OFFSET(载具产出!$F$399,IFERROR(MATCH(OFFSET($D283,0,MATCH($D$5,$E$6:$H$6,0)),载具产出!$E$400:$E$439,1),0),MATCH(T$6,载具产出!$G$399:$O$399,0))</f>
        <v>1125</v>
      </c>
      <c r="U283" s="40">
        <v>7</v>
      </c>
      <c r="V283" s="40">
        <f ca="1">OFFSET(载具产出!$F$399,IFERROR(MATCH(OFFSET($D283,0,MATCH($D$5,$E$6:$H$6,0)),载具产出!$E$400:$E$439,1),0),MATCH(V$6,载具产出!$G$399:$O$399,0))</f>
        <v>7200</v>
      </c>
      <c r="W283" s="43">
        <f ca="1">_xlfn.XLOOKUP(Z283,载具属性!$E$98:$E$497,载具属性!$G$98:$G$497)+6000+OFFSET(载具属性!L$33,AS283,0)*载具属性!M$30+OFFSET(载具属性!M$33,AT283,0)*载具属性!N$30+OFFSET(载具属性!N$33,AU283,0)*载具属性!O$30+OFFSET(载具属性!O$33,AV283,0)*载具属性!P$30</f>
        <v>27235</v>
      </c>
      <c r="X283" s="43">
        <f ca="1">_xlfn.XLOOKUP(Z283,载具属性!$E$98:$E$497,载具属性!$G$98:$G$497)</f>
        <v>13690</v>
      </c>
      <c r="Y283" s="43">
        <f ca="1">OFFSET(载具属性!L$33,AS283,0)*载具属性!M$30+OFFSET(载具属性!M$33,AT283,0)*载具属性!N$30+OFFSET(载具属性!N$33,AU283,0)*载具属性!O$30+OFFSET(载具属性!O$33,AV283,0)*载具属性!P$30</f>
        <v>7545</v>
      </c>
      <c r="Z283" s="40">
        <f ca="1">MATCH(SUM($T$7:T283),载具属性!$I$98:$I$497,1)</f>
        <v>192</v>
      </c>
      <c r="AA283" s="40">
        <f ca="1">OFFSET(载具产出!$F$399,IFERROR(MATCH(OFFSET($D283,0,MATCH($D$5,$E$6:$H$6,0)),载具产出!$E$112:$E$151,1),0),MATCH(AA$6,载具产出!$G$111:$O$111,0))*2</f>
        <v>18</v>
      </c>
      <c r="AB283" s="40">
        <f ca="1">OFFSET(载具产出!$F$399,IFERROR(MATCH(OFFSET($D283,0,MATCH($D$5,$E$6:$H$6,0)),载具产出!$E$112:$E$151,1),0),MATCH(AB$6,载具产出!$G$111:$O$111,0))*2</f>
        <v>21.28</v>
      </c>
      <c r="AC283" s="40">
        <f ca="1">OFFSET(载具产出!$F$399,IFERROR(MATCH(OFFSET($D283,0,MATCH($D$5,$E$6:$H$6,0)),载具产出!$E$112:$E$151,1),0),MATCH(AC$6,载具产出!$G$111:$O$111,0))*2</f>
        <v>15.76</v>
      </c>
      <c r="AD283" s="40">
        <f ca="1">OFFSET(载具产出!$F$399,IFERROR(MATCH(OFFSET($D283,0,MATCH($D$5,$E$6:$H$6,0)),载具产出!$E$112:$E$151,1),0),MATCH(AD$6,载具产出!$G$111:$O$111,0))*2</f>
        <v>0.96</v>
      </c>
      <c r="AE283" s="44">
        <f ca="1">SUM(AA$36:AA283)/3</f>
        <v>1706.8</v>
      </c>
      <c r="AF283" s="44">
        <f ca="1">SUM(AB$36:AB283)/3</f>
        <v>1885.86666666666</v>
      </c>
      <c r="AG283" s="44">
        <f ca="1">SUM(AC$36:AC283)/3</f>
        <v>669.653333333333</v>
      </c>
      <c r="AH283" s="44">
        <f ca="1">SUM(AD$36:AD283)/3</f>
        <v>15.68</v>
      </c>
      <c r="AI283" s="44">
        <f>_xlfn.XLOOKUP($D$5,载具产出!$D$71:$D$75,载具产出!$E$71:$E$75)*(D283-30+1)</f>
        <v>2916.95238095239</v>
      </c>
      <c r="AJ283" s="44">
        <f>IFERROR(MATCH(_xlfn.XLOOKUP($D$5,载具产出!$D$71:$D$75,载具产出!$E$71:$E$75)*(D283-30+1)*10,载具产出!$E$60:$E$67,1),0)+1</f>
        <v>7</v>
      </c>
      <c r="AK283" s="44">
        <f ca="1">IF($AJ283=1,($AI283)*(10*OFFSET(载具产出!$D$45,MATCH(AK$6,$AK$6:$AN$6,0)-1,$AJ283)+OFFSET(载具产出!$D$49,MATCH(AK$6,$AK$6:$AN$6,0)-1,$AJ283)*OFFSET(载具产出!$N$49,MATCH(AK$6,$AK$6:$AN$6,0)-1,0)),OFFSET(载具产出!F$59,$AJ283-1,0)*10+OFFSET(载具产出!J$59,$AJ283-1,0)+($AI283*10-_xlfn.XLOOKUP($AJ283-1,载具产出!$D$59:$D$67,载具产出!$E$59:$E$67))/10*(10*OFFSET(载具产出!$D$45,MATCH(AK$6,$AK$6:$AN$6,0)-1,$AJ283)+OFFSET(载具产出!$D$49,MATCH(AK$6,$AK$6:$AN$6,0)-1,$AJ283)*OFFSET(载具产出!$N$49,MATCH(AK$6,$AK$6:$AN$6,0)-1,0)))</f>
        <v>6345.55342857145</v>
      </c>
      <c r="AL283" s="44">
        <f ca="1">IF($AJ283=1,($AI283)*(10*OFFSET(载具产出!$D$45,MATCH(AL$6,$AK$6:$AN$6,0)-1,$AJ283)+OFFSET(载具产出!$D$49,MATCH(AL$6,$AK$6:$AN$6,0)-1,$AJ283)*OFFSET(载具产出!$N$49,MATCH(AL$6,$AK$6:$AN$6,0)-1,0)),OFFSET(载具产出!G$59,$AJ283-1,0)*10+OFFSET(载具产出!K$59,$AJ283-1,0)+($AI283*10-_xlfn.XLOOKUP($AJ283-1,载具产出!$D$59:$D$67,载具产出!$E$59:$E$67))/10*(10*OFFSET(载具产出!$D$45,MATCH(AL$6,$AK$6:$AN$6,0)-1,$AJ283)+OFFSET(载具产出!$D$49,MATCH(AL$6,$AK$6:$AN$6,0)-1,$AJ283)*OFFSET(载具产出!$N$49,MATCH(AL$6,$AK$6:$AN$6,0)-1,0)))</f>
        <v>2643.23523809525</v>
      </c>
      <c r="AM283" s="44">
        <f ca="1">IF($AJ283=1,($AI283)*(10*OFFSET(载具产出!$D$45,MATCH(AM$6,$AK$6:$AN$6,0)-1,$AJ283)+OFFSET(载具产出!$D$49,MATCH(AM$6,$AK$6:$AN$6,0)-1,$AJ283)*OFFSET(载具产出!$N$49,MATCH(AM$6,$AK$6:$AN$6,0)-1,0)),OFFSET(载具产出!H$59,$AJ283-1,0)*10+OFFSET(载具产出!L$59,$AJ283-1,0)+($AI283*10-_xlfn.XLOOKUP($AJ283-1,载具产出!$D$59:$D$67,载具产出!$E$59:$E$67))/10*(10*OFFSET(载具产出!$D$45,MATCH(AM$6,$AK$6:$AN$6,0)-1,$AJ283)+OFFSET(载具产出!$D$49,MATCH(AM$6,$AK$6:$AN$6,0)-1,$AJ283)*OFFSET(载具产出!$N$49,MATCH(AM$6,$AK$6:$AN$6,0)-1,0)))</f>
        <v>1450.39085714286</v>
      </c>
      <c r="AN283" s="44">
        <f ca="1">IF($AJ283=1,($AI283)*(10*OFFSET(载具产出!$D$45,MATCH(AN$6,$AK$6:$AN$6,0)-1,$AJ283)+OFFSET(载具产出!$D$49,MATCH(AN$6,$AK$6:$AN$6,0)-1,$AJ283)*OFFSET(载具产出!$N$49,MATCH(AN$6,$AK$6:$AN$6,0)-1,0)),OFFSET(载具产出!I$59,$AJ283-1,0)*10+OFFSET(载具产出!M$59,$AJ283-1,0)+($AI283*10-_xlfn.XLOOKUP($AJ283-1,载具产出!$D$59:$D$67,载具产出!$E$59:$E$67))/10*(10*OFFSET(载具产出!$D$45,MATCH(AN$6,$AK$6:$AN$6,0)-1,$AJ283)+OFFSET(载具产出!$D$49,MATCH(AN$6,$AK$6:$AN$6,0)-1,$AJ283)*OFFSET(载具产出!$N$49,MATCH(AN$6,$AK$6:$AN$6,0)-1,0)))</f>
        <v>451.564952380954</v>
      </c>
      <c r="AO283" s="44">
        <f ca="1" t="shared" si="60"/>
        <v>8052.35342857145</v>
      </c>
      <c r="AP283" s="44">
        <f ca="1" t="shared" si="61"/>
        <v>4529.1019047619</v>
      </c>
      <c r="AQ283" s="44">
        <f ca="1" t="shared" si="62"/>
        <v>2120.04419047619</v>
      </c>
      <c r="AR283" s="44">
        <f ca="1" t="shared" si="63"/>
        <v>467.244952380954</v>
      </c>
      <c r="AS283" s="45">
        <f ca="1">IFERROR(MATCH(AO283/载具产出!R$58,载具属性!$G$33:$G$92,1),0)</f>
        <v>41</v>
      </c>
      <c r="AT283" s="45">
        <f ca="1">IFERROR(MATCH(AP283/载具产出!S$58,载具属性!$G$33:$G$92,1),0)</f>
        <v>28</v>
      </c>
      <c r="AU283" s="45">
        <f ca="1">IFERROR(MATCH(AQ283/载具产出!T$58,载具属性!$G$33:$G$92,1),0)</f>
        <v>17</v>
      </c>
      <c r="AV283" s="45">
        <f ca="1">IFERROR(MATCH(AR283/载具产出!U$58,载具属性!$G$33:$G$92,1),0)</f>
        <v>7</v>
      </c>
      <c r="AW283" s="46" t="str">
        <f ca="1" t="shared" si="64"/>
        <v>[{62,1716},{63,224775},{2,656500},{6030001,4883},{6030002,5456},{6030003,1941},{6030004,43}]</v>
      </c>
      <c r="AX283" t="str">
        <f ca="1" t="shared" si="65"/>
        <v>{62,1716}</v>
      </c>
      <c r="AY283" t="str">
        <f ca="1" t="shared" si="66"/>
        <v>{63,224775}</v>
      </c>
      <c r="AZ283" t="str">
        <f ca="1" t="shared" si="67"/>
        <v>{2,656500}</v>
      </c>
      <c r="BA283" t="str">
        <f ca="1" t="shared" si="68"/>
        <v>{6030001,4883}</v>
      </c>
      <c r="BB283" t="str">
        <f ca="1" t="shared" si="69"/>
        <v>{6030002,5456}</v>
      </c>
      <c r="BC283" t="str">
        <f ca="1" t="shared" si="70"/>
        <v>{6030003,1941}</v>
      </c>
      <c r="BD283" t="str">
        <f ca="1" t="shared" si="71"/>
        <v>{6030004,43}</v>
      </c>
    </row>
    <row r="284" spans="3:56">
      <c r="C284">
        <f ca="1" t="shared" si="59"/>
        <v>128.427230046948</v>
      </c>
      <c r="D284" s="40">
        <v>278</v>
      </c>
      <c r="E284" s="40">
        <f t="shared" si="76"/>
        <v>135</v>
      </c>
      <c r="F284" s="40">
        <f t="shared" si="75"/>
        <v>155</v>
      </c>
      <c r="G284" s="41">
        <f t="shared" si="78"/>
        <v>213</v>
      </c>
      <c r="H284" s="40">
        <f>H283</f>
        <v>281</v>
      </c>
      <c r="I284" s="40">
        <f t="shared" si="58"/>
        <v>582</v>
      </c>
      <c r="J284" s="40">
        <f t="shared" si="77"/>
        <v>582</v>
      </c>
      <c r="K284" s="40">
        <f ca="1">SUM(U$36:U284)-SUM(OFFSET(载具产出!H$399,0,0,$R284+1,1))</f>
        <v>1723</v>
      </c>
      <c r="L284" s="40">
        <f ca="1">SUM(T$36:T284)-SUM(OFFSET(载具产出!G$399,0,0,$R284+1,1))</f>
        <v>225900</v>
      </c>
      <c r="M284" s="40">
        <f ca="1">SUM(V$36:V284)/2-SUM(OFFSET(载具产出!I$399,0,0,$R284+1,1))</f>
        <v>660100</v>
      </c>
      <c r="N284" s="40">
        <f ca="1">SUM(AA$36:AA284)-SUM(OFFSET(载具产出!J$399,0,0,$R284+1,1))</f>
        <v>4901.6</v>
      </c>
      <c r="O284" s="40">
        <f ca="1">SUM(AB$36:AB284)-SUM(OFFSET(载具产出!K$399,0,0,$R284+1,1))</f>
        <v>5477.71999999997</v>
      </c>
      <c r="P284" s="40">
        <f ca="1">SUM(AC$36:AC284)-SUM(OFFSET(载具产出!L$399,0,0,$R284+1,1))</f>
        <v>1957.28</v>
      </c>
      <c r="Q284" s="40">
        <f ca="1">SUM(AD$36:AD284)-SUM(OFFSET(载具产出!M$399,0,0,$R284+1,1))</f>
        <v>44.4</v>
      </c>
      <c r="R284" s="40">
        <v>20</v>
      </c>
      <c r="S284" s="40" t="str">
        <f ca="1">OFFSET(载具产出!$D$111,IFERROR(MATCH(OFFSET($D284,0,MATCH($D$5,$E$6:$H$6,0)),载具产出!$E$112:$E$151,1),0),0)</f>
        <v>卓越Ⅱ</v>
      </c>
      <c r="T284" s="40">
        <f ca="1">OFFSET(载具产出!$F$399,IFERROR(MATCH(OFFSET($D284,0,MATCH($D$5,$E$6:$H$6,0)),载具产出!$E$400:$E$439,1),0),MATCH(T$6,载具产出!$G$399:$O$399,0))</f>
        <v>1125</v>
      </c>
      <c r="U284" s="40">
        <v>7</v>
      </c>
      <c r="V284" s="40">
        <f ca="1">OFFSET(载具产出!$F$399,IFERROR(MATCH(OFFSET($D284,0,MATCH($D$5,$E$6:$H$6,0)),载具产出!$E$400:$E$439,1),0),MATCH(V$6,载具产出!$G$399:$O$399,0))</f>
        <v>7200</v>
      </c>
      <c r="W284" s="43">
        <f ca="1">_xlfn.XLOOKUP(Z284,载具属性!$E$98:$E$497,载具属性!$G$98:$G$497)+6000+OFFSET(载具属性!L$33,AS284,0)*载具属性!M$30+OFFSET(载具属性!M$33,AT284,0)*载具属性!N$30+OFFSET(载具属性!N$33,AU284,0)*载具属性!O$30+OFFSET(载具属性!O$33,AV284,0)*载具属性!P$30</f>
        <v>27355</v>
      </c>
      <c r="X284" s="43">
        <f ca="1">_xlfn.XLOOKUP(Z284,载具属性!$E$98:$E$497,载具属性!$G$98:$G$497)</f>
        <v>13690</v>
      </c>
      <c r="Y284" s="43">
        <f ca="1">OFFSET(载具属性!L$33,AS284,0)*载具属性!M$30+OFFSET(载具属性!M$33,AT284,0)*载具属性!N$30+OFFSET(载具属性!N$33,AU284,0)*载具属性!O$30+OFFSET(载具属性!O$33,AV284,0)*载具属性!P$30</f>
        <v>7665</v>
      </c>
      <c r="Z284" s="40">
        <f ca="1">MATCH(SUM($T$7:T284),载具属性!$I$98:$I$497,1)</f>
        <v>192</v>
      </c>
      <c r="AA284" s="40">
        <f ca="1">OFFSET(载具产出!$F$399,IFERROR(MATCH(OFFSET($D284,0,MATCH($D$5,$E$6:$H$6,0)),载具产出!$E$112:$E$151,1),0),MATCH(AA$6,载具产出!$G$111:$O$111,0))*2</f>
        <v>18</v>
      </c>
      <c r="AB284" s="40">
        <f ca="1">OFFSET(载具产出!$F$399,IFERROR(MATCH(OFFSET($D284,0,MATCH($D$5,$E$6:$H$6,0)),载具产出!$E$112:$E$151,1),0),MATCH(AB$6,载具产出!$G$111:$O$111,0))*2</f>
        <v>21.28</v>
      </c>
      <c r="AC284" s="40">
        <f ca="1">OFFSET(载具产出!$F$399,IFERROR(MATCH(OFFSET($D284,0,MATCH($D$5,$E$6:$H$6,0)),载具产出!$E$112:$E$151,1),0),MATCH(AC$6,载具产出!$G$111:$O$111,0))*2</f>
        <v>15.76</v>
      </c>
      <c r="AD284" s="40">
        <f ca="1">OFFSET(载具产出!$F$399,IFERROR(MATCH(OFFSET($D284,0,MATCH($D$5,$E$6:$H$6,0)),载具产出!$E$112:$E$151,1),0),MATCH(AD$6,载具产出!$G$111:$O$111,0))*2</f>
        <v>0.96</v>
      </c>
      <c r="AE284" s="44">
        <f ca="1">SUM(AA$36:AA284)/3</f>
        <v>1712.8</v>
      </c>
      <c r="AF284" s="44">
        <f ca="1">SUM(AB$36:AB284)/3</f>
        <v>1892.95999999999</v>
      </c>
      <c r="AG284" s="44">
        <f ca="1">SUM(AC$36:AC284)/3</f>
        <v>674.906666666666</v>
      </c>
      <c r="AH284" s="44">
        <f ca="1">SUM(AD$36:AD284)/3</f>
        <v>16</v>
      </c>
      <c r="AI284" s="44">
        <f>_xlfn.XLOOKUP($D$5,载具产出!$D$71:$D$75,载具产出!$E$71:$E$75)*(D284-30+1)</f>
        <v>2928.7142857143</v>
      </c>
      <c r="AJ284" s="44">
        <f>IFERROR(MATCH(_xlfn.XLOOKUP($D$5,载具产出!$D$71:$D$75,载具产出!$E$71:$E$75)*(D284-30+1)*10,载具产出!$E$60:$E$67,1),0)+1</f>
        <v>7</v>
      </c>
      <c r="AK284" s="44">
        <f ca="1">IF($AJ284=1,($AI284)*(10*OFFSET(载具产出!$D$45,MATCH(AK$6,$AK$6:$AN$6,0)-1,$AJ284)+OFFSET(载具产出!$D$49,MATCH(AK$6,$AK$6:$AN$6,0)-1,$AJ284)*OFFSET(载具产出!$N$49,MATCH(AK$6,$AK$6:$AN$6,0)-1,0)),OFFSET(载具产出!F$59,$AJ284-1,0)*10+OFFSET(载具产出!J$59,$AJ284-1,0)+($AI284*10-_xlfn.XLOOKUP($AJ284-1,载具产出!$D$59:$D$67,载具产出!$E$59:$E$67))/10*(10*OFFSET(载具产出!$D$45,MATCH(AK$6,$AK$6:$AN$6,0)-1,$AJ284)+OFFSET(载具产出!$D$49,MATCH(AK$6,$AK$6:$AN$6,0)-1,$AJ284)*OFFSET(载具产出!$N$49,MATCH(AK$6,$AK$6:$AN$6,0)-1,0)))</f>
        <v>6370.3945714286</v>
      </c>
      <c r="AL284" s="44">
        <f ca="1">IF($AJ284=1,($AI284)*(10*OFFSET(载具产出!$D$45,MATCH(AL$6,$AK$6:$AN$6,0)-1,$AJ284)+OFFSET(载具产出!$D$49,MATCH(AL$6,$AK$6:$AN$6,0)-1,$AJ284)*OFFSET(载具产出!$N$49,MATCH(AL$6,$AK$6:$AN$6,0)-1,0)),OFFSET(载具产出!G$59,$AJ284-1,0)*10+OFFSET(载具产出!K$59,$AJ284-1,0)+($AI284*10-_xlfn.XLOOKUP($AJ284-1,载具产出!$D$59:$D$67,载具产出!$E$59:$E$67))/10*(10*OFFSET(载具产出!$D$45,MATCH(AL$6,$AK$6:$AN$6,0)-1,$AJ284)+OFFSET(载具产出!$D$49,MATCH(AL$6,$AK$6:$AN$6,0)-1,$AJ284)*OFFSET(载具产出!$N$49,MATCH(AL$6,$AK$6:$AN$6,0)-1,0)))</f>
        <v>2654.29142857144</v>
      </c>
      <c r="AM284" s="44">
        <f ca="1">IF($AJ284=1,($AI284)*(10*OFFSET(载具产出!$D$45,MATCH(AM$6,$AK$6:$AN$6,0)-1,$AJ284)+OFFSET(载具产出!$D$49,MATCH(AM$6,$AK$6:$AN$6,0)-1,$AJ284)*OFFSET(载具产出!$N$49,MATCH(AM$6,$AK$6:$AN$6,0)-1,0)),OFFSET(载具产出!H$59,$AJ284-1,0)*10+OFFSET(载具产出!L$59,$AJ284-1,0)+($AI284*10-_xlfn.XLOOKUP($AJ284-1,载具产出!$D$59:$D$67,载具产出!$E$59:$E$67))/10*(10*OFFSET(载具产出!$D$45,MATCH(AM$6,$AK$6:$AN$6,0)-1,$AJ284)+OFFSET(载具产出!$D$49,MATCH(AM$6,$AK$6:$AN$6,0)-1,$AJ284)*OFFSET(载具产出!$N$49,MATCH(AM$6,$AK$6:$AN$6,0)-1,0)))</f>
        <v>1456.60114285715</v>
      </c>
      <c r="AN284" s="44">
        <f ca="1">IF($AJ284=1,($AI284)*(10*OFFSET(载具产出!$D$45,MATCH(AN$6,$AK$6:$AN$6,0)-1,$AJ284)+OFFSET(载具产出!$D$49,MATCH(AN$6,$AK$6:$AN$6,0)-1,$AJ284)*OFFSET(载具产出!$N$49,MATCH(AN$6,$AK$6:$AN$6,0)-1,0)),OFFSET(载具产出!I$59,$AJ284-1,0)*10+OFFSET(载具产出!M$59,$AJ284-1,0)+($AI284*10-_xlfn.XLOOKUP($AJ284-1,载具产出!$D$59:$D$67,载具产出!$E$59:$E$67))/10*(10*OFFSET(载具产出!$D$45,MATCH(AN$6,$AK$6:$AN$6,0)-1,$AJ284)+OFFSET(载具产出!$D$49,MATCH(AN$6,$AK$6:$AN$6,0)-1,$AJ284)*OFFSET(载具产出!$N$49,MATCH(AN$6,$AK$6:$AN$6,0)-1,0)))</f>
        <v>453.552714285717</v>
      </c>
      <c r="AO284" s="44">
        <f ca="1" t="shared" si="60"/>
        <v>8083.1945714286</v>
      </c>
      <c r="AP284" s="44">
        <f ca="1" t="shared" si="61"/>
        <v>4547.25142857143</v>
      </c>
      <c r="AQ284" s="44">
        <f ca="1" t="shared" si="62"/>
        <v>2131.50780952382</v>
      </c>
      <c r="AR284" s="44">
        <f ca="1" t="shared" si="63"/>
        <v>469.552714285717</v>
      </c>
      <c r="AS284" s="45">
        <f ca="1">IFERROR(MATCH(AO284/载具产出!R$58,载具属性!$G$33:$G$92,1),0)</f>
        <v>41</v>
      </c>
      <c r="AT284" s="45">
        <f ca="1">IFERROR(MATCH(AP284/载具产出!S$58,载具属性!$G$33:$G$92,1),0)</f>
        <v>28</v>
      </c>
      <c r="AU284" s="45">
        <f ca="1">IFERROR(MATCH(AQ284/载具产出!T$58,载具属性!$G$33:$G$92,1),0)</f>
        <v>18</v>
      </c>
      <c r="AV284" s="45">
        <f ca="1">IFERROR(MATCH(AR284/载具产出!U$58,载具属性!$G$33:$G$92,1),0)</f>
        <v>7</v>
      </c>
      <c r="AW284" s="46" t="str">
        <f ca="1" t="shared" si="64"/>
        <v>[{62,1723},{63,225900},{2,660100},{6030001,4901},{6030002,5477},{6030003,1957},{6030004,44}]</v>
      </c>
      <c r="AX284" t="str">
        <f ca="1" t="shared" si="65"/>
        <v>{62,1723}</v>
      </c>
      <c r="AY284" t="str">
        <f ca="1" t="shared" si="66"/>
        <v>{63,225900}</v>
      </c>
      <c r="AZ284" t="str">
        <f ca="1" t="shared" si="67"/>
        <v>{2,660100}</v>
      </c>
      <c r="BA284" t="str">
        <f ca="1" t="shared" si="68"/>
        <v>{6030001,4901}</v>
      </c>
      <c r="BB284" t="str">
        <f ca="1" t="shared" si="69"/>
        <v>{6030002,5477}</v>
      </c>
      <c r="BC284" t="str">
        <f ca="1" t="shared" si="70"/>
        <v>{6030003,1957}</v>
      </c>
      <c r="BD284" t="str">
        <f ca="1" t="shared" si="71"/>
        <v>{6030004,44}</v>
      </c>
    </row>
    <row r="285" spans="3:56">
      <c r="C285">
        <f ca="1" t="shared" si="59"/>
        <v>128.87323943662</v>
      </c>
      <c r="D285" s="40">
        <v>279</v>
      </c>
      <c r="E285" s="40">
        <f t="shared" si="76"/>
        <v>135</v>
      </c>
      <c r="F285" s="40">
        <f t="shared" si="75"/>
        <v>155</v>
      </c>
      <c r="G285" s="41">
        <f t="shared" si="78"/>
        <v>213</v>
      </c>
      <c r="H285" s="40">
        <f>H284+1</f>
        <v>282</v>
      </c>
      <c r="I285" s="40">
        <f t="shared" si="58"/>
        <v>584</v>
      </c>
      <c r="J285" s="40">
        <f t="shared" si="77"/>
        <v>584</v>
      </c>
      <c r="K285" s="40">
        <f ca="1">SUM(U$36:U285)-SUM(OFFSET(载具产出!H$399,0,0,$R285+1,1))</f>
        <v>1729</v>
      </c>
      <c r="L285" s="40">
        <f ca="1">SUM(T$36:T285)-SUM(OFFSET(载具产出!G$399,0,0,$R285+1,1))</f>
        <v>225775</v>
      </c>
      <c r="M285" s="40">
        <f ca="1">SUM(V$36:V285)/2-SUM(OFFSET(载具产出!I$399,0,0,$R285+1,1))</f>
        <v>655700</v>
      </c>
      <c r="N285" s="40">
        <f ca="1">SUM(AA$36:AA285)-SUM(OFFSET(载具产出!J$399,0,0,$R285+1,1))</f>
        <v>4910.6</v>
      </c>
      <c r="O285" s="40">
        <f ca="1">SUM(AB$36:AB285)-SUM(OFFSET(载具产出!K$399,0,0,$R285+1,1))</f>
        <v>5490.27999999997</v>
      </c>
      <c r="P285" s="40">
        <f ca="1">SUM(AC$36:AC285)-SUM(OFFSET(载具产出!L$399,0,0,$R285+1,1))</f>
        <v>1964.2</v>
      </c>
      <c r="Q285" s="40">
        <f ca="1">SUM(AD$36:AD285)-SUM(OFFSET(载具产出!M$399,0,0,$R285+1,1))</f>
        <v>43.92</v>
      </c>
      <c r="R285" s="40">
        <v>21</v>
      </c>
      <c r="S285" s="40" t="str">
        <f ca="1">OFFSET(载具产出!$D$111,IFERROR(MATCH(OFFSET($D285,0,MATCH($D$5,$E$6:$H$6,0)),载具产出!$E$112:$E$151,1),0),0)</f>
        <v>卓越Ⅱ</v>
      </c>
      <c r="T285" s="40">
        <f ca="1">OFFSET(载具产出!$F$399,IFERROR(MATCH(OFFSET($D285,0,MATCH($D$5,$E$6:$H$6,0)),载具产出!$E$400:$E$439,1),0),MATCH(T$6,载具产出!$G$399:$O$399,0))</f>
        <v>1125</v>
      </c>
      <c r="U285" s="40">
        <v>7</v>
      </c>
      <c r="V285" s="40">
        <f ca="1">OFFSET(载具产出!$F$399,IFERROR(MATCH(OFFSET($D285,0,MATCH($D$5,$E$6:$H$6,0)),载具产出!$E$400:$E$439,1),0),MATCH(V$6,载具产出!$G$399:$O$399,0))</f>
        <v>7200</v>
      </c>
      <c r="W285" s="43">
        <f ca="1">_xlfn.XLOOKUP(Z285,载具属性!$E$98:$E$497,载具属性!$G$98:$G$497)+6000+OFFSET(载具属性!L$33,AS285,0)*载具属性!M$30+OFFSET(载具属性!M$33,AT285,0)*载具属性!N$30+OFFSET(载具属性!N$33,AU285,0)*载具属性!O$30+OFFSET(载具属性!O$33,AV285,0)*载具属性!P$30</f>
        <v>27450</v>
      </c>
      <c r="X285" s="43">
        <f ca="1">_xlfn.XLOOKUP(Z285,载具属性!$E$98:$E$497,载具属性!$G$98:$G$497)</f>
        <v>13785</v>
      </c>
      <c r="Y285" s="43">
        <f ca="1">OFFSET(载具属性!L$33,AS285,0)*载具属性!M$30+OFFSET(载具属性!M$33,AT285,0)*载具属性!N$30+OFFSET(载具属性!N$33,AU285,0)*载具属性!O$30+OFFSET(载具属性!O$33,AV285,0)*载具属性!P$30</f>
        <v>7665</v>
      </c>
      <c r="Z285" s="40">
        <f ca="1">MATCH(SUM($T$7:T285),载具属性!$I$98:$I$497,1)</f>
        <v>193</v>
      </c>
      <c r="AA285" s="40">
        <f ca="1">OFFSET(载具产出!$F$399,IFERROR(MATCH(OFFSET($D285,0,MATCH($D$5,$E$6:$H$6,0)),载具产出!$E$112:$E$151,1),0),MATCH(AA$6,载具产出!$G$111:$O$111,0))*2</f>
        <v>18</v>
      </c>
      <c r="AB285" s="40">
        <f ca="1">OFFSET(载具产出!$F$399,IFERROR(MATCH(OFFSET($D285,0,MATCH($D$5,$E$6:$H$6,0)),载具产出!$E$112:$E$151,1),0),MATCH(AB$6,载具产出!$G$111:$O$111,0))*2</f>
        <v>21.28</v>
      </c>
      <c r="AC285" s="40">
        <f ca="1">OFFSET(载具产出!$F$399,IFERROR(MATCH(OFFSET($D285,0,MATCH($D$5,$E$6:$H$6,0)),载具产出!$E$112:$E$151,1),0),MATCH(AC$6,载具产出!$G$111:$O$111,0))*2</f>
        <v>15.76</v>
      </c>
      <c r="AD285" s="40">
        <f ca="1">OFFSET(载具产出!$F$399,IFERROR(MATCH(OFFSET($D285,0,MATCH($D$5,$E$6:$H$6,0)),载具产出!$E$112:$E$151,1),0),MATCH(AD$6,载具产出!$G$111:$O$111,0))*2</f>
        <v>0.96</v>
      </c>
      <c r="AE285" s="44">
        <f ca="1">SUM(AA$36:AA285)/3</f>
        <v>1718.8</v>
      </c>
      <c r="AF285" s="44">
        <f ca="1">SUM(AB$36:AB285)/3</f>
        <v>1900.05333333332</v>
      </c>
      <c r="AG285" s="44">
        <f ca="1">SUM(AC$36:AC285)/3</f>
        <v>680.159999999999</v>
      </c>
      <c r="AH285" s="44">
        <f ca="1">SUM(AD$36:AD285)/3</f>
        <v>16.32</v>
      </c>
      <c r="AI285" s="44">
        <f>_xlfn.XLOOKUP($D$5,载具产出!$D$71:$D$75,载具产出!$E$71:$E$75)*(D285-30+1)</f>
        <v>2940.4761904762</v>
      </c>
      <c r="AJ285" s="44">
        <f>IFERROR(MATCH(_xlfn.XLOOKUP($D$5,载具产出!$D$71:$D$75,载具产出!$E$71:$E$75)*(D285-30+1)*10,载具产出!$E$60:$E$67,1),0)+1</f>
        <v>7</v>
      </c>
      <c r="AK285" s="44">
        <f ca="1">IF($AJ285=1,($AI285)*(10*OFFSET(载具产出!$D$45,MATCH(AK$6,$AK$6:$AN$6,0)-1,$AJ285)+OFFSET(载具产出!$D$49,MATCH(AK$6,$AK$6:$AN$6,0)-1,$AJ285)*OFFSET(载具产出!$N$49,MATCH(AK$6,$AK$6:$AN$6,0)-1,0)),OFFSET(载具产出!F$59,$AJ285-1,0)*10+OFFSET(载具产出!J$59,$AJ285-1,0)+($AI285*10-_xlfn.XLOOKUP($AJ285-1,载具产出!$D$59:$D$67,载具产出!$E$59:$E$67))/10*(10*OFFSET(载具产出!$D$45,MATCH(AK$6,$AK$6:$AN$6,0)-1,$AJ285)+OFFSET(载具产出!$D$49,MATCH(AK$6,$AK$6:$AN$6,0)-1,$AJ285)*OFFSET(载具产出!$N$49,MATCH(AK$6,$AK$6:$AN$6,0)-1,0)))</f>
        <v>6395.23571428573</v>
      </c>
      <c r="AL285" s="44">
        <f ca="1">IF($AJ285=1,($AI285)*(10*OFFSET(载具产出!$D$45,MATCH(AL$6,$AK$6:$AN$6,0)-1,$AJ285)+OFFSET(载具产出!$D$49,MATCH(AL$6,$AK$6:$AN$6,0)-1,$AJ285)*OFFSET(载具产出!$N$49,MATCH(AL$6,$AK$6:$AN$6,0)-1,0)),OFFSET(载具产出!G$59,$AJ285-1,0)*10+OFFSET(载具产出!K$59,$AJ285-1,0)+($AI285*10-_xlfn.XLOOKUP($AJ285-1,载具产出!$D$59:$D$67,载具产出!$E$59:$E$67))/10*(10*OFFSET(载具产出!$D$45,MATCH(AL$6,$AK$6:$AN$6,0)-1,$AJ285)+OFFSET(载具产出!$D$49,MATCH(AL$6,$AK$6:$AN$6,0)-1,$AJ285)*OFFSET(载具产出!$N$49,MATCH(AL$6,$AK$6:$AN$6,0)-1,0)))</f>
        <v>2665.34761904763</v>
      </c>
      <c r="AM285" s="44">
        <f ca="1">IF($AJ285=1,($AI285)*(10*OFFSET(载具产出!$D$45,MATCH(AM$6,$AK$6:$AN$6,0)-1,$AJ285)+OFFSET(载具产出!$D$49,MATCH(AM$6,$AK$6:$AN$6,0)-1,$AJ285)*OFFSET(载具产出!$N$49,MATCH(AM$6,$AK$6:$AN$6,0)-1,0)),OFFSET(载具产出!H$59,$AJ285-1,0)*10+OFFSET(载具产出!L$59,$AJ285-1,0)+($AI285*10-_xlfn.XLOOKUP($AJ285-1,载具产出!$D$59:$D$67,载具产出!$E$59:$E$67))/10*(10*OFFSET(载具产出!$D$45,MATCH(AM$6,$AK$6:$AN$6,0)-1,$AJ285)+OFFSET(载具产出!$D$49,MATCH(AM$6,$AK$6:$AN$6,0)-1,$AJ285)*OFFSET(载具产出!$N$49,MATCH(AM$6,$AK$6:$AN$6,0)-1,0)))</f>
        <v>1462.81142857143</v>
      </c>
      <c r="AN285" s="44">
        <f ca="1">IF($AJ285=1,($AI285)*(10*OFFSET(载具产出!$D$45,MATCH(AN$6,$AK$6:$AN$6,0)-1,$AJ285)+OFFSET(载具产出!$D$49,MATCH(AN$6,$AK$6:$AN$6,0)-1,$AJ285)*OFFSET(载具产出!$N$49,MATCH(AN$6,$AK$6:$AN$6,0)-1,0)),OFFSET(载具产出!I$59,$AJ285-1,0)*10+OFFSET(载具产出!M$59,$AJ285-1,0)+($AI285*10-_xlfn.XLOOKUP($AJ285-1,载具产出!$D$59:$D$67,载具产出!$E$59:$E$67))/10*(10*OFFSET(载具产出!$D$45,MATCH(AN$6,$AK$6:$AN$6,0)-1,$AJ285)+OFFSET(载具产出!$D$49,MATCH(AN$6,$AK$6:$AN$6,0)-1,$AJ285)*OFFSET(载具产出!$N$49,MATCH(AN$6,$AK$6:$AN$6,0)-1,0)))</f>
        <v>455.540476190478</v>
      </c>
      <c r="AO285" s="44">
        <f ca="1" t="shared" si="60"/>
        <v>8114.03571428573</v>
      </c>
      <c r="AP285" s="44">
        <f ca="1" t="shared" si="61"/>
        <v>4565.40095238095</v>
      </c>
      <c r="AQ285" s="44">
        <f ca="1" t="shared" si="62"/>
        <v>2142.97142857143</v>
      </c>
      <c r="AR285" s="44">
        <f ca="1" t="shared" si="63"/>
        <v>471.860476190478</v>
      </c>
      <c r="AS285" s="45">
        <f ca="1">IFERROR(MATCH(AO285/载具产出!R$58,载具属性!$G$33:$G$92,1),0)</f>
        <v>41</v>
      </c>
      <c r="AT285" s="45">
        <f ca="1">IFERROR(MATCH(AP285/载具产出!S$58,载具属性!$G$33:$G$92,1),0)</f>
        <v>28</v>
      </c>
      <c r="AU285" s="45">
        <f ca="1">IFERROR(MATCH(AQ285/载具产出!T$58,载具属性!$G$33:$G$92,1),0)</f>
        <v>18</v>
      </c>
      <c r="AV285" s="45">
        <f ca="1">IFERROR(MATCH(AR285/载具产出!U$58,载具属性!$G$33:$G$92,1),0)</f>
        <v>7</v>
      </c>
      <c r="AW285" s="46" t="str">
        <f ca="1" t="shared" si="64"/>
        <v>[{62,1729},{63,225775},{2,655700},{6030001,4910},{6030002,5490},{6030003,1964},{6030004,43}]</v>
      </c>
      <c r="AX285" t="str">
        <f ca="1" t="shared" si="65"/>
        <v>{62,1729}</v>
      </c>
      <c r="AY285" t="str">
        <f ca="1" t="shared" si="66"/>
        <v>{63,225775}</v>
      </c>
      <c r="AZ285" t="str">
        <f ca="1" t="shared" si="67"/>
        <v>{2,655700}</v>
      </c>
      <c r="BA285" t="str">
        <f ca="1" t="shared" si="68"/>
        <v>{6030001,4910}</v>
      </c>
      <c r="BB285" t="str">
        <f ca="1" t="shared" si="69"/>
        <v>{6030002,5490}</v>
      </c>
      <c r="BC285" t="str">
        <f ca="1" t="shared" si="70"/>
        <v>{6030003,1964}</v>
      </c>
      <c r="BD285" t="str">
        <f ca="1" t="shared" si="71"/>
        <v>{6030004,43}</v>
      </c>
    </row>
    <row r="286" spans="3:56">
      <c r="C286">
        <f ca="1" t="shared" si="59"/>
        <v>128.271028037383</v>
      </c>
      <c r="D286" s="40">
        <v>280</v>
      </c>
      <c r="E286" s="40">
        <f t="shared" si="76"/>
        <v>135</v>
      </c>
      <c r="F286" s="40">
        <f t="shared" si="75"/>
        <v>155</v>
      </c>
      <c r="G286" s="41">
        <f t="shared" si="78"/>
        <v>214</v>
      </c>
      <c r="H286" s="40">
        <f>H285</f>
        <v>282</v>
      </c>
      <c r="I286" s="40">
        <f t="shared" si="58"/>
        <v>586</v>
      </c>
      <c r="J286" s="40">
        <f t="shared" si="77"/>
        <v>586</v>
      </c>
      <c r="K286" s="40">
        <f ca="1">SUM(U$36:U286)-SUM(OFFSET(载具产出!H$399,0,0,$R286+1,1))</f>
        <v>1736</v>
      </c>
      <c r="L286" s="40">
        <f ca="1">SUM(T$36:T286)-SUM(OFFSET(载具产出!G$399,0,0,$R286+1,1))</f>
        <v>226900</v>
      </c>
      <c r="M286" s="40">
        <f ca="1">SUM(V$36:V286)/2-SUM(OFFSET(载具产出!I$399,0,0,$R286+1,1))</f>
        <v>659300</v>
      </c>
      <c r="N286" s="40">
        <f ca="1">SUM(AA$36:AA286)-SUM(OFFSET(载具产出!J$399,0,0,$R286+1,1))</f>
        <v>4928.6</v>
      </c>
      <c r="O286" s="40">
        <f ca="1">SUM(AB$36:AB286)-SUM(OFFSET(载具产出!K$399,0,0,$R286+1,1))</f>
        <v>5511.55999999997</v>
      </c>
      <c r="P286" s="40">
        <f ca="1">SUM(AC$36:AC286)-SUM(OFFSET(载具产出!L$399,0,0,$R286+1,1))</f>
        <v>1979.96</v>
      </c>
      <c r="Q286" s="40">
        <f ca="1">SUM(AD$36:AD286)-SUM(OFFSET(载具产出!M$399,0,0,$R286+1,1))</f>
        <v>44.88</v>
      </c>
      <c r="R286" s="40">
        <v>21</v>
      </c>
      <c r="S286" s="40" t="str">
        <f ca="1">OFFSET(载具产出!$D$111,IFERROR(MATCH(OFFSET($D286,0,MATCH($D$5,$E$6:$H$6,0)),载具产出!$E$112:$E$151,1),0),0)</f>
        <v>卓越Ⅱ</v>
      </c>
      <c r="T286" s="40">
        <f ca="1">OFFSET(载具产出!$F$399,IFERROR(MATCH(OFFSET($D286,0,MATCH($D$5,$E$6:$H$6,0)),载具产出!$E$400:$E$439,1),0),MATCH(T$6,载具产出!$G$399:$O$399,0))</f>
        <v>1125</v>
      </c>
      <c r="U286" s="40">
        <v>7</v>
      </c>
      <c r="V286" s="40">
        <f ca="1">OFFSET(载具产出!$F$399,IFERROR(MATCH(OFFSET($D286,0,MATCH($D$5,$E$6:$H$6,0)),载具产出!$E$400:$E$439,1),0),MATCH(V$6,载具产出!$G$399:$O$399,0))</f>
        <v>7200</v>
      </c>
      <c r="W286" s="43">
        <f ca="1">_xlfn.XLOOKUP(Z286,载具属性!$E$98:$E$497,载具属性!$G$98:$G$497)+6000+OFFSET(载具属性!L$33,AS286,0)*载具属性!M$30+OFFSET(载具属性!M$33,AT286,0)*载具属性!N$30+OFFSET(载具属性!N$33,AU286,0)*载具属性!O$30+OFFSET(载具属性!O$33,AV286,0)*载具属性!P$30</f>
        <v>27450</v>
      </c>
      <c r="X286" s="43">
        <f ca="1">_xlfn.XLOOKUP(Z286,载具属性!$E$98:$E$497,载具属性!$G$98:$G$497)</f>
        <v>13785</v>
      </c>
      <c r="Y286" s="43">
        <f ca="1">OFFSET(载具属性!L$33,AS286,0)*载具属性!M$30+OFFSET(载具属性!M$33,AT286,0)*载具属性!N$30+OFFSET(载具属性!N$33,AU286,0)*载具属性!O$30+OFFSET(载具属性!O$33,AV286,0)*载具属性!P$30</f>
        <v>7665</v>
      </c>
      <c r="Z286" s="40">
        <f ca="1">MATCH(SUM($T$7:T286),载具属性!$I$98:$I$497,1)</f>
        <v>193</v>
      </c>
      <c r="AA286" s="40">
        <f ca="1">OFFSET(载具产出!$F$399,IFERROR(MATCH(OFFSET($D286,0,MATCH($D$5,$E$6:$H$6,0)),载具产出!$E$112:$E$151,1),0),MATCH(AA$6,载具产出!$G$111:$O$111,0))*2</f>
        <v>18</v>
      </c>
      <c r="AB286" s="40">
        <f ca="1">OFFSET(载具产出!$F$399,IFERROR(MATCH(OFFSET($D286,0,MATCH($D$5,$E$6:$H$6,0)),载具产出!$E$112:$E$151,1),0),MATCH(AB$6,载具产出!$G$111:$O$111,0))*2</f>
        <v>21.28</v>
      </c>
      <c r="AC286" s="40">
        <f ca="1">OFFSET(载具产出!$F$399,IFERROR(MATCH(OFFSET($D286,0,MATCH($D$5,$E$6:$H$6,0)),载具产出!$E$112:$E$151,1),0),MATCH(AC$6,载具产出!$G$111:$O$111,0))*2</f>
        <v>15.76</v>
      </c>
      <c r="AD286" s="40">
        <f ca="1">OFFSET(载具产出!$F$399,IFERROR(MATCH(OFFSET($D286,0,MATCH($D$5,$E$6:$H$6,0)),载具产出!$E$112:$E$151,1),0),MATCH(AD$6,载具产出!$G$111:$O$111,0))*2</f>
        <v>0.96</v>
      </c>
      <c r="AE286" s="44">
        <f ca="1">SUM(AA$36:AA286)/3</f>
        <v>1724.8</v>
      </c>
      <c r="AF286" s="44">
        <f ca="1">SUM(AB$36:AB286)/3</f>
        <v>1907.14666666666</v>
      </c>
      <c r="AG286" s="44">
        <f ca="1">SUM(AC$36:AC286)/3</f>
        <v>685.413333333333</v>
      </c>
      <c r="AH286" s="44">
        <f ca="1">SUM(AD$36:AD286)/3</f>
        <v>16.64</v>
      </c>
      <c r="AI286" s="44">
        <f>_xlfn.XLOOKUP($D$5,载具产出!$D$71:$D$75,载具产出!$E$71:$E$75)*(D286-30+1)</f>
        <v>2952.2380952381</v>
      </c>
      <c r="AJ286" s="44">
        <f>IFERROR(MATCH(_xlfn.XLOOKUP($D$5,载具产出!$D$71:$D$75,载具产出!$E$71:$E$75)*(D286-30+1)*10,载具产出!$E$60:$E$67,1),0)+1</f>
        <v>7</v>
      </c>
      <c r="AK286" s="44">
        <f ca="1">IF($AJ286=1,($AI286)*(10*OFFSET(载具产出!$D$45,MATCH(AK$6,$AK$6:$AN$6,0)-1,$AJ286)+OFFSET(载具产出!$D$49,MATCH(AK$6,$AK$6:$AN$6,0)-1,$AJ286)*OFFSET(载具产出!$N$49,MATCH(AK$6,$AK$6:$AN$6,0)-1,0)),OFFSET(载具产出!F$59,$AJ286-1,0)*10+OFFSET(载具产出!J$59,$AJ286-1,0)+($AI286*10-_xlfn.XLOOKUP($AJ286-1,载具产出!$D$59:$D$67,载具产出!$E$59:$E$67))/10*(10*OFFSET(载具产出!$D$45,MATCH(AK$6,$AK$6:$AN$6,0)-1,$AJ286)+OFFSET(载具产出!$D$49,MATCH(AK$6,$AK$6:$AN$6,0)-1,$AJ286)*OFFSET(载具产出!$N$49,MATCH(AK$6,$AK$6:$AN$6,0)-1,0)))</f>
        <v>6420.07685714287</v>
      </c>
      <c r="AL286" s="44">
        <f ca="1">IF($AJ286=1,($AI286)*(10*OFFSET(载具产出!$D$45,MATCH(AL$6,$AK$6:$AN$6,0)-1,$AJ286)+OFFSET(载具产出!$D$49,MATCH(AL$6,$AK$6:$AN$6,0)-1,$AJ286)*OFFSET(载具产出!$N$49,MATCH(AL$6,$AK$6:$AN$6,0)-1,0)),OFFSET(载具产出!G$59,$AJ286-1,0)*10+OFFSET(载具产出!K$59,$AJ286-1,0)+($AI286*10-_xlfn.XLOOKUP($AJ286-1,载具产出!$D$59:$D$67,载具产出!$E$59:$E$67))/10*(10*OFFSET(载具产出!$D$45,MATCH(AL$6,$AK$6:$AN$6,0)-1,$AJ286)+OFFSET(载具产出!$D$49,MATCH(AL$6,$AK$6:$AN$6,0)-1,$AJ286)*OFFSET(载具产出!$N$49,MATCH(AL$6,$AK$6:$AN$6,0)-1,0)))</f>
        <v>2676.40380952381</v>
      </c>
      <c r="AM286" s="44">
        <f ca="1">IF($AJ286=1,($AI286)*(10*OFFSET(载具产出!$D$45,MATCH(AM$6,$AK$6:$AN$6,0)-1,$AJ286)+OFFSET(载具产出!$D$49,MATCH(AM$6,$AK$6:$AN$6,0)-1,$AJ286)*OFFSET(载具产出!$N$49,MATCH(AM$6,$AK$6:$AN$6,0)-1,0)),OFFSET(载具产出!H$59,$AJ286-1,0)*10+OFFSET(载具产出!L$59,$AJ286-1,0)+($AI286*10-_xlfn.XLOOKUP($AJ286-1,载具产出!$D$59:$D$67,载具产出!$E$59:$E$67))/10*(10*OFFSET(载具产出!$D$45,MATCH(AM$6,$AK$6:$AN$6,0)-1,$AJ286)+OFFSET(载具产出!$D$49,MATCH(AM$6,$AK$6:$AN$6,0)-1,$AJ286)*OFFSET(载具产出!$N$49,MATCH(AM$6,$AK$6:$AN$6,0)-1,0)))</f>
        <v>1469.02171428572</v>
      </c>
      <c r="AN286" s="44">
        <f ca="1">IF($AJ286=1,($AI286)*(10*OFFSET(载具产出!$D$45,MATCH(AN$6,$AK$6:$AN$6,0)-1,$AJ286)+OFFSET(载具产出!$D$49,MATCH(AN$6,$AK$6:$AN$6,0)-1,$AJ286)*OFFSET(载具产出!$N$49,MATCH(AN$6,$AK$6:$AN$6,0)-1,0)),OFFSET(载具产出!I$59,$AJ286-1,0)*10+OFFSET(载具产出!M$59,$AJ286-1,0)+($AI286*10-_xlfn.XLOOKUP($AJ286-1,载具产出!$D$59:$D$67,载具产出!$E$59:$E$67))/10*(10*OFFSET(载具产出!$D$45,MATCH(AN$6,$AK$6:$AN$6,0)-1,$AJ286)+OFFSET(载具产出!$D$49,MATCH(AN$6,$AK$6:$AN$6,0)-1,$AJ286)*OFFSET(载具产出!$N$49,MATCH(AN$6,$AK$6:$AN$6,0)-1,0)))</f>
        <v>457.528238095239</v>
      </c>
      <c r="AO286" s="44">
        <f ca="1" t="shared" si="60"/>
        <v>8144.87685714287</v>
      </c>
      <c r="AP286" s="44">
        <f ca="1" t="shared" si="61"/>
        <v>4583.55047619047</v>
      </c>
      <c r="AQ286" s="44">
        <f ca="1" t="shared" si="62"/>
        <v>2154.43504761905</v>
      </c>
      <c r="AR286" s="44">
        <f ca="1" t="shared" si="63"/>
        <v>474.168238095239</v>
      </c>
      <c r="AS286" s="45">
        <f ca="1">IFERROR(MATCH(AO286/载具产出!R$58,载具属性!$G$33:$G$92,1),0)</f>
        <v>41</v>
      </c>
      <c r="AT286" s="45">
        <f ca="1">IFERROR(MATCH(AP286/载具产出!S$58,载具属性!$G$33:$G$92,1),0)</f>
        <v>28</v>
      </c>
      <c r="AU286" s="45">
        <f ca="1">IFERROR(MATCH(AQ286/载具产出!T$58,载具属性!$G$33:$G$92,1),0)</f>
        <v>18</v>
      </c>
      <c r="AV286" s="45">
        <f ca="1">IFERROR(MATCH(AR286/载具产出!U$58,载具属性!$G$33:$G$92,1),0)</f>
        <v>7</v>
      </c>
      <c r="AW286" s="46" t="str">
        <f ca="1" t="shared" si="64"/>
        <v>[{62,1736},{63,226900},{2,659300},{6030001,4928},{6030002,5511},{6030003,1979},{6030004,44}]</v>
      </c>
      <c r="AX286" t="str">
        <f ca="1" t="shared" si="65"/>
        <v>{62,1736}</v>
      </c>
      <c r="AY286" t="str">
        <f ca="1" t="shared" si="66"/>
        <v>{63,226900}</v>
      </c>
      <c r="AZ286" t="str">
        <f ca="1" t="shared" si="67"/>
        <v>{2,659300}</v>
      </c>
      <c r="BA286" t="str">
        <f ca="1" t="shared" si="68"/>
        <v>{6030001,4928}</v>
      </c>
      <c r="BB286" t="str">
        <f ca="1" t="shared" si="69"/>
        <v>{6030002,5511}</v>
      </c>
      <c r="BC286" t="str">
        <f ca="1" t="shared" si="70"/>
        <v>{6030003,1979}</v>
      </c>
      <c r="BD286" t="str">
        <f ca="1" t="shared" si="71"/>
        <v>{6030004,44}</v>
      </c>
    </row>
    <row r="287" spans="3:56">
      <c r="C287">
        <f ca="1" t="shared" si="59"/>
        <v>128.714953271028</v>
      </c>
      <c r="D287" s="40">
        <v>281</v>
      </c>
      <c r="E287" s="40">
        <f t="shared" si="76"/>
        <v>135</v>
      </c>
      <c r="F287" s="40">
        <f t="shared" si="75"/>
        <v>155</v>
      </c>
      <c r="G287" s="41">
        <f t="shared" si="78"/>
        <v>214</v>
      </c>
      <c r="H287" s="40">
        <f>H286+1</f>
        <v>283</v>
      </c>
      <c r="I287" s="40">
        <f t="shared" si="58"/>
        <v>588</v>
      </c>
      <c r="J287" s="40">
        <f t="shared" si="77"/>
        <v>588</v>
      </c>
      <c r="K287" s="40">
        <f ca="1">SUM(U$36:U287)-SUM(OFFSET(载具产出!H$399,0,0,$R287+1,1))</f>
        <v>1743</v>
      </c>
      <c r="L287" s="40">
        <f ca="1">SUM(T$36:T287)-SUM(OFFSET(载具产出!G$399,0,0,$R287+1,1))</f>
        <v>228025</v>
      </c>
      <c r="M287" s="40">
        <f ca="1">SUM(V$36:V287)/2-SUM(OFFSET(载具产出!I$399,0,0,$R287+1,1))</f>
        <v>662900</v>
      </c>
      <c r="N287" s="40">
        <f ca="1">SUM(AA$36:AA287)-SUM(OFFSET(载具产出!J$399,0,0,$R287+1,1))</f>
        <v>4946.6</v>
      </c>
      <c r="O287" s="40">
        <f ca="1">SUM(AB$36:AB287)-SUM(OFFSET(载具产出!K$399,0,0,$R287+1,1))</f>
        <v>5532.83999999997</v>
      </c>
      <c r="P287" s="40">
        <f ca="1">SUM(AC$36:AC287)-SUM(OFFSET(载具产出!L$399,0,0,$R287+1,1))</f>
        <v>1995.72</v>
      </c>
      <c r="Q287" s="40">
        <f ca="1">SUM(AD$36:AD287)-SUM(OFFSET(载具产出!M$399,0,0,$R287+1,1))</f>
        <v>45.84</v>
      </c>
      <c r="R287" s="40">
        <v>21</v>
      </c>
      <c r="S287" s="40" t="str">
        <f ca="1">OFFSET(载具产出!$D$111,IFERROR(MATCH(OFFSET($D287,0,MATCH($D$5,$E$6:$H$6,0)),载具产出!$E$112:$E$151,1),0),0)</f>
        <v>卓越Ⅱ</v>
      </c>
      <c r="T287" s="40">
        <f ca="1">OFFSET(载具产出!$F$399,IFERROR(MATCH(OFFSET($D287,0,MATCH($D$5,$E$6:$H$6,0)),载具产出!$E$400:$E$439,1),0),MATCH(T$6,载具产出!$G$399:$O$399,0))</f>
        <v>1125</v>
      </c>
      <c r="U287" s="40">
        <v>7</v>
      </c>
      <c r="V287" s="40">
        <f ca="1">OFFSET(载具产出!$F$399,IFERROR(MATCH(OFFSET($D287,0,MATCH($D$5,$E$6:$H$6,0)),载具产出!$E$400:$E$439,1),0),MATCH(V$6,载具产出!$G$399:$O$399,0))</f>
        <v>7200</v>
      </c>
      <c r="W287" s="43">
        <f ca="1">_xlfn.XLOOKUP(Z287,载具属性!$E$98:$E$497,载具属性!$G$98:$G$497)+6000+OFFSET(载具属性!L$33,AS287,0)*载具属性!M$30+OFFSET(载具属性!M$33,AT287,0)*载具属性!N$30+OFFSET(载具属性!N$33,AU287,0)*载具属性!O$30+OFFSET(载具属性!O$33,AV287,0)*载具属性!P$30</f>
        <v>27545</v>
      </c>
      <c r="X287" s="43">
        <f ca="1">_xlfn.XLOOKUP(Z287,载具属性!$E$98:$E$497,载具属性!$G$98:$G$497)</f>
        <v>13880</v>
      </c>
      <c r="Y287" s="43">
        <f ca="1">OFFSET(载具属性!L$33,AS287,0)*载具属性!M$30+OFFSET(载具属性!M$33,AT287,0)*载具属性!N$30+OFFSET(载具属性!N$33,AU287,0)*载具属性!O$30+OFFSET(载具属性!O$33,AV287,0)*载具属性!P$30</f>
        <v>7665</v>
      </c>
      <c r="Z287" s="40">
        <f ca="1">MATCH(SUM($T$7:T287),载具属性!$I$98:$I$497,1)</f>
        <v>194</v>
      </c>
      <c r="AA287" s="40">
        <f ca="1">OFFSET(载具产出!$F$399,IFERROR(MATCH(OFFSET($D287,0,MATCH($D$5,$E$6:$H$6,0)),载具产出!$E$112:$E$151,1),0),MATCH(AA$6,载具产出!$G$111:$O$111,0))*2</f>
        <v>18</v>
      </c>
      <c r="AB287" s="40">
        <f ca="1">OFFSET(载具产出!$F$399,IFERROR(MATCH(OFFSET($D287,0,MATCH($D$5,$E$6:$H$6,0)),载具产出!$E$112:$E$151,1),0),MATCH(AB$6,载具产出!$G$111:$O$111,0))*2</f>
        <v>21.28</v>
      </c>
      <c r="AC287" s="40">
        <f ca="1">OFFSET(载具产出!$F$399,IFERROR(MATCH(OFFSET($D287,0,MATCH($D$5,$E$6:$H$6,0)),载具产出!$E$112:$E$151,1),0),MATCH(AC$6,载具产出!$G$111:$O$111,0))*2</f>
        <v>15.76</v>
      </c>
      <c r="AD287" s="40">
        <f ca="1">OFFSET(载具产出!$F$399,IFERROR(MATCH(OFFSET($D287,0,MATCH($D$5,$E$6:$H$6,0)),载具产出!$E$112:$E$151,1),0),MATCH(AD$6,载具产出!$G$111:$O$111,0))*2</f>
        <v>0.96</v>
      </c>
      <c r="AE287" s="44">
        <f ca="1">SUM(AA$36:AA287)/3</f>
        <v>1730.8</v>
      </c>
      <c r="AF287" s="44">
        <f ca="1">SUM(AB$36:AB287)/3</f>
        <v>1914.23999999999</v>
      </c>
      <c r="AG287" s="44">
        <f ca="1">SUM(AC$36:AC287)/3</f>
        <v>690.666666666666</v>
      </c>
      <c r="AH287" s="44">
        <f ca="1">SUM(AD$36:AD287)/3</f>
        <v>16.96</v>
      </c>
      <c r="AI287" s="44">
        <f>_xlfn.XLOOKUP($D$5,载具产出!$D$71:$D$75,载具产出!$E$71:$E$75)*(D287-30+1)</f>
        <v>2964.00000000001</v>
      </c>
      <c r="AJ287" s="44">
        <f>IFERROR(MATCH(_xlfn.XLOOKUP($D$5,载具产出!$D$71:$D$75,载具产出!$E$71:$E$75)*(D287-30+1)*10,载具产出!$E$60:$E$67,1),0)+1</f>
        <v>7</v>
      </c>
      <c r="AK287" s="44">
        <f ca="1">IF($AJ287=1,($AI287)*(10*OFFSET(载具产出!$D$45,MATCH(AK$6,$AK$6:$AN$6,0)-1,$AJ287)+OFFSET(载具产出!$D$49,MATCH(AK$6,$AK$6:$AN$6,0)-1,$AJ287)*OFFSET(载具产出!$N$49,MATCH(AK$6,$AK$6:$AN$6,0)-1,0)),OFFSET(载具产出!F$59,$AJ287-1,0)*10+OFFSET(载具产出!J$59,$AJ287-1,0)+($AI287*10-_xlfn.XLOOKUP($AJ287-1,载具产出!$D$59:$D$67,载具产出!$E$59:$E$67))/10*(10*OFFSET(载具产出!$D$45,MATCH(AK$6,$AK$6:$AN$6,0)-1,$AJ287)+OFFSET(载具产出!$D$49,MATCH(AK$6,$AK$6:$AN$6,0)-1,$AJ287)*OFFSET(载具产出!$N$49,MATCH(AK$6,$AK$6:$AN$6,0)-1,0)))</f>
        <v>6444.91800000002</v>
      </c>
      <c r="AL287" s="44">
        <f ca="1">IF($AJ287=1,($AI287)*(10*OFFSET(载具产出!$D$45,MATCH(AL$6,$AK$6:$AN$6,0)-1,$AJ287)+OFFSET(载具产出!$D$49,MATCH(AL$6,$AK$6:$AN$6,0)-1,$AJ287)*OFFSET(载具产出!$N$49,MATCH(AL$6,$AK$6:$AN$6,0)-1,0)),OFFSET(载具产出!G$59,$AJ287-1,0)*10+OFFSET(载具产出!K$59,$AJ287-1,0)+($AI287*10-_xlfn.XLOOKUP($AJ287-1,载具产出!$D$59:$D$67,载具产出!$E$59:$E$67))/10*(10*OFFSET(载具产出!$D$45,MATCH(AL$6,$AK$6:$AN$6,0)-1,$AJ287)+OFFSET(载具产出!$D$49,MATCH(AL$6,$AK$6:$AN$6,0)-1,$AJ287)*OFFSET(载具产出!$N$49,MATCH(AL$6,$AK$6:$AN$6,0)-1,0)))</f>
        <v>2687.46000000001</v>
      </c>
      <c r="AM287" s="44">
        <f ca="1">IF($AJ287=1,($AI287)*(10*OFFSET(载具产出!$D$45,MATCH(AM$6,$AK$6:$AN$6,0)-1,$AJ287)+OFFSET(载具产出!$D$49,MATCH(AM$6,$AK$6:$AN$6,0)-1,$AJ287)*OFFSET(载具产出!$N$49,MATCH(AM$6,$AK$6:$AN$6,0)-1,0)),OFFSET(载具产出!H$59,$AJ287-1,0)*10+OFFSET(载具产出!L$59,$AJ287-1,0)+($AI287*10-_xlfn.XLOOKUP($AJ287-1,载具产出!$D$59:$D$67,载具产出!$E$59:$E$67))/10*(10*OFFSET(载具产出!$D$45,MATCH(AM$6,$AK$6:$AN$6,0)-1,$AJ287)+OFFSET(载具产出!$D$49,MATCH(AM$6,$AK$6:$AN$6,0)-1,$AJ287)*OFFSET(载具产出!$N$49,MATCH(AM$6,$AK$6:$AN$6,0)-1,0)))</f>
        <v>1475.23200000001</v>
      </c>
      <c r="AN287" s="44">
        <f ca="1">IF($AJ287=1,($AI287)*(10*OFFSET(载具产出!$D$45,MATCH(AN$6,$AK$6:$AN$6,0)-1,$AJ287)+OFFSET(载具产出!$D$49,MATCH(AN$6,$AK$6:$AN$6,0)-1,$AJ287)*OFFSET(载具产出!$N$49,MATCH(AN$6,$AK$6:$AN$6,0)-1,0)),OFFSET(载具产出!I$59,$AJ287-1,0)*10+OFFSET(载具产出!M$59,$AJ287-1,0)+($AI287*10-_xlfn.XLOOKUP($AJ287-1,载具产出!$D$59:$D$67,载具产出!$E$59:$E$67))/10*(10*OFFSET(载具产出!$D$45,MATCH(AN$6,$AK$6:$AN$6,0)-1,$AJ287)+OFFSET(载具产出!$D$49,MATCH(AN$6,$AK$6:$AN$6,0)-1,$AJ287)*OFFSET(载具产出!$N$49,MATCH(AN$6,$AK$6:$AN$6,0)-1,0)))</f>
        <v>459.516000000002</v>
      </c>
      <c r="AO287" s="44">
        <f ca="1" t="shared" si="60"/>
        <v>8175.71800000002</v>
      </c>
      <c r="AP287" s="44">
        <f ca="1" t="shared" si="61"/>
        <v>4601.7</v>
      </c>
      <c r="AQ287" s="44">
        <f ca="1" t="shared" si="62"/>
        <v>2165.89866666667</v>
      </c>
      <c r="AR287" s="44">
        <f ca="1" t="shared" si="63"/>
        <v>476.476000000002</v>
      </c>
      <c r="AS287" s="45">
        <f ca="1">IFERROR(MATCH(AO287/载具产出!R$58,载具属性!$G$33:$G$92,1),0)</f>
        <v>41</v>
      </c>
      <c r="AT287" s="45">
        <f ca="1">IFERROR(MATCH(AP287/载具产出!S$58,载具属性!$G$33:$G$92,1),0)</f>
        <v>28</v>
      </c>
      <c r="AU287" s="45">
        <f ca="1">IFERROR(MATCH(AQ287/载具产出!T$58,载具属性!$G$33:$G$92,1),0)</f>
        <v>18</v>
      </c>
      <c r="AV287" s="45">
        <f ca="1">IFERROR(MATCH(AR287/载具产出!U$58,载具属性!$G$33:$G$92,1),0)</f>
        <v>7</v>
      </c>
      <c r="AW287" s="46" t="str">
        <f ca="1" t="shared" si="64"/>
        <v>[{62,1743},{63,228025},{2,662900},{6030001,4946},{6030002,5532},{6030003,1995},{6030004,45}]</v>
      </c>
      <c r="AX287" t="str">
        <f ca="1" t="shared" si="65"/>
        <v>{62,1743}</v>
      </c>
      <c r="AY287" t="str">
        <f ca="1" t="shared" si="66"/>
        <v>{63,228025}</v>
      </c>
      <c r="AZ287" t="str">
        <f ca="1" t="shared" si="67"/>
        <v>{2,662900}</v>
      </c>
      <c r="BA287" t="str">
        <f ca="1" t="shared" si="68"/>
        <v>{6030001,4946}</v>
      </c>
      <c r="BB287" t="str">
        <f ca="1" t="shared" si="69"/>
        <v>{6030002,5532}</v>
      </c>
      <c r="BC287" t="str">
        <f ca="1" t="shared" si="70"/>
        <v>{6030003,1995}</v>
      </c>
      <c r="BD287" t="str">
        <f ca="1" t="shared" si="71"/>
        <v>{6030004,45}</v>
      </c>
    </row>
    <row r="288" spans="3:56">
      <c r="C288">
        <f ca="1" t="shared" si="59"/>
        <v>128.714953271028</v>
      </c>
      <c r="D288" s="40">
        <v>282</v>
      </c>
      <c r="E288" s="40">
        <f t="shared" si="76"/>
        <v>135</v>
      </c>
      <c r="F288" s="40">
        <f t="shared" si="75"/>
        <v>156</v>
      </c>
      <c r="G288" s="41">
        <f t="shared" si="78"/>
        <v>214</v>
      </c>
      <c r="H288" s="40">
        <f>H287</f>
        <v>283</v>
      </c>
      <c r="I288" s="40">
        <f t="shared" si="58"/>
        <v>590</v>
      </c>
      <c r="J288" s="40">
        <f t="shared" si="77"/>
        <v>590</v>
      </c>
      <c r="K288" s="40">
        <f ca="1">SUM(U$36:U288)-SUM(OFFSET(载具产出!H$399,0,0,$R288+1,1))</f>
        <v>1750</v>
      </c>
      <c r="L288" s="40">
        <f ca="1">SUM(T$36:T288)-SUM(OFFSET(载具产出!G$399,0,0,$R288+1,1))</f>
        <v>229150</v>
      </c>
      <c r="M288" s="40">
        <f ca="1">SUM(V$36:V288)/2-SUM(OFFSET(载具产出!I$399,0,0,$R288+1,1))</f>
        <v>666500</v>
      </c>
      <c r="N288" s="40">
        <f ca="1">SUM(AA$36:AA288)-SUM(OFFSET(载具产出!J$399,0,0,$R288+1,1))</f>
        <v>4964.6</v>
      </c>
      <c r="O288" s="40">
        <f ca="1">SUM(AB$36:AB288)-SUM(OFFSET(载具产出!K$399,0,0,$R288+1,1))</f>
        <v>5554.11999999997</v>
      </c>
      <c r="P288" s="40">
        <f ca="1">SUM(AC$36:AC288)-SUM(OFFSET(载具产出!L$399,0,0,$R288+1,1))</f>
        <v>2011.48</v>
      </c>
      <c r="Q288" s="40">
        <f ca="1">SUM(AD$36:AD288)-SUM(OFFSET(载具产出!M$399,0,0,$R288+1,1))</f>
        <v>46.8</v>
      </c>
      <c r="R288" s="40">
        <v>21</v>
      </c>
      <c r="S288" s="40" t="str">
        <f ca="1">OFFSET(载具产出!$D$111,IFERROR(MATCH(OFFSET($D288,0,MATCH($D$5,$E$6:$H$6,0)),载具产出!$E$112:$E$151,1),0),0)</f>
        <v>卓越Ⅱ</v>
      </c>
      <c r="T288" s="40">
        <f ca="1">OFFSET(载具产出!$F$399,IFERROR(MATCH(OFFSET($D288,0,MATCH($D$5,$E$6:$H$6,0)),载具产出!$E$400:$E$439,1),0),MATCH(T$6,载具产出!$G$399:$O$399,0))</f>
        <v>1125</v>
      </c>
      <c r="U288" s="40">
        <v>7</v>
      </c>
      <c r="V288" s="40">
        <f ca="1">OFFSET(载具产出!$F$399,IFERROR(MATCH(OFFSET($D288,0,MATCH($D$5,$E$6:$H$6,0)),载具产出!$E$400:$E$439,1),0),MATCH(V$6,载具产出!$G$399:$O$399,0))</f>
        <v>7200</v>
      </c>
      <c r="W288" s="43">
        <f ca="1">_xlfn.XLOOKUP(Z288,载具属性!$E$98:$E$497,载具属性!$G$98:$G$497)+6000+OFFSET(载具属性!L$33,AS288,0)*载具属性!M$30+OFFSET(载具属性!M$33,AT288,0)*载具属性!N$30+OFFSET(载具属性!N$33,AU288,0)*载具属性!O$30+OFFSET(载具属性!O$33,AV288,0)*载具属性!P$30</f>
        <v>27545</v>
      </c>
      <c r="X288" s="43">
        <f ca="1">_xlfn.XLOOKUP(Z288,载具属性!$E$98:$E$497,载具属性!$G$98:$G$497)</f>
        <v>13880</v>
      </c>
      <c r="Y288" s="43">
        <f ca="1">OFFSET(载具属性!L$33,AS288,0)*载具属性!M$30+OFFSET(载具属性!M$33,AT288,0)*载具属性!N$30+OFFSET(载具属性!N$33,AU288,0)*载具属性!O$30+OFFSET(载具属性!O$33,AV288,0)*载具属性!P$30</f>
        <v>7665</v>
      </c>
      <c r="Z288" s="40">
        <f ca="1">MATCH(SUM($T$7:T288),载具属性!$I$98:$I$497,1)</f>
        <v>194</v>
      </c>
      <c r="AA288" s="40">
        <f ca="1">OFFSET(载具产出!$F$399,IFERROR(MATCH(OFFSET($D288,0,MATCH($D$5,$E$6:$H$6,0)),载具产出!$E$112:$E$151,1),0),MATCH(AA$6,载具产出!$G$111:$O$111,0))*2</f>
        <v>18</v>
      </c>
      <c r="AB288" s="40">
        <f ca="1">OFFSET(载具产出!$F$399,IFERROR(MATCH(OFFSET($D288,0,MATCH($D$5,$E$6:$H$6,0)),载具产出!$E$112:$E$151,1),0),MATCH(AB$6,载具产出!$G$111:$O$111,0))*2</f>
        <v>21.28</v>
      </c>
      <c r="AC288" s="40">
        <f ca="1">OFFSET(载具产出!$F$399,IFERROR(MATCH(OFFSET($D288,0,MATCH($D$5,$E$6:$H$6,0)),载具产出!$E$112:$E$151,1),0),MATCH(AC$6,载具产出!$G$111:$O$111,0))*2</f>
        <v>15.76</v>
      </c>
      <c r="AD288" s="40">
        <f ca="1">OFFSET(载具产出!$F$399,IFERROR(MATCH(OFFSET($D288,0,MATCH($D$5,$E$6:$H$6,0)),载具产出!$E$112:$E$151,1),0),MATCH(AD$6,载具产出!$G$111:$O$111,0))*2</f>
        <v>0.96</v>
      </c>
      <c r="AE288" s="44">
        <f ca="1">SUM(AA$36:AA288)/3</f>
        <v>1736.8</v>
      </c>
      <c r="AF288" s="44">
        <f ca="1">SUM(AB$36:AB288)/3</f>
        <v>1921.33333333332</v>
      </c>
      <c r="AG288" s="44">
        <f ca="1">SUM(AC$36:AC288)/3</f>
        <v>695.92</v>
      </c>
      <c r="AH288" s="44">
        <f ca="1">SUM(AD$36:AD288)/3</f>
        <v>17.28</v>
      </c>
      <c r="AI288" s="44">
        <f>_xlfn.XLOOKUP($D$5,载具产出!$D$71:$D$75,载具产出!$E$71:$E$75)*(D288-30+1)</f>
        <v>2975.76190476191</v>
      </c>
      <c r="AJ288" s="44">
        <f>IFERROR(MATCH(_xlfn.XLOOKUP($D$5,载具产出!$D$71:$D$75,载具产出!$E$71:$E$75)*(D288-30+1)*10,载具产出!$E$60:$E$67,1),0)+1</f>
        <v>7</v>
      </c>
      <c r="AK288" s="44">
        <f ca="1">IF($AJ288=1,($AI288)*(10*OFFSET(载具产出!$D$45,MATCH(AK$6,$AK$6:$AN$6,0)-1,$AJ288)+OFFSET(载具产出!$D$49,MATCH(AK$6,$AK$6:$AN$6,0)-1,$AJ288)*OFFSET(载具产出!$N$49,MATCH(AK$6,$AK$6:$AN$6,0)-1,0)),OFFSET(载具产出!F$59,$AJ288-1,0)*10+OFFSET(载具产出!J$59,$AJ288-1,0)+($AI288*10-_xlfn.XLOOKUP($AJ288-1,载具产出!$D$59:$D$67,载具产出!$E$59:$E$67))/10*(10*OFFSET(载具产出!$D$45,MATCH(AK$6,$AK$6:$AN$6,0)-1,$AJ288)+OFFSET(载具产出!$D$49,MATCH(AK$6,$AK$6:$AN$6,0)-1,$AJ288)*OFFSET(载具产出!$N$49,MATCH(AK$6,$AK$6:$AN$6,0)-1,0)))</f>
        <v>6469.75914285715</v>
      </c>
      <c r="AL288" s="44">
        <f ca="1">IF($AJ288=1,($AI288)*(10*OFFSET(载具产出!$D$45,MATCH(AL$6,$AK$6:$AN$6,0)-1,$AJ288)+OFFSET(载具产出!$D$49,MATCH(AL$6,$AK$6:$AN$6,0)-1,$AJ288)*OFFSET(载具产出!$N$49,MATCH(AL$6,$AK$6:$AN$6,0)-1,0)),OFFSET(载具产出!G$59,$AJ288-1,0)*10+OFFSET(载具产出!K$59,$AJ288-1,0)+($AI288*10-_xlfn.XLOOKUP($AJ288-1,载具产出!$D$59:$D$67,载具产出!$E$59:$E$67))/10*(10*OFFSET(载具产出!$D$45,MATCH(AL$6,$AK$6:$AN$6,0)-1,$AJ288)+OFFSET(载具产出!$D$49,MATCH(AL$6,$AK$6:$AN$6,0)-1,$AJ288)*OFFSET(载具产出!$N$49,MATCH(AL$6,$AK$6:$AN$6,0)-1,0)))</f>
        <v>2698.5161904762</v>
      </c>
      <c r="AM288" s="44">
        <f ca="1">IF($AJ288=1,($AI288)*(10*OFFSET(载具产出!$D$45,MATCH(AM$6,$AK$6:$AN$6,0)-1,$AJ288)+OFFSET(载具产出!$D$49,MATCH(AM$6,$AK$6:$AN$6,0)-1,$AJ288)*OFFSET(载具产出!$N$49,MATCH(AM$6,$AK$6:$AN$6,0)-1,0)),OFFSET(载具产出!H$59,$AJ288-1,0)*10+OFFSET(载具产出!L$59,$AJ288-1,0)+($AI288*10-_xlfn.XLOOKUP($AJ288-1,载具产出!$D$59:$D$67,载具产出!$E$59:$E$67))/10*(10*OFFSET(载具产出!$D$45,MATCH(AM$6,$AK$6:$AN$6,0)-1,$AJ288)+OFFSET(载具产出!$D$49,MATCH(AM$6,$AK$6:$AN$6,0)-1,$AJ288)*OFFSET(载具产出!$N$49,MATCH(AM$6,$AK$6:$AN$6,0)-1,0)))</f>
        <v>1481.44228571429</v>
      </c>
      <c r="AN288" s="44">
        <f ca="1">IF($AJ288=1,($AI288)*(10*OFFSET(载具产出!$D$45,MATCH(AN$6,$AK$6:$AN$6,0)-1,$AJ288)+OFFSET(载具产出!$D$49,MATCH(AN$6,$AK$6:$AN$6,0)-1,$AJ288)*OFFSET(载具产出!$N$49,MATCH(AN$6,$AK$6:$AN$6,0)-1,0)),OFFSET(载具产出!I$59,$AJ288-1,0)*10+OFFSET(载具产出!M$59,$AJ288-1,0)+($AI288*10-_xlfn.XLOOKUP($AJ288-1,载具产出!$D$59:$D$67,载具产出!$E$59:$E$67))/10*(10*OFFSET(载具产出!$D$45,MATCH(AN$6,$AK$6:$AN$6,0)-1,$AJ288)+OFFSET(载具产出!$D$49,MATCH(AN$6,$AK$6:$AN$6,0)-1,$AJ288)*OFFSET(载具产出!$N$49,MATCH(AN$6,$AK$6:$AN$6,0)-1,0)))</f>
        <v>461.503761904763</v>
      </c>
      <c r="AO288" s="44">
        <f ca="1" t="shared" si="60"/>
        <v>8206.55914285715</v>
      </c>
      <c r="AP288" s="44">
        <f ca="1" t="shared" si="61"/>
        <v>4619.84952380952</v>
      </c>
      <c r="AQ288" s="44">
        <f ca="1" t="shared" si="62"/>
        <v>2177.36228571429</v>
      </c>
      <c r="AR288" s="44">
        <f ca="1" t="shared" si="63"/>
        <v>478.783761904763</v>
      </c>
      <c r="AS288" s="45">
        <f ca="1">IFERROR(MATCH(AO288/载具产出!R$58,载具属性!$G$33:$G$92,1),0)</f>
        <v>41</v>
      </c>
      <c r="AT288" s="45">
        <f ca="1">IFERROR(MATCH(AP288/载具产出!S$58,载具属性!$G$33:$G$92,1),0)</f>
        <v>28</v>
      </c>
      <c r="AU288" s="45">
        <f ca="1">IFERROR(MATCH(AQ288/载具产出!T$58,载具属性!$G$33:$G$92,1),0)</f>
        <v>18</v>
      </c>
      <c r="AV288" s="45">
        <f ca="1">IFERROR(MATCH(AR288/载具产出!U$58,载具属性!$G$33:$G$92,1),0)</f>
        <v>7</v>
      </c>
      <c r="AW288" s="46" t="str">
        <f ca="1" t="shared" si="64"/>
        <v>[{62,1750},{63,229150},{2,666500},{6030001,4964},{6030002,5554},{6030003,2011},{6030004,46}]</v>
      </c>
      <c r="AX288" t="str">
        <f ca="1" t="shared" si="65"/>
        <v>{62,1750}</v>
      </c>
      <c r="AY288" t="str">
        <f ca="1" t="shared" si="66"/>
        <v>{63,229150}</v>
      </c>
      <c r="AZ288" t="str">
        <f ca="1" t="shared" si="67"/>
        <v>{2,666500}</v>
      </c>
      <c r="BA288" t="str">
        <f ca="1" t="shared" si="68"/>
        <v>{6030001,4964}</v>
      </c>
      <c r="BB288" t="str">
        <f ca="1" t="shared" si="69"/>
        <v>{6030002,5554}</v>
      </c>
      <c r="BC288" t="str">
        <f ca="1" t="shared" si="70"/>
        <v>{6030003,2011}</v>
      </c>
      <c r="BD288" t="str">
        <f ca="1" t="shared" si="71"/>
        <v>{6030004,46}</v>
      </c>
    </row>
    <row r="289" spans="3:56">
      <c r="C289">
        <f ca="1" t="shared" si="59"/>
        <v>129.509345794393</v>
      </c>
      <c r="D289" s="40">
        <v>283</v>
      </c>
      <c r="E289" s="40">
        <f t="shared" si="76"/>
        <v>136</v>
      </c>
      <c r="F289" s="40">
        <f t="shared" si="75"/>
        <v>156</v>
      </c>
      <c r="G289" s="41">
        <f t="shared" si="78"/>
        <v>214</v>
      </c>
      <c r="H289" s="40">
        <f>H288+1</f>
        <v>284</v>
      </c>
      <c r="I289" s="40">
        <f t="shared" si="58"/>
        <v>592</v>
      </c>
      <c r="J289" s="40">
        <f t="shared" si="77"/>
        <v>592</v>
      </c>
      <c r="K289" s="40">
        <f ca="1">SUM(U$36:U289)-SUM(OFFSET(载具产出!H$399,0,0,$R289+1,1))</f>
        <v>1757</v>
      </c>
      <c r="L289" s="40">
        <f ca="1">SUM(T$36:T289)-SUM(OFFSET(载具产出!G$399,0,0,$R289+1,1))</f>
        <v>230275</v>
      </c>
      <c r="M289" s="40">
        <f ca="1">SUM(V$36:V289)/2-SUM(OFFSET(载具产出!I$399,0,0,$R289+1,1))</f>
        <v>670100</v>
      </c>
      <c r="N289" s="40">
        <f ca="1">SUM(AA$36:AA289)-SUM(OFFSET(载具产出!J$399,0,0,$R289+1,1))</f>
        <v>4982.6</v>
      </c>
      <c r="O289" s="40">
        <f ca="1">SUM(AB$36:AB289)-SUM(OFFSET(载具产出!K$399,0,0,$R289+1,1))</f>
        <v>5575.39999999997</v>
      </c>
      <c r="P289" s="40">
        <f ca="1">SUM(AC$36:AC289)-SUM(OFFSET(载具产出!L$399,0,0,$R289+1,1))</f>
        <v>2027.24</v>
      </c>
      <c r="Q289" s="40">
        <f ca="1">SUM(AD$36:AD289)-SUM(OFFSET(载具产出!M$399,0,0,$R289+1,1))</f>
        <v>47.76</v>
      </c>
      <c r="R289" s="40">
        <v>21</v>
      </c>
      <c r="S289" s="40" t="str">
        <f ca="1">OFFSET(载具产出!$D$111,IFERROR(MATCH(OFFSET($D289,0,MATCH($D$5,$E$6:$H$6,0)),载具产出!$E$112:$E$151,1),0),0)</f>
        <v>卓越Ⅱ</v>
      </c>
      <c r="T289" s="40">
        <f ca="1">OFFSET(载具产出!$F$399,IFERROR(MATCH(OFFSET($D289,0,MATCH($D$5,$E$6:$H$6,0)),载具产出!$E$400:$E$439,1),0),MATCH(T$6,载具产出!$G$399:$O$399,0))</f>
        <v>1125</v>
      </c>
      <c r="U289" s="40">
        <v>7</v>
      </c>
      <c r="V289" s="40">
        <f ca="1">OFFSET(载具产出!$F$399,IFERROR(MATCH(OFFSET($D289,0,MATCH($D$5,$E$6:$H$6,0)),载具产出!$E$400:$E$439,1),0),MATCH(V$6,载具产出!$G$399:$O$399,0))</f>
        <v>7200</v>
      </c>
      <c r="W289" s="43">
        <f ca="1">_xlfn.XLOOKUP(Z289,载具属性!$E$98:$E$497,载具属性!$G$98:$G$497)+6000+OFFSET(载具属性!L$33,AS289,0)*载具属性!M$30+OFFSET(载具属性!M$33,AT289,0)*载具属性!N$30+OFFSET(载具属性!N$33,AU289,0)*载具属性!O$30+OFFSET(载具属性!O$33,AV289,0)*载具属性!P$30</f>
        <v>27715</v>
      </c>
      <c r="X289" s="43">
        <f ca="1">_xlfn.XLOOKUP(Z289,载具属性!$E$98:$E$497,载具属性!$G$98:$G$497)</f>
        <v>13975</v>
      </c>
      <c r="Y289" s="43">
        <f ca="1">OFFSET(载具属性!L$33,AS289,0)*载具属性!M$30+OFFSET(载具属性!M$33,AT289,0)*载具属性!N$30+OFFSET(载具属性!N$33,AU289,0)*载具属性!O$30+OFFSET(载具属性!O$33,AV289,0)*载具属性!P$30</f>
        <v>7740</v>
      </c>
      <c r="Z289" s="40">
        <f ca="1">MATCH(SUM($T$7:T289),载具属性!$I$98:$I$497,1)</f>
        <v>195</v>
      </c>
      <c r="AA289" s="40">
        <f ca="1">OFFSET(载具产出!$F$399,IFERROR(MATCH(OFFSET($D289,0,MATCH($D$5,$E$6:$H$6,0)),载具产出!$E$112:$E$151,1),0),MATCH(AA$6,载具产出!$G$111:$O$111,0))*2</f>
        <v>18</v>
      </c>
      <c r="AB289" s="40">
        <f ca="1">OFFSET(载具产出!$F$399,IFERROR(MATCH(OFFSET($D289,0,MATCH($D$5,$E$6:$H$6,0)),载具产出!$E$112:$E$151,1),0),MATCH(AB$6,载具产出!$G$111:$O$111,0))*2</f>
        <v>21.28</v>
      </c>
      <c r="AC289" s="40">
        <f ca="1">OFFSET(载具产出!$F$399,IFERROR(MATCH(OFFSET($D289,0,MATCH($D$5,$E$6:$H$6,0)),载具产出!$E$112:$E$151,1),0),MATCH(AC$6,载具产出!$G$111:$O$111,0))*2</f>
        <v>15.76</v>
      </c>
      <c r="AD289" s="40">
        <f ca="1">OFFSET(载具产出!$F$399,IFERROR(MATCH(OFFSET($D289,0,MATCH($D$5,$E$6:$H$6,0)),载具产出!$E$112:$E$151,1),0),MATCH(AD$6,载具产出!$G$111:$O$111,0))*2</f>
        <v>0.96</v>
      </c>
      <c r="AE289" s="44">
        <f ca="1">SUM(AA$36:AA289)/3</f>
        <v>1742.8</v>
      </c>
      <c r="AF289" s="44">
        <f ca="1">SUM(AB$36:AB289)/3</f>
        <v>1928.42666666666</v>
      </c>
      <c r="AG289" s="44">
        <f ca="1">SUM(AC$36:AC289)/3</f>
        <v>701.173333333333</v>
      </c>
      <c r="AH289" s="44">
        <f ca="1">SUM(AD$36:AD289)/3</f>
        <v>17.6</v>
      </c>
      <c r="AI289" s="44">
        <f>_xlfn.XLOOKUP($D$5,载具产出!$D$71:$D$75,载具产出!$E$71:$E$75)*(D289-30+1)</f>
        <v>2987.52380952382</v>
      </c>
      <c r="AJ289" s="44">
        <f>IFERROR(MATCH(_xlfn.XLOOKUP($D$5,载具产出!$D$71:$D$75,载具产出!$E$71:$E$75)*(D289-30+1)*10,载具产出!$E$60:$E$67,1),0)+1</f>
        <v>7</v>
      </c>
      <c r="AK289" s="44">
        <f ca="1">IF($AJ289=1,($AI289)*(10*OFFSET(载具产出!$D$45,MATCH(AK$6,$AK$6:$AN$6,0)-1,$AJ289)+OFFSET(载具产出!$D$49,MATCH(AK$6,$AK$6:$AN$6,0)-1,$AJ289)*OFFSET(载具产出!$N$49,MATCH(AK$6,$AK$6:$AN$6,0)-1,0)),OFFSET(载具产出!F$59,$AJ289-1,0)*10+OFFSET(载具产出!J$59,$AJ289-1,0)+($AI289*10-_xlfn.XLOOKUP($AJ289-1,载具产出!$D$59:$D$67,载具产出!$E$59:$E$67))/10*(10*OFFSET(载具产出!$D$45,MATCH(AK$6,$AK$6:$AN$6,0)-1,$AJ289)+OFFSET(载具产出!$D$49,MATCH(AK$6,$AK$6:$AN$6,0)-1,$AJ289)*OFFSET(载具产出!$N$49,MATCH(AK$6,$AK$6:$AN$6,0)-1,0)))</f>
        <v>6494.60028571431</v>
      </c>
      <c r="AL289" s="44">
        <f ca="1">IF($AJ289=1,($AI289)*(10*OFFSET(载具产出!$D$45,MATCH(AL$6,$AK$6:$AN$6,0)-1,$AJ289)+OFFSET(载具产出!$D$49,MATCH(AL$6,$AK$6:$AN$6,0)-1,$AJ289)*OFFSET(载具产出!$N$49,MATCH(AL$6,$AK$6:$AN$6,0)-1,0)),OFFSET(载具产出!G$59,$AJ289-1,0)*10+OFFSET(载具产出!K$59,$AJ289-1,0)+($AI289*10-_xlfn.XLOOKUP($AJ289-1,载具产出!$D$59:$D$67,载具产出!$E$59:$E$67))/10*(10*OFFSET(载具产出!$D$45,MATCH(AL$6,$AK$6:$AN$6,0)-1,$AJ289)+OFFSET(载具产出!$D$49,MATCH(AL$6,$AK$6:$AN$6,0)-1,$AJ289)*OFFSET(载具产出!$N$49,MATCH(AL$6,$AK$6:$AN$6,0)-1,0)))</f>
        <v>2709.57238095239</v>
      </c>
      <c r="AM289" s="44">
        <f ca="1">IF($AJ289=1,($AI289)*(10*OFFSET(载具产出!$D$45,MATCH(AM$6,$AK$6:$AN$6,0)-1,$AJ289)+OFFSET(载具产出!$D$49,MATCH(AM$6,$AK$6:$AN$6,0)-1,$AJ289)*OFFSET(载具产出!$N$49,MATCH(AM$6,$AK$6:$AN$6,0)-1,0)),OFFSET(载具产出!H$59,$AJ289-1,0)*10+OFFSET(载具产出!L$59,$AJ289-1,0)+($AI289*10-_xlfn.XLOOKUP($AJ289-1,载具产出!$D$59:$D$67,载具产出!$E$59:$E$67))/10*(10*OFFSET(载具产出!$D$45,MATCH(AM$6,$AK$6:$AN$6,0)-1,$AJ289)+OFFSET(载具产出!$D$49,MATCH(AM$6,$AK$6:$AN$6,0)-1,$AJ289)*OFFSET(载具产出!$N$49,MATCH(AM$6,$AK$6:$AN$6,0)-1,0)))</f>
        <v>1487.65257142858</v>
      </c>
      <c r="AN289" s="44">
        <f ca="1">IF($AJ289=1,($AI289)*(10*OFFSET(载具产出!$D$45,MATCH(AN$6,$AK$6:$AN$6,0)-1,$AJ289)+OFFSET(载具产出!$D$49,MATCH(AN$6,$AK$6:$AN$6,0)-1,$AJ289)*OFFSET(载具产出!$N$49,MATCH(AN$6,$AK$6:$AN$6,0)-1,0)),OFFSET(载具产出!I$59,$AJ289-1,0)*10+OFFSET(载具产出!M$59,$AJ289-1,0)+($AI289*10-_xlfn.XLOOKUP($AJ289-1,载具产出!$D$59:$D$67,载具产出!$E$59:$E$67))/10*(10*OFFSET(载具产出!$D$45,MATCH(AN$6,$AK$6:$AN$6,0)-1,$AJ289)+OFFSET(载具产出!$D$49,MATCH(AN$6,$AK$6:$AN$6,0)-1,$AJ289)*OFFSET(载具产出!$N$49,MATCH(AN$6,$AK$6:$AN$6,0)-1,0)))</f>
        <v>463.491523809526</v>
      </c>
      <c r="AO289" s="44">
        <f ca="1" t="shared" si="60"/>
        <v>8237.40028571431</v>
      </c>
      <c r="AP289" s="44">
        <f ca="1" t="shared" si="61"/>
        <v>4637.99904761905</v>
      </c>
      <c r="AQ289" s="44">
        <f ca="1" t="shared" si="62"/>
        <v>2188.82590476191</v>
      </c>
      <c r="AR289" s="44">
        <f ca="1" t="shared" si="63"/>
        <v>481.091523809526</v>
      </c>
      <c r="AS289" s="45">
        <f ca="1">IFERROR(MATCH(AO289/载具产出!R$58,载具属性!$G$33:$G$92,1),0)</f>
        <v>41</v>
      </c>
      <c r="AT289" s="45">
        <f ca="1">IFERROR(MATCH(AP289/载具产出!S$58,载具属性!$G$33:$G$92,1),0)</f>
        <v>28</v>
      </c>
      <c r="AU289" s="45">
        <f ca="1">IFERROR(MATCH(AQ289/载具产出!T$58,载具属性!$G$33:$G$92,1),0)</f>
        <v>18</v>
      </c>
      <c r="AV289" s="45">
        <f ca="1">IFERROR(MATCH(AR289/载具产出!U$58,载具属性!$G$33:$G$92,1),0)</f>
        <v>8</v>
      </c>
      <c r="AW289" s="46" t="str">
        <f ca="1" t="shared" si="64"/>
        <v>[{62,1757},{63,230275},{2,670100},{6030001,4982},{6030002,5575},{6030003,2027},{6030004,47}]</v>
      </c>
      <c r="AX289" t="str">
        <f ca="1" t="shared" si="65"/>
        <v>{62,1757}</v>
      </c>
      <c r="AY289" t="str">
        <f ca="1" t="shared" si="66"/>
        <v>{63,230275}</v>
      </c>
      <c r="AZ289" t="str">
        <f ca="1" t="shared" si="67"/>
        <v>{2,670100}</v>
      </c>
      <c r="BA289" t="str">
        <f ca="1" t="shared" si="68"/>
        <v>{6030001,4982}</v>
      </c>
      <c r="BB289" t="str">
        <f ca="1" t="shared" si="69"/>
        <v>{6030002,5575}</v>
      </c>
      <c r="BC289" t="str">
        <f ca="1" t="shared" si="70"/>
        <v>{6030003,2027}</v>
      </c>
      <c r="BD289" t="str">
        <f ca="1" t="shared" si="71"/>
        <v>{6030004,47}</v>
      </c>
    </row>
    <row r="290" spans="3:56">
      <c r="C290">
        <f ca="1" t="shared" si="59"/>
        <v>129.186046511628</v>
      </c>
      <c r="D290" s="40">
        <v>284</v>
      </c>
      <c r="E290" s="40">
        <f t="shared" si="76"/>
        <v>136</v>
      </c>
      <c r="F290" s="40">
        <f t="shared" si="75"/>
        <v>156</v>
      </c>
      <c r="G290" s="41">
        <f t="shared" si="78"/>
        <v>215</v>
      </c>
      <c r="H290" s="40">
        <f>H289</f>
        <v>284</v>
      </c>
      <c r="I290" s="40">
        <f t="shared" ref="I290:I306" si="79">I289+2</f>
        <v>594</v>
      </c>
      <c r="J290" s="40">
        <f t="shared" si="77"/>
        <v>594</v>
      </c>
      <c r="K290" s="40">
        <f ca="1">SUM(U$36:U290)-SUM(OFFSET(载具产出!H$399,0,0,$R290+1,1))</f>
        <v>1764</v>
      </c>
      <c r="L290" s="40">
        <f ca="1">SUM(T$36:T290)-SUM(OFFSET(载具产出!G$399,0,0,$R290+1,1))</f>
        <v>231440</v>
      </c>
      <c r="M290" s="40">
        <f ca="1">SUM(V$36:V290)/2-SUM(OFFSET(载具产出!I$399,0,0,$R290+1,1))</f>
        <v>673800</v>
      </c>
      <c r="N290" s="40">
        <f ca="1">SUM(AA$36:AA290)-SUM(OFFSET(载具产出!J$399,0,0,$R290+1,1))</f>
        <v>5000.6</v>
      </c>
      <c r="O290" s="40">
        <f ca="1">SUM(AB$36:AB290)-SUM(OFFSET(载具产出!K$399,0,0,$R290+1,1))</f>
        <v>5595.71999999997</v>
      </c>
      <c r="P290" s="40">
        <f ca="1">SUM(AC$36:AC290)-SUM(OFFSET(载具产出!L$399,0,0,$R290+1,1))</f>
        <v>2043.48</v>
      </c>
      <c r="Q290" s="40">
        <f ca="1">SUM(AD$36:AD290)-SUM(OFFSET(载具产出!M$399,0,0,$R290+1,1))</f>
        <v>49.2</v>
      </c>
      <c r="R290" s="40">
        <v>21</v>
      </c>
      <c r="S290" s="40" t="str">
        <f ca="1">OFFSET(载具产出!$D$111,IFERROR(MATCH(OFFSET($D290,0,MATCH($D$5,$E$6:$H$6,0)),载具产出!$E$112:$E$151,1),0),0)</f>
        <v>卓越Ⅲ</v>
      </c>
      <c r="T290" s="40">
        <f ca="1">OFFSET(载具产出!$F$399,IFERROR(MATCH(OFFSET($D290,0,MATCH($D$5,$E$6:$H$6,0)),载具产出!$E$400:$E$439,1),0),MATCH(T$6,载具产出!$G$399:$O$399,0))</f>
        <v>1165</v>
      </c>
      <c r="U290" s="40">
        <v>7</v>
      </c>
      <c r="V290" s="40">
        <f ca="1">OFFSET(载具产出!$F$399,IFERROR(MATCH(OFFSET($D290,0,MATCH($D$5,$E$6:$H$6,0)),载具产出!$E$400:$E$439,1),0),MATCH(V$6,载具产出!$G$399:$O$399,0))</f>
        <v>7400</v>
      </c>
      <c r="W290" s="43">
        <f ca="1">_xlfn.XLOOKUP(Z290,载具属性!$E$98:$E$497,载具属性!$G$98:$G$497)+6000+OFFSET(载具属性!L$33,AS290,0)*载具属性!M$30+OFFSET(载具属性!M$33,AT290,0)*载具属性!N$30+OFFSET(载具属性!N$33,AU290,0)*载具属性!O$30+OFFSET(载具属性!O$33,AV290,0)*载具属性!P$30</f>
        <v>27775</v>
      </c>
      <c r="X290" s="43">
        <f ca="1">_xlfn.XLOOKUP(Z290,载具属性!$E$98:$E$497,载具属性!$G$98:$G$497)</f>
        <v>13975</v>
      </c>
      <c r="Y290" s="43">
        <f ca="1">OFFSET(载具属性!L$33,AS290,0)*载具属性!M$30+OFFSET(载具属性!M$33,AT290,0)*载具属性!N$30+OFFSET(载具属性!N$33,AU290,0)*载具属性!O$30+OFFSET(载具属性!O$33,AV290,0)*载具属性!P$30</f>
        <v>7800</v>
      </c>
      <c r="Z290" s="40">
        <f ca="1">MATCH(SUM($T$7:T290),载具属性!$I$98:$I$497,1)</f>
        <v>195</v>
      </c>
      <c r="AA290" s="40">
        <f ca="1">OFFSET(载具产出!$F$399,IFERROR(MATCH(OFFSET($D290,0,MATCH($D$5,$E$6:$H$6,0)),载具产出!$E$112:$E$151,1),0),MATCH(AA$6,载具产出!$G$111:$O$111,0))*2</f>
        <v>18</v>
      </c>
      <c r="AB290" s="40">
        <f ca="1">OFFSET(载具产出!$F$399,IFERROR(MATCH(OFFSET($D290,0,MATCH($D$5,$E$6:$H$6,0)),载具产出!$E$112:$E$151,1),0),MATCH(AB$6,载具产出!$G$111:$O$111,0))*2</f>
        <v>20.32</v>
      </c>
      <c r="AC290" s="40">
        <f ca="1">OFFSET(载具产出!$F$399,IFERROR(MATCH(OFFSET($D290,0,MATCH($D$5,$E$6:$H$6,0)),载具产出!$E$112:$E$151,1),0),MATCH(AC$6,载具产出!$G$111:$O$111,0))*2</f>
        <v>16.24</v>
      </c>
      <c r="AD290" s="40">
        <f ca="1">OFFSET(载具产出!$F$399,IFERROR(MATCH(OFFSET($D290,0,MATCH($D$5,$E$6:$H$6,0)),载具产出!$E$112:$E$151,1),0),MATCH(AD$6,载具产出!$G$111:$O$111,0))*2</f>
        <v>1.44</v>
      </c>
      <c r="AE290" s="44">
        <f ca="1">SUM(AA$36:AA290)/3</f>
        <v>1748.8</v>
      </c>
      <c r="AF290" s="44">
        <f ca="1">SUM(AB$36:AB290)/3</f>
        <v>1935.19999999999</v>
      </c>
      <c r="AG290" s="44">
        <f ca="1">SUM(AC$36:AC290)/3</f>
        <v>706.586666666666</v>
      </c>
      <c r="AH290" s="44">
        <f ca="1">SUM(AD$36:AD290)/3</f>
        <v>18.08</v>
      </c>
      <c r="AI290" s="44">
        <f>_xlfn.XLOOKUP($D$5,载具产出!$D$71:$D$75,载具产出!$E$71:$E$75)*(D290-30+1)</f>
        <v>2999.28571428572</v>
      </c>
      <c r="AJ290" s="44">
        <f>IFERROR(MATCH(_xlfn.XLOOKUP($D$5,载具产出!$D$71:$D$75,载具产出!$E$71:$E$75)*(D290-30+1)*10,载具产出!$E$60:$E$67,1),0)+1</f>
        <v>7</v>
      </c>
      <c r="AK290" s="44">
        <f ca="1">IF($AJ290=1,($AI290)*(10*OFFSET(载具产出!$D$45,MATCH(AK$6,$AK$6:$AN$6,0)-1,$AJ290)+OFFSET(载具产出!$D$49,MATCH(AK$6,$AK$6:$AN$6,0)-1,$AJ290)*OFFSET(载具产出!$N$49,MATCH(AK$6,$AK$6:$AN$6,0)-1,0)),OFFSET(载具产出!F$59,$AJ290-1,0)*10+OFFSET(载具产出!J$59,$AJ290-1,0)+($AI290*10-_xlfn.XLOOKUP($AJ290-1,载具产出!$D$59:$D$67,载具产出!$E$59:$E$67))/10*(10*OFFSET(载具产出!$D$45,MATCH(AK$6,$AK$6:$AN$6,0)-1,$AJ290)+OFFSET(载具产出!$D$49,MATCH(AK$6,$AK$6:$AN$6,0)-1,$AJ290)*OFFSET(载具产出!$N$49,MATCH(AK$6,$AK$6:$AN$6,0)-1,0)))</f>
        <v>6519.44142857144</v>
      </c>
      <c r="AL290" s="44">
        <f ca="1">IF($AJ290=1,($AI290)*(10*OFFSET(载具产出!$D$45,MATCH(AL$6,$AK$6:$AN$6,0)-1,$AJ290)+OFFSET(载具产出!$D$49,MATCH(AL$6,$AK$6:$AN$6,0)-1,$AJ290)*OFFSET(载具产出!$N$49,MATCH(AL$6,$AK$6:$AN$6,0)-1,0)),OFFSET(载具产出!G$59,$AJ290-1,0)*10+OFFSET(载具产出!K$59,$AJ290-1,0)+($AI290*10-_xlfn.XLOOKUP($AJ290-1,载具产出!$D$59:$D$67,载具产出!$E$59:$E$67))/10*(10*OFFSET(载具产出!$D$45,MATCH(AL$6,$AK$6:$AN$6,0)-1,$AJ290)+OFFSET(载具产出!$D$49,MATCH(AL$6,$AK$6:$AN$6,0)-1,$AJ290)*OFFSET(载具产出!$N$49,MATCH(AL$6,$AK$6:$AN$6,0)-1,0)))</f>
        <v>2720.62857142858</v>
      </c>
      <c r="AM290" s="44">
        <f ca="1">IF($AJ290=1,($AI290)*(10*OFFSET(载具产出!$D$45,MATCH(AM$6,$AK$6:$AN$6,0)-1,$AJ290)+OFFSET(载具产出!$D$49,MATCH(AM$6,$AK$6:$AN$6,0)-1,$AJ290)*OFFSET(载具产出!$N$49,MATCH(AM$6,$AK$6:$AN$6,0)-1,0)),OFFSET(载具产出!H$59,$AJ290-1,0)*10+OFFSET(载具产出!L$59,$AJ290-1,0)+($AI290*10-_xlfn.XLOOKUP($AJ290-1,载具产出!$D$59:$D$67,载具产出!$E$59:$E$67))/10*(10*OFFSET(载具产出!$D$45,MATCH(AM$6,$AK$6:$AN$6,0)-1,$AJ290)+OFFSET(载具产出!$D$49,MATCH(AM$6,$AK$6:$AN$6,0)-1,$AJ290)*OFFSET(载具产出!$N$49,MATCH(AM$6,$AK$6:$AN$6,0)-1,0)))</f>
        <v>1493.86285714286</v>
      </c>
      <c r="AN290" s="44">
        <f ca="1">IF($AJ290=1,($AI290)*(10*OFFSET(载具产出!$D$45,MATCH(AN$6,$AK$6:$AN$6,0)-1,$AJ290)+OFFSET(载具产出!$D$49,MATCH(AN$6,$AK$6:$AN$6,0)-1,$AJ290)*OFFSET(载具产出!$N$49,MATCH(AN$6,$AK$6:$AN$6,0)-1,0)),OFFSET(载具产出!I$59,$AJ290-1,0)*10+OFFSET(载具产出!M$59,$AJ290-1,0)+($AI290*10-_xlfn.XLOOKUP($AJ290-1,载具产出!$D$59:$D$67,载具产出!$E$59:$E$67))/10*(10*OFFSET(载具产出!$D$45,MATCH(AN$6,$AK$6:$AN$6,0)-1,$AJ290)+OFFSET(载具产出!$D$49,MATCH(AN$6,$AK$6:$AN$6,0)-1,$AJ290)*OFFSET(载具产出!$N$49,MATCH(AN$6,$AK$6:$AN$6,0)-1,0)))</f>
        <v>465.479285714287</v>
      </c>
      <c r="AO290" s="44">
        <f ca="1" t="shared" si="60"/>
        <v>8268.24142857144</v>
      </c>
      <c r="AP290" s="44">
        <f ca="1" t="shared" si="61"/>
        <v>4655.82857142857</v>
      </c>
      <c r="AQ290" s="44">
        <f ca="1" t="shared" si="62"/>
        <v>2200.44952380953</v>
      </c>
      <c r="AR290" s="44">
        <f ca="1" t="shared" si="63"/>
        <v>483.559285714287</v>
      </c>
      <c r="AS290" s="45">
        <f ca="1">IFERROR(MATCH(AO290/载具产出!R$58,载具属性!$G$33:$G$92,1),0)</f>
        <v>42</v>
      </c>
      <c r="AT290" s="45">
        <f ca="1">IFERROR(MATCH(AP290/载具产出!S$58,载具属性!$G$33:$G$92,1),0)</f>
        <v>28</v>
      </c>
      <c r="AU290" s="45">
        <f ca="1">IFERROR(MATCH(AQ290/载具产出!T$58,载具属性!$G$33:$G$92,1),0)</f>
        <v>18</v>
      </c>
      <c r="AV290" s="45">
        <f ca="1">IFERROR(MATCH(AR290/载具产出!U$58,载具属性!$G$33:$G$92,1),0)</f>
        <v>8</v>
      </c>
      <c r="AW290" s="46" t="str">
        <f ca="1" t="shared" si="64"/>
        <v>[{62,1764},{63,231440},{2,673800},{6030001,5000},{6030002,5595},{6030003,2043},{6030004,49}]</v>
      </c>
      <c r="AX290" t="str">
        <f ca="1" t="shared" si="65"/>
        <v>{62,1764}</v>
      </c>
      <c r="AY290" t="str">
        <f ca="1" t="shared" si="66"/>
        <v>{63,231440}</v>
      </c>
      <c r="AZ290" t="str">
        <f ca="1" t="shared" si="67"/>
        <v>{2,673800}</v>
      </c>
      <c r="BA290" t="str">
        <f ca="1" t="shared" si="68"/>
        <v>{6030001,5000}</v>
      </c>
      <c r="BB290" t="str">
        <f ca="1" t="shared" si="69"/>
        <v>{6030002,5595}</v>
      </c>
      <c r="BC290" t="str">
        <f ca="1" t="shared" si="70"/>
        <v>{6030003,2043}</v>
      </c>
      <c r="BD290" t="str">
        <f ca="1" t="shared" si="71"/>
        <v>{6030004,49}</v>
      </c>
    </row>
    <row r="291" spans="3:56">
      <c r="C291">
        <f ca="1" t="shared" si="59"/>
        <v>130.046511627907</v>
      </c>
      <c r="D291" s="40">
        <v>285</v>
      </c>
      <c r="E291" s="40">
        <f t="shared" si="76"/>
        <v>136</v>
      </c>
      <c r="F291" s="40">
        <f t="shared" si="75"/>
        <v>156</v>
      </c>
      <c r="G291" s="41">
        <f t="shared" si="78"/>
        <v>215</v>
      </c>
      <c r="H291" s="40">
        <f>H290+1</f>
        <v>285</v>
      </c>
      <c r="I291" s="40">
        <f t="shared" si="79"/>
        <v>596</v>
      </c>
      <c r="J291" s="40">
        <f t="shared" si="77"/>
        <v>596</v>
      </c>
      <c r="K291" s="40">
        <f ca="1">SUM(U$36:U291)-SUM(OFFSET(载具产出!H$399,0,0,$R291+1,1))</f>
        <v>1771</v>
      </c>
      <c r="L291" s="40">
        <f ca="1">SUM(T$36:T291)-SUM(OFFSET(载具产出!G$399,0,0,$R291+1,1))</f>
        <v>232605</v>
      </c>
      <c r="M291" s="40">
        <f ca="1">SUM(V$36:V291)/2-SUM(OFFSET(载具产出!I$399,0,0,$R291+1,1))</f>
        <v>677500</v>
      </c>
      <c r="N291" s="40">
        <f ca="1">SUM(AA$36:AA291)-SUM(OFFSET(载具产出!J$399,0,0,$R291+1,1))</f>
        <v>5018.6</v>
      </c>
      <c r="O291" s="40">
        <f ca="1">SUM(AB$36:AB291)-SUM(OFFSET(载具产出!K$399,0,0,$R291+1,1))</f>
        <v>5616.03999999997</v>
      </c>
      <c r="P291" s="40">
        <f ca="1">SUM(AC$36:AC291)-SUM(OFFSET(载具产出!L$399,0,0,$R291+1,1))</f>
        <v>2059.72</v>
      </c>
      <c r="Q291" s="40">
        <f ca="1">SUM(AD$36:AD291)-SUM(OFFSET(载具产出!M$399,0,0,$R291+1,1))</f>
        <v>50.64</v>
      </c>
      <c r="R291" s="40">
        <v>21</v>
      </c>
      <c r="S291" s="40" t="str">
        <f ca="1">OFFSET(载具产出!$D$111,IFERROR(MATCH(OFFSET($D291,0,MATCH($D$5,$E$6:$H$6,0)),载具产出!$E$112:$E$151,1),0),0)</f>
        <v>卓越Ⅲ</v>
      </c>
      <c r="T291" s="40">
        <f ca="1">OFFSET(载具产出!$F$399,IFERROR(MATCH(OFFSET($D291,0,MATCH($D$5,$E$6:$H$6,0)),载具产出!$E$400:$E$439,1),0),MATCH(T$6,载具产出!$G$399:$O$399,0))</f>
        <v>1165</v>
      </c>
      <c r="U291" s="40">
        <v>7</v>
      </c>
      <c r="V291" s="40">
        <f ca="1">OFFSET(载具产出!$F$399,IFERROR(MATCH(OFFSET($D291,0,MATCH($D$5,$E$6:$H$6,0)),载具产出!$E$400:$E$439,1),0),MATCH(V$6,载具产出!$G$399:$O$399,0))</f>
        <v>7400</v>
      </c>
      <c r="W291" s="43">
        <f ca="1">_xlfn.XLOOKUP(Z291,载具属性!$E$98:$E$497,载具属性!$G$98:$G$497)+6000+OFFSET(载具属性!L$33,AS291,0)*载具属性!M$30+OFFSET(载具属性!M$33,AT291,0)*载具属性!N$30+OFFSET(载具属性!N$33,AU291,0)*载具属性!O$30+OFFSET(载具属性!O$33,AV291,0)*载具属性!P$30</f>
        <v>27960</v>
      </c>
      <c r="X291" s="43">
        <f ca="1">_xlfn.XLOOKUP(Z291,载具属性!$E$98:$E$497,载具属性!$G$98:$G$497)</f>
        <v>14070</v>
      </c>
      <c r="Y291" s="43">
        <f ca="1">OFFSET(载具属性!L$33,AS291,0)*载具属性!M$30+OFFSET(载具属性!M$33,AT291,0)*载具属性!N$30+OFFSET(载具属性!N$33,AU291,0)*载具属性!O$30+OFFSET(载具属性!O$33,AV291,0)*载具属性!P$30</f>
        <v>7890</v>
      </c>
      <c r="Z291" s="40">
        <f ca="1">MATCH(SUM($T$7:T291),载具属性!$I$98:$I$497,1)</f>
        <v>196</v>
      </c>
      <c r="AA291" s="40">
        <f ca="1">OFFSET(载具产出!$F$399,IFERROR(MATCH(OFFSET($D291,0,MATCH($D$5,$E$6:$H$6,0)),载具产出!$E$112:$E$151,1),0),MATCH(AA$6,载具产出!$G$111:$O$111,0))*2</f>
        <v>18</v>
      </c>
      <c r="AB291" s="40">
        <f ca="1">OFFSET(载具产出!$F$399,IFERROR(MATCH(OFFSET($D291,0,MATCH($D$5,$E$6:$H$6,0)),载具产出!$E$112:$E$151,1),0),MATCH(AB$6,载具产出!$G$111:$O$111,0))*2</f>
        <v>20.32</v>
      </c>
      <c r="AC291" s="40">
        <f ca="1">OFFSET(载具产出!$F$399,IFERROR(MATCH(OFFSET($D291,0,MATCH($D$5,$E$6:$H$6,0)),载具产出!$E$112:$E$151,1),0),MATCH(AC$6,载具产出!$G$111:$O$111,0))*2</f>
        <v>16.24</v>
      </c>
      <c r="AD291" s="40">
        <f ca="1">OFFSET(载具产出!$F$399,IFERROR(MATCH(OFFSET($D291,0,MATCH($D$5,$E$6:$H$6,0)),载具产出!$E$112:$E$151,1),0),MATCH(AD$6,载具产出!$G$111:$O$111,0))*2</f>
        <v>1.44</v>
      </c>
      <c r="AE291" s="44">
        <f ca="1">SUM(AA$36:AA291)/3</f>
        <v>1754.8</v>
      </c>
      <c r="AF291" s="44">
        <f ca="1">SUM(AB$36:AB291)/3</f>
        <v>1941.97333333332</v>
      </c>
      <c r="AG291" s="44">
        <f ca="1">SUM(AC$36:AC291)/3</f>
        <v>711.999999999999</v>
      </c>
      <c r="AH291" s="44">
        <f ca="1">SUM(AD$36:AD291)/3</f>
        <v>18.56</v>
      </c>
      <c r="AI291" s="44">
        <f>_xlfn.XLOOKUP($D$5,载具产出!$D$71:$D$75,载具产出!$E$71:$E$75)*(D291-30+1)</f>
        <v>3011.04761904763</v>
      </c>
      <c r="AJ291" s="44">
        <f>IFERROR(MATCH(_xlfn.XLOOKUP($D$5,载具产出!$D$71:$D$75,载具产出!$E$71:$E$75)*(D291-30+1)*10,载具产出!$E$60:$E$67,1),0)+1</f>
        <v>7</v>
      </c>
      <c r="AK291" s="44">
        <f ca="1">IF($AJ291=1,($AI291)*(10*OFFSET(载具产出!$D$45,MATCH(AK$6,$AK$6:$AN$6,0)-1,$AJ291)+OFFSET(载具产出!$D$49,MATCH(AK$6,$AK$6:$AN$6,0)-1,$AJ291)*OFFSET(载具产出!$N$49,MATCH(AK$6,$AK$6:$AN$6,0)-1,0)),OFFSET(载具产出!F$59,$AJ291-1,0)*10+OFFSET(载具产出!J$59,$AJ291-1,0)+($AI291*10-_xlfn.XLOOKUP($AJ291-1,载具产出!$D$59:$D$67,载具产出!$E$59:$E$67))/10*(10*OFFSET(载具产出!$D$45,MATCH(AK$6,$AK$6:$AN$6,0)-1,$AJ291)+OFFSET(载具产出!$D$49,MATCH(AK$6,$AK$6:$AN$6,0)-1,$AJ291)*OFFSET(载具产出!$N$49,MATCH(AK$6,$AK$6:$AN$6,0)-1,0)))</f>
        <v>6544.28257142859</v>
      </c>
      <c r="AL291" s="44">
        <f ca="1">IF($AJ291=1,($AI291)*(10*OFFSET(载具产出!$D$45,MATCH(AL$6,$AK$6:$AN$6,0)-1,$AJ291)+OFFSET(载具产出!$D$49,MATCH(AL$6,$AK$6:$AN$6,0)-1,$AJ291)*OFFSET(载具产出!$N$49,MATCH(AL$6,$AK$6:$AN$6,0)-1,0)),OFFSET(载具产出!G$59,$AJ291-1,0)*10+OFFSET(载具产出!K$59,$AJ291-1,0)+($AI291*10-_xlfn.XLOOKUP($AJ291-1,载具产出!$D$59:$D$67,载具产出!$E$59:$E$67))/10*(10*OFFSET(载具产出!$D$45,MATCH(AL$6,$AK$6:$AN$6,0)-1,$AJ291)+OFFSET(载具产出!$D$49,MATCH(AL$6,$AK$6:$AN$6,0)-1,$AJ291)*OFFSET(载具产出!$N$49,MATCH(AL$6,$AK$6:$AN$6,0)-1,0)))</f>
        <v>2731.68476190477</v>
      </c>
      <c r="AM291" s="44">
        <f ca="1">IF($AJ291=1,($AI291)*(10*OFFSET(载具产出!$D$45,MATCH(AM$6,$AK$6:$AN$6,0)-1,$AJ291)+OFFSET(载具产出!$D$49,MATCH(AM$6,$AK$6:$AN$6,0)-1,$AJ291)*OFFSET(载具产出!$N$49,MATCH(AM$6,$AK$6:$AN$6,0)-1,0)),OFFSET(载具产出!H$59,$AJ291-1,0)*10+OFFSET(载具产出!L$59,$AJ291-1,0)+($AI291*10-_xlfn.XLOOKUP($AJ291-1,载具产出!$D$59:$D$67,载具产出!$E$59:$E$67))/10*(10*OFFSET(载具产出!$D$45,MATCH(AM$6,$AK$6:$AN$6,0)-1,$AJ291)+OFFSET(载具产出!$D$49,MATCH(AM$6,$AK$6:$AN$6,0)-1,$AJ291)*OFFSET(载具产出!$N$49,MATCH(AM$6,$AK$6:$AN$6,0)-1,0)))</f>
        <v>1500.07314285715</v>
      </c>
      <c r="AN291" s="44">
        <f ca="1">IF($AJ291=1,($AI291)*(10*OFFSET(载具产出!$D$45,MATCH(AN$6,$AK$6:$AN$6,0)-1,$AJ291)+OFFSET(载具产出!$D$49,MATCH(AN$6,$AK$6:$AN$6,0)-1,$AJ291)*OFFSET(载具产出!$N$49,MATCH(AN$6,$AK$6:$AN$6,0)-1,0)),OFFSET(载具产出!I$59,$AJ291-1,0)*10+OFFSET(载具产出!M$59,$AJ291-1,0)+($AI291*10-_xlfn.XLOOKUP($AJ291-1,载具产出!$D$59:$D$67,载具产出!$E$59:$E$67))/10*(10*OFFSET(载具产出!$D$45,MATCH(AN$6,$AK$6:$AN$6,0)-1,$AJ291)+OFFSET(载具产出!$D$49,MATCH(AN$6,$AK$6:$AN$6,0)-1,$AJ291)*OFFSET(载具产出!$N$49,MATCH(AN$6,$AK$6:$AN$6,0)-1,0)))</f>
        <v>467.467047619049</v>
      </c>
      <c r="AO291" s="44">
        <f ca="1" t="shared" si="60"/>
        <v>8299.08257142859</v>
      </c>
      <c r="AP291" s="44">
        <f ca="1" t="shared" si="61"/>
        <v>4673.65809523809</v>
      </c>
      <c r="AQ291" s="44">
        <f ca="1" t="shared" si="62"/>
        <v>2212.07314285715</v>
      </c>
      <c r="AR291" s="44">
        <f ca="1" t="shared" si="63"/>
        <v>486.027047619049</v>
      </c>
      <c r="AS291" s="45">
        <f ca="1">IFERROR(MATCH(AO291/载具产出!R$58,载具属性!$G$33:$G$92,1),0)</f>
        <v>42</v>
      </c>
      <c r="AT291" s="45">
        <f ca="1">IFERROR(MATCH(AP291/载具产出!S$58,载具属性!$G$33:$G$92,1),0)</f>
        <v>29</v>
      </c>
      <c r="AU291" s="45">
        <f ca="1">IFERROR(MATCH(AQ291/载具产出!T$58,载具属性!$G$33:$G$92,1),0)</f>
        <v>18</v>
      </c>
      <c r="AV291" s="45">
        <f ca="1">IFERROR(MATCH(AR291/载具产出!U$58,载具属性!$G$33:$G$92,1),0)</f>
        <v>8</v>
      </c>
      <c r="AW291" s="46" t="str">
        <f ca="1" t="shared" si="64"/>
        <v>[{62,1771},{63,232605},{2,677500},{6030001,5018},{6030002,5616},{6030003,2059},{6030004,50}]</v>
      </c>
      <c r="AX291" t="str">
        <f ca="1" t="shared" si="65"/>
        <v>{62,1771}</v>
      </c>
      <c r="AY291" t="str">
        <f ca="1" t="shared" si="66"/>
        <v>{63,232605}</v>
      </c>
      <c r="AZ291" t="str">
        <f ca="1" t="shared" si="67"/>
        <v>{2,677500}</v>
      </c>
      <c r="BA291" t="str">
        <f ca="1" t="shared" si="68"/>
        <v>{6030001,5018}</v>
      </c>
      <c r="BB291" t="str">
        <f ca="1" t="shared" si="69"/>
        <v>{6030002,5616}</v>
      </c>
      <c r="BC291" t="str">
        <f ca="1" t="shared" si="70"/>
        <v>{6030003,2059}</v>
      </c>
      <c r="BD291" t="str">
        <f ca="1" t="shared" si="71"/>
        <v>{6030004,50}</v>
      </c>
    </row>
    <row r="292" spans="3:56">
      <c r="C292">
        <f ca="1" t="shared" si="59"/>
        <v>130.046511627907</v>
      </c>
      <c r="D292" s="40">
        <v>286</v>
      </c>
      <c r="E292" s="40">
        <f t="shared" si="76"/>
        <v>136</v>
      </c>
      <c r="F292" s="40">
        <f t="shared" si="75"/>
        <v>156</v>
      </c>
      <c r="G292" s="41">
        <f t="shared" si="78"/>
        <v>215</v>
      </c>
      <c r="H292" s="40">
        <f>H291</f>
        <v>285</v>
      </c>
      <c r="I292" s="40">
        <f t="shared" si="79"/>
        <v>598</v>
      </c>
      <c r="J292" s="40">
        <f t="shared" si="77"/>
        <v>598</v>
      </c>
      <c r="K292" s="40">
        <f ca="1">SUM(U$36:U292)-SUM(OFFSET(载具产出!H$399,0,0,$R292+1,1))</f>
        <v>1778</v>
      </c>
      <c r="L292" s="40">
        <f ca="1">SUM(T$36:T292)-SUM(OFFSET(载具产出!G$399,0,0,$R292+1,1))</f>
        <v>233770</v>
      </c>
      <c r="M292" s="40">
        <f ca="1">SUM(V$36:V292)/2-SUM(OFFSET(载具产出!I$399,0,0,$R292+1,1))</f>
        <v>681200</v>
      </c>
      <c r="N292" s="40">
        <f ca="1">SUM(AA$36:AA292)-SUM(OFFSET(载具产出!J$399,0,0,$R292+1,1))</f>
        <v>5036.6</v>
      </c>
      <c r="O292" s="40">
        <f ca="1">SUM(AB$36:AB292)-SUM(OFFSET(载具产出!K$399,0,0,$R292+1,1))</f>
        <v>5636.35999999997</v>
      </c>
      <c r="P292" s="40">
        <f ca="1">SUM(AC$36:AC292)-SUM(OFFSET(载具产出!L$399,0,0,$R292+1,1))</f>
        <v>2075.96</v>
      </c>
      <c r="Q292" s="40">
        <f ca="1">SUM(AD$36:AD292)-SUM(OFFSET(载具产出!M$399,0,0,$R292+1,1))</f>
        <v>52.08</v>
      </c>
      <c r="R292" s="40">
        <v>21</v>
      </c>
      <c r="S292" s="40" t="str">
        <f ca="1">OFFSET(载具产出!$D$111,IFERROR(MATCH(OFFSET($D292,0,MATCH($D$5,$E$6:$H$6,0)),载具产出!$E$112:$E$151,1),0),0)</f>
        <v>卓越Ⅲ</v>
      </c>
      <c r="T292" s="40">
        <f ca="1">OFFSET(载具产出!$F$399,IFERROR(MATCH(OFFSET($D292,0,MATCH($D$5,$E$6:$H$6,0)),载具产出!$E$400:$E$439,1),0),MATCH(T$6,载具产出!$G$399:$O$399,0))</f>
        <v>1165</v>
      </c>
      <c r="U292" s="40">
        <v>7</v>
      </c>
      <c r="V292" s="40">
        <f ca="1">OFFSET(载具产出!$F$399,IFERROR(MATCH(OFFSET($D292,0,MATCH($D$5,$E$6:$H$6,0)),载具产出!$E$400:$E$439,1),0),MATCH(V$6,载具产出!$G$399:$O$399,0))</f>
        <v>7400</v>
      </c>
      <c r="W292" s="43">
        <f ca="1">_xlfn.XLOOKUP(Z292,载具属性!$E$98:$E$497,载具属性!$G$98:$G$497)+6000+OFFSET(载具属性!L$33,AS292,0)*载具属性!M$30+OFFSET(载具属性!M$33,AT292,0)*载具属性!N$30+OFFSET(载具属性!N$33,AU292,0)*载具属性!O$30+OFFSET(载具属性!O$33,AV292,0)*载具属性!P$30</f>
        <v>27960</v>
      </c>
      <c r="X292" s="43">
        <f ca="1">_xlfn.XLOOKUP(Z292,载具属性!$E$98:$E$497,载具属性!$G$98:$G$497)</f>
        <v>14070</v>
      </c>
      <c r="Y292" s="43">
        <f ca="1">OFFSET(载具属性!L$33,AS292,0)*载具属性!M$30+OFFSET(载具属性!M$33,AT292,0)*载具属性!N$30+OFFSET(载具属性!N$33,AU292,0)*载具属性!O$30+OFFSET(载具属性!O$33,AV292,0)*载具属性!P$30</f>
        <v>7890</v>
      </c>
      <c r="Z292" s="40">
        <f ca="1">MATCH(SUM($T$7:T292),载具属性!$I$98:$I$497,1)</f>
        <v>196</v>
      </c>
      <c r="AA292" s="40">
        <f ca="1">OFFSET(载具产出!$F$399,IFERROR(MATCH(OFFSET($D292,0,MATCH($D$5,$E$6:$H$6,0)),载具产出!$E$112:$E$151,1),0),MATCH(AA$6,载具产出!$G$111:$O$111,0))*2</f>
        <v>18</v>
      </c>
      <c r="AB292" s="40">
        <f ca="1">OFFSET(载具产出!$F$399,IFERROR(MATCH(OFFSET($D292,0,MATCH($D$5,$E$6:$H$6,0)),载具产出!$E$112:$E$151,1),0),MATCH(AB$6,载具产出!$G$111:$O$111,0))*2</f>
        <v>20.32</v>
      </c>
      <c r="AC292" s="40">
        <f ca="1">OFFSET(载具产出!$F$399,IFERROR(MATCH(OFFSET($D292,0,MATCH($D$5,$E$6:$H$6,0)),载具产出!$E$112:$E$151,1),0),MATCH(AC$6,载具产出!$G$111:$O$111,0))*2</f>
        <v>16.24</v>
      </c>
      <c r="AD292" s="40">
        <f ca="1">OFFSET(载具产出!$F$399,IFERROR(MATCH(OFFSET($D292,0,MATCH($D$5,$E$6:$H$6,0)),载具产出!$E$112:$E$151,1),0),MATCH(AD$6,载具产出!$G$111:$O$111,0))*2</f>
        <v>1.44</v>
      </c>
      <c r="AE292" s="44">
        <f ca="1">SUM(AA$36:AA292)/3</f>
        <v>1760.8</v>
      </c>
      <c r="AF292" s="44">
        <f ca="1">SUM(AB$36:AB292)/3</f>
        <v>1948.74666666666</v>
      </c>
      <c r="AG292" s="44">
        <f ca="1">SUM(AC$36:AC292)/3</f>
        <v>717.413333333333</v>
      </c>
      <c r="AH292" s="44">
        <f ca="1">SUM(AD$36:AD292)/3</f>
        <v>19.04</v>
      </c>
      <c r="AI292" s="44">
        <f>_xlfn.XLOOKUP($D$5,载具产出!$D$71:$D$75,载具产出!$E$71:$E$75)*(D292-30+1)</f>
        <v>3022.80952380953</v>
      </c>
      <c r="AJ292" s="44">
        <f>IFERROR(MATCH(_xlfn.XLOOKUP($D$5,载具产出!$D$71:$D$75,载具产出!$E$71:$E$75)*(D292-30+1)*10,载具产出!$E$60:$E$67,1),0)+1</f>
        <v>7</v>
      </c>
      <c r="AK292" s="44">
        <f ca="1">IF($AJ292=1,($AI292)*(10*OFFSET(载具产出!$D$45,MATCH(AK$6,$AK$6:$AN$6,0)-1,$AJ292)+OFFSET(载具产出!$D$49,MATCH(AK$6,$AK$6:$AN$6,0)-1,$AJ292)*OFFSET(载具产出!$N$49,MATCH(AK$6,$AK$6:$AN$6,0)-1,0)),OFFSET(载具产出!F$59,$AJ292-1,0)*10+OFFSET(载具产出!J$59,$AJ292-1,0)+($AI292*10-_xlfn.XLOOKUP($AJ292-1,载具产出!$D$59:$D$67,载具产出!$E$59:$E$67))/10*(10*OFFSET(载具产出!$D$45,MATCH(AK$6,$AK$6:$AN$6,0)-1,$AJ292)+OFFSET(载具产出!$D$49,MATCH(AK$6,$AK$6:$AN$6,0)-1,$AJ292)*OFFSET(载具产出!$N$49,MATCH(AK$6,$AK$6:$AN$6,0)-1,0)))</f>
        <v>6569.12371428573</v>
      </c>
      <c r="AL292" s="44">
        <f ca="1">IF($AJ292=1,($AI292)*(10*OFFSET(载具产出!$D$45,MATCH(AL$6,$AK$6:$AN$6,0)-1,$AJ292)+OFFSET(载具产出!$D$49,MATCH(AL$6,$AK$6:$AN$6,0)-1,$AJ292)*OFFSET(载具产出!$N$49,MATCH(AL$6,$AK$6:$AN$6,0)-1,0)),OFFSET(载具产出!G$59,$AJ292-1,0)*10+OFFSET(载具产出!K$59,$AJ292-1,0)+($AI292*10-_xlfn.XLOOKUP($AJ292-1,载具产出!$D$59:$D$67,载具产出!$E$59:$E$67))/10*(10*OFFSET(载具产出!$D$45,MATCH(AL$6,$AK$6:$AN$6,0)-1,$AJ292)+OFFSET(载具产出!$D$49,MATCH(AL$6,$AK$6:$AN$6,0)-1,$AJ292)*OFFSET(载具产出!$N$49,MATCH(AL$6,$AK$6:$AN$6,0)-1,0)))</f>
        <v>2742.74095238096</v>
      </c>
      <c r="AM292" s="44">
        <f ca="1">IF($AJ292=1,($AI292)*(10*OFFSET(载具产出!$D$45,MATCH(AM$6,$AK$6:$AN$6,0)-1,$AJ292)+OFFSET(载具产出!$D$49,MATCH(AM$6,$AK$6:$AN$6,0)-1,$AJ292)*OFFSET(载具产出!$N$49,MATCH(AM$6,$AK$6:$AN$6,0)-1,0)),OFFSET(载具产出!H$59,$AJ292-1,0)*10+OFFSET(载具产出!L$59,$AJ292-1,0)+($AI292*10-_xlfn.XLOOKUP($AJ292-1,载具产出!$D$59:$D$67,载具产出!$E$59:$E$67))/10*(10*OFFSET(载具产出!$D$45,MATCH(AM$6,$AK$6:$AN$6,0)-1,$AJ292)+OFFSET(载具产出!$D$49,MATCH(AM$6,$AK$6:$AN$6,0)-1,$AJ292)*OFFSET(载具产出!$N$49,MATCH(AM$6,$AK$6:$AN$6,0)-1,0)))</f>
        <v>1506.28342857143</v>
      </c>
      <c r="AN292" s="44">
        <f ca="1">IF($AJ292=1,($AI292)*(10*OFFSET(载具产出!$D$45,MATCH(AN$6,$AK$6:$AN$6,0)-1,$AJ292)+OFFSET(载具产出!$D$49,MATCH(AN$6,$AK$6:$AN$6,0)-1,$AJ292)*OFFSET(载具产出!$N$49,MATCH(AN$6,$AK$6:$AN$6,0)-1,0)),OFFSET(载具产出!I$59,$AJ292-1,0)*10+OFFSET(载具产出!M$59,$AJ292-1,0)+($AI292*10-_xlfn.XLOOKUP($AJ292-1,载具产出!$D$59:$D$67,载具产出!$E$59:$E$67))/10*(10*OFFSET(载具产出!$D$45,MATCH(AN$6,$AK$6:$AN$6,0)-1,$AJ292)+OFFSET(载具产出!$D$49,MATCH(AN$6,$AK$6:$AN$6,0)-1,$AJ292)*OFFSET(载具产出!$N$49,MATCH(AN$6,$AK$6:$AN$6,0)-1,0)))</f>
        <v>469.454809523811</v>
      </c>
      <c r="AO292" s="44">
        <f ca="1" t="shared" si="60"/>
        <v>8329.92371428573</v>
      </c>
      <c r="AP292" s="44">
        <f ca="1" t="shared" si="61"/>
        <v>4691.48761904761</v>
      </c>
      <c r="AQ292" s="44">
        <f ca="1" t="shared" si="62"/>
        <v>2223.69676190476</v>
      </c>
      <c r="AR292" s="44">
        <f ca="1" t="shared" si="63"/>
        <v>488.494809523811</v>
      </c>
      <c r="AS292" s="45">
        <f ca="1">IFERROR(MATCH(AO292/载具产出!R$58,载具属性!$G$33:$G$92,1),0)</f>
        <v>42</v>
      </c>
      <c r="AT292" s="45">
        <f ca="1">IFERROR(MATCH(AP292/载具产出!S$58,载具属性!$G$33:$G$92,1),0)</f>
        <v>29</v>
      </c>
      <c r="AU292" s="45">
        <f ca="1">IFERROR(MATCH(AQ292/载具产出!T$58,载具属性!$G$33:$G$92,1),0)</f>
        <v>18</v>
      </c>
      <c r="AV292" s="45">
        <f ca="1">IFERROR(MATCH(AR292/载具产出!U$58,载具属性!$G$33:$G$92,1),0)</f>
        <v>8</v>
      </c>
      <c r="AW292" s="46" t="str">
        <f ca="1" t="shared" si="64"/>
        <v>[{62,1778},{63,233770},{2,681200},{6030001,5036},{6030002,5636},{6030003,2075},{6030004,52}]</v>
      </c>
      <c r="AX292" t="str">
        <f ca="1" t="shared" si="65"/>
        <v>{62,1778}</v>
      </c>
      <c r="AY292" t="str">
        <f ca="1" t="shared" si="66"/>
        <v>{63,233770}</v>
      </c>
      <c r="AZ292" t="str">
        <f ca="1" t="shared" si="67"/>
        <v>{2,681200}</v>
      </c>
      <c r="BA292" t="str">
        <f ca="1" t="shared" si="68"/>
        <v>{6030001,5036}</v>
      </c>
      <c r="BB292" t="str">
        <f ca="1" t="shared" si="69"/>
        <v>{6030002,5636}</v>
      </c>
      <c r="BC292" t="str">
        <f ca="1" t="shared" si="70"/>
        <v>{6030003,2075}</v>
      </c>
      <c r="BD292" t="str">
        <f ca="1" t="shared" si="71"/>
        <v>{6030004,52}</v>
      </c>
    </row>
    <row r="293" spans="3:56">
      <c r="C293">
        <f ca="1" t="shared" ref="C293:C306" si="80">W293/G293</f>
        <v>130.046511627907</v>
      </c>
      <c r="D293" s="40">
        <v>287</v>
      </c>
      <c r="E293" s="40">
        <f t="shared" si="76"/>
        <v>136</v>
      </c>
      <c r="F293" s="40">
        <f t="shared" si="75"/>
        <v>156</v>
      </c>
      <c r="G293" s="41">
        <f t="shared" si="78"/>
        <v>215</v>
      </c>
      <c r="H293" s="40">
        <f>H292+1</f>
        <v>286</v>
      </c>
      <c r="I293" s="40">
        <f t="shared" si="79"/>
        <v>600</v>
      </c>
      <c r="J293" s="40">
        <f t="shared" si="77"/>
        <v>600</v>
      </c>
      <c r="K293" s="40">
        <f ca="1">SUM(U$36:U293)-SUM(OFFSET(载具产出!H$399,0,0,$R293+1,1))</f>
        <v>1785</v>
      </c>
      <c r="L293" s="40">
        <f ca="1">SUM(T$36:T293)-SUM(OFFSET(载具产出!G$399,0,0,$R293+1,1))</f>
        <v>234935</v>
      </c>
      <c r="M293" s="40">
        <f ca="1">SUM(V$36:V293)/2-SUM(OFFSET(载具产出!I$399,0,0,$R293+1,1))</f>
        <v>684900</v>
      </c>
      <c r="N293" s="40">
        <f ca="1">SUM(AA$36:AA293)-SUM(OFFSET(载具产出!J$399,0,0,$R293+1,1))</f>
        <v>5054.6</v>
      </c>
      <c r="O293" s="40">
        <f ca="1">SUM(AB$36:AB293)-SUM(OFFSET(载具产出!K$399,0,0,$R293+1,1))</f>
        <v>5656.67999999997</v>
      </c>
      <c r="P293" s="40">
        <f ca="1">SUM(AC$36:AC293)-SUM(OFFSET(载具产出!L$399,0,0,$R293+1,1))</f>
        <v>2092.2</v>
      </c>
      <c r="Q293" s="40">
        <f ca="1">SUM(AD$36:AD293)-SUM(OFFSET(载具产出!M$399,0,0,$R293+1,1))</f>
        <v>53.52</v>
      </c>
      <c r="R293" s="40">
        <v>21</v>
      </c>
      <c r="S293" s="40" t="str">
        <f ca="1">OFFSET(载具产出!$D$111,IFERROR(MATCH(OFFSET($D293,0,MATCH($D$5,$E$6:$H$6,0)),载具产出!$E$112:$E$151,1),0),0)</f>
        <v>卓越Ⅲ</v>
      </c>
      <c r="T293" s="40">
        <f ca="1">OFFSET(载具产出!$F$399,IFERROR(MATCH(OFFSET($D293,0,MATCH($D$5,$E$6:$H$6,0)),载具产出!$E$400:$E$439,1),0),MATCH(T$6,载具产出!$G$399:$O$399,0))</f>
        <v>1165</v>
      </c>
      <c r="U293" s="40">
        <v>7</v>
      </c>
      <c r="V293" s="40">
        <f ca="1">OFFSET(载具产出!$F$399,IFERROR(MATCH(OFFSET($D293,0,MATCH($D$5,$E$6:$H$6,0)),载具产出!$E$400:$E$439,1),0),MATCH(V$6,载具产出!$G$399:$O$399,0))</f>
        <v>7400</v>
      </c>
      <c r="W293" s="43">
        <f ca="1">_xlfn.XLOOKUP(Z293,载具属性!$E$98:$E$497,载具属性!$G$98:$G$497)+6000+OFFSET(载具属性!L$33,AS293,0)*载具属性!M$30+OFFSET(载具属性!M$33,AT293,0)*载具属性!N$30+OFFSET(载具属性!N$33,AU293,0)*载具属性!O$30+OFFSET(载具属性!O$33,AV293,0)*载具属性!P$30</f>
        <v>27960</v>
      </c>
      <c r="X293" s="43">
        <f ca="1">_xlfn.XLOOKUP(Z293,载具属性!$E$98:$E$497,载具属性!$G$98:$G$497)</f>
        <v>14070</v>
      </c>
      <c r="Y293" s="43">
        <f ca="1">OFFSET(载具属性!L$33,AS293,0)*载具属性!M$30+OFFSET(载具属性!M$33,AT293,0)*载具属性!N$30+OFFSET(载具属性!N$33,AU293,0)*载具属性!O$30+OFFSET(载具属性!O$33,AV293,0)*载具属性!P$30</f>
        <v>7890</v>
      </c>
      <c r="Z293" s="40">
        <f ca="1">MATCH(SUM($T$7:T293),载具属性!$I$98:$I$497,1)</f>
        <v>196</v>
      </c>
      <c r="AA293" s="40">
        <f ca="1">OFFSET(载具产出!$F$399,IFERROR(MATCH(OFFSET($D293,0,MATCH($D$5,$E$6:$H$6,0)),载具产出!$E$112:$E$151,1),0),MATCH(AA$6,载具产出!$G$111:$O$111,0))*2</f>
        <v>18</v>
      </c>
      <c r="AB293" s="40">
        <f ca="1">OFFSET(载具产出!$F$399,IFERROR(MATCH(OFFSET($D293,0,MATCH($D$5,$E$6:$H$6,0)),载具产出!$E$112:$E$151,1),0),MATCH(AB$6,载具产出!$G$111:$O$111,0))*2</f>
        <v>20.32</v>
      </c>
      <c r="AC293" s="40">
        <f ca="1">OFFSET(载具产出!$F$399,IFERROR(MATCH(OFFSET($D293,0,MATCH($D$5,$E$6:$H$6,0)),载具产出!$E$112:$E$151,1),0),MATCH(AC$6,载具产出!$G$111:$O$111,0))*2</f>
        <v>16.24</v>
      </c>
      <c r="AD293" s="40">
        <f ca="1">OFFSET(载具产出!$F$399,IFERROR(MATCH(OFFSET($D293,0,MATCH($D$5,$E$6:$H$6,0)),载具产出!$E$112:$E$151,1),0),MATCH(AD$6,载具产出!$G$111:$O$111,0))*2</f>
        <v>1.44</v>
      </c>
      <c r="AE293" s="44">
        <f ca="1">SUM(AA$36:AA293)/3</f>
        <v>1766.8</v>
      </c>
      <c r="AF293" s="44">
        <f ca="1">SUM(AB$36:AB293)/3</f>
        <v>1955.51999999999</v>
      </c>
      <c r="AG293" s="44">
        <f ca="1">SUM(AC$36:AC293)/3</f>
        <v>722.826666666666</v>
      </c>
      <c r="AH293" s="44">
        <f ca="1">SUM(AD$36:AD293)/3</f>
        <v>19.52</v>
      </c>
      <c r="AI293" s="44">
        <f>_xlfn.XLOOKUP($D$5,载具产出!$D$71:$D$75,载具产出!$E$71:$E$75)*(D293-30+1)</f>
        <v>3034.57142857144</v>
      </c>
      <c r="AJ293" s="44">
        <f>IFERROR(MATCH(_xlfn.XLOOKUP($D$5,载具产出!$D$71:$D$75,载具产出!$E$71:$E$75)*(D293-30+1)*10,载具产出!$E$60:$E$67,1),0)+1</f>
        <v>7</v>
      </c>
      <c r="AK293" s="44">
        <f ca="1">IF($AJ293=1,($AI293)*(10*OFFSET(载具产出!$D$45,MATCH(AK$6,$AK$6:$AN$6,0)-1,$AJ293)+OFFSET(载具产出!$D$49,MATCH(AK$6,$AK$6:$AN$6,0)-1,$AJ293)*OFFSET(载具产出!$N$49,MATCH(AK$6,$AK$6:$AN$6,0)-1,0)),OFFSET(载具产出!F$59,$AJ293-1,0)*10+OFFSET(载具产出!J$59,$AJ293-1,0)+($AI293*10-_xlfn.XLOOKUP($AJ293-1,载具产出!$D$59:$D$67,载具产出!$E$59:$E$67))/10*(10*OFFSET(载具产出!$D$45,MATCH(AK$6,$AK$6:$AN$6,0)-1,$AJ293)+OFFSET(载具产出!$D$49,MATCH(AK$6,$AK$6:$AN$6,0)-1,$AJ293)*OFFSET(载具产出!$N$49,MATCH(AK$6,$AK$6:$AN$6,0)-1,0)))</f>
        <v>6593.96485714288</v>
      </c>
      <c r="AL293" s="44">
        <f ca="1">IF($AJ293=1,($AI293)*(10*OFFSET(载具产出!$D$45,MATCH(AL$6,$AK$6:$AN$6,0)-1,$AJ293)+OFFSET(载具产出!$D$49,MATCH(AL$6,$AK$6:$AN$6,0)-1,$AJ293)*OFFSET(载具产出!$N$49,MATCH(AL$6,$AK$6:$AN$6,0)-1,0)),OFFSET(载具产出!G$59,$AJ293-1,0)*10+OFFSET(载具产出!K$59,$AJ293-1,0)+($AI293*10-_xlfn.XLOOKUP($AJ293-1,载具产出!$D$59:$D$67,载具产出!$E$59:$E$67))/10*(10*OFFSET(载具产出!$D$45,MATCH(AL$6,$AK$6:$AN$6,0)-1,$AJ293)+OFFSET(载具产出!$D$49,MATCH(AL$6,$AK$6:$AN$6,0)-1,$AJ293)*OFFSET(载具产出!$N$49,MATCH(AL$6,$AK$6:$AN$6,0)-1,0)))</f>
        <v>2753.79714285715</v>
      </c>
      <c r="AM293" s="44">
        <f ca="1">IF($AJ293=1,($AI293)*(10*OFFSET(载具产出!$D$45,MATCH(AM$6,$AK$6:$AN$6,0)-1,$AJ293)+OFFSET(载具产出!$D$49,MATCH(AM$6,$AK$6:$AN$6,0)-1,$AJ293)*OFFSET(载具产出!$N$49,MATCH(AM$6,$AK$6:$AN$6,0)-1,0)),OFFSET(载具产出!H$59,$AJ293-1,0)*10+OFFSET(载具产出!L$59,$AJ293-1,0)+($AI293*10-_xlfn.XLOOKUP($AJ293-1,载具产出!$D$59:$D$67,载具产出!$E$59:$E$67))/10*(10*OFFSET(载具产出!$D$45,MATCH(AM$6,$AK$6:$AN$6,0)-1,$AJ293)+OFFSET(载具产出!$D$49,MATCH(AM$6,$AK$6:$AN$6,0)-1,$AJ293)*OFFSET(载具产出!$N$49,MATCH(AM$6,$AK$6:$AN$6,0)-1,0)))</f>
        <v>1512.49371428572</v>
      </c>
      <c r="AN293" s="44">
        <f ca="1">IF($AJ293=1,($AI293)*(10*OFFSET(载具产出!$D$45,MATCH(AN$6,$AK$6:$AN$6,0)-1,$AJ293)+OFFSET(载具产出!$D$49,MATCH(AN$6,$AK$6:$AN$6,0)-1,$AJ293)*OFFSET(载具产出!$N$49,MATCH(AN$6,$AK$6:$AN$6,0)-1,0)),OFFSET(载具产出!I$59,$AJ293-1,0)*10+OFFSET(载具产出!M$59,$AJ293-1,0)+($AI293*10-_xlfn.XLOOKUP($AJ293-1,载具产出!$D$59:$D$67,载具产出!$E$59:$E$67))/10*(10*OFFSET(载具产出!$D$45,MATCH(AN$6,$AK$6:$AN$6,0)-1,$AJ293)+OFFSET(载具产出!$D$49,MATCH(AN$6,$AK$6:$AN$6,0)-1,$AJ293)*OFFSET(载具产出!$N$49,MATCH(AN$6,$AK$6:$AN$6,0)-1,0)))</f>
        <v>471.442571428573</v>
      </c>
      <c r="AO293" s="44">
        <f ca="1" t="shared" ref="AO293:AO306" si="81">AE293+AK293</f>
        <v>8360.76485714288</v>
      </c>
      <c r="AP293" s="44">
        <f ca="1" t="shared" ref="AP293:AP306" si="82">AF293+AL293</f>
        <v>4709.31714285714</v>
      </c>
      <c r="AQ293" s="44">
        <f ca="1" t="shared" ref="AQ293:AQ306" si="83">AG293+AM293</f>
        <v>2235.32038095239</v>
      </c>
      <c r="AR293" s="44">
        <f ca="1" t="shared" ref="AR293:AR306" si="84">AH293+AN293</f>
        <v>490.962571428573</v>
      </c>
      <c r="AS293" s="45">
        <f ca="1">IFERROR(MATCH(AO293/载具产出!R$58,载具属性!$G$33:$G$92,1),0)</f>
        <v>42</v>
      </c>
      <c r="AT293" s="45">
        <f ca="1">IFERROR(MATCH(AP293/载具产出!S$58,载具属性!$G$33:$G$92,1),0)</f>
        <v>29</v>
      </c>
      <c r="AU293" s="45">
        <f ca="1">IFERROR(MATCH(AQ293/载具产出!T$58,载具属性!$G$33:$G$92,1),0)</f>
        <v>18</v>
      </c>
      <c r="AV293" s="45">
        <f ca="1">IFERROR(MATCH(AR293/载具产出!U$58,载具属性!$G$33:$G$92,1),0)</f>
        <v>8</v>
      </c>
      <c r="AW293" s="46" t="str">
        <f ca="1" t="shared" ref="AW293:AW306" si="85">"["&amp;_xlfn.TEXTJOIN(",",1,AX293:BD293)&amp;"]"</f>
        <v>[{62,1785},{63,234935},{2,684900},{6030001,5054},{6030002,5656},{6030003,2092},{6030004,53}]</v>
      </c>
      <c r="AX293" t="str">
        <f ca="1" t="shared" ref="AX293:BD293" si="86">IF(INT(K293)&lt;=0,"","{"&amp;K$5&amp;","&amp;INT(K293)&amp;"}")</f>
        <v>{62,1785}</v>
      </c>
      <c r="AY293" t="str">
        <f ca="1" t="shared" si="86"/>
        <v>{63,234935}</v>
      </c>
      <c r="AZ293" t="str">
        <f ca="1" t="shared" si="86"/>
        <v>{2,684900}</v>
      </c>
      <c r="BA293" t="str">
        <f ca="1" t="shared" si="86"/>
        <v>{6030001,5054}</v>
      </c>
      <c r="BB293" t="str">
        <f ca="1" t="shared" si="86"/>
        <v>{6030002,5656}</v>
      </c>
      <c r="BC293" t="str">
        <f ca="1" t="shared" si="86"/>
        <v>{6030003,2092}</v>
      </c>
      <c r="BD293" t="str">
        <f ca="1" t="shared" si="86"/>
        <v>{6030004,53}</v>
      </c>
    </row>
    <row r="294" spans="3:56">
      <c r="C294">
        <f ca="1" t="shared" si="80"/>
        <v>129.884259259259</v>
      </c>
      <c r="D294" s="40">
        <v>288</v>
      </c>
      <c r="E294" s="40">
        <f t="shared" si="76"/>
        <v>136</v>
      </c>
      <c r="F294" s="40">
        <f t="shared" si="75"/>
        <v>157</v>
      </c>
      <c r="G294" s="41">
        <f t="shared" si="78"/>
        <v>216</v>
      </c>
      <c r="H294" s="40">
        <f>H293</f>
        <v>286</v>
      </c>
      <c r="I294" s="40">
        <f t="shared" si="79"/>
        <v>602</v>
      </c>
      <c r="J294" s="40">
        <f t="shared" si="77"/>
        <v>602</v>
      </c>
      <c r="K294" s="40">
        <f ca="1">SUM(U$36:U294)-SUM(OFFSET(载具产出!H$399,0,0,$R294+1,1))</f>
        <v>1792</v>
      </c>
      <c r="L294" s="40">
        <f ca="1">SUM(T$36:T294)-SUM(OFFSET(载具产出!G$399,0,0,$R294+1,1))</f>
        <v>236100</v>
      </c>
      <c r="M294" s="40">
        <f ca="1">SUM(V$36:V294)/2-SUM(OFFSET(载具产出!I$399,0,0,$R294+1,1))</f>
        <v>688600</v>
      </c>
      <c r="N294" s="40">
        <f ca="1">SUM(AA$36:AA294)-SUM(OFFSET(载具产出!J$399,0,0,$R294+1,1))</f>
        <v>5072.6</v>
      </c>
      <c r="O294" s="40">
        <f ca="1">SUM(AB$36:AB294)-SUM(OFFSET(载具产出!K$399,0,0,$R294+1,1))</f>
        <v>5676.99999999997</v>
      </c>
      <c r="P294" s="40">
        <f ca="1">SUM(AC$36:AC294)-SUM(OFFSET(载具产出!L$399,0,0,$R294+1,1))</f>
        <v>2108.44</v>
      </c>
      <c r="Q294" s="40">
        <f ca="1">SUM(AD$36:AD294)-SUM(OFFSET(载具产出!M$399,0,0,$R294+1,1))</f>
        <v>54.96</v>
      </c>
      <c r="R294" s="40">
        <v>21</v>
      </c>
      <c r="S294" s="40" t="str">
        <f ca="1">OFFSET(载具产出!$D$111,IFERROR(MATCH(OFFSET($D294,0,MATCH($D$5,$E$6:$H$6,0)),载具产出!$E$112:$E$151,1),0),0)</f>
        <v>卓越Ⅲ</v>
      </c>
      <c r="T294" s="40">
        <f ca="1">OFFSET(载具产出!$F$399,IFERROR(MATCH(OFFSET($D294,0,MATCH($D$5,$E$6:$H$6,0)),载具产出!$E$400:$E$439,1),0),MATCH(T$6,载具产出!$G$399:$O$399,0))</f>
        <v>1165</v>
      </c>
      <c r="U294" s="40">
        <v>7</v>
      </c>
      <c r="V294" s="40">
        <f ca="1">OFFSET(载具产出!$F$399,IFERROR(MATCH(OFFSET($D294,0,MATCH($D$5,$E$6:$H$6,0)),载具产出!$E$400:$E$439,1),0),MATCH(V$6,载具产出!$G$399:$O$399,0))</f>
        <v>7400</v>
      </c>
      <c r="W294" s="43">
        <f ca="1">_xlfn.XLOOKUP(Z294,载具属性!$E$98:$E$497,载具属性!$G$98:$G$497)+6000+OFFSET(载具属性!L$33,AS294,0)*载具属性!M$30+OFFSET(载具属性!M$33,AT294,0)*载具属性!N$30+OFFSET(载具属性!N$33,AU294,0)*载具属性!O$30+OFFSET(载具属性!O$33,AV294,0)*载具属性!P$30</f>
        <v>28055</v>
      </c>
      <c r="X294" s="43">
        <f ca="1">_xlfn.XLOOKUP(Z294,载具属性!$E$98:$E$497,载具属性!$G$98:$G$497)</f>
        <v>14165</v>
      </c>
      <c r="Y294" s="43">
        <f ca="1">OFFSET(载具属性!L$33,AS294,0)*载具属性!M$30+OFFSET(载具属性!M$33,AT294,0)*载具属性!N$30+OFFSET(载具属性!N$33,AU294,0)*载具属性!O$30+OFFSET(载具属性!O$33,AV294,0)*载具属性!P$30</f>
        <v>7890</v>
      </c>
      <c r="Z294" s="40">
        <f ca="1">MATCH(SUM($T$7:T294),载具属性!$I$98:$I$497,1)</f>
        <v>197</v>
      </c>
      <c r="AA294" s="40">
        <f ca="1">OFFSET(载具产出!$F$399,IFERROR(MATCH(OFFSET($D294,0,MATCH($D$5,$E$6:$H$6,0)),载具产出!$E$112:$E$151,1),0),MATCH(AA$6,载具产出!$G$111:$O$111,0))*2</f>
        <v>18</v>
      </c>
      <c r="AB294" s="40">
        <f ca="1">OFFSET(载具产出!$F$399,IFERROR(MATCH(OFFSET($D294,0,MATCH($D$5,$E$6:$H$6,0)),载具产出!$E$112:$E$151,1),0),MATCH(AB$6,载具产出!$G$111:$O$111,0))*2</f>
        <v>20.32</v>
      </c>
      <c r="AC294" s="40">
        <f ca="1">OFFSET(载具产出!$F$399,IFERROR(MATCH(OFFSET($D294,0,MATCH($D$5,$E$6:$H$6,0)),载具产出!$E$112:$E$151,1),0),MATCH(AC$6,载具产出!$G$111:$O$111,0))*2</f>
        <v>16.24</v>
      </c>
      <c r="AD294" s="40">
        <f ca="1">OFFSET(载具产出!$F$399,IFERROR(MATCH(OFFSET($D294,0,MATCH($D$5,$E$6:$H$6,0)),载具产出!$E$112:$E$151,1),0),MATCH(AD$6,载具产出!$G$111:$O$111,0))*2</f>
        <v>1.44</v>
      </c>
      <c r="AE294" s="44">
        <f ca="1">SUM(AA$36:AA294)/3</f>
        <v>1772.8</v>
      </c>
      <c r="AF294" s="44">
        <f ca="1">SUM(AB$36:AB294)/3</f>
        <v>1962.29333333332</v>
      </c>
      <c r="AG294" s="44">
        <f ca="1">SUM(AC$36:AC294)/3</f>
        <v>728.239999999999</v>
      </c>
      <c r="AH294" s="44">
        <f ca="1">SUM(AD$36:AD294)/3</f>
        <v>20</v>
      </c>
      <c r="AI294" s="44">
        <f>_xlfn.XLOOKUP($D$5,载具产出!$D$71:$D$75,载具产出!$E$71:$E$75)*(D294-30+1)</f>
        <v>3046.33333333334</v>
      </c>
      <c r="AJ294" s="44">
        <f>IFERROR(MATCH(_xlfn.XLOOKUP($D$5,载具产出!$D$71:$D$75,载具产出!$E$71:$E$75)*(D294-30+1)*10,载具产出!$E$60:$E$67,1),0)+1</f>
        <v>7</v>
      </c>
      <c r="AK294" s="44">
        <f ca="1">IF($AJ294=1,($AI294)*(10*OFFSET(载具产出!$D$45,MATCH(AK$6,$AK$6:$AN$6,0)-1,$AJ294)+OFFSET(载具产出!$D$49,MATCH(AK$6,$AK$6:$AN$6,0)-1,$AJ294)*OFFSET(载具产出!$N$49,MATCH(AK$6,$AK$6:$AN$6,0)-1,0)),OFFSET(载具产出!F$59,$AJ294-1,0)*10+OFFSET(载具产出!J$59,$AJ294-1,0)+($AI294*10-_xlfn.XLOOKUP($AJ294-1,载具产出!$D$59:$D$67,载具产出!$E$59:$E$67))/10*(10*OFFSET(载具产出!$D$45,MATCH(AK$6,$AK$6:$AN$6,0)-1,$AJ294)+OFFSET(载具产出!$D$49,MATCH(AK$6,$AK$6:$AN$6,0)-1,$AJ294)*OFFSET(载具产出!$N$49,MATCH(AK$6,$AK$6:$AN$6,0)-1,0)))</f>
        <v>6618.80600000001</v>
      </c>
      <c r="AL294" s="44">
        <f ca="1">IF($AJ294=1,($AI294)*(10*OFFSET(载具产出!$D$45,MATCH(AL$6,$AK$6:$AN$6,0)-1,$AJ294)+OFFSET(载具产出!$D$49,MATCH(AL$6,$AK$6:$AN$6,0)-1,$AJ294)*OFFSET(载具产出!$N$49,MATCH(AL$6,$AK$6:$AN$6,0)-1,0)),OFFSET(载具产出!G$59,$AJ294-1,0)*10+OFFSET(载具产出!K$59,$AJ294-1,0)+($AI294*10-_xlfn.XLOOKUP($AJ294-1,载具产出!$D$59:$D$67,载具产出!$E$59:$E$67))/10*(10*OFFSET(载具产出!$D$45,MATCH(AL$6,$AK$6:$AN$6,0)-1,$AJ294)+OFFSET(载具产出!$D$49,MATCH(AL$6,$AK$6:$AN$6,0)-1,$AJ294)*OFFSET(载具产出!$N$49,MATCH(AL$6,$AK$6:$AN$6,0)-1,0)))</f>
        <v>2764.85333333334</v>
      </c>
      <c r="AM294" s="44">
        <f ca="1">IF($AJ294=1,($AI294)*(10*OFFSET(载具产出!$D$45,MATCH(AM$6,$AK$6:$AN$6,0)-1,$AJ294)+OFFSET(载具产出!$D$49,MATCH(AM$6,$AK$6:$AN$6,0)-1,$AJ294)*OFFSET(载具产出!$N$49,MATCH(AM$6,$AK$6:$AN$6,0)-1,0)),OFFSET(载具产出!H$59,$AJ294-1,0)*10+OFFSET(载具产出!L$59,$AJ294-1,0)+($AI294*10-_xlfn.XLOOKUP($AJ294-1,载具产出!$D$59:$D$67,载具产出!$E$59:$E$67))/10*(10*OFFSET(载具产出!$D$45,MATCH(AM$6,$AK$6:$AN$6,0)-1,$AJ294)+OFFSET(载具产出!$D$49,MATCH(AM$6,$AK$6:$AN$6,0)-1,$AJ294)*OFFSET(载具产出!$N$49,MATCH(AM$6,$AK$6:$AN$6,0)-1,0)))</f>
        <v>1518.704</v>
      </c>
      <c r="AN294" s="44">
        <f ca="1">IF($AJ294=1,($AI294)*(10*OFFSET(载具产出!$D$45,MATCH(AN$6,$AK$6:$AN$6,0)-1,$AJ294)+OFFSET(载具产出!$D$49,MATCH(AN$6,$AK$6:$AN$6,0)-1,$AJ294)*OFFSET(载具产出!$N$49,MATCH(AN$6,$AK$6:$AN$6,0)-1,0)),OFFSET(载具产出!I$59,$AJ294-1,0)*10+OFFSET(载具产出!M$59,$AJ294-1,0)+($AI294*10-_xlfn.XLOOKUP($AJ294-1,载具产出!$D$59:$D$67,载具产出!$E$59:$E$67))/10*(10*OFFSET(载具产出!$D$45,MATCH(AN$6,$AK$6:$AN$6,0)-1,$AJ294)+OFFSET(载具产出!$D$49,MATCH(AN$6,$AK$6:$AN$6,0)-1,$AJ294)*OFFSET(载具产出!$N$49,MATCH(AN$6,$AK$6:$AN$6,0)-1,0)))</f>
        <v>473.430333333334</v>
      </c>
      <c r="AO294" s="44">
        <f ca="1" t="shared" si="81"/>
        <v>8391.60600000001</v>
      </c>
      <c r="AP294" s="44">
        <f ca="1" t="shared" si="82"/>
        <v>4727.14666666666</v>
      </c>
      <c r="AQ294" s="44">
        <f ca="1" t="shared" si="83"/>
        <v>2246.944</v>
      </c>
      <c r="AR294" s="44">
        <f ca="1" t="shared" si="84"/>
        <v>493.430333333334</v>
      </c>
      <c r="AS294" s="45">
        <f ca="1">IFERROR(MATCH(AO294/载具产出!R$58,载具属性!$G$33:$G$92,1),0)</f>
        <v>42</v>
      </c>
      <c r="AT294" s="45">
        <f ca="1">IFERROR(MATCH(AP294/载具产出!S$58,载具属性!$G$33:$G$92,1),0)</f>
        <v>29</v>
      </c>
      <c r="AU294" s="45">
        <f ca="1">IFERROR(MATCH(AQ294/载具产出!T$58,载具属性!$G$33:$G$92,1),0)</f>
        <v>18</v>
      </c>
      <c r="AV294" s="45">
        <f ca="1">IFERROR(MATCH(AR294/载具产出!U$58,载具属性!$G$33:$G$92,1),0)</f>
        <v>8</v>
      </c>
      <c r="AW294" s="46" t="str">
        <f ca="1" t="shared" si="85"/>
        <v>[{62,1792},{63,236100},{2,688600},{6030001,5072},{6030002,5676},{6030003,2108},{6030004,54}]</v>
      </c>
      <c r="AX294" t="str">
        <f ca="1" t="shared" ref="AX294:BD294" si="87">IF(INT(K294)&lt;=0,"","{"&amp;K$5&amp;","&amp;INT(K294)&amp;"}")</f>
        <v>{62,1792}</v>
      </c>
      <c r="AY294" t="str">
        <f ca="1" t="shared" si="87"/>
        <v>{63,236100}</v>
      </c>
      <c r="AZ294" t="str">
        <f ca="1" t="shared" si="87"/>
        <v>{2,688600}</v>
      </c>
      <c r="BA294" t="str">
        <f ca="1" t="shared" si="87"/>
        <v>{6030001,5072}</v>
      </c>
      <c r="BB294" t="str">
        <f ca="1" t="shared" si="87"/>
        <v>{6030002,5676}</v>
      </c>
      <c r="BC294" t="str">
        <f ca="1" t="shared" si="87"/>
        <v>{6030003,2108}</v>
      </c>
      <c r="BD294" t="str">
        <f ca="1" t="shared" si="87"/>
        <v>{6030004,54}</v>
      </c>
    </row>
    <row r="295" spans="3:56">
      <c r="C295">
        <f ca="1" t="shared" si="80"/>
        <v>129.884259259259</v>
      </c>
      <c r="D295" s="40">
        <v>289</v>
      </c>
      <c r="E295" s="40">
        <f t="shared" si="76"/>
        <v>137</v>
      </c>
      <c r="F295" s="40">
        <f t="shared" si="75"/>
        <v>157</v>
      </c>
      <c r="G295" s="41">
        <f t="shared" si="78"/>
        <v>216</v>
      </c>
      <c r="H295" s="40">
        <f>H294+1</f>
        <v>287</v>
      </c>
      <c r="I295" s="40">
        <f t="shared" si="79"/>
        <v>604</v>
      </c>
      <c r="J295" s="40">
        <f t="shared" si="77"/>
        <v>604</v>
      </c>
      <c r="K295" s="40">
        <f ca="1">SUM(U$36:U295)-SUM(OFFSET(载具产出!H$399,0,0,$R295+1,1))</f>
        <v>1799</v>
      </c>
      <c r="L295" s="40">
        <f ca="1">SUM(T$36:T295)-SUM(OFFSET(载具产出!G$399,0,0,$R295+1,1))</f>
        <v>237265</v>
      </c>
      <c r="M295" s="40">
        <f ca="1">SUM(V$36:V295)/2-SUM(OFFSET(载具产出!I$399,0,0,$R295+1,1))</f>
        <v>692300</v>
      </c>
      <c r="N295" s="40">
        <f ca="1">SUM(AA$36:AA295)-SUM(OFFSET(载具产出!J$399,0,0,$R295+1,1))</f>
        <v>5090.6</v>
      </c>
      <c r="O295" s="40">
        <f ca="1">SUM(AB$36:AB295)-SUM(OFFSET(载具产出!K$399,0,0,$R295+1,1))</f>
        <v>5697.31999999997</v>
      </c>
      <c r="P295" s="40">
        <f ca="1">SUM(AC$36:AC295)-SUM(OFFSET(载具产出!L$399,0,0,$R295+1,1))</f>
        <v>2124.68</v>
      </c>
      <c r="Q295" s="40">
        <f ca="1">SUM(AD$36:AD295)-SUM(OFFSET(载具产出!M$399,0,0,$R295+1,1))</f>
        <v>56.4</v>
      </c>
      <c r="R295" s="40">
        <v>21</v>
      </c>
      <c r="S295" s="40" t="str">
        <f ca="1">OFFSET(载具产出!$D$111,IFERROR(MATCH(OFFSET($D295,0,MATCH($D$5,$E$6:$H$6,0)),载具产出!$E$112:$E$151,1),0),0)</f>
        <v>卓越Ⅲ</v>
      </c>
      <c r="T295" s="40">
        <f ca="1">OFFSET(载具产出!$F$399,IFERROR(MATCH(OFFSET($D295,0,MATCH($D$5,$E$6:$H$6,0)),载具产出!$E$400:$E$439,1),0),MATCH(T$6,载具产出!$G$399:$O$399,0))</f>
        <v>1165</v>
      </c>
      <c r="U295" s="40">
        <v>7</v>
      </c>
      <c r="V295" s="40">
        <f ca="1">OFFSET(载具产出!$F$399,IFERROR(MATCH(OFFSET($D295,0,MATCH($D$5,$E$6:$H$6,0)),载具产出!$E$400:$E$439,1),0),MATCH(V$6,载具产出!$G$399:$O$399,0))</f>
        <v>7400</v>
      </c>
      <c r="W295" s="43">
        <f ca="1">_xlfn.XLOOKUP(Z295,载具属性!$E$98:$E$497,载具属性!$G$98:$G$497)+6000+OFFSET(载具属性!L$33,AS295,0)*载具属性!M$30+OFFSET(载具属性!M$33,AT295,0)*载具属性!N$30+OFFSET(载具属性!N$33,AU295,0)*载具属性!O$30+OFFSET(载具属性!O$33,AV295,0)*载具属性!P$30</f>
        <v>28055</v>
      </c>
      <c r="X295" s="43">
        <f ca="1">_xlfn.XLOOKUP(Z295,载具属性!$E$98:$E$497,载具属性!$G$98:$G$497)</f>
        <v>14165</v>
      </c>
      <c r="Y295" s="43">
        <f ca="1">OFFSET(载具属性!L$33,AS295,0)*载具属性!M$30+OFFSET(载具属性!M$33,AT295,0)*载具属性!N$30+OFFSET(载具属性!N$33,AU295,0)*载具属性!O$30+OFFSET(载具属性!O$33,AV295,0)*载具属性!P$30</f>
        <v>7890</v>
      </c>
      <c r="Z295" s="40">
        <f ca="1">MATCH(SUM($T$7:T295),载具属性!$I$98:$I$497,1)</f>
        <v>197</v>
      </c>
      <c r="AA295" s="40">
        <f ca="1">OFFSET(载具产出!$F$399,IFERROR(MATCH(OFFSET($D295,0,MATCH($D$5,$E$6:$H$6,0)),载具产出!$E$112:$E$151,1),0),MATCH(AA$6,载具产出!$G$111:$O$111,0))*2</f>
        <v>18</v>
      </c>
      <c r="AB295" s="40">
        <f ca="1">OFFSET(载具产出!$F$399,IFERROR(MATCH(OFFSET($D295,0,MATCH($D$5,$E$6:$H$6,0)),载具产出!$E$112:$E$151,1),0),MATCH(AB$6,载具产出!$G$111:$O$111,0))*2</f>
        <v>20.32</v>
      </c>
      <c r="AC295" s="40">
        <f ca="1">OFFSET(载具产出!$F$399,IFERROR(MATCH(OFFSET($D295,0,MATCH($D$5,$E$6:$H$6,0)),载具产出!$E$112:$E$151,1),0),MATCH(AC$6,载具产出!$G$111:$O$111,0))*2</f>
        <v>16.24</v>
      </c>
      <c r="AD295" s="40">
        <f ca="1">OFFSET(载具产出!$F$399,IFERROR(MATCH(OFFSET($D295,0,MATCH($D$5,$E$6:$H$6,0)),载具产出!$E$112:$E$151,1),0),MATCH(AD$6,载具产出!$G$111:$O$111,0))*2</f>
        <v>1.44</v>
      </c>
      <c r="AE295" s="44">
        <f ca="1">SUM(AA$36:AA295)/3</f>
        <v>1778.8</v>
      </c>
      <c r="AF295" s="44">
        <f ca="1">SUM(AB$36:AB295)/3</f>
        <v>1969.06666666666</v>
      </c>
      <c r="AG295" s="44">
        <f ca="1">SUM(AC$36:AC295)/3</f>
        <v>733.653333333332</v>
      </c>
      <c r="AH295" s="44">
        <f ca="1">SUM(AD$36:AD295)/3</f>
        <v>20.48</v>
      </c>
      <c r="AI295" s="44">
        <f>_xlfn.XLOOKUP($D$5,载具产出!$D$71:$D$75,载具产出!$E$71:$E$75)*(D295-30+1)</f>
        <v>3058.09523809525</v>
      </c>
      <c r="AJ295" s="44">
        <f>IFERROR(MATCH(_xlfn.XLOOKUP($D$5,载具产出!$D$71:$D$75,载具产出!$E$71:$E$75)*(D295-30+1)*10,载具产出!$E$60:$E$67,1),0)+1</f>
        <v>7</v>
      </c>
      <c r="AK295" s="44">
        <f ca="1">IF($AJ295=1,($AI295)*(10*OFFSET(载具产出!$D$45,MATCH(AK$6,$AK$6:$AN$6,0)-1,$AJ295)+OFFSET(载具产出!$D$49,MATCH(AK$6,$AK$6:$AN$6,0)-1,$AJ295)*OFFSET(载具产出!$N$49,MATCH(AK$6,$AK$6:$AN$6,0)-1,0)),OFFSET(载具产出!F$59,$AJ295-1,0)*10+OFFSET(载具产出!J$59,$AJ295-1,0)+($AI295*10-_xlfn.XLOOKUP($AJ295-1,载具产出!$D$59:$D$67,载具产出!$E$59:$E$67))/10*(10*OFFSET(载具产出!$D$45,MATCH(AK$6,$AK$6:$AN$6,0)-1,$AJ295)+OFFSET(载具产出!$D$49,MATCH(AK$6,$AK$6:$AN$6,0)-1,$AJ295)*OFFSET(载具产出!$N$49,MATCH(AK$6,$AK$6:$AN$6,0)-1,0)))</f>
        <v>6643.64714285717</v>
      </c>
      <c r="AL295" s="44">
        <f ca="1">IF($AJ295=1,($AI295)*(10*OFFSET(载具产出!$D$45,MATCH(AL$6,$AK$6:$AN$6,0)-1,$AJ295)+OFFSET(载具产出!$D$49,MATCH(AL$6,$AK$6:$AN$6,0)-1,$AJ295)*OFFSET(载具产出!$N$49,MATCH(AL$6,$AK$6:$AN$6,0)-1,0)),OFFSET(载具产出!G$59,$AJ295-1,0)*10+OFFSET(载具产出!K$59,$AJ295-1,0)+($AI295*10-_xlfn.XLOOKUP($AJ295-1,载具产出!$D$59:$D$67,载具产出!$E$59:$E$67))/10*(10*OFFSET(载具产出!$D$45,MATCH(AL$6,$AK$6:$AN$6,0)-1,$AJ295)+OFFSET(载具产出!$D$49,MATCH(AL$6,$AK$6:$AN$6,0)-1,$AJ295)*OFFSET(载具产出!$N$49,MATCH(AL$6,$AK$6:$AN$6,0)-1,0)))</f>
        <v>2775.90952380954</v>
      </c>
      <c r="AM295" s="44">
        <f ca="1">IF($AJ295=1,($AI295)*(10*OFFSET(载具产出!$D$45,MATCH(AM$6,$AK$6:$AN$6,0)-1,$AJ295)+OFFSET(载具产出!$D$49,MATCH(AM$6,$AK$6:$AN$6,0)-1,$AJ295)*OFFSET(载具产出!$N$49,MATCH(AM$6,$AK$6:$AN$6,0)-1,0)),OFFSET(载具产出!H$59,$AJ295-1,0)*10+OFFSET(载具产出!L$59,$AJ295-1,0)+($AI295*10-_xlfn.XLOOKUP($AJ295-1,载具产出!$D$59:$D$67,载具产出!$E$59:$E$67))/10*(10*OFFSET(载具产出!$D$45,MATCH(AM$6,$AK$6:$AN$6,0)-1,$AJ295)+OFFSET(载具产出!$D$49,MATCH(AM$6,$AK$6:$AN$6,0)-1,$AJ295)*OFFSET(载具产出!$N$49,MATCH(AM$6,$AK$6:$AN$6,0)-1,0)))</f>
        <v>1524.91428571429</v>
      </c>
      <c r="AN295" s="44">
        <f ca="1">IF($AJ295=1,($AI295)*(10*OFFSET(载具产出!$D$45,MATCH(AN$6,$AK$6:$AN$6,0)-1,$AJ295)+OFFSET(载具产出!$D$49,MATCH(AN$6,$AK$6:$AN$6,0)-1,$AJ295)*OFFSET(载具产出!$N$49,MATCH(AN$6,$AK$6:$AN$6,0)-1,0)),OFFSET(载具产出!I$59,$AJ295-1,0)*10+OFFSET(载具产出!M$59,$AJ295-1,0)+($AI295*10-_xlfn.XLOOKUP($AJ295-1,载具产出!$D$59:$D$67,载具产出!$E$59:$E$67))/10*(10*OFFSET(载具产出!$D$45,MATCH(AN$6,$AK$6:$AN$6,0)-1,$AJ295)+OFFSET(载具产出!$D$49,MATCH(AN$6,$AK$6:$AN$6,0)-1,$AJ295)*OFFSET(载具产出!$N$49,MATCH(AN$6,$AK$6:$AN$6,0)-1,0)))</f>
        <v>475.418095238097</v>
      </c>
      <c r="AO295" s="44">
        <f ca="1" t="shared" si="81"/>
        <v>8422.44714285717</v>
      </c>
      <c r="AP295" s="44">
        <f ca="1" t="shared" si="82"/>
        <v>4744.97619047619</v>
      </c>
      <c r="AQ295" s="44">
        <f ca="1" t="shared" si="83"/>
        <v>2258.56761904762</v>
      </c>
      <c r="AR295" s="44">
        <f ca="1" t="shared" si="84"/>
        <v>495.898095238097</v>
      </c>
      <c r="AS295" s="45">
        <f ca="1">IFERROR(MATCH(AO295/载具产出!R$58,载具属性!$G$33:$G$92,1),0)</f>
        <v>42</v>
      </c>
      <c r="AT295" s="45">
        <f ca="1">IFERROR(MATCH(AP295/载具产出!S$58,载具属性!$G$33:$G$92,1),0)</f>
        <v>29</v>
      </c>
      <c r="AU295" s="45">
        <f ca="1">IFERROR(MATCH(AQ295/载具产出!T$58,载具属性!$G$33:$G$92,1),0)</f>
        <v>18</v>
      </c>
      <c r="AV295" s="45">
        <f ca="1">IFERROR(MATCH(AR295/载具产出!U$58,载具属性!$G$33:$G$92,1),0)</f>
        <v>8</v>
      </c>
      <c r="AW295" s="46" t="str">
        <f ca="1" t="shared" si="85"/>
        <v>[{62,1799},{63,237265},{2,692300},{6030001,5090},{6030002,5697},{6030003,2124},{6030004,56}]</v>
      </c>
      <c r="AX295" t="str">
        <f ca="1" t="shared" ref="AX295:BD295" si="88">IF(INT(K295)&lt;=0,"","{"&amp;K$5&amp;","&amp;INT(K295)&amp;"}")</f>
        <v>{62,1799}</v>
      </c>
      <c r="AY295" t="str">
        <f ca="1" t="shared" si="88"/>
        <v>{63,237265}</v>
      </c>
      <c r="AZ295" t="str">
        <f ca="1" t="shared" si="88"/>
        <v>{2,692300}</v>
      </c>
      <c r="BA295" t="str">
        <f ca="1" t="shared" si="88"/>
        <v>{6030001,5090}</v>
      </c>
      <c r="BB295" t="str">
        <f ca="1" t="shared" si="88"/>
        <v>{6030002,5697}</v>
      </c>
      <c r="BC295" t="str">
        <f ca="1" t="shared" si="88"/>
        <v>{6030003,2124}</v>
      </c>
      <c r="BD295" t="str">
        <f ca="1" t="shared" si="88"/>
        <v>{6030004,56}</v>
      </c>
    </row>
    <row r="296" spans="3:56">
      <c r="C296">
        <f ca="1" t="shared" si="80"/>
        <v>130.324074074074</v>
      </c>
      <c r="D296" s="40">
        <v>290</v>
      </c>
      <c r="E296" s="40">
        <f t="shared" si="76"/>
        <v>137</v>
      </c>
      <c r="F296" s="40">
        <f t="shared" si="75"/>
        <v>157</v>
      </c>
      <c r="G296" s="41">
        <f t="shared" si="78"/>
        <v>216</v>
      </c>
      <c r="H296" s="40">
        <f>H295</f>
        <v>287</v>
      </c>
      <c r="I296" s="40">
        <f t="shared" si="79"/>
        <v>606</v>
      </c>
      <c r="J296" s="40">
        <f t="shared" si="77"/>
        <v>606</v>
      </c>
      <c r="K296" s="40">
        <f ca="1">SUM(U$36:U296)-SUM(OFFSET(载具产出!H$399,0,0,$R296+1,1))</f>
        <v>1806</v>
      </c>
      <c r="L296" s="40">
        <f ca="1">SUM(T$36:T296)-SUM(OFFSET(载具产出!G$399,0,0,$R296+1,1))</f>
        <v>238430</v>
      </c>
      <c r="M296" s="40">
        <f ca="1">SUM(V$36:V296)/2-SUM(OFFSET(载具产出!I$399,0,0,$R296+1,1))</f>
        <v>696000</v>
      </c>
      <c r="N296" s="40">
        <f ca="1">SUM(AA$36:AA296)-SUM(OFFSET(载具产出!J$399,0,0,$R296+1,1))</f>
        <v>5108.6</v>
      </c>
      <c r="O296" s="40">
        <f ca="1">SUM(AB$36:AB296)-SUM(OFFSET(载具产出!K$399,0,0,$R296+1,1))</f>
        <v>5717.63999999996</v>
      </c>
      <c r="P296" s="40">
        <f ca="1">SUM(AC$36:AC296)-SUM(OFFSET(载具产出!L$399,0,0,$R296+1,1))</f>
        <v>2140.92</v>
      </c>
      <c r="Q296" s="40">
        <f ca="1">SUM(AD$36:AD296)-SUM(OFFSET(载具产出!M$399,0,0,$R296+1,1))</f>
        <v>57.84</v>
      </c>
      <c r="R296" s="40">
        <v>21</v>
      </c>
      <c r="S296" s="40" t="str">
        <f ca="1">OFFSET(载具产出!$D$111,IFERROR(MATCH(OFFSET($D296,0,MATCH($D$5,$E$6:$H$6,0)),载具产出!$E$112:$E$151,1),0),0)</f>
        <v>卓越Ⅲ</v>
      </c>
      <c r="T296" s="40">
        <f ca="1">OFFSET(载具产出!$F$399,IFERROR(MATCH(OFFSET($D296,0,MATCH($D$5,$E$6:$H$6,0)),载具产出!$E$400:$E$439,1),0),MATCH(T$6,载具产出!$G$399:$O$399,0))</f>
        <v>1165</v>
      </c>
      <c r="U296" s="40">
        <v>7</v>
      </c>
      <c r="V296" s="40">
        <f ca="1">OFFSET(载具产出!$F$399,IFERROR(MATCH(OFFSET($D296,0,MATCH($D$5,$E$6:$H$6,0)),载具产出!$E$400:$E$439,1),0),MATCH(V$6,载具产出!$G$399:$O$399,0))</f>
        <v>7400</v>
      </c>
      <c r="W296" s="43">
        <f ca="1">_xlfn.XLOOKUP(Z296,载具属性!$E$98:$E$497,载具属性!$G$98:$G$497)+6000+OFFSET(载具属性!L$33,AS296,0)*载具属性!M$30+OFFSET(载具属性!M$33,AT296,0)*载具属性!N$30+OFFSET(载具属性!N$33,AU296,0)*载具属性!O$30+OFFSET(载具属性!O$33,AV296,0)*载具属性!P$30</f>
        <v>28150</v>
      </c>
      <c r="X296" s="43">
        <f ca="1">_xlfn.XLOOKUP(Z296,载具属性!$E$98:$E$497,载具属性!$G$98:$G$497)</f>
        <v>14260</v>
      </c>
      <c r="Y296" s="43">
        <f ca="1">OFFSET(载具属性!L$33,AS296,0)*载具属性!M$30+OFFSET(载具属性!M$33,AT296,0)*载具属性!N$30+OFFSET(载具属性!N$33,AU296,0)*载具属性!O$30+OFFSET(载具属性!O$33,AV296,0)*载具属性!P$30</f>
        <v>7890</v>
      </c>
      <c r="Z296" s="40">
        <f ca="1">MATCH(SUM($T$7:T296),载具属性!$I$98:$I$497,1)</f>
        <v>198</v>
      </c>
      <c r="AA296" s="40">
        <f ca="1">OFFSET(载具产出!$F$399,IFERROR(MATCH(OFFSET($D296,0,MATCH($D$5,$E$6:$H$6,0)),载具产出!$E$112:$E$151,1),0),MATCH(AA$6,载具产出!$G$111:$O$111,0))*2</f>
        <v>18</v>
      </c>
      <c r="AB296" s="40">
        <f ca="1">OFFSET(载具产出!$F$399,IFERROR(MATCH(OFFSET($D296,0,MATCH($D$5,$E$6:$H$6,0)),载具产出!$E$112:$E$151,1),0),MATCH(AB$6,载具产出!$G$111:$O$111,0))*2</f>
        <v>20.32</v>
      </c>
      <c r="AC296" s="40">
        <f ca="1">OFFSET(载具产出!$F$399,IFERROR(MATCH(OFFSET($D296,0,MATCH($D$5,$E$6:$H$6,0)),载具产出!$E$112:$E$151,1),0),MATCH(AC$6,载具产出!$G$111:$O$111,0))*2</f>
        <v>16.24</v>
      </c>
      <c r="AD296" s="40">
        <f ca="1">OFFSET(载具产出!$F$399,IFERROR(MATCH(OFFSET($D296,0,MATCH($D$5,$E$6:$H$6,0)),载具产出!$E$112:$E$151,1),0),MATCH(AD$6,载具产出!$G$111:$O$111,0))*2</f>
        <v>1.44</v>
      </c>
      <c r="AE296" s="44">
        <f ca="1">SUM(AA$36:AA296)/3</f>
        <v>1784.8</v>
      </c>
      <c r="AF296" s="44">
        <f ca="1">SUM(AB$36:AB296)/3</f>
        <v>1975.83999999999</v>
      </c>
      <c r="AG296" s="44">
        <f ca="1">SUM(AC$36:AC296)/3</f>
        <v>739.066666666666</v>
      </c>
      <c r="AH296" s="44">
        <f ca="1">SUM(AD$36:AD296)/3</f>
        <v>20.96</v>
      </c>
      <c r="AI296" s="44">
        <f>_xlfn.XLOOKUP($D$5,载具产出!$D$71:$D$75,载具产出!$E$71:$E$75)*(D296-30+1)</f>
        <v>3069.85714285715</v>
      </c>
      <c r="AJ296" s="44">
        <f>IFERROR(MATCH(_xlfn.XLOOKUP($D$5,载具产出!$D$71:$D$75,载具产出!$E$71:$E$75)*(D296-30+1)*10,载具产出!$E$60:$E$67,1),0)+1</f>
        <v>7</v>
      </c>
      <c r="AK296" s="44">
        <f ca="1">IF($AJ296=1,($AI296)*(10*OFFSET(载具产出!$D$45,MATCH(AK$6,$AK$6:$AN$6,0)-1,$AJ296)+OFFSET(载具产出!$D$49,MATCH(AK$6,$AK$6:$AN$6,0)-1,$AJ296)*OFFSET(载具产出!$N$49,MATCH(AK$6,$AK$6:$AN$6,0)-1,0)),OFFSET(载具产出!F$59,$AJ296-1,0)*10+OFFSET(载具产出!J$59,$AJ296-1,0)+($AI296*10-_xlfn.XLOOKUP($AJ296-1,载具产出!$D$59:$D$67,载具产出!$E$59:$E$67))/10*(10*OFFSET(载具产出!$D$45,MATCH(AK$6,$AK$6:$AN$6,0)-1,$AJ296)+OFFSET(载具产出!$D$49,MATCH(AK$6,$AK$6:$AN$6,0)-1,$AJ296)*OFFSET(载具产出!$N$49,MATCH(AK$6,$AK$6:$AN$6,0)-1,0)))</f>
        <v>6668.4882857143</v>
      </c>
      <c r="AL296" s="44">
        <f ca="1">IF($AJ296=1,($AI296)*(10*OFFSET(载具产出!$D$45,MATCH(AL$6,$AK$6:$AN$6,0)-1,$AJ296)+OFFSET(载具产出!$D$49,MATCH(AL$6,$AK$6:$AN$6,0)-1,$AJ296)*OFFSET(载具产出!$N$49,MATCH(AL$6,$AK$6:$AN$6,0)-1,0)),OFFSET(载具产出!G$59,$AJ296-1,0)*10+OFFSET(载具产出!K$59,$AJ296-1,0)+($AI296*10-_xlfn.XLOOKUP($AJ296-1,载具产出!$D$59:$D$67,载具产出!$E$59:$E$67))/10*(10*OFFSET(载具产出!$D$45,MATCH(AL$6,$AK$6:$AN$6,0)-1,$AJ296)+OFFSET(载具产出!$D$49,MATCH(AL$6,$AK$6:$AN$6,0)-1,$AJ296)*OFFSET(载具产出!$N$49,MATCH(AL$6,$AK$6:$AN$6,0)-1,0)))</f>
        <v>2786.96571428572</v>
      </c>
      <c r="AM296" s="44">
        <f ca="1">IF($AJ296=1,($AI296)*(10*OFFSET(载具产出!$D$45,MATCH(AM$6,$AK$6:$AN$6,0)-1,$AJ296)+OFFSET(载具产出!$D$49,MATCH(AM$6,$AK$6:$AN$6,0)-1,$AJ296)*OFFSET(载具产出!$N$49,MATCH(AM$6,$AK$6:$AN$6,0)-1,0)),OFFSET(载具产出!H$59,$AJ296-1,0)*10+OFFSET(载具产出!L$59,$AJ296-1,0)+($AI296*10-_xlfn.XLOOKUP($AJ296-1,载具产出!$D$59:$D$67,载具产出!$E$59:$E$67))/10*(10*OFFSET(载具产出!$D$45,MATCH(AM$6,$AK$6:$AN$6,0)-1,$AJ296)+OFFSET(载具产出!$D$49,MATCH(AM$6,$AK$6:$AN$6,0)-1,$AJ296)*OFFSET(载具产出!$N$49,MATCH(AM$6,$AK$6:$AN$6,0)-1,0)))</f>
        <v>1531.12457142858</v>
      </c>
      <c r="AN296" s="44">
        <f ca="1">IF($AJ296=1,($AI296)*(10*OFFSET(载具产出!$D$45,MATCH(AN$6,$AK$6:$AN$6,0)-1,$AJ296)+OFFSET(载具产出!$D$49,MATCH(AN$6,$AK$6:$AN$6,0)-1,$AJ296)*OFFSET(载具产出!$N$49,MATCH(AN$6,$AK$6:$AN$6,0)-1,0)),OFFSET(载具产出!I$59,$AJ296-1,0)*10+OFFSET(载具产出!M$59,$AJ296-1,0)+($AI296*10-_xlfn.XLOOKUP($AJ296-1,载具产出!$D$59:$D$67,载具产出!$E$59:$E$67))/10*(10*OFFSET(载具产出!$D$45,MATCH(AN$6,$AK$6:$AN$6,0)-1,$AJ296)+OFFSET(载具产出!$D$49,MATCH(AN$6,$AK$6:$AN$6,0)-1,$AJ296)*OFFSET(载具产出!$N$49,MATCH(AN$6,$AK$6:$AN$6,0)-1,0)))</f>
        <v>477.405857142858</v>
      </c>
      <c r="AO296" s="44">
        <f ca="1" t="shared" si="81"/>
        <v>8453.2882857143</v>
      </c>
      <c r="AP296" s="44">
        <f ca="1" t="shared" si="82"/>
        <v>4762.80571428571</v>
      </c>
      <c r="AQ296" s="44">
        <f ca="1" t="shared" si="83"/>
        <v>2270.19123809524</v>
      </c>
      <c r="AR296" s="44">
        <f ca="1" t="shared" si="84"/>
        <v>498.365857142858</v>
      </c>
      <c r="AS296" s="45">
        <f ca="1">IFERROR(MATCH(AO296/载具产出!R$58,载具属性!$G$33:$G$92,1),0)</f>
        <v>42</v>
      </c>
      <c r="AT296" s="45">
        <f ca="1">IFERROR(MATCH(AP296/载具产出!S$58,载具属性!$G$33:$G$92,1),0)</f>
        <v>29</v>
      </c>
      <c r="AU296" s="45">
        <f ca="1">IFERROR(MATCH(AQ296/载具产出!T$58,载具属性!$G$33:$G$92,1),0)</f>
        <v>18</v>
      </c>
      <c r="AV296" s="45">
        <f ca="1">IFERROR(MATCH(AR296/载具产出!U$58,载具属性!$G$33:$G$92,1),0)</f>
        <v>8</v>
      </c>
      <c r="AW296" s="46" t="str">
        <f ca="1" t="shared" si="85"/>
        <v>[{62,1806},{63,238430},{2,696000},{6030001,5108},{6030002,5717},{6030003,2140},{6030004,57}]</v>
      </c>
      <c r="AX296" t="str">
        <f ca="1" t="shared" ref="AX296:BD296" si="89">IF(INT(K296)&lt;=0,"","{"&amp;K$5&amp;","&amp;INT(K296)&amp;"}")</f>
        <v>{62,1806}</v>
      </c>
      <c r="AY296" t="str">
        <f ca="1" t="shared" si="89"/>
        <v>{63,238430}</v>
      </c>
      <c r="AZ296" t="str">
        <f ca="1" t="shared" si="89"/>
        <v>{2,696000}</v>
      </c>
      <c r="BA296" t="str">
        <f ca="1" t="shared" si="89"/>
        <v>{6030001,5108}</v>
      </c>
      <c r="BB296" t="str">
        <f ca="1" t="shared" si="89"/>
        <v>{6030002,5717}</v>
      </c>
      <c r="BC296" t="str">
        <f ca="1" t="shared" si="89"/>
        <v>{6030003,2140}</v>
      </c>
      <c r="BD296" t="str">
        <f ca="1" t="shared" si="89"/>
        <v>{6030004,57}</v>
      </c>
    </row>
    <row r="297" spans="3:56">
      <c r="C297">
        <f ca="1" t="shared" si="80"/>
        <v>130.324074074074</v>
      </c>
      <c r="D297" s="40">
        <v>291</v>
      </c>
      <c r="E297" s="40">
        <f t="shared" si="76"/>
        <v>137</v>
      </c>
      <c r="F297" s="40">
        <f t="shared" si="75"/>
        <v>157</v>
      </c>
      <c r="G297" s="41">
        <f t="shared" si="78"/>
        <v>216</v>
      </c>
      <c r="H297" s="40">
        <f>H296+1</f>
        <v>288</v>
      </c>
      <c r="I297" s="40">
        <f t="shared" si="79"/>
        <v>608</v>
      </c>
      <c r="J297" s="40">
        <f t="shared" si="77"/>
        <v>608</v>
      </c>
      <c r="K297" s="40">
        <f ca="1">SUM(U$36:U297)-SUM(OFFSET(载具产出!H$399,0,0,$R297+1,1))</f>
        <v>1813</v>
      </c>
      <c r="L297" s="40">
        <f ca="1">SUM(T$36:T297)-SUM(OFFSET(载具产出!G$399,0,0,$R297+1,1))</f>
        <v>239595</v>
      </c>
      <c r="M297" s="40">
        <f ca="1">SUM(V$36:V297)/2-SUM(OFFSET(载具产出!I$399,0,0,$R297+1,1))</f>
        <v>699700</v>
      </c>
      <c r="N297" s="40">
        <f ca="1">SUM(AA$36:AA297)-SUM(OFFSET(载具产出!J$399,0,0,$R297+1,1))</f>
        <v>5126.6</v>
      </c>
      <c r="O297" s="40">
        <f ca="1">SUM(AB$36:AB297)-SUM(OFFSET(载具产出!K$399,0,0,$R297+1,1))</f>
        <v>5737.95999999996</v>
      </c>
      <c r="P297" s="40">
        <f ca="1">SUM(AC$36:AC297)-SUM(OFFSET(载具产出!L$399,0,0,$R297+1,1))</f>
        <v>2157.16</v>
      </c>
      <c r="Q297" s="40">
        <f ca="1">SUM(AD$36:AD297)-SUM(OFFSET(载具产出!M$399,0,0,$R297+1,1))</f>
        <v>59.28</v>
      </c>
      <c r="R297" s="40">
        <v>21</v>
      </c>
      <c r="S297" s="40" t="str">
        <f ca="1">OFFSET(载具产出!$D$111,IFERROR(MATCH(OFFSET($D297,0,MATCH($D$5,$E$6:$H$6,0)),载具产出!$E$112:$E$151,1),0),0)</f>
        <v>卓越Ⅲ</v>
      </c>
      <c r="T297" s="40">
        <f ca="1">OFFSET(载具产出!$F$399,IFERROR(MATCH(OFFSET($D297,0,MATCH($D$5,$E$6:$H$6,0)),载具产出!$E$400:$E$439,1),0),MATCH(T$6,载具产出!$G$399:$O$399,0))</f>
        <v>1165</v>
      </c>
      <c r="U297" s="40">
        <v>7</v>
      </c>
      <c r="V297" s="40">
        <f ca="1">OFFSET(载具产出!$F$399,IFERROR(MATCH(OFFSET($D297,0,MATCH($D$5,$E$6:$H$6,0)),载具产出!$E$400:$E$439,1),0),MATCH(V$6,载具产出!$G$399:$O$399,0))</f>
        <v>7400</v>
      </c>
      <c r="W297" s="43">
        <f ca="1">_xlfn.XLOOKUP(Z297,载具属性!$E$98:$E$497,载具属性!$G$98:$G$497)+6000+OFFSET(载具属性!L$33,AS297,0)*载具属性!M$30+OFFSET(载具属性!M$33,AT297,0)*载具属性!N$30+OFFSET(载具属性!N$33,AU297,0)*载具属性!O$30+OFFSET(载具属性!O$33,AV297,0)*载具属性!P$30</f>
        <v>28150</v>
      </c>
      <c r="X297" s="43">
        <f ca="1">_xlfn.XLOOKUP(Z297,载具属性!$E$98:$E$497,载具属性!$G$98:$G$497)</f>
        <v>14260</v>
      </c>
      <c r="Y297" s="43">
        <f ca="1">OFFSET(载具属性!L$33,AS297,0)*载具属性!M$30+OFFSET(载具属性!M$33,AT297,0)*载具属性!N$30+OFFSET(载具属性!N$33,AU297,0)*载具属性!O$30+OFFSET(载具属性!O$33,AV297,0)*载具属性!P$30</f>
        <v>7890</v>
      </c>
      <c r="Z297" s="40">
        <f ca="1">MATCH(SUM($T$7:T297),载具属性!$I$98:$I$497,1)</f>
        <v>198</v>
      </c>
      <c r="AA297" s="40">
        <f ca="1">OFFSET(载具产出!$F$399,IFERROR(MATCH(OFFSET($D297,0,MATCH($D$5,$E$6:$H$6,0)),载具产出!$E$112:$E$151,1),0),MATCH(AA$6,载具产出!$G$111:$O$111,0))*2</f>
        <v>18</v>
      </c>
      <c r="AB297" s="40">
        <f ca="1">OFFSET(载具产出!$F$399,IFERROR(MATCH(OFFSET($D297,0,MATCH($D$5,$E$6:$H$6,0)),载具产出!$E$112:$E$151,1),0),MATCH(AB$6,载具产出!$G$111:$O$111,0))*2</f>
        <v>20.32</v>
      </c>
      <c r="AC297" s="40">
        <f ca="1">OFFSET(载具产出!$F$399,IFERROR(MATCH(OFFSET($D297,0,MATCH($D$5,$E$6:$H$6,0)),载具产出!$E$112:$E$151,1),0),MATCH(AC$6,载具产出!$G$111:$O$111,0))*2</f>
        <v>16.24</v>
      </c>
      <c r="AD297" s="40">
        <f ca="1">OFFSET(载具产出!$F$399,IFERROR(MATCH(OFFSET($D297,0,MATCH($D$5,$E$6:$H$6,0)),载具产出!$E$112:$E$151,1),0),MATCH(AD$6,载具产出!$G$111:$O$111,0))*2</f>
        <v>1.44</v>
      </c>
      <c r="AE297" s="44">
        <f ca="1">SUM(AA$36:AA297)/3</f>
        <v>1790.8</v>
      </c>
      <c r="AF297" s="44">
        <f ca="1">SUM(AB$36:AB297)/3</f>
        <v>1982.61333333332</v>
      </c>
      <c r="AG297" s="44">
        <f ca="1">SUM(AC$36:AC297)/3</f>
        <v>744.479999999999</v>
      </c>
      <c r="AH297" s="44">
        <f ca="1">SUM(AD$36:AD297)/3</f>
        <v>21.44</v>
      </c>
      <c r="AI297" s="44">
        <f>_xlfn.XLOOKUP($D$5,载具产出!$D$71:$D$75,载具产出!$E$71:$E$75)*(D297-30+1)</f>
        <v>3081.61904761906</v>
      </c>
      <c r="AJ297" s="44">
        <f>IFERROR(MATCH(_xlfn.XLOOKUP($D$5,载具产出!$D$71:$D$75,载具产出!$E$71:$E$75)*(D297-30+1)*10,载具产出!$E$60:$E$67,1),0)+1</f>
        <v>7</v>
      </c>
      <c r="AK297" s="44">
        <f ca="1">IF($AJ297=1,($AI297)*(10*OFFSET(载具产出!$D$45,MATCH(AK$6,$AK$6:$AN$6,0)-1,$AJ297)+OFFSET(载具产出!$D$49,MATCH(AK$6,$AK$6:$AN$6,0)-1,$AJ297)*OFFSET(载具产出!$N$49,MATCH(AK$6,$AK$6:$AN$6,0)-1,0)),OFFSET(载具产出!F$59,$AJ297-1,0)*10+OFFSET(载具产出!J$59,$AJ297-1,0)+($AI297*10-_xlfn.XLOOKUP($AJ297-1,载具产出!$D$59:$D$67,载具产出!$E$59:$E$67))/10*(10*OFFSET(载具产出!$D$45,MATCH(AK$6,$AK$6:$AN$6,0)-1,$AJ297)+OFFSET(载具产出!$D$49,MATCH(AK$6,$AK$6:$AN$6,0)-1,$AJ297)*OFFSET(载具产出!$N$49,MATCH(AK$6,$AK$6:$AN$6,0)-1,0)))</f>
        <v>6693.32942857145</v>
      </c>
      <c r="AL297" s="44">
        <f ca="1">IF($AJ297=1,($AI297)*(10*OFFSET(载具产出!$D$45,MATCH(AL$6,$AK$6:$AN$6,0)-1,$AJ297)+OFFSET(载具产出!$D$49,MATCH(AL$6,$AK$6:$AN$6,0)-1,$AJ297)*OFFSET(载具产出!$N$49,MATCH(AL$6,$AK$6:$AN$6,0)-1,0)),OFFSET(载具产出!G$59,$AJ297-1,0)*10+OFFSET(载具产出!K$59,$AJ297-1,0)+($AI297*10-_xlfn.XLOOKUP($AJ297-1,载具产出!$D$59:$D$67,载具产出!$E$59:$E$67))/10*(10*OFFSET(载具产出!$D$45,MATCH(AL$6,$AK$6:$AN$6,0)-1,$AJ297)+OFFSET(载具产出!$D$49,MATCH(AL$6,$AK$6:$AN$6,0)-1,$AJ297)*OFFSET(载具产出!$N$49,MATCH(AL$6,$AK$6:$AN$6,0)-1,0)))</f>
        <v>2798.02190476192</v>
      </c>
      <c r="AM297" s="44">
        <f ca="1">IF($AJ297=1,($AI297)*(10*OFFSET(载具产出!$D$45,MATCH(AM$6,$AK$6:$AN$6,0)-1,$AJ297)+OFFSET(载具产出!$D$49,MATCH(AM$6,$AK$6:$AN$6,0)-1,$AJ297)*OFFSET(载具产出!$N$49,MATCH(AM$6,$AK$6:$AN$6,0)-1,0)),OFFSET(载具产出!H$59,$AJ297-1,0)*10+OFFSET(载具产出!L$59,$AJ297-1,0)+($AI297*10-_xlfn.XLOOKUP($AJ297-1,载具产出!$D$59:$D$67,载具产出!$E$59:$E$67))/10*(10*OFFSET(载具产出!$D$45,MATCH(AM$6,$AK$6:$AN$6,0)-1,$AJ297)+OFFSET(载具产出!$D$49,MATCH(AM$6,$AK$6:$AN$6,0)-1,$AJ297)*OFFSET(载具产出!$N$49,MATCH(AM$6,$AK$6:$AN$6,0)-1,0)))</f>
        <v>1537.33485714286</v>
      </c>
      <c r="AN297" s="44">
        <f ca="1">IF($AJ297=1,($AI297)*(10*OFFSET(载具产出!$D$45,MATCH(AN$6,$AK$6:$AN$6,0)-1,$AJ297)+OFFSET(载具产出!$D$49,MATCH(AN$6,$AK$6:$AN$6,0)-1,$AJ297)*OFFSET(载具产出!$N$49,MATCH(AN$6,$AK$6:$AN$6,0)-1,0)),OFFSET(载具产出!I$59,$AJ297-1,0)*10+OFFSET(载具产出!M$59,$AJ297-1,0)+($AI297*10-_xlfn.XLOOKUP($AJ297-1,载具产出!$D$59:$D$67,载具产出!$E$59:$E$67))/10*(10*OFFSET(载具产出!$D$45,MATCH(AN$6,$AK$6:$AN$6,0)-1,$AJ297)+OFFSET(载具产出!$D$49,MATCH(AN$6,$AK$6:$AN$6,0)-1,$AJ297)*OFFSET(载具产出!$N$49,MATCH(AN$6,$AK$6:$AN$6,0)-1,0)))</f>
        <v>479.393619047621</v>
      </c>
      <c r="AO297" s="44">
        <f ca="1" t="shared" si="81"/>
        <v>8484.12942857145</v>
      </c>
      <c r="AP297" s="44">
        <f ca="1" t="shared" si="82"/>
        <v>4780.63523809524</v>
      </c>
      <c r="AQ297" s="44">
        <f ca="1" t="shared" si="83"/>
        <v>2281.81485714286</v>
      </c>
      <c r="AR297" s="44">
        <f ca="1" t="shared" si="84"/>
        <v>500.833619047621</v>
      </c>
      <c r="AS297" s="45">
        <f ca="1">IFERROR(MATCH(AO297/载具产出!R$58,载具属性!$G$33:$G$92,1),0)</f>
        <v>42</v>
      </c>
      <c r="AT297" s="45">
        <f ca="1">IFERROR(MATCH(AP297/载具产出!S$58,载具属性!$G$33:$G$92,1),0)</f>
        <v>29</v>
      </c>
      <c r="AU297" s="45">
        <f ca="1">IFERROR(MATCH(AQ297/载具产出!T$58,载具属性!$G$33:$G$92,1),0)</f>
        <v>18</v>
      </c>
      <c r="AV297" s="45">
        <f ca="1">IFERROR(MATCH(AR297/载具产出!U$58,载具属性!$G$33:$G$92,1),0)</f>
        <v>8</v>
      </c>
      <c r="AW297" s="46" t="str">
        <f ca="1" t="shared" si="85"/>
        <v>[{62,1813},{63,239595},{2,699700},{6030001,5126},{6030002,5737},{6030003,2157},{6030004,59}]</v>
      </c>
      <c r="AX297" t="str">
        <f ca="1" t="shared" ref="AX297:BD297" si="90">IF(INT(K297)&lt;=0,"","{"&amp;K$5&amp;","&amp;INT(K297)&amp;"}")</f>
        <v>{62,1813}</v>
      </c>
      <c r="AY297" t="str">
        <f ca="1" t="shared" si="90"/>
        <v>{63,239595}</v>
      </c>
      <c r="AZ297" t="str">
        <f ca="1" t="shared" si="90"/>
        <v>{2,699700}</v>
      </c>
      <c r="BA297" t="str">
        <f ca="1" t="shared" si="90"/>
        <v>{6030001,5126}</v>
      </c>
      <c r="BB297" t="str">
        <f ca="1" t="shared" si="90"/>
        <v>{6030002,5737}</v>
      </c>
      <c r="BC297" t="str">
        <f ca="1" t="shared" si="90"/>
        <v>{6030003,2157}</v>
      </c>
      <c r="BD297" t="str">
        <f ca="1" t="shared" si="90"/>
        <v>{6030004,59}</v>
      </c>
    </row>
    <row r="298" spans="3:56">
      <c r="C298">
        <f ca="1" t="shared" si="80"/>
        <v>130.161290322581</v>
      </c>
      <c r="D298" s="40">
        <v>292</v>
      </c>
      <c r="E298" s="40">
        <f t="shared" si="76"/>
        <v>137</v>
      </c>
      <c r="F298" s="40">
        <f t="shared" si="75"/>
        <v>157</v>
      </c>
      <c r="G298" s="41">
        <f t="shared" si="78"/>
        <v>217</v>
      </c>
      <c r="H298" s="40">
        <f>H297</f>
        <v>288</v>
      </c>
      <c r="I298" s="40">
        <f t="shared" si="79"/>
        <v>610</v>
      </c>
      <c r="J298" s="40">
        <f t="shared" si="77"/>
        <v>610</v>
      </c>
      <c r="K298" s="40">
        <f ca="1">SUM(U$36:U298)-SUM(OFFSET(载具产出!H$399,0,0,$R298+1,1))</f>
        <v>1820</v>
      </c>
      <c r="L298" s="40">
        <f ca="1">SUM(T$36:T298)-SUM(OFFSET(载具产出!G$399,0,0,$R298+1,1))</f>
        <v>240760</v>
      </c>
      <c r="M298" s="40">
        <f ca="1">SUM(V$36:V298)/2-SUM(OFFSET(载具产出!I$399,0,0,$R298+1,1))</f>
        <v>703400</v>
      </c>
      <c r="N298" s="40">
        <f ca="1">SUM(AA$36:AA298)-SUM(OFFSET(载具产出!J$399,0,0,$R298+1,1))</f>
        <v>5144.6</v>
      </c>
      <c r="O298" s="40">
        <f ca="1">SUM(AB$36:AB298)-SUM(OFFSET(载具产出!K$399,0,0,$R298+1,1))</f>
        <v>5758.27999999996</v>
      </c>
      <c r="P298" s="40">
        <f ca="1">SUM(AC$36:AC298)-SUM(OFFSET(载具产出!L$399,0,0,$R298+1,1))</f>
        <v>2173.4</v>
      </c>
      <c r="Q298" s="40">
        <f ca="1">SUM(AD$36:AD298)-SUM(OFFSET(载具产出!M$399,0,0,$R298+1,1))</f>
        <v>60.72</v>
      </c>
      <c r="R298" s="40">
        <v>21</v>
      </c>
      <c r="S298" s="40" t="str">
        <f ca="1">OFFSET(载具产出!$D$111,IFERROR(MATCH(OFFSET($D298,0,MATCH($D$5,$E$6:$H$6,0)),载具产出!$E$112:$E$151,1),0),0)</f>
        <v>卓越Ⅲ</v>
      </c>
      <c r="T298" s="40">
        <f ca="1">OFFSET(载具产出!$F$399,IFERROR(MATCH(OFFSET($D298,0,MATCH($D$5,$E$6:$H$6,0)),载具产出!$E$400:$E$439,1),0),MATCH(T$6,载具产出!$G$399:$O$399,0))</f>
        <v>1165</v>
      </c>
      <c r="U298" s="40">
        <v>7</v>
      </c>
      <c r="V298" s="40">
        <f ca="1">OFFSET(载具产出!$F$399,IFERROR(MATCH(OFFSET($D298,0,MATCH($D$5,$E$6:$H$6,0)),载具产出!$E$400:$E$439,1),0),MATCH(V$6,载具产出!$G$399:$O$399,0))</f>
        <v>7400</v>
      </c>
      <c r="W298" s="43">
        <f ca="1">_xlfn.XLOOKUP(Z298,载具属性!$E$98:$E$497,载具属性!$G$98:$G$497)+6000+OFFSET(载具属性!L$33,AS298,0)*载具属性!M$30+OFFSET(载具属性!M$33,AT298,0)*载具属性!N$30+OFFSET(载具属性!N$33,AU298,0)*载具属性!O$30+OFFSET(载具属性!O$33,AV298,0)*载具属性!P$30</f>
        <v>28245</v>
      </c>
      <c r="X298" s="43">
        <f ca="1">_xlfn.XLOOKUP(Z298,载具属性!$E$98:$E$497,载具属性!$G$98:$G$497)</f>
        <v>14355</v>
      </c>
      <c r="Y298" s="43">
        <f ca="1">OFFSET(载具属性!L$33,AS298,0)*载具属性!M$30+OFFSET(载具属性!M$33,AT298,0)*载具属性!N$30+OFFSET(载具属性!N$33,AU298,0)*载具属性!O$30+OFFSET(载具属性!O$33,AV298,0)*载具属性!P$30</f>
        <v>7890</v>
      </c>
      <c r="Z298" s="40">
        <f ca="1">MATCH(SUM($T$7:T298),载具属性!$I$98:$I$497,1)</f>
        <v>199</v>
      </c>
      <c r="AA298" s="40">
        <f ca="1">OFFSET(载具产出!$F$399,IFERROR(MATCH(OFFSET($D298,0,MATCH($D$5,$E$6:$H$6,0)),载具产出!$E$112:$E$151,1),0),MATCH(AA$6,载具产出!$G$111:$O$111,0))*2</f>
        <v>18</v>
      </c>
      <c r="AB298" s="40">
        <f ca="1">OFFSET(载具产出!$F$399,IFERROR(MATCH(OFFSET($D298,0,MATCH($D$5,$E$6:$H$6,0)),载具产出!$E$112:$E$151,1),0),MATCH(AB$6,载具产出!$G$111:$O$111,0))*2</f>
        <v>20.32</v>
      </c>
      <c r="AC298" s="40">
        <f ca="1">OFFSET(载具产出!$F$399,IFERROR(MATCH(OFFSET($D298,0,MATCH($D$5,$E$6:$H$6,0)),载具产出!$E$112:$E$151,1),0),MATCH(AC$6,载具产出!$G$111:$O$111,0))*2</f>
        <v>16.24</v>
      </c>
      <c r="AD298" s="40">
        <f ca="1">OFFSET(载具产出!$F$399,IFERROR(MATCH(OFFSET($D298,0,MATCH($D$5,$E$6:$H$6,0)),载具产出!$E$112:$E$151,1),0),MATCH(AD$6,载具产出!$G$111:$O$111,0))*2</f>
        <v>1.44</v>
      </c>
      <c r="AE298" s="44">
        <f ca="1">SUM(AA$36:AA298)/3</f>
        <v>1796.8</v>
      </c>
      <c r="AF298" s="44">
        <f ca="1">SUM(AB$36:AB298)/3</f>
        <v>1989.38666666665</v>
      </c>
      <c r="AG298" s="44">
        <f ca="1">SUM(AC$36:AC298)/3</f>
        <v>749.893333333332</v>
      </c>
      <c r="AH298" s="44">
        <f ca="1">SUM(AD$36:AD298)/3</f>
        <v>21.92</v>
      </c>
      <c r="AI298" s="44">
        <f>_xlfn.XLOOKUP($D$5,载具产出!$D$71:$D$75,载具产出!$E$71:$E$75)*(D298-30+1)</f>
        <v>3093.38095238096</v>
      </c>
      <c r="AJ298" s="44">
        <f>IFERROR(MATCH(_xlfn.XLOOKUP($D$5,载具产出!$D$71:$D$75,载具产出!$E$71:$E$75)*(D298-30+1)*10,载具产出!$E$60:$E$67,1),0)+1</f>
        <v>7</v>
      </c>
      <c r="AK298" s="44">
        <f ca="1">IF($AJ298=1,($AI298)*(10*OFFSET(载具产出!$D$45,MATCH(AK$6,$AK$6:$AN$6,0)-1,$AJ298)+OFFSET(载具产出!$D$49,MATCH(AK$6,$AK$6:$AN$6,0)-1,$AJ298)*OFFSET(载具产出!$N$49,MATCH(AK$6,$AK$6:$AN$6,0)-1,0)),OFFSET(载具产出!F$59,$AJ298-1,0)*10+OFFSET(载具产出!J$59,$AJ298-1,0)+($AI298*10-_xlfn.XLOOKUP($AJ298-1,载具产出!$D$59:$D$67,载具产出!$E$59:$E$67))/10*(10*OFFSET(载具产出!$D$45,MATCH(AK$6,$AK$6:$AN$6,0)-1,$AJ298)+OFFSET(载具产出!$D$49,MATCH(AK$6,$AK$6:$AN$6,0)-1,$AJ298)*OFFSET(载具产出!$N$49,MATCH(AK$6,$AK$6:$AN$6,0)-1,0)))</f>
        <v>6718.17057142859</v>
      </c>
      <c r="AL298" s="44">
        <f ca="1">IF($AJ298=1,($AI298)*(10*OFFSET(载具产出!$D$45,MATCH(AL$6,$AK$6:$AN$6,0)-1,$AJ298)+OFFSET(载具产出!$D$49,MATCH(AL$6,$AK$6:$AN$6,0)-1,$AJ298)*OFFSET(载具产出!$N$49,MATCH(AL$6,$AK$6:$AN$6,0)-1,0)),OFFSET(载具产出!G$59,$AJ298-1,0)*10+OFFSET(载具产出!K$59,$AJ298-1,0)+($AI298*10-_xlfn.XLOOKUP($AJ298-1,载具产出!$D$59:$D$67,载具产出!$E$59:$E$67))/10*(10*OFFSET(载具产出!$D$45,MATCH(AL$6,$AK$6:$AN$6,0)-1,$AJ298)+OFFSET(载具产出!$D$49,MATCH(AL$6,$AK$6:$AN$6,0)-1,$AJ298)*OFFSET(载具产出!$N$49,MATCH(AL$6,$AK$6:$AN$6,0)-1,0)))</f>
        <v>2809.0780952381</v>
      </c>
      <c r="AM298" s="44">
        <f ca="1">IF($AJ298=1,($AI298)*(10*OFFSET(载具产出!$D$45,MATCH(AM$6,$AK$6:$AN$6,0)-1,$AJ298)+OFFSET(载具产出!$D$49,MATCH(AM$6,$AK$6:$AN$6,0)-1,$AJ298)*OFFSET(载具产出!$N$49,MATCH(AM$6,$AK$6:$AN$6,0)-1,0)),OFFSET(载具产出!H$59,$AJ298-1,0)*10+OFFSET(载具产出!L$59,$AJ298-1,0)+($AI298*10-_xlfn.XLOOKUP($AJ298-1,载具产出!$D$59:$D$67,载具产出!$E$59:$E$67))/10*(10*OFFSET(载具产出!$D$45,MATCH(AM$6,$AK$6:$AN$6,0)-1,$AJ298)+OFFSET(载具产出!$D$49,MATCH(AM$6,$AK$6:$AN$6,0)-1,$AJ298)*OFFSET(载具产出!$N$49,MATCH(AM$6,$AK$6:$AN$6,0)-1,0)))</f>
        <v>1543.54514285715</v>
      </c>
      <c r="AN298" s="44">
        <f ca="1">IF($AJ298=1,($AI298)*(10*OFFSET(载具产出!$D$45,MATCH(AN$6,$AK$6:$AN$6,0)-1,$AJ298)+OFFSET(载具产出!$D$49,MATCH(AN$6,$AK$6:$AN$6,0)-1,$AJ298)*OFFSET(载具产出!$N$49,MATCH(AN$6,$AK$6:$AN$6,0)-1,0)),OFFSET(载具产出!I$59,$AJ298-1,0)*10+OFFSET(载具产出!M$59,$AJ298-1,0)+($AI298*10-_xlfn.XLOOKUP($AJ298-1,载具产出!$D$59:$D$67,载具产出!$E$59:$E$67))/10*(10*OFFSET(载具产出!$D$45,MATCH(AN$6,$AK$6:$AN$6,0)-1,$AJ298)+OFFSET(载具产出!$D$49,MATCH(AN$6,$AK$6:$AN$6,0)-1,$AJ298)*OFFSET(载具产出!$N$49,MATCH(AN$6,$AK$6:$AN$6,0)-1,0)))</f>
        <v>481.381380952382</v>
      </c>
      <c r="AO298" s="44">
        <f ca="1" t="shared" si="81"/>
        <v>8514.97057142859</v>
      </c>
      <c r="AP298" s="44">
        <f ca="1" t="shared" si="82"/>
        <v>4798.46476190476</v>
      </c>
      <c r="AQ298" s="44">
        <f ca="1" t="shared" si="83"/>
        <v>2293.43847619048</v>
      </c>
      <c r="AR298" s="44">
        <f ca="1" t="shared" si="84"/>
        <v>503.301380952382</v>
      </c>
      <c r="AS298" s="45">
        <f ca="1">IFERROR(MATCH(AO298/载具产出!R$58,载具属性!$G$33:$G$92,1),0)</f>
        <v>42</v>
      </c>
      <c r="AT298" s="45">
        <f ca="1">IFERROR(MATCH(AP298/载具产出!S$58,载具属性!$G$33:$G$92,1),0)</f>
        <v>29</v>
      </c>
      <c r="AU298" s="45">
        <f ca="1">IFERROR(MATCH(AQ298/载具产出!T$58,载具属性!$G$33:$G$92,1),0)</f>
        <v>18</v>
      </c>
      <c r="AV298" s="45">
        <f ca="1">IFERROR(MATCH(AR298/载具产出!U$58,载具属性!$G$33:$G$92,1),0)</f>
        <v>8</v>
      </c>
      <c r="AW298" s="46" t="str">
        <f ca="1" t="shared" si="85"/>
        <v>[{62,1820},{63,240760},{2,703400},{6030001,5144},{6030002,5758},{6030003,2173},{6030004,60}]</v>
      </c>
      <c r="AX298" t="str">
        <f ca="1" t="shared" ref="AX298:BD298" si="91">IF(INT(K298)&lt;=0,"","{"&amp;K$5&amp;","&amp;INT(K298)&amp;"}")</f>
        <v>{62,1820}</v>
      </c>
      <c r="AY298" t="str">
        <f ca="1" t="shared" si="91"/>
        <v>{63,240760}</v>
      </c>
      <c r="AZ298" t="str">
        <f ca="1" t="shared" si="91"/>
        <v>{2,703400}</v>
      </c>
      <c r="BA298" t="str">
        <f ca="1" t="shared" si="91"/>
        <v>{6030001,5144}</v>
      </c>
      <c r="BB298" t="str">
        <f ca="1" t="shared" si="91"/>
        <v>{6030002,5758}</v>
      </c>
      <c r="BC298" t="str">
        <f ca="1" t="shared" si="91"/>
        <v>{6030003,2173}</v>
      </c>
      <c r="BD298" t="str">
        <f ca="1" t="shared" si="91"/>
        <v>{6030004,60}</v>
      </c>
    </row>
    <row r="299" spans="3:56">
      <c r="C299">
        <f ca="1" t="shared" si="80"/>
        <v>130.161290322581</v>
      </c>
      <c r="D299" s="40">
        <v>293</v>
      </c>
      <c r="E299" s="40">
        <f t="shared" si="76"/>
        <v>137</v>
      </c>
      <c r="F299" s="40">
        <f t="shared" si="75"/>
        <v>157</v>
      </c>
      <c r="G299" s="41">
        <f t="shared" si="78"/>
        <v>217</v>
      </c>
      <c r="H299" s="40">
        <f>H298+1</f>
        <v>289</v>
      </c>
      <c r="I299" s="40">
        <f t="shared" si="79"/>
        <v>612</v>
      </c>
      <c r="J299" s="40">
        <f t="shared" si="77"/>
        <v>612</v>
      </c>
      <c r="K299" s="40">
        <f ca="1">SUM(U$36:U299)-SUM(OFFSET(载具产出!H$399,0,0,$R299+1,1))</f>
        <v>1827</v>
      </c>
      <c r="L299" s="40">
        <f ca="1">SUM(T$36:T299)-SUM(OFFSET(载具产出!G$399,0,0,$R299+1,1))</f>
        <v>241925</v>
      </c>
      <c r="M299" s="40">
        <f ca="1">SUM(V$36:V299)/2-SUM(OFFSET(载具产出!I$399,0,0,$R299+1,1))</f>
        <v>707100</v>
      </c>
      <c r="N299" s="40">
        <f ca="1">SUM(AA$36:AA299)-SUM(OFFSET(载具产出!J$399,0,0,$R299+1,1))</f>
        <v>5162.6</v>
      </c>
      <c r="O299" s="40">
        <f ca="1">SUM(AB$36:AB299)-SUM(OFFSET(载具产出!K$399,0,0,$R299+1,1))</f>
        <v>5778.59999999996</v>
      </c>
      <c r="P299" s="40">
        <f ca="1">SUM(AC$36:AC299)-SUM(OFFSET(载具产出!L$399,0,0,$R299+1,1))</f>
        <v>2189.64</v>
      </c>
      <c r="Q299" s="40">
        <f ca="1">SUM(AD$36:AD299)-SUM(OFFSET(载具产出!M$399,0,0,$R299+1,1))</f>
        <v>62.16</v>
      </c>
      <c r="R299" s="40">
        <v>21</v>
      </c>
      <c r="S299" s="40" t="str">
        <f ca="1">OFFSET(载具产出!$D$111,IFERROR(MATCH(OFFSET($D299,0,MATCH($D$5,$E$6:$H$6,0)),载具产出!$E$112:$E$151,1),0),0)</f>
        <v>卓越Ⅲ</v>
      </c>
      <c r="T299" s="40">
        <f ca="1">OFFSET(载具产出!$F$399,IFERROR(MATCH(OFFSET($D299,0,MATCH($D$5,$E$6:$H$6,0)),载具产出!$E$400:$E$439,1),0),MATCH(T$6,载具产出!$G$399:$O$399,0))</f>
        <v>1165</v>
      </c>
      <c r="U299" s="40">
        <v>7</v>
      </c>
      <c r="V299" s="40">
        <f ca="1">OFFSET(载具产出!$F$399,IFERROR(MATCH(OFFSET($D299,0,MATCH($D$5,$E$6:$H$6,0)),载具产出!$E$400:$E$439,1),0),MATCH(V$6,载具产出!$G$399:$O$399,0))</f>
        <v>7400</v>
      </c>
      <c r="W299" s="43">
        <f ca="1">_xlfn.XLOOKUP(Z299,载具属性!$E$98:$E$497,载具属性!$G$98:$G$497)+6000+OFFSET(载具属性!L$33,AS299,0)*载具属性!M$30+OFFSET(载具属性!M$33,AT299,0)*载具属性!N$30+OFFSET(载具属性!N$33,AU299,0)*载具属性!O$30+OFFSET(载具属性!O$33,AV299,0)*载具属性!P$30</f>
        <v>28245</v>
      </c>
      <c r="X299" s="43">
        <f ca="1">_xlfn.XLOOKUP(Z299,载具属性!$E$98:$E$497,载具属性!$G$98:$G$497)</f>
        <v>14355</v>
      </c>
      <c r="Y299" s="43">
        <f ca="1">OFFSET(载具属性!L$33,AS299,0)*载具属性!M$30+OFFSET(载具属性!M$33,AT299,0)*载具属性!N$30+OFFSET(载具属性!N$33,AU299,0)*载具属性!O$30+OFFSET(载具属性!O$33,AV299,0)*载具属性!P$30</f>
        <v>7890</v>
      </c>
      <c r="Z299" s="40">
        <f ca="1">MATCH(SUM($T$7:T299),载具属性!$I$98:$I$497,1)</f>
        <v>199</v>
      </c>
      <c r="AA299" s="40">
        <f ca="1">OFFSET(载具产出!$F$399,IFERROR(MATCH(OFFSET($D299,0,MATCH($D$5,$E$6:$H$6,0)),载具产出!$E$112:$E$151,1),0),MATCH(AA$6,载具产出!$G$111:$O$111,0))*2</f>
        <v>18</v>
      </c>
      <c r="AB299" s="40">
        <f ca="1">OFFSET(载具产出!$F$399,IFERROR(MATCH(OFFSET($D299,0,MATCH($D$5,$E$6:$H$6,0)),载具产出!$E$112:$E$151,1),0),MATCH(AB$6,载具产出!$G$111:$O$111,0))*2</f>
        <v>20.32</v>
      </c>
      <c r="AC299" s="40">
        <f ca="1">OFFSET(载具产出!$F$399,IFERROR(MATCH(OFFSET($D299,0,MATCH($D$5,$E$6:$H$6,0)),载具产出!$E$112:$E$151,1),0),MATCH(AC$6,载具产出!$G$111:$O$111,0))*2</f>
        <v>16.24</v>
      </c>
      <c r="AD299" s="40">
        <f ca="1">OFFSET(载具产出!$F$399,IFERROR(MATCH(OFFSET($D299,0,MATCH($D$5,$E$6:$H$6,0)),载具产出!$E$112:$E$151,1),0),MATCH(AD$6,载具产出!$G$111:$O$111,0))*2</f>
        <v>1.44</v>
      </c>
      <c r="AE299" s="44">
        <f ca="1">SUM(AA$36:AA299)/3</f>
        <v>1802.8</v>
      </c>
      <c r="AF299" s="44">
        <f ca="1">SUM(AB$36:AB299)/3</f>
        <v>1996.15999999999</v>
      </c>
      <c r="AG299" s="44">
        <f ca="1">SUM(AC$36:AC299)/3</f>
        <v>755.306666666665</v>
      </c>
      <c r="AH299" s="44">
        <f ca="1">SUM(AD$36:AD299)/3</f>
        <v>22.4</v>
      </c>
      <c r="AI299" s="44">
        <f>_xlfn.XLOOKUP($D$5,载具产出!$D$71:$D$75,载具产出!$E$71:$E$75)*(D299-30+1)</f>
        <v>3105.14285714287</v>
      </c>
      <c r="AJ299" s="44">
        <f>IFERROR(MATCH(_xlfn.XLOOKUP($D$5,载具产出!$D$71:$D$75,载具产出!$E$71:$E$75)*(D299-30+1)*10,载具产出!$E$60:$E$67,1),0)+1</f>
        <v>7</v>
      </c>
      <c r="AK299" s="44">
        <f ca="1">IF($AJ299=1,($AI299)*(10*OFFSET(载具产出!$D$45,MATCH(AK$6,$AK$6:$AN$6,0)-1,$AJ299)+OFFSET(载具产出!$D$49,MATCH(AK$6,$AK$6:$AN$6,0)-1,$AJ299)*OFFSET(载具产出!$N$49,MATCH(AK$6,$AK$6:$AN$6,0)-1,0)),OFFSET(载具产出!F$59,$AJ299-1,0)*10+OFFSET(载具产出!J$59,$AJ299-1,0)+($AI299*10-_xlfn.XLOOKUP($AJ299-1,载具产出!$D$59:$D$67,载具产出!$E$59:$E$67))/10*(10*OFFSET(载具产出!$D$45,MATCH(AK$6,$AK$6:$AN$6,0)-1,$AJ299)+OFFSET(载具产出!$D$49,MATCH(AK$6,$AK$6:$AN$6,0)-1,$AJ299)*OFFSET(载具产出!$N$49,MATCH(AK$6,$AK$6:$AN$6,0)-1,0)))</f>
        <v>6743.01171428574</v>
      </c>
      <c r="AL299" s="44">
        <f ca="1">IF($AJ299=1,($AI299)*(10*OFFSET(载具产出!$D$45,MATCH(AL$6,$AK$6:$AN$6,0)-1,$AJ299)+OFFSET(载具产出!$D$49,MATCH(AL$6,$AK$6:$AN$6,0)-1,$AJ299)*OFFSET(载具产出!$N$49,MATCH(AL$6,$AK$6:$AN$6,0)-1,0)),OFFSET(载具产出!G$59,$AJ299-1,0)*10+OFFSET(载具产出!K$59,$AJ299-1,0)+($AI299*10-_xlfn.XLOOKUP($AJ299-1,载具产出!$D$59:$D$67,载具产出!$E$59:$E$67))/10*(10*OFFSET(载具产出!$D$45,MATCH(AL$6,$AK$6:$AN$6,0)-1,$AJ299)+OFFSET(载具产出!$D$49,MATCH(AL$6,$AK$6:$AN$6,0)-1,$AJ299)*OFFSET(载具产出!$N$49,MATCH(AL$6,$AK$6:$AN$6,0)-1,0)))</f>
        <v>2820.1342857143</v>
      </c>
      <c r="AM299" s="44">
        <f ca="1">IF($AJ299=1,($AI299)*(10*OFFSET(载具产出!$D$45,MATCH(AM$6,$AK$6:$AN$6,0)-1,$AJ299)+OFFSET(载具产出!$D$49,MATCH(AM$6,$AK$6:$AN$6,0)-1,$AJ299)*OFFSET(载具产出!$N$49,MATCH(AM$6,$AK$6:$AN$6,0)-1,0)),OFFSET(载具产出!H$59,$AJ299-1,0)*10+OFFSET(载具产出!L$59,$AJ299-1,0)+($AI299*10-_xlfn.XLOOKUP($AJ299-1,载具产出!$D$59:$D$67,载具产出!$E$59:$E$67))/10*(10*OFFSET(载具产出!$D$45,MATCH(AM$6,$AK$6:$AN$6,0)-1,$AJ299)+OFFSET(载具产出!$D$49,MATCH(AM$6,$AK$6:$AN$6,0)-1,$AJ299)*OFFSET(载具产出!$N$49,MATCH(AM$6,$AK$6:$AN$6,0)-1,0)))</f>
        <v>1549.75542857144</v>
      </c>
      <c r="AN299" s="44">
        <f ca="1">IF($AJ299=1,($AI299)*(10*OFFSET(载具产出!$D$45,MATCH(AN$6,$AK$6:$AN$6,0)-1,$AJ299)+OFFSET(载具产出!$D$49,MATCH(AN$6,$AK$6:$AN$6,0)-1,$AJ299)*OFFSET(载具产出!$N$49,MATCH(AN$6,$AK$6:$AN$6,0)-1,0)),OFFSET(载具产出!I$59,$AJ299-1,0)*10+OFFSET(载具产出!M$59,$AJ299-1,0)+($AI299*10-_xlfn.XLOOKUP($AJ299-1,载具产出!$D$59:$D$67,载具产出!$E$59:$E$67))/10*(10*OFFSET(载具产出!$D$45,MATCH(AN$6,$AK$6:$AN$6,0)-1,$AJ299)+OFFSET(载具产出!$D$49,MATCH(AN$6,$AK$6:$AN$6,0)-1,$AJ299)*OFFSET(载具产出!$N$49,MATCH(AN$6,$AK$6:$AN$6,0)-1,0)))</f>
        <v>483.369142857145</v>
      </c>
      <c r="AO299" s="44">
        <f ca="1" t="shared" si="81"/>
        <v>8545.81171428574</v>
      </c>
      <c r="AP299" s="44">
        <f ca="1" t="shared" si="82"/>
        <v>4816.29428571429</v>
      </c>
      <c r="AQ299" s="44">
        <f ca="1" t="shared" si="83"/>
        <v>2305.0620952381</v>
      </c>
      <c r="AR299" s="44">
        <f ca="1" t="shared" si="84"/>
        <v>505.769142857145</v>
      </c>
      <c r="AS299" s="45">
        <f ca="1">IFERROR(MATCH(AO299/载具产出!R$58,载具属性!$G$33:$G$92,1),0)</f>
        <v>42</v>
      </c>
      <c r="AT299" s="45">
        <f ca="1">IFERROR(MATCH(AP299/载具产出!S$58,载具属性!$G$33:$G$92,1),0)</f>
        <v>29</v>
      </c>
      <c r="AU299" s="45">
        <f ca="1">IFERROR(MATCH(AQ299/载具产出!T$58,载具属性!$G$33:$G$92,1),0)</f>
        <v>18</v>
      </c>
      <c r="AV299" s="45">
        <f ca="1">IFERROR(MATCH(AR299/载具产出!U$58,载具属性!$G$33:$G$92,1),0)</f>
        <v>8</v>
      </c>
      <c r="AW299" s="46" t="str">
        <f ca="1" t="shared" si="85"/>
        <v>[{62,1827},{63,241925},{2,707100},{6030001,5162},{6030002,5778},{6030003,2189},{6030004,62}]</v>
      </c>
      <c r="AX299" t="str">
        <f ca="1" t="shared" ref="AX299:BD299" si="92">IF(INT(K299)&lt;=0,"","{"&amp;K$5&amp;","&amp;INT(K299)&amp;"}")</f>
        <v>{62,1827}</v>
      </c>
      <c r="AY299" t="str">
        <f ca="1" t="shared" si="92"/>
        <v>{63,241925}</v>
      </c>
      <c r="AZ299" t="str">
        <f ca="1" t="shared" si="92"/>
        <v>{2,707100}</v>
      </c>
      <c r="BA299" t="str">
        <f ca="1" t="shared" si="92"/>
        <v>{6030001,5162}</v>
      </c>
      <c r="BB299" t="str">
        <f ca="1" t="shared" si="92"/>
        <v>{6030002,5778}</v>
      </c>
      <c r="BC299" t="str">
        <f ca="1" t="shared" si="92"/>
        <v>{6030003,2189}</v>
      </c>
      <c r="BD299" t="str">
        <f ca="1" t="shared" si="92"/>
        <v>{6030004,62}</v>
      </c>
    </row>
    <row r="300" spans="3:56">
      <c r="C300">
        <f ca="1" t="shared" si="80"/>
        <v>130.599078341014</v>
      </c>
      <c r="D300" s="40">
        <v>294</v>
      </c>
      <c r="E300" s="40">
        <f t="shared" si="76"/>
        <v>137</v>
      </c>
      <c r="F300" s="40">
        <f t="shared" si="75"/>
        <v>158</v>
      </c>
      <c r="G300" s="41">
        <f t="shared" si="78"/>
        <v>217</v>
      </c>
      <c r="H300" s="40">
        <f>H299</f>
        <v>289</v>
      </c>
      <c r="I300" s="40">
        <f t="shared" si="79"/>
        <v>614</v>
      </c>
      <c r="J300" s="40">
        <f t="shared" si="77"/>
        <v>614</v>
      </c>
      <c r="K300" s="40">
        <f ca="1">SUM(U$36:U300)-SUM(OFFSET(载具产出!H$399,0,0,$R300+1,1))</f>
        <v>1834</v>
      </c>
      <c r="L300" s="40">
        <f ca="1">SUM(T$36:T300)-SUM(OFFSET(载具产出!G$399,0,0,$R300+1,1))</f>
        <v>243090</v>
      </c>
      <c r="M300" s="40">
        <f ca="1">SUM(V$36:V300)/2-SUM(OFFSET(载具产出!I$399,0,0,$R300+1,1))</f>
        <v>710800</v>
      </c>
      <c r="N300" s="40">
        <f ca="1">SUM(AA$36:AA300)-SUM(OFFSET(载具产出!J$399,0,0,$R300+1,1))</f>
        <v>5180.6</v>
      </c>
      <c r="O300" s="40">
        <f ca="1">SUM(AB$36:AB300)-SUM(OFFSET(载具产出!K$399,0,0,$R300+1,1))</f>
        <v>5798.91999999996</v>
      </c>
      <c r="P300" s="40">
        <f ca="1">SUM(AC$36:AC300)-SUM(OFFSET(载具产出!L$399,0,0,$R300+1,1))</f>
        <v>2205.88</v>
      </c>
      <c r="Q300" s="40">
        <f ca="1">SUM(AD$36:AD300)-SUM(OFFSET(载具产出!M$399,0,0,$R300+1,1))</f>
        <v>63.6</v>
      </c>
      <c r="R300" s="40">
        <v>21</v>
      </c>
      <c r="S300" s="40" t="str">
        <f ca="1">OFFSET(载具产出!$D$111,IFERROR(MATCH(OFFSET($D300,0,MATCH($D$5,$E$6:$H$6,0)),载具产出!$E$112:$E$151,1),0),0)</f>
        <v>卓越Ⅲ</v>
      </c>
      <c r="T300" s="40">
        <f ca="1">OFFSET(载具产出!$F$399,IFERROR(MATCH(OFFSET($D300,0,MATCH($D$5,$E$6:$H$6,0)),载具产出!$E$400:$E$439,1),0),MATCH(T$6,载具产出!$G$399:$O$399,0))</f>
        <v>1165</v>
      </c>
      <c r="U300" s="40">
        <v>7</v>
      </c>
      <c r="V300" s="40">
        <f ca="1">OFFSET(载具产出!$F$399,IFERROR(MATCH(OFFSET($D300,0,MATCH($D$5,$E$6:$H$6,0)),载具产出!$E$400:$E$439,1),0),MATCH(V$6,载具产出!$G$399:$O$399,0))</f>
        <v>7400</v>
      </c>
      <c r="W300" s="43">
        <f ca="1">_xlfn.XLOOKUP(Z300,载具属性!$E$98:$E$497,载具属性!$G$98:$G$497)+6000+OFFSET(载具属性!L$33,AS300,0)*载具属性!M$30+OFFSET(载具属性!M$33,AT300,0)*载具属性!N$30+OFFSET(载具属性!N$33,AU300,0)*载具属性!O$30+OFFSET(载具属性!O$33,AV300,0)*载具属性!P$30</f>
        <v>28340</v>
      </c>
      <c r="X300" s="43">
        <f ca="1">_xlfn.XLOOKUP(Z300,载具属性!$E$98:$E$497,载具属性!$G$98:$G$497)</f>
        <v>14450</v>
      </c>
      <c r="Y300" s="43">
        <f ca="1">OFFSET(载具属性!L$33,AS300,0)*载具属性!M$30+OFFSET(载具属性!M$33,AT300,0)*载具属性!N$30+OFFSET(载具属性!N$33,AU300,0)*载具属性!O$30+OFFSET(载具属性!O$33,AV300,0)*载具属性!P$30</f>
        <v>7890</v>
      </c>
      <c r="Z300" s="40">
        <f ca="1">MATCH(SUM($T$7:T300),载具属性!$I$98:$I$497,1)</f>
        <v>200</v>
      </c>
      <c r="AA300" s="40">
        <f ca="1">OFFSET(载具产出!$F$399,IFERROR(MATCH(OFFSET($D300,0,MATCH($D$5,$E$6:$H$6,0)),载具产出!$E$112:$E$151,1),0),MATCH(AA$6,载具产出!$G$111:$O$111,0))*2</f>
        <v>18</v>
      </c>
      <c r="AB300" s="40">
        <f ca="1">OFFSET(载具产出!$F$399,IFERROR(MATCH(OFFSET($D300,0,MATCH($D$5,$E$6:$H$6,0)),载具产出!$E$112:$E$151,1),0),MATCH(AB$6,载具产出!$G$111:$O$111,0))*2</f>
        <v>20.32</v>
      </c>
      <c r="AC300" s="40">
        <f ca="1">OFFSET(载具产出!$F$399,IFERROR(MATCH(OFFSET($D300,0,MATCH($D$5,$E$6:$H$6,0)),载具产出!$E$112:$E$151,1),0),MATCH(AC$6,载具产出!$G$111:$O$111,0))*2</f>
        <v>16.24</v>
      </c>
      <c r="AD300" s="40">
        <f ca="1">OFFSET(载具产出!$F$399,IFERROR(MATCH(OFFSET($D300,0,MATCH($D$5,$E$6:$H$6,0)),载具产出!$E$112:$E$151,1),0),MATCH(AD$6,载具产出!$G$111:$O$111,0))*2</f>
        <v>1.44</v>
      </c>
      <c r="AE300" s="44">
        <f ca="1">SUM(AA$36:AA300)/3</f>
        <v>1808.8</v>
      </c>
      <c r="AF300" s="44">
        <f ca="1">SUM(AB$36:AB300)/3</f>
        <v>2002.93333333332</v>
      </c>
      <c r="AG300" s="44">
        <f ca="1">SUM(AC$36:AC300)/3</f>
        <v>760.719999999999</v>
      </c>
      <c r="AH300" s="44">
        <f ca="1">SUM(AD$36:AD300)/3</f>
        <v>22.88</v>
      </c>
      <c r="AI300" s="44">
        <f>_xlfn.XLOOKUP($D$5,载具产出!$D$71:$D$75,载具产出!$E$71:$E$75)*(D300-30+1)</f>
        <v>3116.90476190477</v>
      </c>
      <c r="AJ300" s="44">
        <f>IFERROR(MATCH(_xlfn.XLOOKUP($D$5,载具产出!$D$71:$D$75,载具产出!$E$71:$E$75)*(D300-30+1)*10,载具产出!$E$60:$E$67,1),0)+1</f>
        <v>7</v>
      </c>
      <c r="AK300" s="44">
        <f ca="1">IF($AJ300=1,($AI300)*(10*OFFSET(载具产出!$D$45,MATCH(AK$6,$AK$6:$AN$6,0)-1,$AJ300)+OFFSET(载具产出!$D$49,MATCH(AK$6,$AK$6:$AN$6,0)-1,$AJ300)*OFFSET(载具产出!$N$49,MATCH(AK$6,$AK$6:$AN$6,0)-1,0)),OFFSET(载具产出!F$59,$AJ300-1,0)*10+OFFSET(载具产出!J$59,$AJ300-1,0)+($AI300*10-_xlfn.XLOOKUP($AJ300-1,载具产出!$D$59:$D$67,载具产出!$E$59:$E$67))/10*(10*OFFSET(载具产出!$D$45,MATCH(AK$6,$AK$6:$AN$6,0)-1,$AJ300)+OFFSET(载具产出!$D$49,MATCH(AK$6,$AK$6:$AN$6,0)-1,$AJ300)*OFFSET(载具产出!$N$49,MATCH(AK$6,$AK$6:$AN$6,0)-1,0)))</f>
        <v>6767.85285714287</v>
      </c>
      <c r="AL300" s="44">
        <f ca="1">IF($AJ300=1,($AI300)*(10*OFFSET(载具产出!$D$45,MATCH(AL$6,$AK$6:$AN$6,0)-1,$AJ300)+OFFSET(载具产出!$D$49,MATCH(AL$6,$AK$6:$AN$6,0)-1,$AJ300)*OFFSET(载具产出!$N$49,MATCH(AL$6,$AK$6:$AN$6,0)-1,0)),OFFSET(载具产出!G$59,$AJ300-1,0)*10+OFFSET(载具产出!K$59,$AJ300-1,0)+($AI300*10-_xlfn.XLOOKUP($AJ300-1,载具产出!$D$59:$D$67,载具产出!$E$59:$E$67))/10*(10*OFFSET(载具产出!$D$45,MATCH(AL$6,$AK$6:$AN$6,0)-1,$AJ300)+OFFSET(载具产出!$D$49,MATCH(AL$6,$AK$6:$AN$6,0)-1,$AJ300)*OFFSET(载具产出!$N$49,MATCH(AL$6,$AK$6:$AN$6,0)-1,0)))</f>
        <v>2831.19047619048</v>
      </c>
      <c r="AM300" s="44">
        <f ca="1">IF($AJ300=1,($AI300)*(10*OFFSET(载具产出!$D$45,MATCH(AM$6,$AK$6:$AN$6,0)-1,$AJ300)+OFFSET(载具产出!$D$49,MATCH(AM$6,$AK$6:$AN$6,0)-1,$AJ300)*OFFSET(载具产出!$N$49,MATCH(AM$6,$AK$6:$AN$6,0)-1,0)),OFFSET(载具产出!H$59,$AJ300-1,0)*10+OFFSET(载具产出!L$59,$AJ300-1,0)+($AI300*10-_xlfn.XLOOKUP($AJ300-1,载具产出!$D$59:$D$67,载具产出!$E$59:$E$67))/10*(10*OFFSET(载具产出!$D$45,MATCH(AM$6,$AK$6:$AN$6,0)-1,$AJ300)+OFFSET(载具产出!$D$49,MATCH(AM$6,$AK$6:$AN$6,0)-1,$AJ300)*OFFSET(载具产出!$N$49,MATCH(AM$6,$AK$6:$AN$6,0)-1,0)))</f>
        <v>1555.96571428572</v>
      </c>
      <c r="AN300" s="44">
        <f ca="1">IF($AJ300=1,($AI300)*(10*OFFSET(载具产出!$D$45,MATCH(AN$6,$AK$6:$AN$6,0)-1,$AJ300)+OFFSET(载具产出!$D$49,MATCH(AN$6,$AK$6:$AN$6,0)-1,$AJ300)*OFFSET(载具产出!$N$49,MATCH(AN$6,$AK$6:$AN$6,0)-1,0)),OFFSET(载具产出!I$59,$AJ300-1,0)*10+OFFSET(载具产出!M$59,$AJ300-1,0)+($AI300*10-_xlfn.XLOOKUP($AJ300-1,载具产出!$D$59:$D$67,载具产出!$E$59:$E$67))/10*(10*OFFSET(载具产出!$D$45,MATCH(AN$6,$AK$6:$AN$6,0)-1,$AJ300)+OFFSET(载具产出!$D$49,MATCH(AN$6,$AK$6:$AN$6,0)-1,$AJ300)*OFFSET(载具产出!$N$49,MATCH(AN$6,$AK$6:$AN$6,0)-1,0)))</f>
        <v>485.356904761906</v>
      </c>
      <c r="AO300" s="44">
        <f ca="1" t="shared" si="81"/>
        <v>8576.65285714287</v>
      </c>
      <c r="AP300" s="44">
        <f ca="1" t="shared" si="82"/>
        <v>4834.1238095238</v>
      </c>
      <c r="AQ300" s="44">
        <f ca="1" t="shared" si="83"/>
        <v>2316.68571428572</v>
      </c>
      <c r="AR300" s="44">
        <f ca="1" t="shared" si="84"/>
        <v>508.236904761906</v>
      </c>
      <c r="AS300" s="45">
        <f ca="1">IFERROR(MATCH(AO300/载具产出!R$58,载具属性!$G$33:$G$92,1),0)</f>
        <v>42</v>
      </c>
      <c r="AT300" s="45">
        <f ca="1">IFERROR(MATCH(AP300/载具产出!S$58,载具属性!$G$33:$G$92,1),0)</f>
        <v>29</v>
      </c>
      <c r="AU300" s="45">
        <f ca="1">IFERROR(MATCH(AQ300/载具产出!T$58,载具属性!$G$33:$G$92,1),0)</f>
        <v>18</v>
      </c>
      <c r="AV300" s="45">
        <f ca="1">IFERROR(MATCH(AR300/载具产出!U$58,载具属性!$G$33:$G$92,1),0)</f>
        <v>8</v>
      </c>
      <c r="AW300" s="46" t="str">
        <f ca="1" t="shared" si="85"/>
        <v>[{62,1834},{63,243090},{2,710800},{6030001,5180},{6030002,5798},{6030003,2205},{6030004,63}]</v>
      </c>
      <c r="AX300" t="str">
        <f ca="1" t="shared" ref="AX300:BD300" si="93">IF(INT(K300)&lt;=0,"","{"&amp;K$5&amp;","&amp;INT(K300)&amp;"}")</f>
        <v>{62,1834}</v>
      </c>
      <c r="AY300" t="str">
        <f ca="1" t="shared" si="93"/>
        <v>{63,243090}</v>
      </c>
      <c r="AZ300" t="str">
        <f ca="1" t="shared" si="93"/>
        <v>{2,710800}</v>
      </c>
      <c r="BA300" t="str">
        <f ca="1" t="shared" si="93"/>
        <v>{6030001,5180}</v>
      </c>
      <c r="BB300" t="str">
        <f ca="1" t="shared" si="93"/>
        <v>{6030002,5798}</v>
      </c>
      <c r="BC300" t="str">
        <f ca="1" t="shared" si="93"/>
        <v>{6030003,2205}</v>
      </c>
      <c r="BD300" t="str">
        <f ca="1" t="shared" si="93"/>
        <v>{6030004,63}</v>
      </c>
    </row>
    <row r="301" spans="3:56">
      <c r="C301">
        <f ca="1" t="shared" si="80"/>
        <v>130.599078341014</v>
      </c>
      <c r="D301" s="40">
        <v>295</v>
      </c>
      <c r="E301" s="40">
        <f t="shared" si="76"/>
        <v>138</v>
      </c>
      <c r="F301" s="40">
        <f t="shared" si="75"/>
        <v>158</v>
      </c>
      <c r="G301" s="41">
        <f t="shared" si="78"/>
        <v>217</v>
      </c>
      <c r="H301" s="40">
        <f>H300+1</f>
        <v>290</v>
      </c>
      <c r="I301" s="40">
        <f t="shared" si="79"/>
        <v>616</v>
      </c>
      <c r="J301" s="40">
        <f t="shared" si="77"/>
        <v>616</v>
      </c>
      <c r="K301" s="40">
        <f ca="1">SUM(U$36:U301)-SUM(OFFSET(载具产出!H$399,0,0,$R301+1,1))</f>
        <v>1841</v>
      </c>
      <c r="L301" s="40">
        <f ca="1">SUM(T$36:T301)-SUM(OFFSET(载具产出!G$399,0,0,$R301+1,1))</f>
        <v>244255</v>
      </c>
      <c r="M301" s="40">
        <f ca="1">SUM(V$36:V301)/2-SUM(OFFSET(载具产出!I$399,0,0,$R301+1,1))</f>
        <v>714500</v>
      </c>
      <c r="N301" s="40">
        <f ca="1">SUM(AA$36:AA301)-SUM(OFFSET(载具产出!J$399,0,0,$R301+1,1))</f>
        <v>5198.6</v>
      </c>
      <c r="O301" s="40">
        <f ca="1">SUM(AB$36:AB301)-SUM(OFFSET(载具产出!K$399,0,0,$R301+1,1))</f>
        <v>5819.23999999996</v>
      </c>
      <c r="P301" s="40">
        <f ca="1">SUM(AC$36:AC301)-SUM(OFFSET(载具产出!L$399,0,0,$R301+1,1))</f>
        <v>2222.12</v>
      </c>
      <c r="Q301" s="40">
        <f ca="1">SUM(AD$36:AD301)-SUM(OFFSET(载具产出!M$399,0,0,$R301+1,1))</f>
        <v>65.04</v>
      </c>
      <c r="R301" s="40">
        <v>21</v>
      </c>
      <c r="S301" s="40" t="str">
        <f ca="1">OFFSET(载具产出!$D$111,IFERROR(MATCH(OFFSET($D301,0,MATCH($D$5,$E$6:$H$6,0)),载具产出!$E$112:$E$151,1),0),0)</f>
        <v>卓越Ⅲ</v>
      </c>
      <c r="T301" s="40">
        <f ca="1">OFFSET(载具产出!$F$399,IFERROR(MATCH(OFFSET($D301,0,MATCH($D$5,$E$6:$H$6,0)),载具产出!$E$400:$E$439,1),0),MATCH(T$6,载具产出!$G$399:$O$399,0))</f>
        <v>1165</v>
      </c>
      <c r="U301" s="40">
        <v>7</v>
      </c>
      <c r="V301" s="40">
        <f ca="1">OFFSET(载具产出!$F$399,IFERROR(MATCH(OFFSET($D301,0,MATCH($D$5,$E$6:$H$6,0)),载具产出!$E$400:$E$439,1),0),MATCH(V$6,载具产出!$G$399:$O$399,0))</f>
        <v>7400</v>
      </c>
      <c r="W301" s="43">
        <f ca="1">_xlfn.XLOOKUP(Z301,载具属性!$E$98:$E$497,载具属性!$G$98:$G$497)+6000+OFFSET(载具属性!L$33,AS301,0)*载具属性!M$30+OFFSET(载具属性!M$33,AT301,0)*载具属性!N$30+OFFSET(载具属性!N$33,AU301,0)*载具属性!O$30+OFFSET(载具属性!O$33,AV301,0)*载具属性!P$30</f>
        <v>28340</v>
      </c>
      <c r="X301" s="43">
        <f ca="1">_xlfn.XLOOKUP(Z301,载具属性!$E$98:$E$497,载具属性!$G$98:$G$497)</f>
        <v>14450</v>
      </c>
      <c r="Y301" s="43">
        <f ca="1">OFFSET(载具属性!L$33,AS301,0)*载具属性!M$30+OFFSET(载具属性!M$33,AT301,0)*载具属性!N$30+OFFSET(载具属性!N$33,AU301,0)*载具属性!O$30+OFFSET(载具属性!O$33,AV301,0)*载具属性!P$30</f>
        <v>7890</v>
      </c>
      <c r="Z301" s="40">
        <f ca="1">MATCH(SUM($T$7:T301),载具属性!$I$98:$I$497,1)</f>
        <v>200</v>
      </c>
      <c r="AA301" s="40">
        <f ca="1">OFFSET(载具产出!$F$399,IFERROR(MATCH(OFFSET($D301,0,MATCH($D$5,$E$6:$H$6,0)),载具产出!$E$112:$E$151,1),0),MATCH(AA$6,载具产出!$G$111:$O$111,0))*2</f>
        <v>18</v>
      </c>
      <c r="AB301" s="40">
        <f ca="1">OFFSET(载具产出!$F$399,IFERROR(MATCH(OFFSET($D301,0,MATCH($D$5,$E$6:$H$6,0)),载具产出!$E$112:$E$151,1),0),MATCH(AB$6,载具产出!$G$111:$O$111,0))*2</f>
        <v>20.32</v>
      </c>
      <c r="AC301" s="40">
        <f ca="1">OFFSET(载具产出!$F$399,IFERROR(MATCH(OFFSET($D301,0,MATCH($D$5,$E$6:$H$6,0)),载具产出!$E$112:$E$151,1),0),MATCH(AC$6,载具产出!$G$111:$O$111,0))*2</f>
        <v>16.24</v>
      </c>
      <c r="AD301" s="40">
        <f ca="1">OFFSET(载具产出!$F$399,IFERROR(MATCH(OFFSET($D301,0,MATCH($D$5,$E$6:$H$6,0)),载具产出!$E$112:$E$151,1),0),MATCH(AD$6,载具产出!$G$111:$O$111,0))*2</f>
        <v>1.44</v>
      </c>
      <c r="AE301" s="44">
        <f ca="1">SUM(AA$36:AA301)/3</f>
        <v>1814.8</v>
      </c>
      <c r="AF301" s="44">
        <f ca="1">SUM(AB$36:AB301)/3</f>
        <v>2009.70666666665</v>
      </c>
      <c r="AG301" s="44">
        <f ca="1">SUM(AC$36:AC301)/3</f>
        <v>766.133333333332</v>
      </c>
      <c r="AH301" s="44">
        <f ca="1">SUM(AD$36:AD301)/3</f>
        <v>23.36</v>
      </c>
      <c r="AI301" s="44">
        <f>_xlfn.XLOOKUP($D$5,载具产出!$D$71:$D$75,载具产出!$E$71:$E$75)*(D301-30+1)</f>
        <v>3128.66666666668</v>
      </c>
      <c r="AJ301" s="44">
        <f>IFERROR(MATCH(_xlfn.XLOOKUP($D$5,载具产出!$D$71:$D$75,载具产出!$E$71:$E$75)*(D301-30+1)*10,载具产出!$E$60:$E$67,1),0)+1</f>
        <v>7</v>
      </c>
      <c r="AK301" s="44">
        <f ca="1">IF($AJ301=1,($AI301)*(10*OFFSET(载具产出!$D$45,MATCH(AK$6,$AK$6:$AN$6,0)-1,$AJ301)+OFFSET(载具产出!$D$49,MATCH(AK$6,$AK$6:$AN$6,0)-1,$AJ301)*OFFSET(载具产出!$N$49,MATCH(AK$6,$AK$6:$AN$6,0)-1,0)),OFFSET(载具产出!F$59,$AJ301-1,0)*10+OFFSET(载具产出!J$59,$AJ301-1,0)+($AI301*10-_xlfn.XLOOKUP($AJ301-1,载具产出!$D$59:$D$67,载具产出!$E$59:$E$67))/10*(10*OFFSET(载具产出!$D$45,MATCH(AK$6,$AK$6:$AN$6,0)-1,$AJ301)+OFFSET(载具产出!$D$49,MATCH(AK$6,$AK$6:$AN$6,0)-1,$AJ301)*OFFSET(载具产出!$N$49,MATCH(AK$6,$AK$6:$AN$6,0)-1,0)))</f>
        <v>6792.69400000003</v>
      </c>
      <c r="AL301" s="44">
        <f ca="1">IF($AJ301=1,($AI301)*(10*OFFSET(载具产出!$D$45,MATCH(AL$6,$AK$6:$AN$6,0)-1,$AJ301)+OFFSET(载具产出!$D$49,MATCH(AL$6,$AK$6:$AN$6,0)-1,$AJ301)*OFFSET(载具产出!$N$49,MATCH(AL$6,$AK$6:$AN$6,0)-1,0)),OFFSET(载具产出!G$59,$AJ301-1,0)*10+OFFSET(载具产出!K$59,$AJ301-1,0)+($AI301*10-_xlfn.XLOOKUP($AJ301-1,载具产出!$D$59:$D$67,载具产出!$E$59:$E$67))/10*(10*OFFSET(载具产出!$D$45,MATCH(AL$6,$AK$6:$AN$6,0)-1,$AJ301)+OFFSET(载具产出!$D$49,MATCH(AL$6,$AK$6:$AN$6,0)-1,$AJ301)*OFFSET(载具产出!$N$49,MATCH(AL$6,$AK$6:$AN$6,0)-1,0)))</f>
        <v>2842.24666666668</v>
      </c>
      <c r="AM301" s="44">
        <f ca="1">IF($AJ301=1,($AI301)*(10*OFFSET(载具产出!$D$45,MATCH(AM$6,$AK$6:$AN$6,0)-1,$AJ301)+OFFSET(载具产出!$D$49,MATCH(AM$6,$AK$6:$AN$6,0)-1,$AJ301)*OFFSET(载具产出!$N$49,MATCH(AM$6,$AK$6:$AN$6,0)-1,0)),OFFSET(载具产出!H$59,$AJ301-1,0)*10+OFFSET(载具产出!L$59,$AJ301-1,0)+($AI301*10-_xlfn.XLOOKUP($AJ301-1,载具产出!$D$59:$D$67,载具产出!$E$59:$E$67))/10*(10*OFFSET(载具产出!$D$45,MATCH(AM$6,$AK$6:$AN$6,0)-1,$AJ301)+OFFSET(载具产出!$D$49,MATCH(AM$6,$AK$6:$AN$6,0)-1,$AJ301)*OFFSET(载具产出!$N$49,MATCH(AM$6,$AK$6:$AN$6,0)-1,0)))</f>
        <v>1562.17600000001</v>
      </c>
      <c r="AN301" s="44">
        <f ca="1">IF($AJ301=1,($AI301)*(10*OFFSET(载具产出!$D$45,MATCH(AN$6,$AK$6:$AN$6,0)-1,$AJ301)+OFFSET(载具产出!$D$49,MATCH(AN$6,$AK$6:$AN$6,0)-1,$AJ301)*OFFSET(载具产出!$N$49,MATCH(AN$6,$AK$6:$AN$6,0)-1,0)),OFFSET(载具产出!I$59,$AJ301-1,0)*10+OFFSET(载具产出!M$59,$AJ301-1,0)+($AI301*10-_xlfn.XLOOKUP($AJ301-1,载具产出!$D$59:$D$67,载具产出!$E$59:$E$67))/10*(10*OFFSET(载具产出!$D$45,MATCH(AN$6,$AK$6:$AN$6,0)-1,$AJ301)+OFFSET(载具产出!$D$49,MATCH(AN$6,$AK$6:$AN$6,0)-1,$AJ301)*OFFSET(载具产出!$N$49,MATCH(AN$6,$AK$6:$AN$6,0)-1,0)))</f>
        <v>487.344666666669</v>
      </c>
      <c r="AO301" s="44">
        <f ca="1" t="shared" si="81"/>
        <v>8607.49400000003</v>
      </c>
      <c r="AP301" s="44">
        <f ca="1" t="shared" si="82"/>
        <v>4851.95333333333</v>
      </c>
      <c r="AQ301" s="44">
        <f ca="1" t="shared" si="83"/>
        <v>2328.30933333334</v>
      </c>
      <c r="AR301" s="44">
        <f ca="1" t="shared" si="84"/>
        <v>510.704666666669</v>
      </c>
      <c r="AS301" s="45">
        <f ca="1">IFERROR(MATCH(AO301/载具产出!R$58,载具属性!$G$33:$G$92,1),0)</f>
        <v>42</v>
      </c>
      <c r="AT301" s="45">
        <f ca="1">IFERROR(MATCH(AP301/载具产出!S$58,载具属性!$G$33:$G$92,1),0)</f>
        <v>29</v>
      </c>
      <c r="AU301" s="45">
        <f ca="1">IFERROR(MATCH(AQ301/载具产出!T$58,载具属性!$G$33:$G$92,1),0)</f>
        <v>18</v>
      </c>
      <c r="AV301" s="45">
        <f ca="1">IFERROR(MATCH(AR301/载具产出!U$58,载具属性!$G$33:$G$92,1),0)</f>
        <v>8</v>
      </c>
      <c r="AW301" s="46" t="str">
        <f ca="1" t="shared" si="85"/>
        <v>[{62,1841},{63,244255},{2,714500},{6030001,5198},{6030002,5819},{6030003,2222},{6030004,65}]</v>
      </c>
      <c r="AX301" t="str">
        <f ca="1" t="shared" ref="AX301:BD301" si="94">IF(INT(K301)&lt;=0,"","{"&amp;K$5&amp;","&amp;INT(K301)&amp;"}")</f>
        <v>{62,1841}</v>
      </c>
      <c r="AY301" t="str">
        <f ca="1" t="shared" si="94"/>
        <v>{63,244255}</v>
      </c>
      <c r="AZ301" t="str">
        <f ca="1" t="shared" si="94"/>
        <v>{2,714500}</v>
      </c>
      <c r="BA301" t="str">
        <f ca="1" t="shared" si="94"/>
        <v>{6030001,5198}</v>
      </c>
      <c r="BB301" t="str">
        <f ca="1" t="shared" si="94"/>
        <v>{6030002,5819}</v>
      </c>
      <c r="BC301" t="str">
        <f ca="1" t="shared" si="94"/>
        <v>{6030003,2222}</v>
      </c>
      <c r="BD301" t="str">
        <f ca="1" t="shared" si="94"/>
        <v>{6030004,65}</v>
      </c>
    </row>
    <row r="302" spans="3:56">
      <c r="C302">
        <f ca="1" t="shared" si="80"/>
        <v>130.45871559633</v>
      </c>
      <c r="D302" s="40">
        <v>296</v>
      </c>
      <c r="E302" s="40">
        <f t="shared" si="76"/>
        <v>138</v>
      </c>
      <c r="F302" s="40">
        <f t="shared" si="75"/>
        <v>158</v>
      </c>
      <c r="G302" s="41">
        <f t="shared" si="78"/>
        <v>218</v>
      </c>
      <c r="H302" s="40">
        <f>H301</f>
        <v>290</v>
      </c>
      <c r="I302" s="40">
        <f t="shared" si="79"/>
        <v>618</v>
      </c>
      <c r="J302" s="40">
        <f t="shared" si="77"/>
        <v>618</v>
      </c>
      <c r="K302" s="40">
        <f ca="1">SUM(U$36:U302)-SUM(OFFSET(载具产出!H$399,0,0,$R302+1,1))</f>
        <v>1848</v>
      </c>
      <c r="L302" s="40">
        <f ca="1">SUM(T$36:T302)-SUM(OFFSET(载具产出!G$399,0,0,$R302+1,1))</f>
        <v>245420</v>
      </c>
      <c r="M302" s="40">
        <f ca="1">SUM(V$36:V302)/2-SUM(OFFSET(载具产出!I$399,0,0,$R302+1,1))</f>
        <v>718200</v>
      </c>
      <c r="N302" s="40">
        <f ca="1">SUM(AA$36:AA302)-SUM(OFFSET(载具产出!J$399,0,0,$R302+1,1))</f>
        <v>5216.6</v>
      </c>
      <c r="O302" s="40">
        <f ca="1">SUM(AB$36:AB302)-SUM(OFFSET(载具产出!K$399,0,0,$R302+1,1))</f>
        <v>5839.55999999996</v>
      </c>
      <c r="P302" s="40">
        <f ca="1">SUM(AC$36:AC302)-SUM(OFFSET(载具产出!L$399,0,0,$R302+1,1))</f>
        <v>2238.36</v>
      </c>
      <c r="Q302" s="40">
        <f ca="1">SUM(AD$36:AD302)-SUM(OFFSET(载具产出!M$399,0,0,$R302+1,1))</f>
        <v>66.48</v>
      </c>
      <c r="R302" s="40">
        <v>21</v>
      </c>
      <c r="S302" s="40" t="str">
        <f ca="1">OFFSET(载具产出!$D$111,IFERROR(MATCH(OFFSET($D302,0,MATCH($D$5,$E$6:$H$6,0)),载具产出!$E$112:$E$151,1),0),0)</f>
        <v>卓越Ⅲ</v>
      </c>
      <c r="T302" s="40">
        <f ca="1">OFFSET(载具产出!$F$399,IFERROR(MATCH(OFFSET($D302,0,MATCH($D$5,$E$6:$H$6,0)),载具产出!$E$400:$E$439,1),0),MATCH(T$6,载具产出!$G$399:$O$399,0))</f>
        <v>1165</v>
      </c>
      <c r="U302" s="40">
        <v>7</v>
      </c>
      <c r="V302" s="40">
        <f ca="1">OFFSET(载具产出!$F$399,IFERROR(MATCH(OFFSET($D302,0,MATCH($D$5,$E$6:$H$6,0)),载具产出!$E$400:$E$439,1),0),MATCH(V$6,载具产出!$G$399:$O$399,0))</f>
        <v>7400</v>
      </c>
      <c r="W302" s="43">
        <f ca="1">_xlfn.XLOOKUP(Z302,载具属性!$E$98:$E$497,载具属性!$G$98:$G$497)+6000+OFFSET(载具属性!L$33,AS302,0)*载具属性!M$30+OFFSET(载具属性!M$33,AT302,0)*载具属性!N$30+OFFSET(载具属性!N$33,AU302,0)*载具属性!O$30+OFFSET(载具属性!O$33,AV302,0)*载具属性!P$30</f>
        <v>28440</v>
      </c>
      <c r="X302" s="43">
        <f ca="1">_xlfn.XLOOKUP(Z302,载具属性!$E$98:$E$497,载具属性!$G$98:$G$497)</f>
        <v>14550</v>
      </c>
      <c r="Y302" s="43">
        <f ca="1">OFFSET(载具属性!L$33,AS302,0)*载具属性!M$30+OFFSET(载具属性!M$33,AT302,0)*载具属性!N$30+OFFSET(载具属性!N$33,AU302,0)*载具属性!O$30+OFFSET(载具属性!O$33,AV302,0)*载具属性!P$30</f>
        <v>7890</v>
      </c>
      <c r="Z302" s="40">
        <f ca="1">MATCH(SUM($T$7:T302),载具属性!$I$98:$I$497,1)</f>
        <v>201</v>
      </c>
      <c r="AA302" s="40">
        <f ca="1">OFFSET(载具产出!$F$399,IFERROR(MATCH(OFFSET($D302,0,MATCH($D$5,$E$6:$H$6,0)),载具产出!$E$112:$E$151,1),0),MATCH(AA$6,载具产出!$G$111:$O$111,0))*2</f>
        <v>18</v>
      </c>
      <c r="AB302" s="40">
        <f ca="1">OFFSET(载具产出!$F$399,IFERROR(MATCH(OFFSET($D302,0,MATCH($D$5,$E$6:$H$6,0)),载具产出!$E$112:$E$151,1),0),MATCH(AB$6,载具产出!$G$111:$O$111,0))*2</f>
        <v>20.32</v>
      </c>
      <c r="AC302" s="40">
        <f ca="1">OFFSET(载具产出!$F$399,IFERROR(MATCH(OFFSET($D302,0,MATCH($D$5,$E$6:$H$6,0)),载具产出!$E$112:$E$151,1),0),MATCH(AC$6,载具产出!$G$111:$O$111,0))*2</f>
        <v>16.24</v>
      </c>
      <c r="AD302" s="40">
        <f ca="1">OFFSET(载具产出!$F$399,IFERROR(MATCH(OFFSET($D302,0,MATCH($D$5,$E$6:$H$6,0)),载具产出!$E$112:$E$151,1),0),MATCH(AD$6,载具产出!$G$111:$O$111,0))*2</f>
        <v>1.44</v>
      </c>
      <c r="AE302" s="44">
        <f ca="1">SUM(AA$36:AA302)/3</f>
        <v>1820.8</v>
      </c>
      <c r="AF302" s="44">
        <f ca="1">SUM(AB$36:AB302)/3</f>
        <v>2016.47999999999</v>
      </c>
      <c r="AG302" s="44">
        <f ca="1">SUM(AC$36:AC302)/3</f>
        <v>771.546666666665</v>
      </c>
      <c r="AH302" s="44">
        <f ca="1">SUM(AD$36:AD302)/3</f>
        <v>23.84</v>
      </c>
      <c r="AI302" s="44">
        <f>_xlfn.XLOOKUP($D$5,载具产出!$D$71:$D$75,载具产出!$E$71:$E$75)*(D302-30+1)</f>
        <v>3140.42857142858</v>
      </c>
      <c r="AJ302" s="44">
        <f>IFERROR(MATCH(_xlfn.XLOOKUP($D$5,载具产出!$D$71:$D$75,载具产出!$E$71:$E$75)*(D302-30+1)*10,载具产出!$E$60:$E$67,1),0)+1</f>
        <v>7</v>
      </c>
      <c r="AK302" s="44">
        <f ca="1">IF($AJ302=1,($AI302)*(10*OFFSET(载具产出!$D$45,MATCH(AK$6,$AK$6:$AN$6,0)-1,$AJ302)+OFFSET(载具产出!$D$49,MATCH(AK$6,$AK$6:$AN$6,0)-1,$AJ302)*OFFSET(载具产出!$N$49,MATCH(AK$6,$AK$6:$AN$6,0)-1,0)),OFFSET(载具产出!F$59,$AJ302-1,0)*10+OFFSET(载具产出!J$59,$AJ302-1,0)+($AI302*10-_xlfn.XLOOKUP($AJ302-1,载具产出!$D$59:$D$67,载具产出!$E$59:$E$67))/10*(10*OFFSET(载具产出!$D$45,MATCH(AK$6,$AK$6:$AN$6,0)-1,$AJ302)+OFFSET(载具产出!$D$49,MATCH(AK$6,$AK$6:$AN$6,0)-1,$AJ302)*OFFSET(载具产出!$N$49,MATCH(AK$6,$AK$6:$AN$6,0)-1,0)))</f>
        <v>6817.53514285716</v>
      </c>
      <c r="AL302" s="44">
        <f ca="1">IF($AJ302=1,($AI302)*(10*OFFSET(载具产出!$D$45,MATCH(AL$6,$AK$6:$AN$6,0)-1,$AJ302)+OFFSET(载具产出!$D$49,MATCH(AL$6,$AK$6:$AN$6,0)-1,$AJ302)*OFFSET(载具产出!$N$49,MATCH(AL$6,$AK$6:$AN$6,0)-1,0)),OFFSET(载具产出!G$59,$AJ302-1,0)*10+OFFSET(载具产出!K$59,$AJ302-1,0)+($AI302*10-_xlfn.XLOOKUP($AJ302-1,载具产出!$D$59:$D$67,载具产出!$E$59:$E$67))/10*(10*OFFSET(载具产出!$D$45,MATCH(AL$6,$AK$6:$AN$6,0)-1,$AJ302)+OFFSET(载具产出!$D$49,MATCH(AL$6,$AK$6:$AN$6,0)-1,$AJ302)*OFFSET(载具产出!$N$49,MATCH(AL$6,$AK$6:$AN$6,0)-1,0)))</f>
        <v>2853.30285714287</v>
      </c>
      <c r="AM302" s="44">
        <f ca="1">IF($AJ302=1,($AI302)*(10*OFFSET(载具产出!$D$45,MATCH(AM$6,$AK$6:$AN$6,0)-1,$AJ302)+OFFSET(载具产出!$D$49,MATCH(AM$6,$AK$6:$AN$6,0)-1,$AJ302)*OFFSET(载具产出!$N$49,MATCH(AM$6,$AK$6:$AN$6,0)-1,0)),OFFSET(载具产出!H$59,$AJ302-1,0)*10+OFFSET(载具产出!L$59,$AJ302-1,0)+($AI302*10-_xlfn.XLOOKUP($AJ302-1,载具产出!$D$59:$D$67,载具产出!$E$59:$E$67))/10*(10*OFFSET(载具产出!$D$45,MATCH(AM$6,$AK$6:$AN$6,0)-1,$AJ302)+OFFSET(载具产出!$D$49,MATCH(AM$6,$AK$6:$AN$6,0)-1,$AJ302)*OFFSET(载具产出!$N$49,MATCH(AM$6,$AK$6:$AN$6,0)-1,0)))</f>
        <v>1568.38628571429</v>
      </c>
      <c r="AN302" s="44">
        <f ca="1">IF($AJ302=1,($AI302)*(10*OFFSET(载具产出!$D$45,MATCH(AN$6,$AK$6:$AN$6,0)-1,$AJ302)+OFFSET(载具产出!$D$49,MATCH(AN$6,$AK$6:$AN$6,0)-1,$AJ302)*OFFSET(载具产出!$N$49,MATCH(AN$6,$AK$6:$AN$6,0)-1,0)),OFFSET(载具产出!I$59,$AJ302-1,0)*10+OFFSET(载具产出!M$59,$AJ302-1,0)+($AI302*10-_xlfn.XLOOKUP($AJ302-1,载具产出!$D$59:$D$67,载具产出!$E$59:$E$67))/10*(10*OFFSET(载具产出!$D$45,MATCH(AN$6,$AK$6:$AN$6,0)-1,$AJ302)+OFFSET(载具产出!$D$49,MATCH(AN$6,$AK$6:$AN$6,0)-1,$AJ302)*OFFSET(载具产出!$N$49,MATCH(AN$6,$AK$6:$AN$6,0)-1,0)))</f>
        <v>489.33242857143</v>
      </c>
      <c r="AO302" s="44">
        <f ca="1" t="shared" si="81"/>
        <v>8638.33514285716</v>
      </c>
      <c r="AP302" s="44">
        <f ca="1" t="shared" si="82"/>
        <v>4869.78285714285</v>
      </c>
      <c r="AQ302" s="44">
        <f ca="1" t="shared" si="83"/>
        <v>2339.93295238096</v>
      </c>
      <c r="AR302" s="44">
        <f ca="1" t="shared" si="84"/>
        <v>513.17242857143</v>
      </c>
      <c r="AS302" s="45">
        <f ca="1">IFERROR(MATCH(AO302/载具产出!R$58,载具属性!$G$33:$G$92,1),0)</f>
        <v>42</v>
      </c>
      <c r="AT302" s="45">
        <f ca="1">IFERROR(MATCH(AP302/载具产出!S$58,载具属性!$G$33:$G$92,1),0)</f>
        <v>29</v>
      </c>
      <c r="AU302" s="45">
        <f ca="1">IFERROR(MATCH(AQ302/载具产出!T$58,载具属性!$G$33:$G$92,1),0)</f>
        <v>18</v>
      </c>
      <c r="AV302" s="45">
        <f ca="1">IFERROR(MATCH(AR302/载具产出!U$58,载具属性!$G$33:$G$92,1),0)</f>
        <v>8</v>
      </c>
      <c r="AW302" s="46" t="str">
        <f ca="1" t="shared" si="85"/>
        <v>[{62,1848},{63,245420},{2,718200},{6030001,5216},{6030002,5839},{6030003,2238},{6030004,66}]</v>
      </c>
      <c r="AX302" t="str">
        <f ca="1" t="shared" ref="AX302:BD302" si="95">IF(INT(K302)&lt;=0,"","{"&amp;K$5&amp;","&amp;INT(K302)&amp;"}")</f>
        <v>{62,1848}</v>
      </c>
      <c r="AY302" t="str">
        <f ca="1" t="shared" si="95"/>
        <v>{63,245420}</v>
      </c>
      <c r="AZ302" t="str">
        <f ca="1" t="shared" si="95"/>
        <v>{2,718200}</v>
      </c>
      <c r="BA302" t="str">
        <f ca="1" t="shared" si="95"/>
        <v>{6030001,5216}</v>
      </c>
      <c r="BB302" t="str">
        <f ca="1" t="shared" si="95"/>
        <v>{6030002,5839}</v>
      </c>
      <c r="BC302" t="str">
        <f ca="1" t="shared" si="95"/>
        <v>{6030003,2238}</v>
      </c>
      <c r="BD302" t="str">
        <f ca="1" t="shared" si="95"/>
        <v>{6030004,66}</v>
      </c>
    </row>
    <row r="303" spans="3:56">
      <c r="C303">
        <f ca="1" t="shared" si="80"/>
        <v>130.45871559633</v>
      </c>
      <c r="D303" s="40">
        <v>297</v>
      </c>
      <c r="E303" s="40">
        <f t="shared" si="76"/>
        <v>138</v>
      </c>
      <c r="F303" s="40">
        <f t="shared" si="75"/>
        <v>158</v>
      </c>
      <c r="G303" s="41">
        <f t="shared" si="78"/>
        <v>218</v>
      </c>
      <c r="H303" s="40">
        <f>H302+1</f>
        <v>291</v>
      </c>
      <c r="I303" s="40">
        <f t="shared" si="79"/>
        <v>620</v>
      </c>
      <c r="J303" s="40">
        <f t="shared" si="77"/>
        <v>620</v>
      </c>
      <c r="K303" s="40">
        <f ca="1">SUM(U$36:U303)-SUM(OFFSET(载具产出!H$399,0,0,$R303+1,1))</f>
        <v>1855</v>
      </c>
      <c r="L303" s="40">
        <f ca="1">SUM(T$36:T303)-SUM(OFFSET(载具产出!G$399,0,0,$R303+1,1))</f>
        <v>246585</v>
      </c>
      <c r="M303" s="40">
        <f ca="1">SUM(V$36:V303)/2-SUM(OFFSET(载具产出!I$399,0,0,$R303+1,1))</f>
        <v>721900</v>
      </c>
      <c r="N303" s="40">
        <f ca="1">SUM(AA$36:AA303)-SUM(OFFSET(载具产出!J$399,0,0,$R303+1,1))</f>
        <v>5234.6</v>
      </c>
      <c r="O303" s="40">
        <f ca="1">SUM(AB$36:AB303)-SUM(OFFSET(载具产出!K$399,0,0,$R303+1,1))</f>
        <v>5859.87999999996</v>
      </c>
      <c r="P303" s="40">
        <f ca="1">SUM(AC$36:AC303)-SUM(OFFSET(载具产出!L$399,0,0,$R303+1,1))</f>
        <v>2254.6</v>
      </c>
      <c r="Q303" s="40">
        <f ca="1">SUM(AD$36:AD303)-SUM(OFFSET(载具产出!M$399,0,0,$R303+1,1))</f>
        <v>67.92</v>
      </c>
      <c r="R303" s="40">
        <v>21</v>
      </c>
      <c r="S303" s="40" t="str">
        <f ca="1">OFFSET(载具产出!$D$111,IFERROR(MATCH(OFFSET($D303,0,MATCH($D$5,$E$6:$H$6,0)),载具产出!$E$112:$E$151,1),0),0)</f>
        <v>卓越Ⅲ</v>
      </c>
      <c r="T303" s="40">
        <f ca="1">OFFSET(载具产出!$F$399,IFERROR(MATCH(OFFSET($D303,0,MATCH($D$5,$E$6:$H$6,0)),载具产出!$E$400:$E$439,1),0),MATCH(T$6,载具产出!$G$399:$O$399,0))</f>
        <v>1165</v>
      </c>
      <c r="U303" s="40">
        <v>7</v>
      </c>
      <c r="V303" s="40">
        <f ca="1">OFFSET(载具产出!$F$399,IFERROR(MATCH(OFFSET($D303,0,MATCH($D$5,$E$6:$H$6,0)),载具产出!$E$400:$E$439,1),0),MATCH(V$6,载具产出!$G$399:$O$399,0))</f>
        <v>7400</v>
      </c>
      <c r="W303" s="43">
        <f ca="1">_xlfn.XLOOKUP(Z303,载具属性!$E$98:$E$497,载具属性!$G$98:$G$497)+6000+OFFSET(载具属性!L$33,AS303,0)*载具属性!M$30+OFFSET(载具属性!M$33,AT303,0)*载具属性!N$30+OFFSET(载具属性!N$33,AU303,0)*载具属性!O$30+OFFSET(载具属性!O$33,AV303,0)*载具属性!P$30</f>
        <v>28440</v>
      </c>
      <c r="X303" s="43">
        <f ca="1">_xlfn.XLOOKUP(Z303,载具属性!$E$98:$E$497,载具属性!$G$98:$G$497)</f>
        <v>14550</v>
      </c>
      <c r="Y303" s="43">
        <f ca="1">OFFSET(载具属性!L$33,AS303,0)*载具属性!M$30+OFFSET(载具属性!M$33,AT303,0)*载具属性!N$30+OFFSET(载具属性!N$33,AU303,0)*载具属性!O$30+OFFSET(载具属性!O$33,AV303,0)*载具属性!P$30</f>
        <v>7890</v>
      </c>
      <c r="Z303" s="40">
        <f ca="1">MATCH(SUM($T$7:T303),载具属性!$I$98:$I$497,1)</f>
        <v>201</v>
      </c>
      <c r="AA303" s="40">
        <f ca="1">OFFSET(载具产出!$F$399,IFERROR(MATCH(OFFSET($D303,0,MATCH($D$5,$E$6:$H$6,0)),载具产出!$E$112:$E$151,1),0),MATCH(AA$6,载具产出!$G$111:$O$111,0))*2</f>
        <v>18</v>
      </c>
      <c r="AB303" s="40">
        <f ca="1">OFFSET(载具产出!$F$399,IFERROR(MATCH(OFFSET($D303,0,MATCH($D$5,$E$6:$H$6,0)),载具产出!$E$112:$E$151,1),0),MATCH(AB$6,载具产出!$G$111:$O$111,0))*2</f>
        <v>20.32</v>
      </c>
      <c r="AC303" s="40">
        <f ca="1">OFFSET(载具产出!$F$399,IFERROR(MATCH(OFFSET($D303,0,MATCH($D$5,$E$6:$H$6,0)),载具产出!$E$112:$E$151,1),0),MATCH(AC$6,载具产出!$G$111:$O$111,0))*2</f>
        <v>16.24</v>
      </c>
      <c r="AD303" s="40">
        <f ca="1">OFFSET(载具产出!$F$399,IFERROR(MATCH(OFFSET($D303,0,MATCH($D$5,$E$6:$H$6,0)),载具产出!$E$112:$E$151,1),0),MATCH(AD$6,载具产出!$G$111:$O$111,0))*2</f>
        <v>1.44</v>
      </c>
      <c r="AE303" s="44">
        <f ca="1">SUM(AA$36:AA303)/3</f>
        <v>1826.8</v>
      </c>
      <c r="AF303" s="44">
        <f ca="1">SUM(AB$36:AB303)/3</f>
        <v>2023.25333333332</v>
      </c>
      <c r="AG303" s="44">
        <f ca="1">SUM(AC$36:AC303)/3</f>
        <v>776.959999999999</v>
      </c>
      <c r="AH303" s="44">
        <f ca="1">SUM(AD$36:AD303)/3</f>
        <v>24.32</v>
      </c>
      <c r="AI303" s="44">
        <f>_xlfn.XLOOKUP($D$5,载具产出!$D$71:$D$75,载具产出!$E$71:$E$75)*(D303-30+1)</f>
        <v>3152.19047619049</v>
      </c>
      <c r="AJ303" s="44">
        <f>IFERROR(MATCH(_xlfn.XLOOKUP($D$5,载具产出!$D$71:$D$75,载具产出!$E$71:$E$75)*(D303-30+1)*10,载具产出!$E$60:$E$67,1),0)+1</f>
        <v>7</v>
      </c>
      <c r="AK303" s="44">
        <f ca="1">IF($AJ303=1,($AI303)*(10*OFFSET(载具产出!$D$45,MATCH(AK$6,$AK$6:$AN$6,0)-1,$AJ303)+OFFSET(载具产出!$D$49,MATCH(AK$6,$AK$6:$AN$6,0)-1,$AJ303)*OFFSET(载具产出!$N$49,MATCH(AK$6,$AK$6:$AN$6,0)-1,0)),OFFSET(载具产出!F$59,$AJ303-1,0)*10+OFFSET(载具产出!J$59,$AJ303-1,0)+($AI303*10-_xlfn.XLOOKUP($AJ303-1,载具产出!$D$59:$D$67,载具产出!$E$59:$E$67))/10*(10*OFFSET(载具产出!$D$45,MATCH(AK$6,$AK$6:$AN$6,0)-1,$AJ303)+OFFSET(载具产出!$D$49,MATCH(AK$6,$AK$6:$AN$6,0)-1,$AJ303)*OFFSET(载具产出!$N$49,MATCH(AK$6,$AK$6:$AN$6,0)-1,0)))</f>
        <v>6842.37628571431</v>
      </c>
      <c r="AL303" s="44">
        <f ca="1">IF($AJ303=1,($AI303)*(10*OFFSET(载具产出!$D$45,MATCH(AL$6,$AK$6:$AN$6,0)-1,$AJ303)+OFFSET(载具产出!$D$49,MATCH(AL$6,$AK$6:$AN$6,0)-1,$AJ303)*OFFSET(载具产出!$N$49,MATCH(AL$6,$AK$6:$AN$6,0)-1,0)),OFFSET(载具产出!G$59,$AJ303-1,0)*10+OFFSET(载具产出!K$59,$AJ303-1,0)+($AI303*10-_xlfn.XLOOKUP($AJ303-1,载具产出!$D$59:$D$67,载具产出!$E$59:$E$67))/10*(10*OFFSET(载具产出!$D$45,MATCH(AL$6,$AK$6:$AN$6,0)-1,$AJ303)+OFFSET(载具产出!$D$49,MATCH(AL$6,$AK$6:$AN$6,0)-1,$AJ303)*OFFSET(载具产出!$N$49,MATCH(AL$6,$AK$6:$AN$6,0)-1,0)))</f>
        <v>2864.35904761906</v>
      </c>
      <c r="AM303" s="44">
        <f ca="1">IF($AJ303=1,($AI303)*(10*OFFSET(载具产出!$D$45,MATCH(AM$6,$AK$6:$AN$6,0)-1,$AJ303)+OFFSET(载具产出!$D$49,MATCH(AM$6,$AK$6:$AN$6,0)-1,$AJ303)*OFFSET(载具产出!$N$49,MATCH(AM$6,$AK$6:$AN$6,0)-1,0)),OFFSET(载具产出!H$59,$AJ303-1,0)*10+OFFSET(载具产出!L$59,$AJ303-1,0)+($AI303*10-_xlfn.XLOOKUP($AJ303-1,载具产出!$D$59:$D$67,载具产出!$E$59:$E$67))/10*(10*OFFSET(载具产出!$D$45,MATCH(AM$6,$AK$6:$AN$6,0)-1,$AJ303)+OFFSET(载具产出!$D$49,MATCH(AM$6,$AK$6:$AN$6,0)-1,$AJ303)*OFFSET(载具产出!$N$49,MATCH(AM$6,$AK$6:$AN$6,0)-1,0)))</f>
        <v>1574.59657142858</v>
      </c>
      <c r="AN303" s="44">
        <f ca="1">IF($AJ303=1,($AI303)*(10*OFFSET(载具产出!$D$45,MATCH(AN$6,$AK$6:$AN$6,0)-1,$AJ303)+OFFSET(载具产出!$D$49,MATCH(AN$6,$AK$6:$AN$6,0)-1,$AJ303)*OFFSET(载具产出!$N$49,MATCH(AN$6,$AK$6:$AN$6,0)-1,0)),OFFSET(载具产出!I$59,$AJ303-1,0)*10+OFFSET(载具产出!M$59,$AJ303-1,0)+($AI303*10-_xlfn.XLOOKUP($AJ303-1,载具产出!$D$59:$D$67,载具产出!$E$59:$E$67))/10*(10*OFFSET(载具产出!$D$45,MATCH(AN$6,$AK$6:$AN$6,0)-1,$AJ303)+OFFSET(载具产出!$D$49,MATCH(AN$6,$AK$6:$AN$6,0)-1,$AJ303)*OFFSET(载具产出!$N$49,MATCH(AN$6,$AK$6:$AN$6,0)-1,0)))</f>
        <v>491.320190476193</v>
      </c>
      <c r="AO303" s="44">
        <f ca="1" t="shared" si="81"/>
        <v>8669.17628571431</v>
      </c>
      <c r="AP303" s="44">
        <f ca="1" t="shared" si="82"/>
        <v>4887.61238095238</v>
      </c>
      <c r="AQ303" s="44">
        <f ca="1" t="shared" si="83"/>
        <v>2351.55657142858</v>
      </c>
      <c r="AR303" s="44">
        <f ca="1" t="shared" si="84"/>
        <v>515.640190476193</v>
      </c>
      <c r="AS303" s="45">
        <f ca="1">IFERROR(MATCH(AO303/载具产出!R$58,载具属性!$G$33:$G$92,1),0)</f>
        <v>42</v>
      </c>
      <c r="AT303" s="45">
        <f ca="1">IFERROR(MATCH(AP303/载具产出!S$58,载具属性!$G$33:$G$92,1),0)</f>
        <v>29</v>
      </c>
      <c r="AU303" s="45">
        <f ca="1">IFERROR(MATCH(AQ303/载具产出!T$58,载具属性!$G$33:$G$92,1),0)</f>
        <v>18</v>
      </c>
      <c r="AV303" s="45">
        <f ca="1">IFERROR(MATCH(AR303/载具产出!U$58,载具属性!$G$33:$G$92,1),0)</f>
        <v>8</v>
      </c>
      <c r="AW303" s="46" t="str">
        <f ca="1" t="shared" si="85"/>
        <v>[{62,1855},{63,246585},{2,721900},{6030001,5234},{6030002,5859},{6030003,2254},{6030004,67}]</v>
      </c>
      <c r="AX303" t="str">
        <f ca="1" t="shared" ref="AX303:BD303" si="96">IF(INT(K303)&lt;=0,"","{"&amp;K$5&amp;","&amp;INT(K303)&amp;"}")</f>
        <v>{62,1855}</v>
      </c>
      <c r="AY303" t="str">
        <f ca="1" t="shared" si="96"/>
        <v>{63,246585}</v>
      </c>
      <c r="AZ303" t="str">
        <f ca="1" t="shared" si="96"/>
        <v>{2,721900}</v>
      </c>
      <c r="BA303" t="str">
        <f ca="1" t="shared" si="96"/>
        <v>{6030001,5234}</v>
      </c>
      <c r="BB303" t="str">
        <f ca="1" t="shared" si="96"/>
        <v>{6030002,5859}</v>
      </c>
      <c r="BC303" t="str">
        <f ca="1" t="shared" si="96"/>
        <v>{6030003,2254}</v>
      </c>
      <c r="BD303" t="str">
        <f ca="1" t="shared" si="96"/>
        <v>{6030004,67}</v>
      </c>
    </row>
    <row r="304" spans="3:56">
      <c r="C304">
        <f ca="1" t="shared" si="80"/>
        <v>130.45871559633</v>
      </c>
      <c r="D304" s="40">
        <v>298</v>
      </c>
      <c r="E304" s="40">
        <f t="shared" si="76"/>
        <v>138</v>
      </c>
      <c r="F304" s="40">
        <f t="shared" si="75"/>
        <v>158</v>
      </c>
      <c r="G304" s="41">
        <f t="shared" si="78"/>
        <v>218</v>
      </c>
      <c r="H304" s="40">
        <f>H303</f>
        <v>291</v>
      </c>
      <c r="I304" s="40">
        <f t="shared" si="79"/>
        <v>622</v>
      </c>
      <c r="J304" s="40">
        <f t="shared" si="77"/>
        <v>622</v>
      </c>
      <c r="K304" s="40">
        <f ca="1">SUM(U$36:U304)-SUM(OFFSET(载具产出!H$399,0,0,$R304+1,1))</f>
        <v>1862</v>
      </c>
      <c r="L304" s="40">
        <f ca="1">SUM(T$36:T304)-SUM(OFFSET(载具产出!G$399,0,0,$R304+1,1))</f>
        <v>247750</v>
      </c>
      <c r="M304" s="40">
        <f ca="1">SUM(V$36:V304)/2-SUM(OFFSET(载具产出!I$399,0,0,$R304+1,1))</f>
        <v>725600</v>
      </c>
      <c r="N304" s="40">
        <f ca="1">SUM(AA$36:AA304)-SUM(OFFSET(载具产出!J$399,0,0,$R304+1,1))</f>
        <v>5252.6</v>
      </c>
      <c r="O304" s="40">
        <f ca="1">SUM(AB$36:AB304)-SUM(OFFSET(载具产出!K$399,0,0,$R304+1,1))</f>
        <v>5880.19999999996</v>
      </c>
      <c r="P304" s="40">
        <f ca="1">SUM(AC$36:AC304)-SUM(OFFSET(载具产出!L$399,0,0,$R304+1,1))</f>
        <v>2270.84</v>
      </c>
      <c r="Q304" s="40">
        <f ca="1">SUM(AD$36:AD304)-SUM(OFFSET(载具产出!M$399,0,0,$R304+1,1))</f>
        <v>69.36</v>
      </c>
      <c r="R304" s="40">
        <v>21</v>
      </c>
      <c r="S304" s="40" t="str">
        <f ca="1">OFFSET(载具产出!$D$111,IFERROR(MATCH(OFFSET($D304,0,MATCH($D$5,$E$6:$H$6,0)),载具产出!$E$112:$E$151,1),0),0)</f>
        <v>卓越Ⅲ</v>
      </c>
      <c r="T304" s="40">
        <f ca="1">OFFSET(载具产出!$F$399,IFERROR(MATCH(OFFSET($D304,0,MATCH($D$5,$E$6:$H$6,0)),载具产出!$E$400:$E$439,1),0),MATCH(T$6,载具产出!$G$399:$O$399,0))</f>
        <v>1165</v>
      </c>
      <c r="U304" s="40">
        <v>7</v>
      </c>
      <c r="V304" s="40">
        <f ca="1">OFFSET(载具产出!$F$399,IFERROR(MATCH(OFFSET($D304,0,MATCH($D$5,$E$6:$H$6,0)),载具产出!$E$400:$E$439,1),0),MATCH(V$6,载具产出!$G$399:$O$399,0))</f>
        <v>7400</v>
      </c>
      <c r="W304" s="43">
        <f ca="1">_xlfn.XLOOKUP(Z304,载具属性!$E$98:$E$497,载具属性!$G$98:$G$497)+6000+OFFSET(载具属性!L$33,AS304,0)*载具属性!M$30+OFFSET(载具属性!M$33,AT304,0)*载具属性!N$30+OFFSET(载具属性!N$33,AU304,0)*载具属性!O$30+OFFSET(载具属性!O$33,AV304,0)*载具属性!P$30</f>
        <v>28440</v>
      </c>
      <c r="X304" s="43">
        <f ca="1">_xlfn.XLOOKUP(Z304,载具属性!$E$98:$E$497,载具属性!$G$98:$G$497)</f>
        <v>14550</v>
      </c>
      <c r="Y304" s="43">
        <f ca="1">OFFSET(载具属性!L$33,AS304,0)*载具属性!M$30+OFFSET(载具属性!M$33,AT304,0)*载具属性!N$30+OFFSET(载具属性!N$33,AU304,0)*载具属性!O$30+OFFSET(载具属性!O$33,AV304,0)*载具属性!P$30</f>
        <v>7890</v>
      </c>
      <c r="Z304" s="40">
        <f ca="1">MATCH(SUM($T$7:T304),载具属性!$I$98:$I$497,1)</f>
        <v>201</v>
      </c>
      <c r="AA304" s="40">
        <f ca="1">OFFSET(载具产出!$F$399,IFERROR(MATCH(OFFSET($D304,0,MATCH($D$5,$E$6:$H$6,0)),载具产出!$E$112:$E$151,1),0),MATCH(AA$6,载具产出!$G$111:$O$111,0))*2</f>
        <v>18</v>
      </c>
      <c r="AB304" s="40">
        <f ca="1">OFFSET(载具产出!$F$399,IFERROR(MATCH(OFFSET($D304,0,MATCH($D$5,$E$6:$H$6,0)),载具产出!$E$112:$E$151,1),0),MATCH(AB$6,载具产出!$G$111:$O$111,0))*2</f>
        <v>20.32</v>
      </c>
      <c r="AC304" s="40">
        <f ca="1">OFFSET(载具产出!$F$399,IFERROR(MATCH(OFFSET($D304,0,MATCH($D$5,$E$6:$H$6,0)),载具产出!$E$112:$E$151,1),0),MATCH(AC$6,载具产出!$G$111:$O$111,0))*2</f>
        <v>16.24</v>
      </c>
      <c r="AD304" s="40">
        <f ca="1">OFFSET(载具产出!$F$399,IFERROR(MATCH(OFFSET($D304,0,MATCH($D$5,$E$6:$H$6,0)),载具产出!$E$112:$E$151,1),0),MATCH(AD$6,载具产出!$G$111:$O$111,0))*2</f>
        <v>1.44</v>
      </c>
      <c r="AE304" s="44">
        <f ca="1">SUM(AA$36:AA304)/3</f>
        <v>1832.8</v>
      </c>
      <c r="AF304" s="44">
        <f ca="1">SUM(AB$36:AB304)/3</f>
        <v>2030.02666666665</v>
      </c>
      <c r="AG304" s="44">
        <f ca="1">SUM(AC$36:AC304)/3</f>
        <v>782.373333333332</v>
      </c>
      <c r="AH304" s="44">
        <f ca="1">SUM(AD$36:AD304)/3</f>
        <v>24.8</v>
      </c>
      <c r="AI304" s="44">
        <f>_xlfn.XLOOKUP($D$5,载具产出!$D$71:$D$75,载具产出!$E$71:$E$75)*(D304-30+1)</f>
        <v>3163.95238095239</v>
      </c>
      <c r="AJ304" s="44">
        <f>IFERROR(MATCH(_xlfn.XLOOKUP($D$5,载具产出!$D$71:$D$75,载具产出!$E$71:$E$75)*(D304-30+1)*10,载具产出!$E$60:$E$67,1),0)+1</f>
        <v>7</v>
      </c>
      <c r="AK304" s="44">
        <f ca="1">IF($AJ304=1,($AI304)*(10*OFFSET(载具产出!$D$45,MATCH(AK$6,$AK$6:$AN$6,0)-1,$AJ304)+OFFSET(载具产出!$D$49,MATCH(AK$6,$AK$6:$AN$6,0)-1,$AJ304)*OFFSET(载具产出!$N$49,MATCH(AK$6,$AK$6:$AN$6,0)-1,0)),OFFSET(载具产出!F$59,$AJ304-1,0)*10+OFFSET(载具产出!J$59,$AJ304-1,0)+($AI304*10-_xlfn.XLOOKUP($AJ304-1,载具产出!$D$59:$D$67,载具产出!$E$59:$E$67))/10*(10*OFFSET(载具产出!$D$45,MATCH(AK$6,$AK$6:$AN$6,0)-1,$AJ304)+OFFSET(载具产出!$D$49,MATCH(AK$6,$AK$6:$AN$6,0)-1,$AJ304)*OFFSET(载具产出!$N$49,MATCH(AK$6,$AK$6:$AN$6,0)-1,0)))</f>
        <v>6867.21742857145</v>
      </c>
      <c r="AL304" s="44">
        <f ca="1">IF($AJ304=1,($AI304)*(10*OFFSET(载具产出!$D$45,MATCH(AL$6,$AK$6:$AN$6,0)-1,$AJ304)+OFFSET(载具产出!$D$49,MATCH(AL$6,$AK$6:$AN$6,0)-1,$AJ304)*OFFSET(载具产出!$N$49,MATCH(AL$6,$AK$6:$AN$6,0)-1,0)),OFFSET(载具产出!G$59,$AJ304-1,0)*10+OFFSET(载具产出!K$59,$AJ304-1,0)+($AI304*10-_xlfn.XLOOKUP($AJ304-1,载具产出!$D$59:$D$67,载具产出!$E$59:$E$67))/10*(10*OFFSET(载具产出!$D$45,MATCH(AL$6,$AK$6:$AN$6,0)-1,$AJ304)+OFFSET(载具产出!$D$49,MATCH(AL$6,$AK$6:$AN$6,0)-1,$AJ304)*OFFSET(载具产出!$N$49,MATCH(AL$6,$AK$6:$AN$6,0)-1,0)))</f>
        <v>2875.41523809525</v>
      </c>
      <c r="AM304" s="44">
        <f ca="1">IF($AJ304=1,($AI304)*(10*OFFSET(载具产出!$D$45,MATCH(AM$6,$AK$6:$AN$6,0)-1,$AJ304)+OFFSET(载具产出!$D$49,MATCH(AM$6,$AK$6:$AN$6,0)-1,$AJ304)*OFFSET(载具产出!$N$49,MATCH(AM$6,$AK$6:$AN$6,0)-1,0)),OFFSET(载具产出!H$59,$AJ304-1,0)*10+OFFSET(载具产出!L$59,$AJ304-1,0)+($AI304*10-_xlfn.XLOOKUP($AJ304-1,载具产出!$D$59:$D$67,载具产出!$E$59:$E$67))/10*(10*OFFSET(载具产出!$D$45,MATCH(AM$6,$AK$6:$AN$6,0)-1,$AJ304)+OFFSET(载具产出!$D$49,MATCH(AM$6,$AK$6:$AN$6,0)-1,$AJ304)*OFFSET(载具产出!$N$49,MATCH(AM$6,$AK$6:$AN$6,0)-1,0)))</f>
        <v>1580.80685714286</v>
      </c>
      <c r="AN304" s="44">
        <f ca="1">IF($AJ304=1,($AI304)*(10*OFFSET(载具产出!$D$45,MATCH(AN$6,$AK$6:$AN$6,0)-1,$AJ304)+OFFSET(载具产出!$D$49,MATCH(AN$6,$AK$6:$AN$6,0)-1,$AJ304)*OFFSET(载具产出!$N$49,MATCH(AN$6,$AK$6:$AN$6,0)-1,0)),OFFSET(载具产出!I$59,$AJ304-1,0)*10+OFFSET(载具产出!M$59,$AJ304-1,0)+($AI304*10-_xlfn.XLOOKUP($AJ304-1,载具产出!$D$59:$D$67,载具产出!$E$59:$E$67))/10*(10*OFFSET(载具产出!$D$45,MATCH(AN$6,$AK$6:$AN$6,0)-1,$AJ304)+OFFSET(载具产出!$D$49,MATCH(AN$6,$AK$6:$AN$6,0)-1,$AJ304)*OFFSET(载具产出!$N$49,MATCH(AN$6,$AK$6:$AN$6,0)-1,0)))</f>
        <v>493.307952380954</v>
      </c>
      <c r="AO304" s="44">
        <f ca="1" t="shared" si="81"/>
        <v>8700.01742857145</v>
      </c>
      <c r="AP304" s="44">
        <f ca="1" t="shared" si="82"/>
        <v>4905.4419047619</v>
      </c>
      <c r="AQ304" s="44">
        <f ca="1" t="shared" si="83"/>
        <v>2363.18019047619</v>
      </c>
      <c r="AR304" s="44">
        <f ca="1" t="shared" si="84"/>
        <v>518.107952380954</v>
      </c>
      <c r="AS304" s="45">
        <f ca="1">IFERROR(MATCH(AO304/载具产出!R$58,载具属性!$G$33:$G$92,1),0)</f>
        <v>42</v>
      </c>
      <c r="AT304" s="45">
        <f ca="1">IFERROR(MATCH(AP304/载具产出!S$58,载具属性!$G$33:$G$92,1),0)</f>
        <v>29</v>
      </c>
      <c r="AU304" s="45">
        <f ca="1">IFERROR(MATCH(AQ304/载具产出!T$58,载具属性!$G$33:$G$92,1),0)</f>
        <v>18</v>
      </c>
      <c r="AV304" s="45">
        <f ca="1">IFERROR(MATCH(AR304/载具产出!U$58,载具属性!$G$33:$G$92,1),0)</f>
        <v>8</v>
      </c>
      <c r="AW304" s="46" t="str">
        <f ca="1" t="shared" si="85"/>
        <v>[{62,1862},{63,247750},{2,725600},{6030001,5252},{6030002,5880},{6030003,2270},{6030004,69}]</v>
      </c>
      <c r="AX304" t="str">
        <f ca="1" t="shared" ref="AX304:BD304" si="97">IF(INT(K304)&lt;=0,"","{"&amp;K$5&amp;","&amp;INT(K304)&amp;"}")</f>
        <v>{62,1862}</v>
      </c>
      <c r="AY304" t="str">
        <f ca="1" t="shared" si="97"/>
        <v>{63,247750}</v>
      </c>
      <c r="AZ304" t="str">
        <f ca="1" t="shared" si="97"/>
        <v>{2,725600}</v>
      </c>
      <c r="BA304" t="str">
        <f ca="1" t="shared" si="97"/>
        <v>{6030001,5252}</v>
      </c>
      <c r="BB304" t="str">
        <f ca="1" t="shared" si="97"/>
        <v>{6030002,5880}</v>
      </c>
      <c r="BC304" t="str">
        <f ca="1" t="shared" si="97"/>
        <v>{6030003,2270}</v>
      </c>
      <c r="BD304" t="str">
        <f ca="1" t="shared" si="97"/>
        <v>{6030004,69}</v>
      </c>
    </row>
    <row r="305" spans="3:56">
      <c r="C305">
        <f ca="1" t="shared" si="80"/>
        <v>131.192660550459</v>
      </c>
      <c r="D305" s="40">
        <v>299</v>
      </c>
      <c r="E305" s="40">
        <f t="shared" si="76"/>
        <v>138</v>
      </c>
      <c r="F305" s="40">
        <f t="shared" si="75"/>
        <v>158</v>
      </c>
      <c r="G305" s="41">
        <f t="shared" si="78"/>
        <v>218</v>
      </c>
      <c r="H305" s="40">
        <f>H304+1</f>
        <v>292</v>
      </c>
      <c r="I305" s="40">
        <f t="shared" si="79"/>
        <v>624</v>
      </c>
      <c r="J305" s="40">
        <f t="shared" si="77"/>
        <v>624</v>
      </c>
      <c r="K305" s="40">
        <f ca="1">SUM(U$36:U305)-SUM(OFFSET(载具产出!H$399,0,0,$R305+1,1))</f>
        <v>1868</v>
      </c>
      <c r="L305" s="40">
        <f ca="1">SUM(T$36:T305)-SUM(OFFSET(载具产出!G$399,0,0,$R305+1,1))</f>
        <v>247625</v>
      </c>
      <c r="M305" s="40">
        <f ca="1">SUM(V$36:V305)/2-SUM(OFFSET(载具产出!I$399,0,0,$R305+1,1))</f>
        <v>721100</v>
      </c>
      <c r="N305" s="40">
        <f ca="1">SUM(AA$36:AA305)-SUM(OFFSET(载具产出!J$399,0,0,$R305+1,1))</f>
        <v>5261.6</v>
      </c>
      <c r="O305" s="40">
        <f ca="1">SUM(AB$36:AB305)-SUM(OFFSET(载具产出!K$399,0,0,$R305+1,1))</f>
        <v>5892.19999999996</v>
      </c>
      <c r="P305" s="40">
        <f ca="1">SUM(AC$36:AC305)-SUM(OFFSET(载具产出!L$399,0,0,$R305+1,1))</f>
        <v>2278.07999999999</v>
      </c>
      <c r="Q305" s="40">
        <f ca="1">SUM(AD$36:AD305)-SUM(OFFSET(载具产出!M$399,0,0,$R305+1,1))</f>
        <v>69.12</v>
      </c>
      <c r="R305" s="40">
        <v>22</v>
      </c>
      <c r="S305" s="40" t="str">
        <f ca="1">OFFSET(载具产出!$D$111,IFERROR(MATCH(OFFSET($D305,0,MATCH($D$5,$E$6:$H$6,0)),载具产出!$E$112:$E$151,1),0),0)</f>
        <v>卓越Ⅲ</v>
      </c>
      <c r="T305" s="40">
        <f ca="1">OFFSET(载具产出!$F$399,IFERROR(MATCH(OFFSET($D305,0,MATCH($D$5,$E$6:$H$6,0)),载具产出!$E$400:$E$439,1),0),MATCH(T$6,载具产出!$G$399:$O$399,0))</f>
        <v>1165</v>
      </c>
      <c r="U305" s="40">
        <v>7</v>
      </c>
      <c r="V305" s="40">
        <f ca="1">OFFSET(载具产出!$F$399,IFERROR(MATCH(OFFSET($D305,0,MATCH($D$5,$E$6:$H$6,0)),载具产出!$E$400:$E$439,1),0),MATCH(V$6,载具产出!$G$399:$O$399,0))</f>
        <v>7400</v>
      </c>
      <c r="W305" s="43">
        <f ca="1">_xlfn.XLOOKUP(Z305,载具属性!$E$98:$E$497,载具属性!$G$98:$G$497)+6000+OFFSET(载具属性!L$33,AS305,0)*载具属性!M$30+OFFSET(载具属性!M$33,AT305,0)*载具属性!N$30+OFFSET(载具属性!N$33,AU305,0)*载具属性!O$30+OFFSET(载具属性!O$33,AV305,0)*载具属性!P$30</f>
        <v>28600</v>
      </c>
      <c r="X305" s="43">
        <f ca="1">_xlfn.XLOOKUP(Z305,载具属性!$E$98:$E$497,载具属性!$G$98:$G$497)</f>
        <v>14650</v>
      </c>
      <c r="Y305" s="43">
        <f ca="1">OFFSET(载具属性!L$33,AS305,0)*载具属性!M$30+OFFSET(载具属性!M$33,AT305,0)*载具属性!N$30+OFFSET(载具属性!N$33,AU305,0)*载具属性!O$30+OFFSET(载具属性!O$33,AV305,0)*载具属性!P$30</f>
        <v>7950</v>
      </c>
      <c r="Z305" s="40">
        <f ca="1">MATCH(SUM($T$7:T305),载具属性!$I$98:$I$497,1)</f>
        <v>202</v>
      </c>
      <c r="AA305" s="40">
        <f ca="1">OFFSET(载具产出!$F$399,IFERROR(MATCH(OFFSET($D305,0,MATCH($D$5,$E$6:$H$6,0)),载具产出!$E$112:$E$151,1),0),MATCH(AA$6,载具产出!$G$111:$O$111,0))*2</f>
        <v>18</v>
      </c>
      <c r="AB305" s="40">
        <f ca="1">OFFSET(载具产出!$F$399,IFERROR(MATCH(OFFSET($D305,0,MATCH($D$5,$E$6:$H$6,0)),载具产出!$E$112:$E$151,1),0),MATCH(AB$6,载具产出!$G$111:$O$111,0))*2</f>
        <v>20.32</v>
      </c>
      <c r="AC305" s="40">
        <f ca="1">OFFSET(载具产出!$F$399,IFERROR(MATCH(OFFSET($D305,0,MATCH($D$5,$E$6:$H$6,0)),载具产出!$E$112:$E$151,1),0),MATCH(AC$6,载具产出!$G$111:$O$111,0))*2</f>
        <v>16.24</v>
      </c>
      <c r="AD305" s="40">
        <f ca="1">OFFSET(载具产出!$F$399,IFERROR(MATCH(OFFSET($D305,0,MATCH($D$5,$E$6:$H$6,0)),载具产出!$E$112:$E$151,1),0),MATCH(AD$6,载具产出!$G$111:$O$111,0))*2</f>
        <v>1.44</v>
      </c>
      <c r="AE305" s="44">
        <f ca="1">SUM(AA$36:AA305)/3</f>
        <v>1838.8</v>
      </c>
      <c r="AF305" s="44">
        <f ca="1">SUM(AB$36:AB305)/3</f>
        <v>2036.79999999999</v>
      </c>
      <c r="AG305" s="44">
        <f ca="1">SUM(AC$36:AC305)/3</f>
        <v>787.786666666665</v>
      </c>
      <c r="AH305" s="44">
        <f ca="1">SUM(AD$36:AD305)/3</f>
        <v>25.28</v>
      </c>
      <c r="AI305" s="44">
        <f>_xlfn.XLOOKUP($D$5,载具产出!$D$71:$D$75,载具产出!$E$71:$E$75)*(D305-30+1)</f>
        <v>3175.7142857143</v>
      </c>
      <c r="AJ305" s="44">
        <f>IFERROR(MATCH(_xlfn.XLOOKUP($D$5,载具产出!$D$71:$D$75,载具产出!$E$71:$E$75)*(D305-30+1)*10,载具产出!$E$60:$E$67,1),0)+1</f>
        <v>7</v>
      </c>
      <c r="AK305" s="44">
        <f ca="1">IF($AJ305=1,($AI305)*(10*OFFSET(载具产出!$D$45,MATCH(AK$6,$AK$6:$AN$6,0)-1,$AJ305)+OFFSET(载具产出!$D$49,MATCH(AK$6,$AK$6:$AN$6,0)-1,$AJ305)*OFFSET(载具产出!$N$49,MATCH(AK$6,$AK$6:$AN$6,0)-1,0)),OFFSET(载具产出!F$59,$AJ305-1,0)*10+OFFSET(载具产出!J$59,$AJ305-1,0)+($AI305*10-_xlfn.XLOOKUP($AJ305-1,载具产出!$D$59:$D$67,载具产出!$E$59:$E$67))/10*(10*OFFSET(载具产出!$D$45,MATCH(AK$6,$AK$6:$AN$6,0)-1,$AJ305)+OFFSET(载具产出!$D$49,MATCH(AK$6,$AK$6:$AN$6,0)-1,$AJ305)*OFFSET(载具产出!$N$49,MATCH(AK$6,$AK$6:$AN$6,0)-1,0)))</f>
        <v>6892.0585714286</v>
      </c>
      <c r="AL305" s="44">
        <f ca="1">IF($AJ305=1,($AI305)*(10*OFFSET(载具产出!$D$45,MATCH(AL$6,$AK$6:$AN$6,0)-1,$AJ305)+OFFSET(载具产出!$D$49,MATCH(AL$6,$AK$6:$AN$6,0)-1,$AJ305)*OFFSET(载具产出!$N$49,MATCH(AL$6,$AK$6:$AN$6,0)-1,0)),OFFSET(载具产出!G$59,$AJ305-1,0)*10+OFFSET(载具产出!K$59,$AJ305-1,0)+($AI305*10-_xlfn.XLOOKUP($AJ305-1,载具产出!$D$59:$D$67,载具产出!$E$59:$E$67))/10*(10*OFFSET(载具产出!$D$45,MATCH(AL$6,$AK$6:$AN$6,0)-1,$AJ305)+OFFSET(载具产出!$D$49,MATCH(AL$6,$AK$6:$AN$6,0)-1,$AJ305)*OFFSET(载具产出!$N$49,MATCH(AL$6,$AK$6:$AN$6,0)-1,0)))</f>
        <v>2886.47142857144</v>
      </c>
      <c r="AM305" s="44">
        <f ca="1">IF($AJ305=1,($AI305)*(10*OFFSET(载具产出!$D$45,MATCH(AM$6,$AK$6:$AN$6,0)-1,$AJ305)+OFFSET(载具产出!$D$49,MATCH(AM$6,$AK$6:$AN$6,0)-1,$AJ305)*OFFSET(载具产出!$N$49,MATCH(AM$6,$AK$6:$AN$6,0)-1,0)),OFFSET(载具产出!H$59,$AJ305-1,0)*10+OFFSET(载具产出!L$59,$AJ305-1,0)+($AI305*10-_xlfn.XLOOKUP($AJ305-1,载具产出!$D$59:$D$67,载具产出!$E$59:$E$67))/10*(10*OFFSET(载具产出!$D$45,MATCH(AM$6,$AK$6:$AN$6,0)-1,$AJ305)+OFFSET(载具产出!$D$49,MATCH(AM$6,$AK$6:$AN$6,0)-1,$AJ305)*OFFSET(载具产出!$N$49,MATCH(AM$6,$AK$6:$AN$6,0)-1,0)))</f>
        <v>1587.01714285715</v>
      </c>
      <c r="AN305" s="44">
        <f ca="1">IF($AJ305=1,($AI305)*(10*OFFSET(载具产出!$D$45,MATCH(AN$6,$AK$6:$AN$6,0)-1,$AJ305)+OFFSET(载具产出!$D$49,MATCH(AN$6,$AK$6:$AN$6,0)-1,$AJ305)*OFFSET(载具产出!$N$49,MATCH(AN$6,$AK$6:$AN$6,0)-1,0)),OFFSET(载具产出!I$59,$AJ305-1,0)*10+OFFSET(载具产出!M$59,$AJ305-1,0)+($AI305*10-_xlfn.XLOOKUP($AJ305-1,载具产出!$D$59:$D$67,载具产出!$E$59:$E$67))/10*(10*OFFSET(载具产出!$D$45,MATCH(AN$6,$AK$6:$AN$6,0)-1,$AJ305)+OFFSET(载具产出!$D$49,MATCH(AN$6,$AK$6:$AN$6,0)-1,$AJ305)*OFFSET(载具产出!$N$49,MATCH(AN$6,$AK$6:$AN$6,0)-1,0)))</f>
        <v>495.295714285717</v>
      </c>
      <c r="AO305" s="44">
        <f ca="1" t="shared" si="81"/>
        <v>8730.8585714286</v>
      </c>
      <c r="AP305" s="44">
        <f ca="1" t="shared" si="82"/>
        <v>4923.27142857143</v>
      </c>
      <c r="AQ305" s="44">
        <f ca="1" t="shared" si="83"/>
        <v>2374.80380952382</v>
      </c>
      <c r="AR305" s="44">
        <f ca="1" t="shared" si="84"/>
        <v>520.575714285717</v>
      </c>
      <c r="AS305" s="45">
        <f ca="1">IFERROR(MATCH(AO305/载具产出!R$58,载具属性!$G$33:$G$92,1),0)</f>
        <v>43</v>
      </c>
      <c r="AT305" s="45">
        <f ca="1">IFERROR(MATCH(AP305/载具产出!S$58,载具属性!$G$33:$G$92,1),0)</f>
        <v>29</v>
      </c>
      <c r="AU305" s="45">
        <f ca="1">IFERROR(MATCH(AQ305/载具产出!T$58,载具属性!$G$33:$G$92,1),0)</f>
        <v>18</v>
      </c>
      <c r="AV305" s="45">
        <f ca="1">IFERROR(MATCH(AR305/载具产出!U$58,载具属性!$G$33:$G$92,1),0)</f>
        <v>8</v>
      </c>
      <c r="AW305" s="46" t="str">
        <f ca="1" t="shared" si="85"/>
        <v>[{62,1868},{63,247625},{2,721100},{6030001,5261},{6030002,5892},{6030003,2278},{6030004,69}]</v>
      </c>
      <c r="AX305" t="str">
        <f ca="1" t="shared" ref="AX305:BD305" si="98">IF(INT(K305)&lt;=0,"","{"&amp;K$5&amp;","&amp;INT(K305)&amp;"}")</f>
        <v>{62,1868}</v>
      </c>
      <c r="AY305" t="str">
        <f ca="1" t="shared" si="98"/>
        <v>{63,247625}</v>
      </c>
      <c r="AZ305" t="str">
        <f ca="1" t="shared" si="98"/>
        <v>{2,721100}</v>
      </c>
      <c r="BA305" t="str">
        <f ca="1" t="shared" si="98"/>
        <v>{6030001,5261}</v>
      </c>
      <c r="BB305" t="str">
        <f ca="1" t="shared" si="98"/>
        <v>{6030002,5892}</v>
      </c>
      <c r="BC305" t="str">
        <f ca="1" t="shared" si="98"/>
        <v>{6030003,2278}</v>
      </c>
      <c r="BD305" t="str">
        <f ca="1" t="shared" si="98"/>
        <v>{6030004,69}</v>
      </c>
    </row>
    <row r="306" spans="3:56">
      <c r="C306">
        <f ca="1" t="shared" si="80"/>
        <v>130.593607305936</v>
      </c>
      <c r="D306" s="40">
        <v>300</v>
      </c>
      <c r="E306" s="40">
        <f t="shared" si="76"/>
        <v>138</v>
      </c>
      <c r="F306" s="40">
        <f t="shared" si="75"/>
        <v>159</v>
      </c>
      <c r="G306" s="41">
        <f t="shared" si="78"/>
        <v>219</v>
      </c>
      <c r="H306" s="40">
        <f>H305</f>
        <v>292</v>
      </c>
      <c r="I306" s="40">
        <f t="shared" si="79"/>
        <v>626</v>
      </c>
      <c r="J306" s="40">
        <f t="shared" si="77"/>
        <v>626</v>
      </c>
      <c r="K306" s="40">
        <f ca="1">SUM(U$36:U306)-SUM(OFFSET(载具产出!H$399,0,0,$R306+1,1))</f>
        <v>1875</v>
      </c>
      <c r="L306" s="40">
        <f ca="1">SUM(T$36:T306)-SUM(OFFSET(载具产出!G$399,0,0,$R306+1,1))</f>
        <v>248790</v>
      </c>
      <c r="M306" s="40">
        <f ca="1">SUM(V$36:V306)/2-SUM(OFFSET(载具产出!I$399,0,0,$R306+1,1))</f>
        <v>724800</v>
      </c>
      <c r="N306" s="40">
        <f ca="1">SUM(AA$36:AA306)-SUM(OFFSET(载具产出!J$399,0,0,$R306+1,1))</f>
        <v>5279.6</v>
      </c>
      <c r="O306" s="40">
        <f ca="1">SUM(AB$36:AB306)-SUM(OFFSET(载具产出!K$399,0,0,$R306+1,1))</f>
        <v>5912.51999999996</v>
      </c>
      <c r="P306" s="40">
        <f ca="1">SUM(AC$36:AC306)-SUM(OFFSET(载具产出!L$399,0,0,$R306+1,1))</f>
        <v>2294.31999999999</v>
      </c>
      <c r="Q306" s="40">
        <f ca="1">SUM(AD$36:AD306)-SUM(OFFSET(载具产出!M$399,0,0,$R306+1,1))</f>
        <v>70.56</v>
      </c>
      <c r="R306" s="40">
        <v>22</v>
      </c>
      <c r="S306" s="40" t="str">
        <f ca="1">OFFSET(载具产出!$D$111,IFERROR(MATCH(OFFSET($D306,0,MATCH($D$5,$E$6:$H$6,0)),载具产出!$E$112:$E$151,1),0),0)</f>
        <v>卓越Ⅲ</v>
      </c>
      <c r="T306" s="40">
        <f ca="1">OFFSET(载具产出!$F$399,IFERROR(MATCH(OFFSET($D306,0,MATCH($D$5,$E$6:$H$6,0)),载具产出!$E$400:$E$439,1),0),MATCH(T$6,载具产出!$G$399:$O$399,0))</f>
        <v>1165</v>
      </c>
      <c r="U306" s="40">
        <v>7</v>
      </c>
      <c r="V306" s="40">
        <f ca="1">OFFSET(载具产出!$F$399,IFERROR(MATCH(OFFSET($D306,0,MATCH($D$5,$E$6:$H$6,0)),载具产出!$E$400:$E$439,1),0),MATCH(V$6,载具产出!$G$399:$O$399,0))</f>
        <v>7400</v>
      </c>
      <c r="W306" s="43">
        <f ca="1">_xlfn.XLOOKUP(Z306,载具属性!$E$98:$E$497,载具属性!$G$98:$G$497)+6000+OFFSET(载具属性!L$33,AS306,0)*载具属性!M$30+OFFSET(载具属性!M$33,AT306,0)*载具属性!N$30+OFFSET(载具属性!N$33,AU306,0)*载具属性!O$30+OFFSET(载具属性!O$33,AV306,0)*载具属性!P$30</f>
        <v>28600</v>
      </c>
      <c r="X306" s="43">
        <f ca="1">_xlfn.XLOOKUP(Z306,载具属性!$E$98:$E$497,载具属性!$G$98:$G$497)</f>
        <v>14650</v>
      </c>
      <c r="Y306" s="43">
        <f ca="1">OFFSET(载具属性!L$33,AS306,0)*载具属性!M$30+OFFSET(载具属性!M$33,AT306,0)*载具属性!N$30+OFFSET(载具属性!N$33,AU306,0)*载具属性!O$30+OFFSET(载具属性!O$33,AV306,0)*载具属性!P$30</f>
        <v>7950</v>
      </c>
      <c r="Z306" s="40">
        <f ca="1">MATCH(SUM($T$7:T306),载具属性!$I$98:$I$497,1)</f>
        <v>202</v>
      </c>
      <c r="AA306" s="40">
        <f ca="1">OFFSET(载具产出!$F$399,IFERROR(MATCH(OFFSET($D306,0,MATCH($D$5,$E$6:$H$6,0)),载具产出!$E$112:$E$151,1),0),MATCH(AA$6,载具产出!$G$111:$O$111,0))*2</f>
        <v>18</v>
      </c>
      <c r="AB306" s="40">
        <f ca="1">OFFSET(载具产出!$F$399,IFERROR(MATCH(OFFSET($D306,0,MATCH($D$5,$E$6:$H$6,0)),载具产出!$E$112:$E$151,1),0),MATCH(AB$6,载具产出!$G$111:$O$111,0))*2</f>
        <v>20.32</v>
      </c>
      <c r="AC306" s="40">
        <f ca="1">OFFSET(载具产出!$F$399,IFERROR(MATCH(OFFSET($D306,0,MATCH($D$5,$E$6:$H$6,0)),载具产出!$E$112:$E$151,1),0),MATCH(AC$6,载具产出!$G$111:$O$111,0))*2</f>
        <v>16.24</v>
      </c>
      <c r="AD306" s="40">
        <f ca="1">OFFSET(载具产出!$F$399,IFERROR(MATCH(OFFSET($D306,0,MATCH($D$5,$E$6:$H$6,0)),载具产出!$E$112:$E$151,1),0),MATCH(AD$6,载具产出!$G$111:$O$111,0))*2</f>
        <v>1.44</v>
      </c>
      <c r="AE306" s="44">
        <f ca="1">SUM(AA$36:AA306)/3</f>
        <v>1844.8</v>
      </c>
      <c r="AF306" s="44">
        <f ca="1">SUM(AB$36:AB306)/3</f>
        <v>2043.57333333332</v>
      </c>
      <c r="AG306" s="44">
        <f ca="1">SUM(AC$36:AC306)/3</f>
        <v>793.199999999998</v>
      </c>
      <c r="AH306" s="44">
        <f ca="1">SUM(AD$36:AD306)/3</f>
        <v>25.76</v>
      </c>
      <c r="AI306" s="44">
        <f>_xlfn.XLOOKUP($D$5,载具产出!$D$71:$D$75,载具产出!$E$71:$E$75)*(D306-30+1)</f>
        <v>3187.4761904762</v>
      </c>
      <c r="AJ306" s="44">
        <f>IFERROR(MATCH(_xlfn.XLOOKUP($D$5,载具产出!$D$71:$D$75,载具产出!$E$71:$E$75)*(D306-30+1)*10,载具产出!$E$60:$E$67,1),0)+1</f>
        <v>7</v>
      </c>
      <c r="AK306" s="44">
        <f ca="1">IF($AJ306=1,($AI306)*(10*OFFSET(载具产出!$D$45,MATCH(AK$6,$AK$6:$AN$6,0)-1,$AJ306)+OFFSET(载具产出!$D$49,MATCH(AK$6,$AK$6:$AN$6,0)-1,$AJ306)*OFFSET(载具产出!$N$49,MATCH(AK$6,$AK$6:$AN$6,0)-1,0)),OFFSET(载具产出!F$59,$AJ306-1,0)*10+OFFSET(载具产出!J$59,$AJ306-1,0)+($AI306*10-_xlfn.XLOOKUP($AJ306-1,载具产出!$D$59:$D$67,载具产出!$E$59:$E$67))/10*(10*OFFSET(载具产出!$D$45,MATCH(AK$6,$AK$6:$AN$6,0)-1,$AJ306)+OFFSET(载具产出!$D$49,MATCH(AK$6,$AK$6:$AN$6,0)-1,$AJ306)*OFFSET(载具产出!$N$49,MATCH(AK$6,$AK$6:$AN$6,0)-1,0)))</f>
        <v>6916.89971428573</v>
      </c>
      <c r="AL306" s="44">
        <f ca="1">IF($AJ306=1,($AI306)*(10*OFFSET(载具产出!$D$45,MATCH(AL$6,$AK$6:$AN$6,0)-1,$AJ306)+OFFSET(载具产出!$D$49,MATCH(AL$6,$AK$6:$AN$6,0)-1,$AJ306)*OFFSET(载具产出!$N$49,MATCH(AL$6,$AK$6:$AN$6,0)-1,0)),OFFSET(载具产出!G$59,$AJ306-1,0)*10+OFFSET(载具产出!K$59,$AJ306-1,0)+($AI306*10-_xlfn.XLOOKUP($AJ306-1,载具产出!$D$59:$D$67,载具产出!$E$59:$E$67))/10*(10*OFFSET(载具产出!$D$45,MATCH(AL$6,$AK$6:$AN$6,0)-1,$AJ306)+OFFSET(载具产出!$D$49,MATCH(AL$6,$AK$6:$AN$6,0)-1,$AJ306)*OFFSET(载具产出!$N$49,MATCH(AL$6,$AK$6:$AN$6,0)-1,0)))</f>
        <v>2897.52761904763</v>
      </c>
      <c r="AM306" s="44">
        <f ca="1">IF($AJ306=1,($AI306)*(10*OFFSET(载具产出!$D$45,MATCH(AM$6,$AK$6:$AN$6,0)-1,$AJ306)+OFFSET(载具产出!$D$49,MATCH(AM$6,$AK$6:$AN$6,0)-1,$AJ306)*OFFSET(载具产出!$N$49,MATCH(AM$6,$AK$6:$AN$6,0)-1,0)),OFFSET(载具产出!H$59,$AJ306-1,0)*10+OFFSET(载具产出!L$59,$AJ306-1,0)+($AI306*10-_xlfn.XLOOKUP($AJ306-1,载具产出!$D$59:$D$67,载具产出!$E$59:$E$67))/10*(10*OFFSET(载具产出!$D$45,MATCH(AM$6,$AK$6:$AN$6,0)-1,$AJ306)+OFFSET(载具产出!$D$49,MATCH(AM$6,$AK$6:$AN$6,0)-1,$AJ306)*OFFSET(载具产出!$N$49,MATCH(AM$6,$AK$6:$AN$6,0)-1,0)))</f>
        <v>1593.22742857143</v>
      </c>
      <c r="AN306" s="44">
        <f ca="1">IF($AJ306=1,($AI306)*(10*OFFSET(载具产出!$D$45,MATCH(AN$6,$AK$6:$AN$6,0)-1,$AJ306)+OFFSET(载具产出!$D$49,MATCH(AN$6,$AK$6:$AN$6,0)-1,$AJ306)*OFFSET(载具产出!$N$49,MATCH(AN$6,$AK$6:$AN$6,0)-1,0)),OFFSET(载具产出!I$59,$AJ306-1,0)*10+OFFSET(载具产出!M$59,$AJ306-1,0)+($AI306*10-_xlfn.XLOOKUP($AJ306-1,载具产出!$D$59:$D$67,载具产出!$E$59:$E$67))/10*(10*OFFSET(载具产出!$D$45,MATCH(AN$6,$AK$6:$AN$6,0)-1,$AJ306)+OFFSET(载具产出!$D$49,MATCH(AN$6,$AK$6:$AN$6,0)-1,$AJ306)*OFFSET(载具产出!$N$49,MATCH(AN$6,$AK$6:$AN$6,0)-1,0)))</f>
        <v>497.283476190478</v>
      </c>
      <c r="AO306" s="44">
        <f ca="1" t="shared" si="81"/>
        <v>8761.69971428573</v>
      </c>
      <c r="AP306" s="44">
        <f ca="1" t="shared" si="82"/>
        <v>4941.10095238095</v>
      </c>
      <c r="AQ306" s="44">
        <f ca="1" t="shared" si="83"/>
        <v>2386.42742857143</v>
      </c>
      <c r="AR306" s="44">
        <f ca="1" t="shared" si="84"/>
        <v>523.043476190478</v>
      </c>
      <c r="AS306" s="45">
        <f ca="1">IFERROR(MATCH(AO306/载具产出!R$58,载具属性!$G$33:$G$92,1),0)</f>
        <v>43</v>
      </c>
      <c r="AT306" s="45">
        <f ca="1">IFERROR(MATCH(AP306/载具产出!S$58,载具属性!$G$33:$G$92,1),0)</f>
        <v>29</v>
      </c>
      <c r="AU306" s="45">
        <f ca="1">IFERROR(MATCH(AQ306/载具产出!T$58,载具属性!$G$33:$G$92,1),0)</f>
        <v>18</v>
      </c>
      <c r="AV306" s="45">
        <f ca="1">IFERROR(MATCH(AR306/载具产出!U$58,载具属性!$G$33:$G$92,1),0)</f>
        <v>8</v>
      </c>
      <c r="AW306" s="46" t="str">
        <f ca="1" t="shared" si="85"/>
        <v>[{62,1875},{63,248790},{2,724800},{6030001,5279},{6030002,5912},{6030003,2294},{6030004,70}]</v>
      </c>
      <c r="AX306" t="str">
        <f ca="1" t="shared" ref="AX306:BD306" si="99">IF(INT(K306)&lt;=0,"","{"&amp;K$5&amp;","&amp;INT(K306)&amp;"}")</f>
        <v>{62,1875}</v>
      </c>
      <c r="AY306" t="str">
        <f ca="1" t="shared" si="99"/>
        <v>{63,248790}</v>
      </c>
      <c r="AZ306" t="str">
        <f ca="1" t="shared" si="99"/>
        <v>{2,724800}</v>
      </c>
      <c r="BA306" t="str">
        <f ca="1" t="shared" si="99"/>
        <v>{6030001,5279}</v>
      </c>
      <c r="BB306" t="str">
        <f ca="1" t="shared" si="99"/>
        <v>{6030002,5912}</v>
      </c>
      <c r="BC306" t="str">
        <f ca="1" t="shared" si="99"/>
        <v>{6030003,2294}</v>
      </c>
      <c r="BD306" t="str">
        <f ca="1" t="shared" si="99"/>
        <v>{6030004,70}</v>
      </c>
    </row>
  </sheetData>
  <conditionalFormatting sqref="AA36:AD30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{3e80886e-f9cb-4a18-85a7-4b0126b7d9a7}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80886e-f9cb-4a18-85a7-4b0126b7d9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AA36:AD306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D1:Z90"/>
  <sheetViews>
    <sheetView topLeftCell="B36" workbookViewId="0">
      <selection activeCell="J74" sqref="J74"/>
    </sheetView>
  </sheetViews>
  <sheetFormatPr defaultColWidth="9.14285714285714" defaultRowHeight="14.25"/>
  <cols>
    <col min="4" max="4" width="10.2857142857143" style="5"/>
    <col min="5" max="5" width="10.7142857142857" style="5"/>
    <col min="6" max="15" width="10.2857142857143" style="5"/>
    <col min="23" max="23" width="12.5714285714286" style="6" customWidth="1"/>
    <col min="24" max="25" width="8.57142857142857" style="6" customWidth="1"/>
    <col min="26" max="26" width="18" style="6" customWidth="1"/>
  </cols>
  <sheetData>
    <row r="1" ht="16.5" spans="4:26">
      <c r="W1" s="7" t="s">
        <v>329</v>
      </c>
      <c r="X1" s="7" t="s">
        <v>49</v>
      </c>
      <c r="Y1" s="8" t="s">
        <v>330</v>
      </c>
    </row>
    <row r="2" ht="16.5" spans="4:26">
      <c r="W2" s="7" t="s">
        <v>286</v>
      </c>
      <c r="X2" s="7" t="s">
        <v>331</v>
      </c>
      <c r="Y2" s="8" t="s">
        <v>332</v>
      </c>
    </row>
    <row r="3" ht="16.5" spans="4:26">
      <c r="W3" s="9">
        <v>90001</v>
      </c>
      <c r="X3" s="9">
        <v>1</v>
      </c>
      <c r="Y3" s="9">
        <v>4</v>
      </c>
      <c r="Z3" s="9" t="s">
        <v>333</v>
      </c>
    </row>
    <row r="4" ht="16.5" spans="4:26">
      <c r="W4" s="9"/>
      <c r="X4" s="9">
        <v>2</v>
      </c>
      <c r="Y4" s="9"/>
      <c r="Z4" s="9" t="s">
        <v>333</v>
      </c>
    </row>
    <row r="5" ht="16.5" spans="4:26">
      <c r="W5" s="10"/>
      <c r="X5" s="9"/>
      <c r="Y5" s="9"/>
      <c r="Z5" s="9" t="s">
        <v>334</v>
      </c>
    </row>
    <row r="6" ht="16.5" spans="4:26">
      <c r="D6" s="11"/>
      <c r="E6" s="11"/>
      <c r="F6" s="11"/>
      <c r="G6" s="11"/>
      <c r="H6" s="11"/>
      <c r="I6" s="11"/>
      <c r="J6" s="12" t="s">
        <v>335</v>
      </c>
      <c r="K6" s="13"/>
      <c r="L6" s="13"/>
      <c r="M6" s="13"/>
      <c r="N6" s="13"/>
      <c r="W6" s="10"/>
      <c r="X6" s="9"/>
      <c r="Y6" s="9"/>
      <c r="Z6" s="9" t="s">
        <v>336</v>
      </c>
    </row>
    <row r="7" ht="16.5" spans="4:26">
      <c r="D7" s="14" t="s">
        <v>337</v>
      </c>
      <c r="E7" s="14" t="s">
        <v>338</v>
      </c>
      <c r="F7" s="14" t="s">
        <v>339</v>
      </c>
      <c r="G7" s="12" t="s">
        <v>87</v>
      </c>
      <c r="H7" s="12" t="s">
        <v>340</v>
      </c>
      <c r="I7" s="12" t="s">
        <v>341</v>
      </c>
      <c r="J7" s="12" t="s">
        <v>342</v>
      </c>
      <c r="K7" s="12" t="s">
        <v>343</v>
      </c>
      <c r="L7" s="12" t="s">
        <v>344</v>
      </c>
      <c r="M7" s="12" t="s">
        <v>345</v>
      </c>
      <c r="N7" s="12" t="s">
        <v>346</v>
      </c>
      <c r="W7" s="10"/>
      <c r="X7" s="9"/>
      <c r="Y7" s="9"/>
      <c r="Z7" s="9" t="s">
        <v>347</v>
      </c>
    </row>
    <row r="8" ht="16.5" spans="4:26">
      <c r="D8" s="15">
        <v>1</v>
      </c>
      <c r="E8" s="15">
        <v>1</v>
      </c>
      <c r="F8" s="15" t="s">
        <v>348</v>
      </c>
      <c r="G8" s="15" t="s">
        <v>349</v>
      </c>
      <c r="H8" s="15">
        <v>1</v>
      </c>
      <c r="I8" s="15"/>
      <c r="J8" s="15" t="s">
        <v>350</v>
      </c>
      <c r="K8" s="15" t="s">
        <v>351</v>
      </c>
      <c r="L8" s="15">
        <v>5</v>
      </c>
      <c r="M8" s="15"/>
      <c r="N8" s="15" t="s">
        <v>352</v>
      </c>
      <c r="W8" s="16"/>
      <c r="X8" s="9">
        <v>1</v>
      </c>
      <c r="Y8" s="9"/>
      <c r="Z8" s="9" t="s">
        <v>353</v>
      </c>
    </row>
    <row r="9" ht="16.5" spans="4:26">
      <c r="D9" s="15">
        <v>2</v>
      </c>
      <c r="E9" s="15">
        <v>13</v>
      </c>
      <c r="F9" s="15" t="s">
        <v>354</v>
      </c>
      <c r="G9" s="15"/>
      <c r="H9" s="15">
        <v>2</v>
      </c>
      <c r="I9" s="15"/>
      <c r="J9" s="15" t="s">
        <v>355</v>
      </c>
      <c r="K9" s="15"/>
      <c r="L9" s="15">
        <v>7</v>
      </c>
      <c r="M9" s="15"/>
      <c r="N9" s="15"/>
      <c r="W9" s="16"/>
      <c r="X9" s="9">
        <v>2</v>
      </c>
      <c r="Y9" s="9"/>
      <c r="Z9" s="9" t="s">
        <v>353</v>
      </c>
    </row>
    <row r="10" ht="16.5" spans="4:26">
      <c r="D10" s="15">
        <v>3</v>
      </c>
      <c r="E10" s="15">
        <v>2</v>
      </c>
      <c r="F10" s="15" t="s">
        <v>33</v>
      </c>
      <c r="G10" s="15"/>
      <c r="H10" s="15">
        <v>0.05</v>
      </c>
      <c r="I10" s="15"/>
      <c r="J10" s="15" t="s">
        <v>356</v>
      </c>
      <c r="K10" s="15"/>
      <c r="L10" s="15">
        <v>5</v>
      </c>
      <c r="M10" s="15"/>
      <c r="N10" s="15"/>
      <c r="W10" s="10"/>
      <c r="X10" s="9"/>
      <c r="Y10" s="9"/>
      <c r="Z10" s="9" t="s">
        <v>357</v>
      </c>
    </row>
    <row r="11" ht="16.5" spans="4:26">
      <c r="D11" s="15">
        <v>4</v>
      </c>
      <c r="E11" s="15">
        <v>44</v>
      </c>
      <c r="F11" s="15" t="s">
        <v>358</v>
      </c>
      <c r="G11" s="15"/>
      <c r="H11" s="15">
        <v>10</v>
      </c>
      <c r="I11" s="15"/>
      <c r="J11" s="15" t="s">
        <v>359</v>
      </c>
      <c r="K11" s="15" t="s">
        <v>360</v>
      </c>
      <c r="L11" s="15">
        <v>2</v>
      </c>
      <c r="M11" s="15"/>
      <c r="N11" s="17" t="s">
        <v>361</v>
      </c>
      <c r="W11" s="10"/>
      <c r="X11" s="9"/>
      <c r="Y11" s="9"/>
      <c r="Z11" s="9" t="s">
        <v>362</v>
      </c>
    </row>
    <row r="12" ht="16.5" spans="4:26">
      <c r="D12" s="15">
        <v>5</v>
      </c>
      <c r="E12" s="15">
        <v>20003</v>
      </c>
      <c r="F12" s="15" t="s">
        <v>363</v>
      </c>
      <c r="G12" s="15"/>
      <c r="H12" s="15">
        <v>30</v>
      </c>
      <c r="I12" s="15"/>
      <c r="J12" s="15"/>
      <c r="K12" s="15"/>
      <c r="L12" s="15"/>
      <c r="M12" s="15"/>
      <c r="N12" s="17"/>
      <c r="W12" s="9"/>
      <c r="X12" s="9"/>
      <c r="Y12" s="9"/>
      <c r="Z12" s="18" t="s">
        <v>364</v>
      </c>
    </row>
    <row r="13" ht="16.5" spans="4:26">
      <c r="D13" s="15">
        <v>6</v>
      </c>
      <c r="E13" s="15">
        <v>20033</v>
      </c>
      <c r="F13" s="15" t="s">
        <v>365</v>
      </c>
      <c r="G13" s="15"/>
      <c r="H13" s="15">
        <v>40</v>
      </c>
      <c r="I13" s="15"/>
      <c r="J13" s="15"/>
      <c r="K13" s="15"/>
      <c r="L13" s="15"/>
      <c r="M13" s="15"/>
      <c r="N13" s="15"/>
      <c r="W13" s="9"/>
      <c r="X13" s="9"/>
      <c r="Y13" s="9"/>
      <c r="Z13" s="18" t="s">
        <v>364</v>
      </c>
    </row>
    <row r="14" ht="16.5" spans="4:26">
      <c r="D14" s="15">
        <v>7</v>
      </c>
      <c r="E14" s="15">
        <v>5800004</v>
      </c>
      <c r="F14" s="15" t="s">
        <v>366</v>
      </c>
      <c r="G14" s="15"/>
      <c r="H14" s="15">
        <v>30</v>
      </c>
      <c r="I14" s="15"/>
      <c r="J14" s="15"/>
      <c r="K14" s="15"/>
      <c r="L14" s="15"/>
      <c r="M14" s="15"/>
      <c r="N14" s="15"/>
      <c r="W14" s="9"/>
      <c r="X14" s="9"/>
      <c r="Y14" s="9"/>
      <c r="Z14" s="18" t="s">
        <v>364</v>
      </c>
    </row>
    <row r="15" ht="16.5" spans="4:26">
      <c r="D15" s="15">
        <v>8</v>
      </c>
      <c r="E15" s="15">
        <v>5800005</v>
      </c>
      <c r="F15" s="15" t="s">
        <v>367</v>
      </c>
      <c r="G15" s="15"/>
      <c r="H15" s="15">
        <v>50</v>
      </c>
      <c r="I15" s="15"/>
      <c r="J15" s="15"/>
      <c r="K15" s="15"/>
      <c r="L15" s="15"/>
      <c r="M15" s="15"/>
      <c r="N15" s="15"/>
      <c r="W15" s="10"/>
      <c r="X15" s="9"/>
      <c r="Y15" s="9"/>
      <c r="Z15" s="18" t="s">
        <v>368</v>
      </c>
    </row>
    <row r="16" ht="16.5" spans="4:26">
      <c r="D16" s="15">
        <v>9</v>
      </c>
      <c r="E16" s="15">
        <v>20034</v>
      </c>
      <c r="F16" s="15" t="s">
        <v>369</v>
      </c>
      <c r="G16" s="15"/>
      <c r="H16" s="15">
        <v>250</v>
      </c>
      <c r="I16" s="15"/>
      <c r="J16" s="15"/>
      <c r="K16" s="15"/>
      <c r="L16" s="15"/>
      <c r="M16" s="15"/>
      <c r="N16" s="15"/>
      <c r="W16" s="10"/>
      <c r="X16" s="9"/>
      <c r="Y16" s="9"/>
      <c r="Z16" s="18" t="s">
        <v>370</v>
      </c>
    </row>
    <row r="17" ht="16.5" spans="4:26">
      <c r="D17" s="15">
        <v>10</v>
      </c>
      <c r="E17" s="15">
        <v>20035</v>
      </c>
      <c r="F17" s="15" t="s">
        <v>371</v>
      </c>
      <c r="G17" s="15"/>
      <c r="H17" s="15">
        <v>700</v>
      </c>
      <c r="I17" s="15"/>
      <c r="J17" s="15"/>
      <c r="K17" s="15"/>
      <c r="L17" s="15"/>
      <c r="M17" s="15"/>
      <c r="N17" s="15"/>
      <c r="W17" s="9">
        <v>90104</v>
      </c>
      <c r="X17" s="9">
        <v>1</v>
      </c>
      <c r="Y17" s="9">
        <v>1</v>
      </c>
      <c r="Z17" s="18" t="s">
        <v>372</v>
      </c>
    </row>
    <row r="18" ht="16.5" spans="4:26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W18" s="9"/>
      <c r="X18" s="9">
        <v>2</v>
      </c>
      <c r="Y18" s="9"/>
      <c r="Z18" s="18" t="s">
        <v>372</v>
      </c>
    </row>
    <row r="19" ht="16.5" spans="4:26">
      <c r="D19" s="15">
        <v>11</v>
      </c>
      <c r="E19" s="15">
        <v>5104001</v>
      </c>
      <c r="F19" s="15" t="s">
        <v>373</v>
      </c>
      <c r="G19" s="15"/>
      <c r="H19" s="15">
        <v>2</v>
      </c>
      <c r="I19" s="15"/>
      <c r="J19" s="15"/>
      <c r="K19" s="15"/>
      <c r="L19" s="15"/>
      <c r="M19" s="15"/>
      <c r="N19" s="15"/>
      <c r="W19" s="9"/>
      <c r="X19" s="9">
        <v>3</v>
      </c>
      <c r="Y19" s="9"/>
      <c r="Z19" s="18" t="s">
        <v>372</v>
      </c>
    </row>
    <row r="20" ht="16.5" spans="4:26">
      <c r="D20" s="15">
        <v>12</v>
      </c>
      <c r="E20" s="15">
        <v>5103001</v>
      </c>
      <c r="F20" s="15" t="s">
        <v>374</v>
      </c>
      <c r="G20" s="15" t="s">
        <v>375</v>
      </c>
      <c r="H20" s="15">
        <v>1</v>
      </c>
      <c r="I20" s="15"/>
      <c r="J20" s="15" t="s">
        <v>376</v>
      </c>
      <c r="K20" s="15"/>
      <c r="L20" s="15">
        <v>5</v>
      </c>
      <c r="M20" s="15"/>
      <c r="N20" s="15" t="s">
        <v>377</v>
      </c>
      <c r="W20" s="10"/>
      <c r="X20" s="9"/>
      <c r="Y20" s="9"/>
      <c r="Z20" s="18" t="s">
        <v>378</v>
      </c>
    </row>
    <row r="21" ht="16.5" spans="4:26">
      <c r="D21" s="15">
        <v>13</v>
      </c>
      <c r="E21" s="15">
        <v>11</v>
      </c>
      <c r="F21" s="15" t="s">
        <v>379</v>
      </c>
      <c r="G21" s="15"/>
      <c r="H21" s="15">
        <v>30</v>
      </c>
      <c r="I21" s="15"/>
      <c r="J21" s="15" t="s">
        <v>380</v>
      </c>
      <c r="K21" s="15" t="s">
        <v>381</v>
      </c>
      <c r="L21" s="15">
        <v>6</v>
      </c>
      <c r="M21" s="15"/>
      <c r="N21" s="17" t="s">
        <v>382</v>
      </c>
      <c r="W21" s="9">
        <v>90106</v>
      </c>
      <c r="X21" s="9">
        <v>1</v>
      </c>
      <c r="Y21" s="9">
        <v>10</v>
      </c>
      <c r="Z21" s="18" t="s">
        <v>383</v>
      </c>
    </row>
    <row r="22" ht="16.5" spans="4:26">
      <c r="D22" s="15">
        <v>14</v>
      </c>
      <c r="E22" s="15">
        <v>35</v>
      </c>
      <c r="F22" s="15" t="s">
        <v>384</v>
      </c>
      <c r="G22" s="15"/>
      <c r="H22" s="15">
        <v>100</v>
      </c>
      <c r="I22" s="15"/>
      <c r="J22" s="15" t="s">
        <v>385</v>
      </c>
      <c r="K22" s="15"/>
      <c r="L22" s="15"/>
      <c r="M22" s="15" t="s">
        <v>386</v>
      </c>
      <c r="N22" s="15"/>
      <c r="W22" s="9">
        <v>90107</v>
      </c>
      <c r="X22" s="9">
        <v>1</v>
      </c>
      <c r="Y22" s="9">
        <v>12</v>
      </c>
      <c r="Z22" s="18" t="s">
        <v>387</v>
      </c>
    </row>
    <row r="23" ht="16.5" spans="4:26">
      <c r="D23" s="15">
        <v>15</v>
      </c>
      <c r="E23" s="15"/>
      <c r="F23" s="15" t="s">
        <v>388</v>
      </c>
      <c r="G23" s="15"/>
      <c r="H23" s="15">
        <v>100</v>
      </c>
      <c r="I23" s="15"/>
      <c r="J23" s="15" t="s">
        <v>381</v>
      </c>
      <c r="K23" s="15"/>
      <c r="L23" s="15">
        <v>10</v>
      </c>
      <c r="M23" s="15" t="s">
        <v>389</v>
      </c>
      <c r="N23" s="17" t="s">
        <v>390</v>
      </c>
      <c r="W23" s="10"/>
      <c r="X23" s="9"/>
      <c r="Y23" s="9"/>
      <c r="Z23" s="18" t="s">
        <v>391</v>
      </c>
    </row>
    <row r="24" ht="16.5" spans="4:26">
      <c r="D24" s="15">
        <v>16</v>
      </c>
      <c r="E24" s="15">
        <v>1310100</v>
      </c>
      <c r="F24" s="15" t="s">
        <v>392</v>
      </c>
      <c r="G24" s="15"/>
      <c r="H24" s="15">
        <v>60</v>
      </c>
      <c r="I24" s="15"/>
      <c r="J24" s="15" t="s">
        <v>393</v>
      </c>
      <c r="K24" s="15"/>
      <c r="L24" s="15">
        <v>8</v>
      </c>
      <c r="M24" s="15"/>
      <c r="N24" s="15"/>
      <c r="W24" s="16"/>
      <c r="X24" s="9">
        <v>1</v>
      </c>
      <c r="Y24" s="9"/>
      <c r="Z24" s="18" t="s">
        <v>394</v>
      </c>
    </row>
    <row r="25" ht="16.5" spans="4:26">
      <c r="D25" s="15">
        <v>17</v>
      </c>
      <c r="E25" s="15">
        <v>1420200</v>
      </c>
      <c r="F25" s="19" t="s">
        <v>395</v>
      </c>
      <c r="G25" s="15"/>
      <c r="H25" s="15">
        <v>120</v>
      </c>
      <c r="I25" s="15"/>
      <c r="J25" s="15" t="s">
        <v>393</v>
      </c>
      <c r="K25" s="15"/>
      <c r="L25" s="15">
        <v>8</v>
      </c>
      <c r="M25" s="15"/>
      <c r="N25" s="15"/>
      <c r="W25" s="9"/>
      <c r="X25" s="9">
        <v>1</v>
      </c>
      <c r="Y25" s="9"/>
      <c r="Z25" s="18" t="s">
        <v>396</v>
      </c>
    </row>
    <row r="26" ht="16.5" spans="4:26">
      <c r="D26" s="15">
        <v>18</v>
      </c>
      <c r="E26" s="15">
        <v>1130100</v>
      </c>
      <c r="F26" s="19" t="s">
        <v>397</v>
      </c>
      <c r="G26" s="15"/>
      <c r="H26" s="15">
        <v>250</v>
      </c>
      <c r="I26" s="15"/>
      <c r="J26" s="15" t="s">
        <v>393</v>
      </c>
      <c r="K26" s="15"/>
      <c r="L26" s="15">
        <v>8</v>
      </c>
      <c r="M26" s="15"/>
      <c r="N26" s="15"/>
      <c r="W26" s="9"/>
      <c r="X26" s="9">
        <v>2</v>
      </c>
      <c r="Y26" s="9"/>
      <c r="Z26" s="18" t="s">
        <v>396</v>
      </c>
    </row>
    <row r="27" ht="16.5" spans="4:26">
      <c r="D27" s="15">
        <v>19</v>
      </c>
      <c r="E27" s="19"/>
      <c r="F27" s="19" t="s">
        <v>398</v>
      </c>
      <c r="G27" s="19"/>
      <c r="H27" s="19">
        <v>1000</v>
      </c>
      <c r="I27" s="15"/>
      <c r="J27" s="15" t="s">
        <v>393</v>
      </c>
      <c r="K27" s="19"/>
      <c r="L27" s="15">
        <v>8</v>
      </c>
      <c r="M27" s="19"/>
      <c r="N27" s="19"/>
      <c r="W27" s="16"/>
      <c r="X27" s="9">
        <v>1</v>
      </c>
      <c r="Y27" s="9"/>
      <c r="Z27" s="18" t="s">
        <v>399</v>
      </c>
    </row>
    <row r="28" ht="16.5" spans="4:26">
      <c r="D28" s="15">
        <v>20</v>
      </c>
      <c r="E28" s="19"/>
      <c r="F28" s="19" t="s">
        <v>400</v>
      </c>
      <c r="G28" s="19"/>
      <c r="H28" s="19">
        <v>960</v>
      </c>
      <c r="I28" s="15"/>
      <c r="J28" s="15" t="s">
        <v>393</v>
      </c>
      <c r="K28" s="19"/>
      <c r="L28" s="15">
        <v>8</v>
      </c>
      <c r="M28" s="19"/>
      <c r="N28" s="19"/>
      <c r="W28" s="16"/>
      <c r="X28" s="9">
        <v>2</v>
      </c>
      <c r="Y28" s="9"/>
      <c r="Z28" s="18" t="s">
        <v>399</v>
      </c>
    </row>
    <row r="29" ht="16.5" spans="4:26">
      <c r="D29" s="15">
        <v>21</v>
      </c>
      <c r="E29" s="19">
        <v>13101001</v>
      </c>
      <c r="F29" s="15" t="s">
        <v>401</v>
      </c>
      <c r="G29" s="19"/>
      <c r="H29" s="19">
        <v>6</v>
      </c>
      <c r="I29" s="19"/>
      <c r="J29" s="15" t="s">
        <v>393</v>
      </c>
      <c r="K29" s="19"/>
      <c r="L29" s="15">
        <v>8</v>
      </c>
      <c r="M29" s="19"/>
      <c r="N29" s="19"/>
      <c r="W29" s="10"/>
      <c r="X29" s="9"/>
      <c r="Y29" s="9"/>
      <c r="Z29" s="18" t="s">
        <v>402</v>
      </c>
    </row>
    <row r="30" ht="16.5" spans="4:26">
      <c r="D30" s="15">
        <v>22</v>
      </c>
      <c r="E30" s="19">
        <v>14202001</v>
      </c>
      <c r="F30" s="19" t="s">
        <v>403</v>
      </c>
      <c r="G30" s="19"/>
      <c r="H30" s="19">
        <v>12</v>
      </c>
      <c r="I30" s="19"/>
      <c r="J30" s="15" t="s">
        <v>393</v>
      </c>
      <c r="K30" s="19"/>
      <c r="L30" s="15">
        <v>8</v>
      </c>
      <c r="M30" s="19"/>
      <c r="N30" s="19"/>
      <c r="W30" s="10"/>
      <c r="X30" s="9"/>
      <c r="Y30" s="9"/>
      <c r="Z30" s="18" t="s">
        <v>404</v>
      </c>
    </row>
    <row r="31" ht="16.5" spans="4:26">
      <c r="D31" s="15">
        <v>23</v>
      </c>
      <c r="E31" s="15">
        <v>11301001</v>
      </c>
      <c r="F31" s="19" t="s">
        <v>405</v>
      </c>
      <c r="G31" s="15"/>
      <c r="H31" s="19">
        <v>25</v>
      </c>
      <c r="I31" s="15"/>
      <c r="J31" s="15" t="s">
        <v>393</v>
      </c>
      <c r="K31" s="15"/>
      <c r="L31" s="15">
        <v>8</v>
      </c>
      <c r="M31" s="15"/>
      <c r="N31" s="15"/>
      <c r="W31" s="9"/>
      <c r="X31" s="9">
        <v>1</v>
      </c>
      <c r="Y31" s="9"/>
      <c r="Z31" s="9" t="s">
        <v>406</v>
      </c>
    </row>
    <row r="32" ht="16.5" spans="4:26">
      <c r="D32" s="15">
        <v>24</v>
      </c>
      <c r="E32" s="15"/>
      <c r="F32" s="19" t="s">
        <v>407</v>
      </c>
      <c r="G32" s="15"/>
      <c r="H32" s="19">
        <v>100</v>
      </c>
      <c r="I32" s="19"/>
      <c r="J32" s="15" t="s">
        <v>393</v>
      </c>
      <c r="K32" s="19"/>
      <c r="L32" s="15">
        <v>8</v>
      </c>
      <c r="M32" s="19"/>
      <c r="N32" s="19"/>
      <c r="W32" s="9"/>
      <c r="X32" s="9">
        <v>2</v>
      </c>
      <c r="Y32" s="9"/>
      <c r="Z32" s="9" t="s">
        <v>406</v>
      </c>
    </row>
    <row r="33" ht="16.5" spans="4:26">
      <c r="D33" s="15">
        <v>25</v>
      </c>
      <c r="E33" s="15"/>
      <c r="F33" s="19" t="s">
        <v>408</v>
      </c>
      <c r="G33" s="15"/>
      <c r="H33" s="19">
        <v>96</v>
      </c>
      <c r="I33" s="19"/>
      <c r="J33" s="15" t="s">
        <v>393</v>
      </c>
      <c r="K33" s="19"/>
      <c r="L33" s="15">
        <v>8</v>
      </c>
      <c r="M33" s="19"/>
      <c r="N33" s="19"/>
      <c r="W33" s="9"/>
      <c r="X33" s="9">
        <v>3</v>
      </c>
      <c r="Y33" s="9"/>
      <c r="Z33" s="9" t="s">
        <v>406</v>
      </c>
    </row>
    <row r="34" ht="16.5" spans="4:26">
      <c r="D34" s="15" t="s">
        <v>282</v>
      </c>
      <c r="E34" s="15"/>
      <c r="F34" s="19"/>
      <c r="G34" s="15"/>
      <c r="H34" s="15"/>
      <c r="I34" s="19"/>
      <c r="J34" s="19"/>
      <c r="K34" s="19"/>
      <c r="L34" s="19"/>
      <c r="M34" s="19"/>
      <c r="N34" s="19"/>
      <c r="W34" s="9"/>
      <c r="X34" s="9">
        <v>4</v>
      </c>
      <c r="Y34" s="9"/>
      <c r="Z34" s="9" t="s">
        <v>406</v>
      </c>
    </row>
    <row r="35" ht="16.5" spans="4:26">
      <c r="D35" s="15">
        <v>26</v>
      </c>
      <c r="E35" s="15">
        <v>50002</v>
      </c>
      <c r="F35" s="15" t="s">
        <v>409</v>
      </c>
      <c r="G35" s="15" t="s">
        <v>410</v>
      </c>
      <c r="H35" s="15">
        <v>3</v>
      </c>
      <c r="I35" s="19"/>
      <c r="J35" s="19" t="s">
        <v>376</v>
      </c>
      <c r="K35" s="19"/>
      <c r="L35" s="19">
        <v>8</v>
      </c>
      <c r="M35" s="19"/>
      <c r="N35" s="19" t="s">
        <v>411</v>
      </c>
      <c r="W35" s="9">
        <v>90202</v>
      </c>
      <c r="X35" s="9">
        <v>1</v>
      </c>
      <c r="Y35" s="9">
        <v>2</v>
      </c>
      <c r="Z35" s="9" t="s">
        <v>412</v>
      </c>
    </row>
    <row r="36" ht="16.5" spans="4:26">
      <c r="D36" s="15">
        <v>27</v>
      </c>
      <c r="E36" s="15">
        <v>50001</v>
      </c>
      <c r="F36" s="15" t="s">
        <v>413</v>
      </c>
      <c r="G36" s="15"/>
      <c r="H36" s="15">
        <v>0.1</v>
      </c>
      <c r="I36" s="19"/>
      <c r="J36" s="19" t="s">
        <v>376</v>
      </c>
      <c r="K36" s="19"/>
      <c r="L36" s="19">
        <v>5</v>
      </c>
      <c r="M36" s="19" t="s">
        <v>414</v>
      </c>
      <c r="N36" s="19" t="s">
        <v>377</v>
      </c>
      <c r="W36" s="9"/>
      <c r="X36" s="9">
        <v>2</v>
      </c>
      <c r="Y36" s="9"/>
      <c r="Z36" s="9" t="s">
        <v>412</v>
      </c>
    </row>
    <row r="37" ht="16.5" spans="4:26">
      <c r="D37" s="15">
        <v>28</v>
      </c>
      <c r="E37" s="15"/>
      <c r="F37" s="15" t="s">
        <v>415</v>
      </c>
      <c r="G37" s="15"/>
      <c r="H37" s="20">
        <v>15</v>
      </c>
      <c r="I37" s="19"/>
      <c r="J37" s="19" t="s">
        <v>376</v>
      </c>
      <c r="K37" s="19"/>
      <c r="L37" s="19"/>
      <c r="M37" s="19"/>
      <c r="N37" s="19"/>
      <c r="W37" s="9"/>
      <c r="X37" s="9">
        <v>3</v>
      </c>
      <c r="Y37" s="9"/>
      <c r="Z37" s="9" t="s">
        <v>412</v>
      </c>
    </row>
    <row r="38" ht="16.5" spans="4:26">
      <c r="D38" s="15">
        <v>29</v>
      </c>
      <c r="E38" s="15"/>
      <c r="F38" s="15" t="s">
        <v>416</v>
      </c>
      <c r="G38" s="15"/>
      <c r="H38" s="20">
        <v>50</v>
      </c>
      <c r="I38" s="19"/>
      <c r="J38" s="19" t="s">
        <v>376</v>
      </c>
      <c r="K38" s="19"/>
      <c r="L38" s="19"/>
      <c r="M38" s="19"/>
      <c r="N38" s="19"/>
      <c r="W38" s="16"/>
      <c r="X38" s="9"/>
      <c r="Y38" s="9"/>
      <c r="Z38" s="9" t="s">
        <v>412</v>
      </c>
    </row>
    <row r="39" ht="16.5" spans="4:26">
      <c r="D39" s="15">
        <v>30</v>
      </c>
      <c r="E39" s="15"/>
      <c r="F39" s="15" t="s">
        <v>417</v>
      </c>
      <c r="G39" s="15"/>
      <c r="H39" s="15"/>
      <c r="I39" s="19"/>
      <c r="J39" s="19" t="s">
        <v>376</v>
      </c>
      <c r="K39" s="19"/>
      <c r="L39" s="19"/>
      <c r="M39" s="19"/>
      <c r="N39" s="19"/>
      <c r="W39" s="9">
        <v>90203</v>
      </c>
      <c r="X39" s="9">
        <v>1</v>
      </c>
      <c r="Y39" s="9">
        <v>3</v>
      </c>
      <c r="Z39" s="9" t="s">
        <v>418</v>
      </c>
    </row>
    <row r="40" ht="16.5" spans="4:26">
      <c r="D40" s="15">
        <v>31</v>
      </c>
      <c r="E40" s="15"/>
      <c r="F40" s="15" t="s">
        <v>419</v>
      </c>
      <c r="G40" s="15"/>
      <c r="H40" s="15"/>
      <c r="I40" s="19"/>
      <c r="J40" s="19" t="s">
        <v>376</v>
      </c>
      <c r="K40" s="19"/>
      <c r="L40" s="19"/>
      <c r="M40" s="19"/>
      <c r="N40" s="19"/>
      <c r="W40" s="9"/>
      <c r="X40" s="9">
        <v>2</v>
      </c>
      <c r="Y40" s="9"/>
      <c r="Z40" s="9" t="s">
        <v>418</v>
      </c>
    </row>
    <row r="41" ht="16.5" spans="4:26">
      <c r="D41" s="15">
        <v>32</v>
      </c>
      <c r="E41" s="15"/>
      <c r="F41" s="15" t="s">
        <v>420</v>
      </c>
      <c r="G41" s="15"/>
      <c r="H41" s="15"/>
      <c r="I41" s="19"/>
      <c r="J41" s="19" t="s">
        <v>376</v>
      </c>
      <c r="K41" s="19"/>
      <c r="L41" s="19"/>
      <c r="M41" s="19"/>
      <c r="N41" s="19"/>
      <c r="W41" s="9"/>
      <c r="X41" s="9">
        <v>3</v>
      </c>
      <c r="Y41" s="9"/>
      <c r="Z41" s="9" t="s">
        <v>418</v>
      </c>
    </row>
    <row r="42" ht="16.5" spans="4:26">
      <c r="D42" s="15">
        <v>33</v>
      </c>
      <c r="E42" s="15"/>
      <c r="F42" s="15" t="s">
        <v>421</v>
      </c>
      <c r="G42" s="15"/>
      <c r="H42" s="15"/>
      <c r="I42" s="19"/>
      <c r="J42" s="19" t="s">
        <v>376</v>
      </c>
      <c r="K42" s="19"/>
      <c r="L42" s="19"/>
      <c r="M42" s="19"/>
      <c r="N42" s="19"/>
      <c r="W42" s="9">
        <v>90204</v>
      </c>
      <c r="X42" s="9">
        <v>1</v>
      </c>
      <c r="Y42" s="9">
        <v>15</v>
      </c>
      <c r="Z42" s="9" t="s">
        <v>422</v>
      </c>
    </row>
    <row r="43" ht="16.5" spans="4:26">
      <c r="D43" s="15">
        <v>34</v>
      </c>
      <c r="E43" s="15"/>
      <c r="F43" s="15" t="s">
        <v>423</v>
      </c>
      <c r="G43" s="15"/>
      <c r="H43" s="15"/>
      <c r="I43" s="19"/>
      <c r="J43" s="19" t="s">
        <v>376</v>
      </c>
      <c r="K43" s="19"/>
      <c r="L43" s="19"/>
      <c r="M43" s="19"/>
      <c r="N43" s="19"/>
      <c r="W43" s="9"/>
      <c r="X43" s="9">
        <v>2</v>
      </c>
      <c r="Y43" s="9"/>
      <c r="Z43" s="9" t="s">
        <v>422</v>
      </c>
    </row>
    <row r="44" ht="16.5" spans="4:26">
      <c r="D44" s="15">
        <v>35</v>
      </c>
      <c r="E44" s="15"/>
      <c r="F44" s="15" t="s">
        <v>424</v>
      </c>
      <c r="G44" s="15"/>
      <c r="H44" s="15"/>
      <c r="I44" s="19"/>
      <c r="J44" s="19" t="s">
        <v>376</v>
      </c>
      <c r="K44" s="19"/>
      <c r="L44" s="19"/>
      <c r="M44" s="19"/>
      <c r="N44" s="19"/>
      <c r="W44" s="10"/>
      <c r="X44" s="9"/>
      <c r="Y44" s="9"/>
      <c r="Z44" s="9" t="s">
        <v>425</v>
      </c>
    </row>
    <row r="45" ht="16.5" spans="4:26">
      <c r="D45" s="15">
        <v>36</v>
      </c>
      <c r="E45" s="15"/>
      <c r="F45" s="15" t="s">
        <v>426</v>
      </c>
      <c r="G45" s="15"/>
      <c r="H45" s="15"/>
      <c r="I45" s="19"/>
      <c r="J45" s="19" t="s">
        <v>376</v>
      </c>
      <c r="K45" s="19"/>
      <c r="L45" s="19"/>
      <c r="M45" s="19"/>
      <c r="N45" s="19"/>
      <c r="W45" s="9">
        <v>90206</v>
      </c>
      <c r="X45" s="9">
        <v>1</v>
      </c>
      <c r="Y45" s="9">
        <v>13</v>
      </c>
      <c r="Z45" s="9" t="s">
        <v>427</v>
      </c>
    </row>
    <row r="46" ht="16.5" spans="4:26">
      <c r="D46" s="15" t="s">
        <v>282</v>
      </c>
      <c r="E46" s="15"/>
      <c r="F46" s="15"/>
      <c r="G46" s="15"/>
      <c r="H46" s="15"/>
      <c r="I46" s="19"/>
      <c r="J46" s="19"/>
      <c r="K46" s="19"/>
      <c r="L46" s="19"/>
      <c r="M46" s="19"/>
      <c r="N46" s="19"/>
      <c r="W46" s="9"/>
      <c r="X46" s="9">
        <v>1</v>
      </c>
      <c r="Y46" s="9"/>
      <c r="Z46" s="9" t="s">
        <v>428</v>
      </c>
    </row>
    <row r="47" ht="16.5" spans="4:26">
      <c r="D47" s="15" t="s">
        <v>282</v>
      </c>
      <c r="E47" s="15"/>
      <c r="F47" s="15"/>
      <c r="G47" s="15"/>
      <c r="H47" s="15"/>
      <c r="I47" s="19"/>
      <c r="J47" s="19"/>
      <c r="K47" s="19"/>
      <c r="L47" s="19"/>
      <c r="M47" s="19"/>
      <c r="N47" s="19"/>
      <c r="W47" s="9"/>
      <c r="X47" s="9">
        <v>2</v>
      </c>
      <c r="Y47" s="9"/>
      <c r="Z47" s="9" t="s">
        <v>428</v>
      </c>
    </row>
    <row r="48" ht="16.5" spans="4:26">
      <c r="D48" s="15">
        <v>37</v>
      </c>
      <c r="E48" s="15">
        <v>9</v>
      </c>
      <c r="F48" s="15" t="s">
        <v>429</v>
      </c>
      <c r="G48" s="15" t="s">
        <v>430</v>
      </c>
      <c r="H48" s="15">
        <v>50</v>
      </c>
      <c r="I48" s="15"/>
      <c r="J48" s="15" t="s">
        <v>381</v>
      </c>
      <c r="K48" s="15"/>
      <c r="L48" s="15"/>
      <c r="M48" s="15" t="s">
        <v>431</v>
      </c>
      <c r="N48" s="15"/>
      <c r="W48" s="9"/>
      <c r="X48" s="9">
        <v>3</v>
      </c>
      <c r="Y48" s="9"/>
      <c r="Z48" s="9" t="s">
        <v>428</v>
      </c>
    </row>
    <row r="49" ht="16.5" spans="4:26">
      <c r="D49" s="15">
        <v>38</v>
      </c>
      <c r="E49" s="15">
        <v>30</v>
      </c>
      <c r="F49" s="21" t="s">
        <v>222</v>
      </c>
      <c r="G49" s="15"/>
      <c r="H49" s="15">
        <v>280</v>
      </c>
      <c r="I49" s="15"/>
      <c r="J49" s="15" t="s">
        <v>381</v>
      </c>
      <c r="K49" s="15"/>
      <c r="L49" s="15">
        <v>5</v>
      </c>
      <c r="M49" s="15" t="s">
        <v>432</v>
      </c>
      <c r="N49" s="15"/>
      <c r="W49" s="9">
        <v>90208</v>
      </c>
      <c r="X49" s="9">
        <v>1</v>
      </c>
      <c r="Y49" s="9">
        <v>14</v>
      </c>
      <c r="Z49" s="9" t="s">
        <v>433</v>
      </c>
    </row>
    <row r="50" ht="16.5" spans="4:26">
      <c r="D50" s="15">
        <v>39</v>
      </c>
      <c r="E50" s="15">
        <v>5303001</v>
      </c>
      <c r="F50" s="15" t="s">
        <v>434</v>
      </c>
      <c r="G50" s="15"/>
      <c r="H50" s="15">
        <v>5</v>
      </c>
      <c r="I50" s="15"/>
      <c r="J50" s="15" t="s">
        <v>376</v>
      </c>
      <c r="K50" s="15"/>
      <c r="L50" s="15">
        <v>8</v>
      </c>
      <c r="M50" s="15" t="s">
        <v>435</v>
      </c>
      <c r="N50" s="15"/>
      <c r="W50" s="9"/>
      <c r="X50" s="9">
        <v>2</v>
      </c>
      <c r="Y50" s="9"/>
      <c r="Z50" s="9" t="s">
        <v>433</v>
      </c>
    </row>
    <row r="51" ht="16.5" spans="4:26">
      <c r="D51" s="15">
        <v>40</v>
      </c>
      <c r="E51" s="15">
        <v>5305001</v>
      </c>
      <c r="F51" s="15" t="s">
        <v>436</v>
      </c>
      <c r="G51" s="15"/>
      <c r="H51" s="15">
        <v>60</v>
      </c>
      <c r="I51" s="15"/>
      <c r="J51" s="15" t="s">
        <v>381</v>
      </c>
      <c r="K51" s="15"/>
      <c r="L51" s="15">
        <v>5</v>
      </c>
      <c r="M51" s="15" t="s">
        <v>437</v>
      </c>
      <c r="N51" s="15" t="s">
        <v>438</v>
      </c>
      <c r="W51" s="9"/>
      <c r="X51" s="9">
        <v>3</v>
      </c>
      <c r="Y51" s="9"/>
      <c r="Z51" s="9" t="s">
        <v>433</v>
      </c>
    </row>
    <row r="52" ht="16.5" spans="4:26">
      <c r="D52" s="15">
        <v>41</v>
      </c>
      <c r="E52" s="15">
        <v>5301000</v>
      </c>
      <c r="F52" s="15" t="s">
        <v>439</v>
      </c>
      <c r="G52" s="15"/>
      <c r="H52" s="15">
        <v>16</v>
      </c>
      <c r="I52" s="15"/>
      <c r="J52" s="15" t="s">
        <v>376</v>
      </c>
      <c r="K52" s="15"/>
      <c r="L52" s="15"/>
      <c r="M52" s="15" t="s">
        <v>440</v>
      </c>
      <c r="N52" s="15"/>
      <c r="W52" s="9">
        <v>90209</v>
      </c>
      <c r="X52" s="9">
        <v>1</v>
      </c>
      <c r="Y52" s="9">
        <v>5</v>
      </c>
      <c r="Z52" s="9" t="s">
        <v>441</v>
      </c>
    </row>
    <row r="53" ht="16.5" spans="4:26">
      <c r="D53" s="15">
        <v>42</v>
      </c>
      <c r="E53" s="15">
        <v>5302000</v>
      </c>
      <c r="F53" s="15" t="s">
        <v>442</v>
      </c>
      <c r="G53" s="15"/>
      <c r="H53" s="15">
        <f t="shared" ref="H53:H58" si="0">H52*4</f>
        <v>64</v>
      </c>
      <c r="I53" s="15"/>
      <c r="J53" s="15" t="s">
        <v>376</v>
      </c>
      <c r="K53" s="15"/>
      <c r="L53" s="15"/>
      <c r="M53" s="15" t="s">
        <v>443</v>
      </c>
      <c r="N53" s="15"/>
      <c r="W53" s="9"/>
      <c r="X53" s="9">
        <v>2</v>
      </c>
      <c r="Y53" s="9"/>
      <c r="Z53" s="9" t="s">
        <v>441</v>
      </c>
    </row>
    <row r="54" ht="16.5" spans="4:26">
      <c r="D54" s="15">
        <v>43</v>
      </c>
      <c r="E54" s="15">
        <v>5303000</v>
      </c>
      <c r="F54" s="15" t="s">
        <v>444</v>
      </c>
      <c r="G54" s="15"/>
      <c r="H54" s="15">
        <f t="shared" si="0"/>
        <v>256</v>
      </c>
      <c r="I54" s="15"/>
      <c r="J54" s="15" t="s">
        <v>376</v>
      </c>
      <c r="K54" s="15"/>
      <c r="L54" s="15"/>
      <c r="M54" s="15" t="s">
        <v>445</v>
      </c>
      <c r="N54" s="15"/>
      <c r="W54" s="9"/>
      <c r="X54" s="9">
        <v>3</v>
      </c>
      <c r="Y54" s="9"/>
      <c r="Z54" s="9" t="s">
        <v>441</v>
      </c>
    </row>
    <row r="55" ht="16.5" spans="4:26">
      <c r="D55" s="15">
        <v>44</v>
      </c>
      <c r="E55" s="15">
        <v>5304000</v>
      </c>
      <c r="F55" s="15" t="s">
        <v>446</v>
      </c>
      <c r="G55" s="15"/>
      <c r="H55" s="15">
        <f t="shared" si="0"/>
        <v>1024</v>
      </c>
      <c r="I55" s="15"/>
      <c r="J55" s="15" t="s">
        <v>376</v>
      </c>
      <c r="K55" s="15"/>
      <c r="L55" s="15"/>
      <c r="M55" s="15" t="s">
        <v>447</v>
      </c>
      <c r="N55" s="15"/>
      <c r="W55" s="10"/>
      <c r="X55" s="9"/>
      <c r="Y55" s="9"/>
      <c r="Z55" s="9" t="s">
        <v>448</v>
      </c>
    </row>
    <row r="56" ht="16.5" spans="4:26">
      <c r="D56" s="15">
        <v>45</v>
      </c>
      <c r="E56" s="15">
        <v>5305000</v>
      </c>
      <c r="F56" s="15" t="s">
        <v>449</v>
      </c>
      <c r="G56" s="15"/>
      <c r="H56" s="15">
        <f t="shared" si="0"/>
        <v>4096</v>
      </c>
      <c r="I56" s="15"/>
      <c r="J56" s="15" t="s">
        <v>376</v>
      </c>
      <c r="K56" s="15"/>
      <c r="L56" s="15"/>
      <c r="M56" s="15" t="s">
        <v>450</v>
      </c>
      <c r="N56" s="15" t="s">
        <v>438</v>
      </c>
      <c r="W56" s="9"/>
      <c r="X56" s="9">
        <v>1</v>
      </c>
      <c r="Y56" s="9"/>
      <c r="Z56" s="9" t="s">
        <v>451</v>
      </c>
    </row>
    <row r="57" ht="16.5" spans="4:26">
      <c r="D57" s="15">
        <v>46</v>
      </c>
      <c r="E57" s="15">
        <v>5306000</v>
      </c>
      <c r="F57" s="15" t="s">
        <v>452</v>
      </c>
      <c r="G57" s="15"/>
      <c r="H57" s="15">
        <f t="shared" si="0"/>
        <v>16384</v>
      </c>
      <c r="I57" s="15"/>
      <c r="J57" s="15" t="s">
        <v>376</v>
      </c>
      <c r="K57" s="15"/>
      <c r="L57" s="15"/>
      <c r="M57" s="15" t="s">
        <v>453</v>
      </c>
      <c r="N57" s="15" t="s">
        <v>454</v>
      </c>
      <c r="W57" s="9">
        <v>90212</v>
      </c>
      <c r="X57" s="9">
        <v>1</v>
      </c>
      <c r="Y57" s="9">
        <v>9</v>
      </c>
      <c r="Z57" s="9" t="s">
        <v>455</v>
      </c>
    </row>
    <row r="58" ht="16.5" spans="4:26">
      <c r="D58" s="15">
        <v>47</v>
      </c>
      <c r="E58" s="15">
        <v>5307000</v>
      </c>
      <c r="F58" s="15" t="s">
        <v>456</v>
      </c>
      <c r="G58" s="15"/>
      <c r="H58" s="15">
        <f t="shared" si="0"/>
        <v>65536</v>
      </c>
      <c r="I58" s="15"/>
      <c r="J58" s="15" t="s">
        <v>376</v>
      </c>
      <c r="K58" s="15"/>
      <c r="L58" s="15"/>
      <c r="M58" s="15" t="s">
        <v>457</v>
      </c>
      <c r="N58" s="17" t="s">
        <v>458</v>
      </c>
      <c r="W58" s="9"/>
      <c r="X58" s="9"/>
      <c r="Y58" s="9"/>
      <c r="Z58" s="9" t="s">
        <v>459</v>
      </c>
    </row>
    <row r="59" ht="16.5" spans="4:26">
      <c r="D59" s="15" t="s">
        <v>282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W59" s="9"/>
      <c r="X59" s="9"/>
      <c r="Y59" s="9"/>
      <c r="Z59" s="9" t="s">
        <v>460</v>
      </c>
    </row>
    <row r="60" ht="16.5" spans="4:26">
      <c r="D60" s="15">
        <v>48</v>
      </c>
      <c r="E60" s="15">
        <v>5203001</v>
      </c>
      <c r="F60" s="15" t="s">
        <v>461</v>
      </c>
      <c r="G60" s="15" t="s">
        <v>462</v>
      </c>
      <c r="H60" s="15">
        <v>3</v>
      </c>
      <c r="I60" s="15"/>
      <c r="J60" s="15" t="s">
        <v>376</v>
      </c>
      <c r="K60" s="15"/>
      <c r="L60" s="15">
        <v>6</v>
      </c>
      <c r="M60" s="15" t="s">
        <v>463</v>
      </c>
      <c r="N60" s="15" t="s">
        <v>352</v>
      </c>
      <c r="W60" s="16"/>
      <c r="X60" s="9"/>
      <c r="Y60" s="9"/>
      <c r="Z60" s="9" t="s">
        <v>464</v>
      </c>
    </row>
    <row r="61" ht="16.5" spans="4:26">
      <c r="D61" s="15">
        <v>49</v>
      </c>
      <c r="E61" s="15">
        <v>5205001</v>
      </c>
      <c r="F61" s="15" t="s">
        <v>465</v>
      </c>
      <c r="G61" s="15"/>
      <c r="H61" s="15">
        <v>500</v>
      </c>
      <c r="I61" s="15"/>
      <c r="J61" s="15" t="s">
        <v>466</v>
      </c>
      <c r="K61" s="15"/>
      <c r="L61" s="15"/>
      <c r="M61" s="15" t="s">
        <v>467</v>
      </c>
      <c r="N61" s="15"/>
      <c r="W61" s="10"/>
      <c r="X61" s="9"/>
      <c r="Y61" s="9"/>
      <c r="Z61" s="9" t="s">
        <v>468</v>
      </c>
    </row>
    <row r="62" ht="16.5" spans="4:26">
      <c r="D62" s="15">
        <v>50</v>
      </c>
      <c r="E62" s="15">
        <v>5204001</v>
      </c>
      <c r="F62" s="15" t="s">
        <v>469</v>
      </c>
      <c r="G62" s="15"/>
      <c r="H62" s="15">
        <v>5</v>
      </c>
      <c r="I62" s="15"/>
      <c r="J62" s="15" t="s">
        <v>376</v>
      </c>
      <c r="K62" s="15"/>
      <c r="L62" s="15"/>
      <c r="M62" s="15"/>
      <c r="N62" s="17" t="s">
        <v>470</v>
      </c>
      <c r="W62" s="16"/>
      <c r="X62" s="9"/>
      <c r="Y62" s="9"/>
      <c r="Z62" s="9" t="s">
        <v>471</v>
      </c>
    </row>
    <row r="63" ht="16.5" spans="4:26">
      <c r="D63" s="15" t="s">
        <v>282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W63" s="16"/>
      <c r="X63" s="9"/>
      <c r="Y63" s="9"/>
      <c r="Z63" s="9" t="s">
        <v>472</v>
      </c>
    </row>
    <row r="64" ht="16.5" spans="4:26">
      <c r="D64" s="15">
        <v>51</v>
      </c>
      <c r="E64" s="15"/>
      <c r="F64" s="15" t="s">
        <v>473</v>
      </c>
      <c r="G64" s="15"/>
      <c r="H64" s="15">
        <v>100</v>
      </c>
      <c r="I64" s="15"/>
      <c r="J64" s="15" t="s">
        <v>474</v>
      </c>
      <c r="K64" s="15"/>
      <c r="L64" s="15"/>
      <c r="M64" s="15"/>
      <c r="N64" s="15"/>
      <c r="W64" s="9"/>
      <c r="X64" s="9">
        <v>1</v>
      </c>
      <c r="Y64" s="9"/>
      <c r="Z64" s="9" t="s">
        <v>475</v>
      </c>
    </row>
    <row r="65" ht="16.5" spans="4:26">
      <c r="D65" s="15" t="s">
        <v>282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W65" s="9"/>
      <c r="X65" s="9">
        <v>2</v>
      </c>
      <c r="Y65" s="9"/>
      <c r="Z65" s="9" t="s">
        <v>475</v>
      </c>
    </row>
    <row r="66" ht="16.5" spans="4:26">
      <c r="D66" s="15">
        <v>52</v>
      </c>
      <c r="E66" s="15"/>
      <c r="F66" s="15" t="s">
        <v>476</v>
      </c>
      <c r="G66" s="15"/>
      <c r="H66" s="15">
        <v>1500</v>
      </c>
      <c r="I66" s="15">
        <v>30</v>
      </c>
      <c r="J66" s="15" t="s">
        <v>474</v>
      </c>
      <c r="K66" s="15"/>
      <c r="L66" s="15"/>
      <c r="M66" s="15"/>
      <c r="N66" s="15"/>
      <c r="W66" s="9"/>
      <c r="X66" s="9">
        <v>3</v>
      </c>
      <c r="Y66" s="9"/>
      <c r="Z66" s="9" t="s">
        <v>475</v>
      </c>
    </row>
    <row r="67" ht="16.5" spans="4:26">
      <c r="D67" s="15">
        <v>51</v>
      </c>
      <c r="E67" s="15"/>
      <c r="F67" s="15" t="s">
        <v>477</v>
      </c>
      <c r="G67" s="15"/>
      <c r="H67" s="15">
        <v>4000</v>
      </c>
      <c r="I67" s="15">
        <v>128</v>
      </c>
      <c r="J67" s="15" t="s">
        <v>474</v>
      </c>
      <c r="K67" s="15"/>
      <c r="L67" s="15"/>
      <c r="M67" s="15"/>
      <c r="N67" s="15"/>
      <c r="W67" s="10"/>
      <c r="X67" s="9"/>
      <c r="Y67" s="9"/>
      <c r="Z67" s="22" t="s">
        <v>478</v>
      </c>
    </row>
    <row r="68" ht="16.5" spans="4:26">
      <c r="D68" s="15">
        <v>53</v>
      </c>
      <c r="E68" s="15"/>
      <c r="F68" s="15" t="s">
        <v>479</v>
      </c>
      <c r="G68" s="15"/>
      <c r="H68" s="15">
        <v>8000</v>
      </c>
      <c r="I68" s="15">
        <v>198</v>
      </c>
      <c r="J68" s="15" t="s">
        <v>474</v>
      </c>
      <c r="K68" s="15"/>
      <c r="L68" s="15"/>
      <c r="M68" s="15"/>
      <c r="N68" s="15"/>
      <c r="W68" s="9">
        <v>90216</v>
      </c>
      <c r="X68" s="9">
        <v>1</v>
      </c>
      <c r="Y68" s="9">
        <v>16</v>
      </c>
      <c r="Z68" s="9" t="s">
        <v>480</v>
      </c>
    </row>
    <row r="69" ht="16.5" spans="4:26">
      <c r="D69" s="15" t="s">
        <v>282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W69" s="9"/>
      <c r="X69" s="9">
        <v>2</v>
      </c>
      <c r="Y69" s="9"/>
      <c r="Z69" s="9" t="s">
        <v>480</v>
      </c>
    </row>
    <row r="70" ht="16.5" spans="4:26">
      <c r="D70" s="15">
        <v>54</v>
      </c>
      <c r="E70" s="15"/>
      <c r="F70" s="15" t="s">
        <v>481</v>
      </c>
      <c r="G70" s="15"/>
      <c r="H70" s="15">
        <v>4000</v>
      </c>
      <c r="I70" s="15">
        <v>128</v>
      </c>
      <c r="J70" s="15"/>
      <c r="K70" s="15"/>
      <c r="L70" s="15"/>
      <c r="M70" s="15"/>
      <c r="N70" s="15"/>
      <c r="W70" s="10"/>
      <c r="X70" s="9"/>
      <c r="Y70" s="9"/>
      <c r="Z70" s="22" t="s">
        <v>482</v>
      </c>
    </row>
    <row r="71" ht="16.5" spans="4:26">
      <c r="D71" s="15">
        <v>55</v>
      </c>
      <c r="E71" s="15"/>
      <c r="F71" s="15" t="s">
        <v>483</v>
      </c>
      <c r="G71" s="15"/>
      <c r="H71" s="15">
        <v>8000</v>
      </c>
      <c r="I71" s="15">
        <v>168</v>
      </c>
      <c r="J71" s="15"/>
      <c r="K71" s="15"/>
      <c r="L71" s="15"/>
      <c r="M71" s="15"/>
      <c r="N71" s="15"/>
      <c r="W71" s="10"/>
      <c r="X71" s="9"/>
      <c r="Y71" s="9"/>
      <c r="Z71" s="22" t="s">
        <v>484</v>
      </c>
    </row>
    <row r="72" ht="16.5" spans="4:26">
      <c r="D72" s="15" t="s">
        <v>282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W72" s="10"/>
      <c r="X72" s="9"/>
      <c r="Y72" s="9"/>
      <c r="Z72" s="22" t="s">
        <v>485</v>
      </c>
    </row>
    <row r="73" ht="16.5" spans="4:26">
      <c r="D73" s="15">
        <v>56</v>
      </c>
      <c r="E73" s="15"/>
      <c r="F73" s="15" t="s">
        <v>486</v>
      </c>
      <c r="G73" s="15"/>
      <c r="H73" s="15">
        <v>7000</v>
      </c>
      <c r="I73" s="15">
        <v>266</v>
      </c>
      <c r="J73" s="15"/>
      <c r="K73" s="15"/>
      <c r="L73" s="15"/>
      <c r="M73" s="15"/>
      <c r="N73" s="15" t="s">
        <v>487</v>
      </c>
      <c r="W73" s="10"/>
      <c r="X73" s="9"/>
      <c r="Y73" s="9"/>
      <c r="Z73" s="22" t="s">
        <v>488</v>
      </c>
    </row>
    <row r="74" ht="16.5" spans="4:26">
      <c r="D74" s="15">
        <v>57</v>
      </c>
      <c r="E74" s="15"/>
      <c r="F74" s="15" t="s">
        <v>489</v>
      </c>
      <c r="G74" s="15"/>
      <c r="H74" s="15">
        <v>12000</v>
      </c>
      <c r="I74" s="15">
        <v>328</v>
      </c>
      <c r="J74" s="15"/>
      <c r="K74" s="15"/>
      <c r="L74" s="15"/>
      <c r="M74" s="15"/>
      <c r="N74" s="15" t="s">
        <v>487</v>
      </c>
      <c r="W74" s="9">
        <v>90114</v>
      </c>
      <c r="X74" s="9">
        <v>1</v>
      </c>
      <c r="Y74" s="9">
        <v>6</v>
      </c>
      <c r="Z74" s="9" t="s">
        <v>490</v>
      </c>
    </row>
    <row r="75" ht="16.5" spans="4:26">
      <c r="D75" s="15" t="s">
        <v>282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W75" s="9">
        <v>90115</v>
      </c>
      <c r="X75" s="9">
        <v>1</v>
      </c>
      <c r="Y75" s="9">
        <v>7</v>
      </c>
      <c r="Z75" s="9" t="s">
        <v>491</v>
      </c>
    </row>
    <row r="76" ht="16.5" spans="4:26">
      <c r="D76" s="15">
        <v>58</v>
      </c>
      <c r="E76" s="15"/>
      <c r="F76" s="15" t="s">
        <v>492</v>
      </c>
      <c r="G76" s="15"/>
      <c r="H76" s="15"/>
      <c r="I76" s="15">
        <v>328</v>
      </c>
      <c r="J76" s="15"/>
      <c r="K76" s="15"/>
      <c r="L76" s="15"/>
      <c r="M76" s="15"/>
      <c r="N76" s="15" t="s">
        <v>487</v>
      </c>
      <c r="W76" s="9">
        <v>90116</v>
      </c>
      <c r="X76" s="9">
        <v>1</v>
      </c>
      <c r="Y76" s="9">
        <v>8</v>
      </c>
      <c r="Z76" s="9" t="s">
        <v>493</v>
      </c>
    </row>
    <row r="77" ht="16.5" spans="4:26">
      <c r="D77" s="15">
        <v>59</v>
      </c>
      <c r="E77" s="15"/>
      <c r="F77" s="15" t="s">
        <v>494</v>
      </c>
      <c r="G77" s="15"/>
      <c r="H77" s="15"/>
      <c r="I77" s="15">
        <v>648</v>
      </c>
      <c r="J77" s="15"/>
      <c r="K77" s="15"/>
      <c r="L77" s="15"/>
      <c r="M77" s="15"/>
      <c r="N77" s="15" t="s">
        <v>487</v>
      </c>
      <c r="W77" s="9">
        <v>90117</v>
      </c>
      <c r="X77" s="9">
        <v>1</v>
      </c>
      <c r="Y77" s="9">
        <v>11</v>
      </c>
      <c r="Z77" s="9" t="s">
        <v>495</v>
      </c>
    </row>
    <row r="78" ht="16.5" spans="4:26">
      <c r="D78" s="15"/>
      <c r="E78" s="23">
        <v>63</v>
      </c>
      <c r="F78" s="15" t="s">
        <v>32</v>
      </c>
      <c r="G78" s="15"/>
      <c r="H78" s="15">
        <v>1</v>
      </c>
      <c r="I78" s="15"/>
      <c r="J78" s="15"/>
      <c r="K78" s="15"/>
      <c r="L78" s="15"/>
      <c r="M78" s="15"/>
      <c r="N78" s="15"/>
      <c r="W78" s="9"/>
      <c r="X78" s="9"/>
      <c r="Y78" s="9"/>
      <c r="Z78" s="9" t="s">
        <v>496</v>
      </c>
    </row>
    <row r="79" ht="16.5" spans="4:26">
      <c r="D79" s="15"/>
      <c r="E79" s="23">
        <v>62</v>
      </c>
      <c r="F79" s="15" t="s">
        <v>178</v>
      </c>
      <c r="G79" s="15"/>
      <c r="H79" s="15">
        <v>150</v>
      </c>
      <c r="I79" s="15"/>
      <c r="J79" s="15"/>
      <c r="K79" s="15"/>
      <c r="L79" s="15"/>
      <c r="M79" s="15"/>
      <c r="N79" s="15"/>
      <c r="W79" s="9"/>
      <c r="X79" s="9">
        <v>1</v>
      </c>
      <c r="Y79" s="9"/>
      <c r="Z79" s="24" t="s">
        <v>497</v>
      </c>
    </row>
    <row r="80" ht="16.5" spans="4:26">
      <c r="D80" s="15"/>
      <c r="E80" s="15">
        <v>6040001</v>
      </c>
      <c r="F80" s="15" t="s">
        <v>52</v>
      </c>
      <c r="G80" s="15"/>
      <c r="H80" s="15">
        <v>2000</v>
      </c>
      <c r="I80" s="15"/>
      <c r="J80" s="15"/>
      <c r="K80" s="15"/>
      <c r="L80" s="15"/>
      <c r="M80" s="15"/>
      <c r="N80" s="15"/>
      <c r="W80" s="9">
        <v>90120</v>
      </c>
      <c r="X80" s="9">
        <v>1</v>
      </c>
      <c r="Y80" s="9"/>
      <c r="Z80" s="24" t="s">
        <v>498</v>
      </c>
    </row>
    <row r="81" ht="16.5" spans="4:26">
      <c r="D81" s="15"/>
      <c r="E81" s="15">
        <v>6040002</v>
      </c>
      <c r="F81" s="15" t="s">
        <v>53</v>
      </c>
      <c r="G81" s="15"/>
      <c r="H81" s="15">
        <v>4000</v>
      </c>
      <c r="I81" s="15"/>
      <c r="J81" s="15"/>
      <c r="K81" s="15"/>
      <c r="L81" s="15"/>
      <c r="M81" s="15"/>
      <c r="N81" s="15"/>
      <c r="W81" s="9"/>
      <c r="X81" s="9">
        <v>1</v>
      </c>
      <c r="Y81" s="9"/>
      <c r="Z81" s="24" t="s">
        <v>499</v>
      </c>
    </row>
    <row r="82" ht="16.5" spans="4:26">
      <c r="D82" s="15"/>
      <c r="E82" s="15">
        <v>6040003</v>
      </c>
      <c r="F82" s="15" t="s">
        <v>54</v>
      </c>
      <c r="G82" s="15"/>
      <c r="H82" s="15">
        <v>8000</v>
      </c>
      <c r="I82" s="15"/>
      <c r="J82" s="15"/>
      <c r="K82" s="15"/>
      <c r="L82" s="15"/>
      <c r="M82" s="15"/>
      <c r="N82" s="15"/>
    </row>
    <row r="83" ht="16.5" spans="4:26">
      <c r="D83" s="15"/>
      <c r="E83" s="15">
        <v>6040004</v>
      </c>
      <c r="F83" s="15" t="s">
        <v>55</v>
      </c>
      <c r="G83" s="15"/>
      <c r="H83" s="15">
        <v>16000</v>
      </c>
      <c r="I83" s="15"/>
      <c r="J83" s="15"/>
      <c r="K83" s="15"/>
      <c r="L83" s="15"/>
      <c r="M83" s="15"/>
      <c r="N83" s="15"/>
    </row>
    <row r="84" ht="16.5" spans="4:26">
      <c r="D84" s="15"/>
      <c r="E84" s="15">
        <v>6030001</v>
      </c>
      <c r="F84" s="15" t="s">
        <v>34</v>
      </c>
      <c r="G84" s="15"/>
      <c r="H84" s="15">
        <f>H80/10</f>
        <v>200</v>
      </c>
      <c r="I84" s="15"/>
      <c r="J84" s="15"/>
      <c r="K84" s="15"/>
      <c r="L84" s="15"/>
      <c r="M84" s="15"/>
      <c r="N84" s="15"/>
    </row>
    <row r="85" ht="16.5" spans="4:26">
      <c r="D85" s="15"/>
      <c r="E85" s="15">
        <v>6030002</v>
      </c>
      <c r="F85" s="15" t="s">
        <v>35</v>
      </c>
      <c r="G85" s="15"/>
      <c r="H85" s="15">
        <f>H81/10</f>
        <v>400</v>
      </c>
      <c r="I85" s="15"/>
      <c r="J85" s="15"/>
      <c r="K85" s="15"/>
      <c r="L85" s="15"/>
      <c r="M85" s="15"/>
      <c r="N85" s="15"/>
    </row>
    <row r="86" ht="16.5" spans="4:26">
      <c r="D86" s="15"/>
      <c r="E86" s="15">
        <v>6030003</v>
      </c>
      <c r="F86" s="15" t="s">
        <v>36</v>
      </c>
      <c r="G86" s="15"/>
      <c r="H86" s="15">
        <f>H82/10</f>
        <v>800</v>
      </c>
      <c r="I86" s="15"/>
      <c r="J86" s="15"/>
      <c r="K86" s="15"/>
      <c r="L86" s="15"/>
      <c r="M86" s="15"/>
      <c r="N86" s="15"/>
    </row>
    <row r="87" ht="16.5" spans="4:26">
      <c r="D87" s="15"/>
      <c r="E87" s="15">
        <v>6030004</v>
      </c>
      <c r="F87" s="15" t="s">
        <v>37</v>
      </c>
      <c r="G87" s="15"/>
      <c r="H87" s="15">
        <f>H83/10</f>
        <v>1600</v>
      </c>
      <c r="I87" s="15"/>
      <c r="J87" s="15"/>
      <c r="K87" s="15"/>
      <c r="L87" s="15"/>
      <c r="M87" s="15"/>
      <c r="N87" s="15"/>
    </row>
    <row r="88" ht="16.5" spans="4:26">
      <c r="D88" s="15"/>
      <c r="E88" s="15">
        <v>60</v>
      </c>
      <c r="F88" s="15" t="s">
        <v>290</v>
      </c>
      <c r="G88" s="15"/>
      <c r="H88" s="15">
        <v>200</v>
      </c>
      <c r="I88" s="15"/>
      <c r="J88" s="15"/>
      <c r="K88" s="15"/>
      <c r="L88" s="15"/>
      <c r="M88" s="15"/>
      <c r="N88" s="15"/>
    </row>
    <row r="89" ht="16.5" spans="4:26">
      <c r="D89" s="15"/>
      <c r="E89" s="15">
        <v>61</v>
      </c>
      <c r="F89" s="15" t="s">
        <v>291</v>
      </c>
      <c r="G89" s="15"/>
      <c r="H89" s="15"/>
      <c r="I89" s="15"/>
      <c r="J89" s="15"/>
      <c r="K89" s="15"/>
      <c r="L89" s="15"/>
      <c r="M89" s="15"/>
      <c r="N89" s="15"/>
    </row>
    <row r="90" spans="4:26">
      <c r="E90" s="23"/>
      <c r="F90" s="23"/>
      <c r="G90" s="23"/>
    </row>
  </sheetData>
  <dataValidations count="1">
    <dataValidation type="textLength" operator="between" allowBlank="1" showInputMessage="1" showErrorMessage="1" errorTitle="输入有误" error="文本内容大长(0 ~ 9999999999)" sqref="Z74:Z81">
      <formula1>0</formula1>
      <formula2>65535</formula2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W162"/>
  <sheetViews>
    <sheetView workbookViewId="0">
      <selection activeCell="E28" sqref="E28"/>
    </sheetView>
  </sheetViews>
  <sheetFormatPr defaultColWidth="9.14285714285714" defaultRowHeight="12.75"/>
  <sheetData>
    <row r="2" spans="7:23">
      <c r="G2">
        <v>1</v>
      </c>
      <c r="H2">
        <v>0</v>
      </c>
      <c r="I2" t="s">
        <v>282</v>
      </c>
      <c r="J2" t="s">
        <v>282</v>
      </c>
      <c r="L2">
        <f>IFERROR(G2*10000,"")</f>
        <v>10000</v>
      </c>
      <c r="Q2">
        <f>IFERROR(H2*10000,"")</f>
        <v>0</v>
      </c>
      <c r="R2" t="str">
        <f>IFERROR(I2*10000,"")</f>
        <v/>
      </c>
      <c r="S2" t="str">
        <f>IFERROR(J2*10000,"")</f>
        <v/>
      </c>
    </row>
    <row r="3" spans="7:23">
      <c r="G3">
        <v>0.7</v>
      </c>
      <c r="H3">
        <v>0.3</v>
      </c>
      <c r="I3">
        <v>0</v>
      </c>
      <c r="J3">
        <v>0</v>
      </c>
      <c r="L3">
        <f t="shared" ref="L3:L41" si="0">IFERROR(G3*10000,"")</f>
        <v>7000</v>
      </c>
      <c r="Q3">
        <f t="shared" ref="Q3:Q41" si="1">IFERROR(H3*10000,"")</f>
        <v>3000</v>
      </c>
      <c r="R3">
        <f t="shared" ref="R3:R41" si="2">IFERROR(I3*10000,"")</f>
        <v>0</v>
      </c>
      <c r="S3">
        <f t="shared" ref="S3:S41" si="3">IFERROR(J3*10000,"")</f>
        <v>0</v>
      </c>
      <c r="U3">
        <v>1</v>
      </c>
      <c r="V3">
        <v>1</v>
      </c>
      <c r="W3">
        <f ca="1">OFFSET($L$1,U3,V3-1)</f>
        <v>10000</v>
      </c>
    </row>
    <row r="4" spans="7:23">
      <c r="G4">
        <v>0.5</v>
      </c>
      <c r="H4">
        <v>0.5</v>
      </c>
      <c r="I4">
        <v>0</v>
      </c>
      <c r="J4">
        <v>0</v>
      </c>
      <c r="L4">
        <f t="shared" si="0"/>
        <v>5000</v>
      </c>
      <c r="Q4">
        <f t="shared" si="1"/>
        <v>5000</v>
      </c>
      <c r="R4">
        <f t="shared" si="2"/>
        <v>0</v>
      </c>
      <c r="S4">
        <f t="shared" si="3"/>
        <v>0</v>
      </c>
      <c r="U4">
        <v>1</v>
      </c>
      <c r="V4">
        <v>2</v>
      </c>
      <c r="W4">
        <f ca="1" t="shared" ref="W4:W35" si="4">OFFSET($L$1,U4,V4-1)</f>
        <v>0</v>
      </c>
    </row>
    <row r="5" spans="7:23">
      <c r="G5">
        <v>0.3</v>
      </c>
      <c r="H5">
        <v>0.7</v>
      </c>
      <c r="I5">
        <v>0</v>
      </c>
      <c r="J5">
        <v>0</v>
      </c>
      <c r="L5">
        <f t="shared" si="0"/>
        <v>3000</v>
      </c>
      <c r="Q5">
        <f t="shared" si="1"/>
        <v>7000</v>
      </c>
      <c r="R5">
        <f t="shared" si="2"/>
        <v>0</v>
      </c>
      <c r="S5">
        <f t="shared" si="3"/>
        <v>0</v>
      </c>
      <c r="U5">
        <v>1</v>
      </c>
      <c r="V5">
        <v>3</v>
      </c>
      <c r="W5">
        <v>0</v>
      </c>
    </row>
    <row r="6" spans="7:23">
      <c r="G6">
        <v>0.1</v>
      </c>
      <c r="H6">
        <v>0.87</v>
      </c>
      <c r="I6">
        <v>0.03</v>
      </c>
      <c r="J6">
        <v>0</v>
      </c>
      <c r="L6">
        <f t="shared" si="0"/>
        <v>1000</v>
      </c>
      <c r="Q6">
        <f t="shared" si="1"/>
        <v>8700</v>
      </c>
      <c r="R6">
        <f t="shared" si="2"/>
        <v>300</v>
      </c>
      <c r="S6">
        <f t="shared" si="3"/>
        <v>0</v>
      </c>
      <c r="U6">
        <v>1</v>
      </c>
      <c r="V6">
        <v>4</v>
      </c>
      <c r="W6">
        <v>0</v>
      </c>
    </row>
    <row r="7" spans="7:23">
      <c r="G7">
        <v>0</v>
      </c>
      <c r="H7">
        <v>0.94</v>
      </c>
      <c r="I7">
        <v>0.06</v>
      </c>
      <c r="J7">
        <v>0</v>
      </c>
      <c r="L7">
        <f t="shared" si="0"/>
        <v>0</v>
      </c>
      <c r="Q7">
        <f t="shared" si="1"/>
        <v>9400</v>
      </c>
      <c r="R7">
        <f t="shared" si="2"/>
        <v>600</v>
      </c>
      <c r="S7">
        <f t="shared" si="3"/>
        <v>0</v>
      </c>
      <c r="U7">
        <f>U3+1</f>
        <v>2</v>
      </c>
      <c r="V7">
        <f>V3</f>
        <v>1</v>
      </c>
      <c r="W7">
        <f ca="1" t="shared" si="4"/>
        <v>7000</v>
      </c>
    </row>
    <row r="8" spans="7:23">
      <c r="G8">
        <v>0</v>
      </c>
      <c r="H8">
        <v>0.91</v>
      </c>
      <c r="I8">
        <v>0.09</v>
      </c>
      <c r="J8">
        <v>0</v>
      </c>
      <c r="L8">
        <f t="shared" si="0"/>
        <v>0</v>
      </c>
      <c r="Q8">
        <f t="shared" si="1"/>
        <v>9100</v>
      </c>
      <c r="R8">
        <f t="shared" si="2"/>
        <v>900</v>
      </c>
      <c r="S8">
        <f t="shared" si="3"/>
        <v>0</v>
      </c>
      <c r="U8">
        <f t="shared" ref="U8:U52" si="5">U4+1</f>
        <v>2</v>
      </c>
      <c r="V8">
        <f t="shared" ref="V8:V52" si="6">V4</f>
        <v>2</v>
      </c>
      <c r="W8">
        <f ca="1" t="shared" si="4"/>
        <v>0</v>
      </c>
    </row>
    <row r="9" spans="7:23">
      <c r="G9">
        <v>0</v>
      </c>
      <c r="H9">
        <v>0.88</v>
      </c>
      <c r="I9">
        <v>0.12</v>
      </c>
      <c r="J9">
        <v>0</v>
      </c>
      <c r="L9">
        <f t="shared" si="0"/>
        <v>0</v>
      </c>
      <c r="Q9">
        <f t="shared" si="1"/>
        <v>8800</v>
      </c>
      <c r="R9">
        <f t="shared" si="2"/>
        <v>1200</v>
      </c>
      <c r="S9">
        <f t="shared" si="3"/>
        <v>0</v>
      </c>
      <c r="U9">
        <f t="shared" si="5"/>
        <v>2</v>
      </c>
      <c r="V9">
        <f t="shared" si="6"/>
        <v>3</v>
      </c>
      <c r="W9">
        <f ca="1" t="shared" si="4"/>
        <v>0</v>
      </c>
    </row>
    <row r="10" spans="7:23">
      <c r="G10">
        <v>0</v>
      </c>
      <c r="H10">
        <v>0.85</v>
      </c>
      <c r="I10">
        <v>0.15</v>
      </c>
      <c r="J10">
        <v>0</v>
      </c>
      <c r="L10">
        <f t="shared" si="0"/>
        <v>0</v>
      </c>
      <c r="Q10">
        <f t="shared" si="1"/>
        <v>8500</v>
      </c>
      <c r="R10">
        <f t="shared" si="2"/>
        <v>1500</v>
      </c>
      <c r="S10">
        <f t="shared" si="3"/>
        <v>0</v>
      </c>
      <c r="U10">
        <f t="shared" si="5"/>
        <v>2</v>
      </c>
      <c r="V10">
        <f t="shared" si="6"/>
        <v>4</v>
      </c>
      <c r="W10">
        <f ca="1" t="shared" si="4"/>
        <v>0</v>
      </c>
    </row>
    <row r="11" spans="7:23">
      <c r="G11">
        <v>0</v>
      </c>
      <c r="H11">
        <v>0.82</v>
      </c>
      <c r="I11">
        <v>0.18</v>
      </c>
      <c r="J11">
        <v>0</v>
      </c>
      <c r="L11">
        <f t="shared" si="0"/>
        <v>0</v>
      </c>
      <c r="Q11">
        <f t="shared" si="1"/>
        <v>8200</v>
      </c>
      <c r="R11">
        <f t="shared" si="2"/>
        <v>1800</v>
      </c>
      <c r="S11">
        <f t="shared" si="3"/>
        <v>0</v>
      </c>
      <c r="U11">
        <f t="shared" si="5"/>
        <v>3</v>
      </c>
      <c r="V11">
        <f t="shared" si="6"/>
        <v>1</v>
      </c>
      <c r="W11">
        <f ca="1" t="shared" si="4"/>
        <v>5000</v>
      </c>
    </row>
    <row r="12" spans="7:23">
      <c r="G12">
        <v>0</v>
      </c>
      <c r="H12">
        <v>0.79</v>
      </c>
      <c r="I12">
        <v>0.21</v>
      </c>
      <c r="J12">
        <v>0</v>
      </c>
      <c r="L12">
        <f t="shared" si="0"/>
        <v>0</v>
      </c>
      <c r="Q12">
        <f t="shared" si="1"/>
        <v>7900</v>
      </c>
      <c r="R12">
        <f t="shared" si="2"/>
        <v>2100</v>
      </c>
      <c r="S12">
        <f t="shared" si="3"/>
        <v>0</v>
      </c>
      <c r="U12">
        <f t="shared" si="5"/>
        <v>3</v>
      </c>
      <c r="V12">
        <f t="shared" si="6"/>
        <v>2</v>
      </c>
      <c r="W12">
        <f ca="1" t="shared" si="4"/>
        <v>0</v>
      </c>
    </row>
    <row r="13" spans="7:23">
      <c r="G13">
        <v>0</v>
      </c>
      <c r="H13">
        <v>0.76</v>
      </c>
      <c r="I13">
        <v>0.24</v>
      </c>
      <c r="J13">
        <v>0</v>
      </c>
      <c r="L13">
        <f t="shared" si="0"/>
        <v>0</v>
      </c>
      <c r="Q13">
        <f t="shared" si="1"/>
        <v>7600</v>
      </c>
      <c r="R13">
        <f t="shared" si="2"/>
        <v>2400</v>
      </c>
      <c r="S13">
        <f t="shared" si="3"/>
        <v>0</v>
      </c>
      <c r="U13">
        <f t="shared" si="5"/>
        <v>3</v>
      </c>
      <c r="V13">
        <f t="shared" si="6"/>
        <v>3</v>
      </c>
      <c r="W13">
        <f ca="1" t="shared" si="4"/>
        <v>0</v>
      </c>
    </row>
    <row r="14" spans="7:23">
      <c r="G14">
        <v>0</v>
      </c>
      <c r="H14">
        <v>0.73</v>
      </c>
      <c r="I14">
        <v>0.27</v>
      </c>
      <c r="J14">
        <v>0</v>
      </c>
      <c r="L14">
        <f t="shared" si="0"/>
        <v>0</v>
      </c>
      <c r="Q14">
        <f t="shared" si="1"/>
        <v>7300</v>
      </c>
      <c r="R14">
        <f t="shared" si="2"/>
        <v>2700</v>
      </c>
      <c r="S14">
        <f t="shared" si="3"/>
        <v>0</v>
      </c>
      <c r="U14">
        <f t="shared" si="5"/>
        <v>3</v>
      </c>
      <c r="V14">
        <f t="shared" si="6"/>
        <v>4</v>
      </c>
      <c r="W14">
        <f ca="1" t="shared" si="4"/>
        <v>0</v>
      </c>
    </row>
    <row r="15" spans="7:23">
      <c r="G15">
        <v>0</v>
      </c>
      <c r="H15">
        <v>0.7</v>
      </c>
      <c r="I15">
        <v>0.3</v>
      </c>
      <c r="J15">
        <v>0</v>
      </c>
      <c r="L15">
        <f t="shared" si="0"/>
        <v>0</v>
      </c>
      <c r="Q15">
        <f t="shared" si="1"/>
        <v>7000</v>
      </c>
      <c r="R15">
        <f t="shared" si="2"/>
        <v>3000</v>
      </c>
      <c r="S15">
        <f t="shared" si="3"/>
        <v>0</v>
      </c>
      <c r="U15">
        <f t="shared" si="5"/>
        <v>4</v>
      </c>
      <c r="V15">
        <f t="shared" si="6"/>
        <v>1</v>
      </c>
      <c r="W15">
        <f ca="1" t="shared" si="4"/>
        <v>3000</v>
      </c>
    </row>
    <row r="16" spans="7:23">
      <c r="G16">
        <v>0</v>
      </c>
      <c r="H16">
        <v>0.67</v>
      </c>
      <c r="I16">
        <v>0.33</v>
      </c>
      <c r="J16">
        <v>0</v>
      </c>
      <c r="L16">
        <f t="shared" si="0"/>
        <v>0</v>
      </c>
      <c r="Q16">
        <f t="shared" si="1"/>
        <v>6700</v>
      </c>
      <c r="R16">
        <f t="shared" si="2"/>
        <v>3300</v>
      </c>
      <c r="S16">
        <f t="shared" si="3"/>
        <v>0</v>
      </c>
      <c r="U16">
        <f t="shared" si="5"/>
        <v>4</v>
      </c>
      <c r="V16">
        <f t="shared" si="6"/>
        <v>2</v>
      </c>
      <c r="W16">
        <f ca="1" t="shared" si="4"/>
        <v>0</v>
      </c>
    </row>
    <row r="17" spans="7:23">
      <c r="G17">
        <v>0</v>
      </c>
      <c r="H17">
        <v>0.64</v>
      </c>
      <c r="I17">
        <v>0.33</v>
      </c>
      <c r="J17">
        <v>0.03</v>
      </c>
      <c r="L17">
        <f t="shared" si="0"/>
        <v>0</v>
      </c>
      <c r="Q17">
        <f t="shared" si="1"/>
        <v>6400</v>
      </c>
      <c r="R17">
        <f t="shared" si="2"/>
        <v>3300</v>
      </c>
      <c r="S17">
        <f t="shared" si="3"/>
        <v>300</v>
      </c>
      <c r="U17">
        <f t="shared" si="5"/>
        <v>4</v>
      </c>
      <c r="V17">
        <f t="shared" si="6"/>
        <v>3</v>
      </c>
      <c r="W17">
        <f ca="1" t="shared" si="4"/>
        <v>0</v>
      </c>
    </row>
    <row r="18" spans="7:23">
      <c r="G18">
        <v>0</v>
      </c>
      <c r="H18">
        <v>0.58</v>
      </c>
      <c r="I18">
        <v>0.36</v>
      </c>
      <c r="J18">
        <v>0.06</v>
      </c>
      <c r="L18">
        <f t="shared" si="0"/>
        <v>0</v>
      </c>
      <c r="Q18">
        <f t="shared" si="1"/>
        <v>5800</v>
      </c>
      <c r="R18">
        <f t="shared" si="2"/>
        <v>3600</v>
      </c>
      <c r="S18">
        <f t="shared" si="3"/>
        <v>600</v>
      </c>
      <c r="U18">
        <f t="shared" si="5"/>
        <v>4</v>
      </c>
      <c r="V18">
        <f t="shared" si="6"/>
        <v>4</v>
      </c>
      <c r="W18">
        <f ca="1" t="shared" si="4"/>
        <v>0</v>
      </c>
    </row>
    <row r="19" spans="7:23">
      <c r="G19">
        <v>0</v>
      </c>
      <c r="H19">
        <v>0.52</v>
      </c>
      <c r="I19">
        <v>0.39</v>
      </c>
      <c r="J19">
        <v>0.09</v>
      </c>
      <c r="L19">
        <f t="shared" si="0"/>
        <v>0</v>
      </c>
      <c r="Q19">
        <f t="shared" si="1"/>
        <v>5200</v>
      </c>
      <c r="R19">
        <f t="shared" si="2"/>
        <v>3900</v>
      </c>
      <c r="S19">
        <f t="shared" si="3"/>
        <v>900</v>
      </c>
      <c r="U19">
        <f t="shared" si="5"/>
        <v>5</v>
      </c>
      <c r="V19">
        <f t="shared" si="6"/>
        <v>1</v>
      </c>
      <c r="W19">
        <f ca="1" t="shared" si="4"/>
        <v>1000</v>
      </c>
    </row>
    <row r="20" spans="7:23">
      <c r="G20">
        <v>0</v>
      </c>
      <c r="H20">
        <v>0.46</v>
      </c>
      <c r="I20">
        <v>0.42</v>
      </c>
      <c r="J20">
        <v>0.12</v>
      </c>
      <c r="L20">
        <f t="shared" si="0"/>
        <v>0</v>
      </c>
      <c r="Q20">
        <f t="shared" si="1"/>
        <v>4600</v>
      </c>
      <c r="R20">
        <f t="shared" si="2"/>
        <v>4200</v>
      </c>
      <c r="S20">
        <f t="shared" si="3"/>
        <v>1200</v>
      </c>
      <c r="U20">
        <f t="shared" si="5"/>
        <v>5</v>
      </c>
      <c r="V20">
        <f t="shared" si="6"/>
        <v>2</v>
      </c>
      <c r="W20">
        <f ca="1" t="shared" si="4"/>
        <v>0</v>
      </c>
    </row>
    <row r="21" spans="7:23">
      <c r="G21">
        <v>0</v>
      </c>
      <c r="H21">
        <v>0.4</v>
      </c>
      <c r="I21">
        <v>0.45</v>
      </c>
      <c r="J21">
        <v>0.15</v>
      </c>
      <c r="L21">
        <f t="shared" si="0"/>
        <v>0</v>
      </c>
      <c r="Q21">
        <f t="shared" si="1"/>
        <v>4000</v>
      </c>
      <c r="R21">
        <f t="shared" si="2"/>
        <v>4500</v>
      </c>
      <c r="S21">
        <f t="shared" si="3"/>
        <v>1500</v>
      </c>
      <c r="U21">
        <f t="shared" si="5"/>
        <v>5</v>
      </c>
      <c r="V21">
        <f t="shared" si="6"/>
        <v>3</v>
      </c>
      <c r="W21">
        <f ca="1" t="shared" si="4"/>
        <v>0</v>
      </c>
    </row>
    <row r="22" spans="7:23">
      <c r="G22">
        <v>0</v>
      </c>
      <c r="H22">
        <v>0.34</v>
      </c>
      <c r="I22">
        <v>0.48</v>
      </c>
      <c r="J22">
        <v>0.18</v>
      </c>
      <c r="L22">
        <f t="shared" si="0"/>
        <v>0</v>
      </c>
      <c r="Q22">
        <f t="shared" si="1"/>
        <v>3400</v>
      </c>
      <c r="R22">
        <f t="shared" si="2"/>
        <v>4800</v>
      </c>
      <c r="S22">
        <f t="shared" si="3"/>
        <v>1800</v>
      </c>
      <c r="U22">
        <f t="shared" si="5"/>
        <v>5</v>
      </c>
      <c r="V22">
        <f t="shared" si="6"/>
        <v>4</v>
      </c>
      <c r="W22">
        <f ca="1" t="shared" si="4"/>
        <v>0</v>
      </c>
    </row>
    <row r="23" spans="7:23">
      <c r="G23">
        <v>0</v>
      </c>
      <c r="H23">
        <v>0.29</v>
      </c>
      <c r="I23">
        <v>0.5</v>
      </c>
      <c r="J23">
        <v>0.21</v>
      </c>
      <c r="L23">
        <f t="shared" si="0"/>
        <v>0</v>
      </c>
      <c r="Q23">
        <f t="shared" si="1"/>
        <v>2900</v>
      </c>
      <c r="R23">
        <f t="shared" si="2"/>
        <v>5000</v>
      </c>
      <c r="S23">
        <f t="shared" si="3"/>
        <v>2100</v>
      </c>
      <c r="U23">
        <f t="shared" si="5"/>
        <v>6</v>
      </c>
      <c r="V23">
        <f t="shared" si="6"/>
        <v>1</v>
      </c>
      <c r="W23">
        <f ca="1" t="shared" si="4"/>
        <v>0</v>
      </c>
    </row>
    <row r="24" spans="7:23">
      <c r="G24">
        <v>0</v>
      </c>
      <c r="H24">
        <v>0.26</v>
      </c>
      <c r="I24">
        <v>0.5</v>
      </c>
      <c r="J24">
        <v>0.24</v>
      </c>
      <c r="L24">
        <f t="shared" si="0"/>
        <v>0</v>
      </c>
      <c r="Q24">
        <f t="shared" si="1"/>
        <v>2600</v>
      </c>
      <c r="R24">
        <f t="shared" si="2"/>
        <v>5000</v>
      </c>
      <c r="S24">
        <f t="shared" si="3"/>
        <v>2400</v>
      </c>
      <c r="U24">
        <f t="shared" si="5"/>
        <v>6</v>
      </c>
      <c r="V24">
        <f t="shared" si="6"/>
        <v>2</v>
      </c>
      <c r="W24">
        <f ca="1" t="shared" si="4"/>
        <v>0</v>
      </c>
    </row>
    <row r="25" spans="7:23">
      <c r="G25">
        <v>0</v>
      </c>
      <c r="H25">
        <v>0.23</v>
      </c>
      <c r="I25">
        <v>0.5</v>
      </c>
      <c r="J25">
        <v>0.27</v>
      </c>
      <c r="L25">
        <f t="shared" si="0"/>
        <v>0</v>
      </c>
      <c r="Q25">
        <f t="shared" si="1"/>
        <v>2300</v>
      </c>
      <c r="R25">
        <f t="shared" si="2"/>
        <v>5000</v>
      </c>
      <c r="S25">
        <f t="shared" si="3"/>
        <v>2700</v>
      </c>
      <c r="U25">
        <f t="shared" si="5"/>
        <v>6</v>
      </c>
      <c r="V25">
        <f t="shared" si="6"/>
        <v>3</v>
      </c>
      <c r="W25">
        <f ca="1" t="shared" si="4"/>
        <v>0</v>
      </c>
    </row>
    <row r="26" spans="7:23">
      <c r="G26">
        <v>0</v>
      </c>
      <c r="H26">
        <v>0.2</v>
      </c>
      <c r="I26">
        <v>0.5</v>
      </c>
      <c r="J26">
        <v>0.3</v>
      </c>
      <c r="L26">
        <f t="shared" si="0"/>
        <v>0</v>
      </c>
      <c r="Q26">
        <f t="shared" si="1"/>
        <v>2000</v>
      </c>
      <c r="R26">
        <f t="shared" si="2"/>
        <v>5000</v>
      </c>
      <c r="S26">
        <f t="shared" si="3"/>
        <v>3000</v>
      </c>
      <c r="U26">
        <f t="shared" si="5"/>
        <v>6</v>
      </c>
      <c r="V26">
        <f t="shared" si="6"/>
        <v>4</v>
      </c>
      <c r="W26">
        <f ca="1" t="shared" si="4"/>
        <v>0</v>
      </c>
    </row>
    <row r="27" spans="7:23">
      <c r="G27">
        <v>0</v>
      </c>
      <c r="H27">
        <v>0.17</v>
      </c>
      <c r="I27">
        <v>0.5</v>
      </c>
      <c r="J27">
        <v>0.33</v>
      </c>
      <c r="L27">
        <f t="shared" si="0"/>
        <v>0</v>
      </c>
      <c r="Q27">
        <f t="shared" si="1"/>
        <v>1700</v>
      </c>
      <c r="R27">
        <f t="shared" si="2"/>
        <v>5000</v>
      </c>
      <c r="S27">
        <f t="shared" si="3"/>
        <v>3300</v>
      </c>
      <c r="U27">
        <f t="shared" si="5"/>
        <v>7</v>
      </c>
      <c r="V27">
        <f t="shared" si="6"/>
        <v>1</v>
      </c>
      <c r="W27">
        <f ca="1" t="shared" si="4"/>
        <v>0</v>
      </c>
    </row>
    <row r="28" spans="7:23">
      <c r="G28">
        <v>0</v>
      </c>
      <c r="H28">
        <v>0.14</v>
      </c>
      <c r="I28">
        <v>0.5</v>
      </c>
      <c r="J28">
        <v>0.36</v>
      </c>
      <c r="L28">
        <f t="shared" si="0"/>
        <v>0</v>
      </c>
      <c r="Q28">
        <f t="shared" si="1"/>
        <v>1400</v>
      </c>
      <c r="R28">
        <f t="shared" si="2"/>
        <v>5000</v>
      </c>
      <c r="S28">
        <f t="shared" si="3"/>
        <v>3600</v>
      </c>
      <c r="U28">
        <f t="shared" si="5"/>
        <v>7</v>
      </c>
      <c r="V28">
        <f t="shared" si="6"/>
        <v>2</v>
      </c>
      <c r="W28">
        <f ca="1" t="shared" si="4"/>
        <v>0</v>
      </c>
    </row>
    <row r="29" spans="7:23">
      <c r="G29">
        <v>0</v>
      </c>
      <c r="H29">
        <v>0.11</v>
      </c>
      <c r="I29">
        <v>0.5</v>
      </c>
      <c r="J29">
        <v>0.39</v>
      </c>
      <c r="L29">
        <f t="shared" si="0"/>
        <v>0</v>
      </c>
      <c r="Q29">
        <f t="shared" si="1"/>
        <v>1100</v>
      </c>
      <c r="R29">
        <f t="shared" si="2"/>
        <v>5000</v>
      </c>
      <c r="S29">
        <f t="shared" si="3"/>
        <v>3900</v>
      </c>
      <c r="U29">
        <f t="shared" si="5"/>
        <v>7</v>
      </c>
      <c r="V29">
        <f t="shared" si="6"/>
        <v>3</v>
      </c>
      <c r="W29">
        <f ca="1" t="shared" si="4"/>
        <v>0</v>
      </c>
    </row>
    <row r="30" spans="7:23">
      <c r="G30">
        <v>0</v>
      </c>
      <c r="H30">
        <v>0.08</v>
      </c>
      <c r="I30">
        <v>0.5</v>
      </c>
      <c r="J30">
        <v>0.42</v>
      </c>
      <c r="L30">
        <f t="shared" si="0"/>
        <v>0</v>
      </c>
      <c r="Q30">
        <f t="shared" si="1"/>
        <v>800</v>
      </c>
      <c r="R30">
        <f t="shared" si="2"/>
        <v>5000</v>
      </c>
      <c r="S30">
        <f t="shared" si="3"/>
        <v>4200</v>
      </c>
      <c r="U30">
        <f t="shared" si="5"/>
        <v>7</v>
      </c>
      <c r="V30">
        <f t="shared" si="6"/>
        <v>4</v>
      </c>
      <c r="W30">
        <f ca="1" t="shared" si="4"/>
        <v>0</v>
      </c>
    </row>
    <row r="31" spans="7:23">
      <c r="G31">
        <v>0</v>
      </c>
      <c r="H31">
        <v>0.05</v>
      </c>
      <c r="I31">
        <v>0.5</v>
      </c>
      <c r="J31">
        <v>0.45</v>
      </c>
      <c r="L31">
        <f t="shared" si="0"/>
        <v>0</v>
      </c>
      <c r="Q31">
        <f t="shared" si="1"/>
        <v>500</v>
      </c>
      <c r="R31">
        <f t="shared" si="2"/>
        <v>5000</v>
      </c>
      <c r="S31">
        <f t="shared" si="3"/>
        <v>4500</v>
      </c>
      <c r="U31">
        <f t="shared" si="5"/>
        <v>8</v>
      </c>
      <c r="V31">
        <f t="shared" si="6"/>
        <v>1</v>
      </c>
      <c r="W31">
        <f ca="1" t="shared" si="4"/>
        <v>0</v>
      </c>
    </row>
    <row r="32" spans="7:23">
      <c r="G32">
        <v>0</v>
      </c>
      <c r="H32">
        <v>0</v>
      </c>
      <c r="I32">
        <v>0.52</v>
      </c>
      <c r="J32">
        <v>0.48</v>
      </c>
      <c r="L32">
        <f t="shared" si="0"/>
        <v>0</v>
      </c>
      <c r="Q32">
        <f t="shared" si="1"/>
        <v>0</v>
      </c>
      <c r="R32">
        <f t="shared" si="2"/>
        <v>5200</v>
      </c>
      <c r="S32">
        <f t="shared" si="3"/>
        <v>4800</v>
      </c>
      <c r="U32">
        <f t="shared" si="5"/>
        <v>8</v>
      </c>
      <c r="V32">
        <f t="shared" si="6"/>
        <v>2</v>
      </c>
      <c r="W32">
        <f ca="1" t="shared" si="4"/>
        <v>0</v>
      </c>
    </row>
    <row r="33" spans="2:23">
      <c r="G33">
        <v>0</v>
      </c>
      <c r="H33">
        <v>0</v>
      </c>
      <c r="I33">
        <v>0.49</v>
      </c>
      <c r="J33">
        <v>0.51</v>
      </c>
      <c r="L33">
        <f t="shared" si="0"/>
        <v>0</v>
      </c>
      <c r="Q33">
        <f t="shared" si="1"/>
        <v>0</v>
      </c>
      <c r="R33">
        <f t="shared" si="2"/>
        <v>4900</v>
      </c>
      <c r="S33">
        <f t="shared" si="3"/>
        <v>5100</v>
      </c>
      <c r="U33">
        <f t="shared" si="5"/>
        <v>8</v>
      </c>
      <c r="V33">
        <f t="shared" si="6"/>
        <v>3</v>
      </c>
      <c r="W33">
        <f ca="1" t="shared" si="4"/>
        <v>0</v>
      </c>
    </row>
    <row r="34" spans="2:23">
      <c r="G34">
        <v>0</v>
      </c>
      <c r="H34">
        <v>0</v>
      </c>
      <c r="I34">
        <v>0.46</v>
      </c>
      <c r="J34">
        <v>0.54</v>
      </c>
      <c r="L34">
        <f t="shared" si="0"/>
        <v>0</v>
      </c>
      <c r="Q34">
        <f t="shared" si="1"/>
        <v>0</v>
      </c>
      <c r="R34">
        <f t="shared" si="2"/>
        <v>4600</v>
      </c>
      <c r="S34">
        <f t="shared" si="3"/>
        <v>5400</v>
      </c>
      <c r="U34">
        <f t="shared" si="5"/>
        <v>8</v>
      </c>
      <c r="V34">
        <f t="shared" si="6"/>
        <v>4</v>
      </c>
      <c r="W34">
        <f ca="1" t="shared" si="4"/>
        <v>0</v>
      </c>
    </row>
    <row r="35" spans="2:23">
      <c r="G35">
        <v>0</v>
      </c>
      <c r="H35">
        <v>0</v>
      </c>
      <c r="I35">
        <v>0.43</v>
      </c>
      <c r="J35">
        <v>0.57</v>
      </c>
      <c r="L35">
        <f t="shared" si="0"/>
        <v>0</v>
      </c>
      <c r="Q35">
        <f t="shared" si="1"/>
        <v>0</v>
      </c>
      <c r="R35">
        <f t="shared" si="2"/>
        <v>4300</v>
      </c>
      <c r="S35">
        <f t="shared" si="3"/>
        <v>5700</v>
      </c>
      <c r="U35">
        <f t="shared" si="5"/>
        <v>9</v>
      </c>
      <c r="V35">
        <f t="shared" si="6"/>
        <v>1</v>
      </c>
      <c r="W35">
        <f ca="1" t="shared" si="4"/>
        <v>0</v>
      </c>
    </row>
    <row r="36" spans="2:23">
      <c r="G36">
        <v>0</v>
      </c>
      <c r="H36">
        <v>0</v>
      </c>
      <c r="I36">
        <v>0.4</v>
      </c>
      <c r="J36">
        <v>0.6</v>
      </c>
      <c r="L36">
        <f t="shared" si="0"/>
        <v>0</v>
      </c>
      <c r="Q36">
        <f t="shared" si="1"/>
        <v>0</v>
      </c>
      <c r="R36">
        <f t="shared" si="2"/>
        <v>4000</v>
      </c>
      <c r="S36">
        <f t="shared" si="3"/>
        <v>6000</v>
      </c>
      <c r="U36">
        <f t="shared" si="5"/>
        <v>9</v>
      </c>
      <c r="V36">
        <f t="shared" si="6"/>
        <v>2</v>
      </c>
      <c r="W36">
        <f ca="1" t="shared" ref="W36:W67" si="7">OFFSET($L$1,U36,V36-1)</f>
        <v>0</v>
      </c>
    </row>
    <row r="37" spans="2:23">
      <c r="G37">
        <v>0</v>
      </c>
      <c r="H37">
        <v>0</v>
      </c>
      <c r="I37">
        <v>0.37</v>
      </c>
      <c r="J37">
        <v>0.63</v>
      </c>
      <c r="L37">
        <f t="shared" si="0"/>
        <v>0</v>
      </c>
      <c r="Q37">
        <f t="shared" si="1"/>
        <v>0</v>
      </c>
      <c r="R37">
        <f t="shared" si="2"/>
        <v>3700</v>
      </c>
      <c r="S37">
        <f t="shared" si="3"/>
        <v>6300</v>
      </c>
      <c r="U37">
        <f t="shared" si="5"/>
        <v>9</v>
      </c>
      <c r="V37">
        <f t="shared" si="6"/>
        <v>3</v>
      </c>
      <c r="W37">
        <f ca="1" t="shared" si="7"/>
        <v>0</v>
      </c>
    </row>
    <row r="38" spans="2:23">
      <c r="G38">
        <v>0</v>
      </c>
      <c r="H38">
        <v>0</v>
      </c>
      <c r="I38">
        <v>0.34</v>
      </c>
      <c r="J38">
        <v>0.66</v>
      </c>
      <c r="L38">
        <f t="shared" si="0"/>
        <v>0</v>
      </c>
      <c r="Q38">
        <f t="shared" si="1"/>
        <v>0</v>
      </c>
      <c r="R38">
        <f t="shared" si="2"/>
        <v>3400</v>
      </c>
      <c r="S38">
        <f t="shared" si="3"/>
        <v>6600</v>
      </c>
      <c r="U38">
        <f t="shared" si="5"/>
        <v>9</v>
      </c>
      <c r="V38">
        <f t="shared" si="6"/>
        <v>4</v>
      </c>
      <c r="W38">
        <f ca="1" t="shared" si="7"/>
        <v>0</v>
      </c>
    </row>
    <row r="39" spans="2:23">
      <c r="G39">
        <v>0</v>
      </c>
      <c r="H39">
        <v>0</v>
      </c>
      <c r="I39">
        <v>0.31</v>
      </c>
      <c r="J39">
        <v>0.69</v>
      </c>
      <c r="L39">
        <f t="shared" si="0"/>
        <v>0</v>
      </c>
      <c r="Q39">
        <f t="shared" si="1"/>
        <v>0</v>
      </c>
      <c r="R39">
        <f t="shared" si="2"/>
        <v>3100</v>
      </c>
      <c r="S39">
        <f t="shared" si="3"/>
        <v>6900</v>
      </c>
      <c r="U39">
        <f t="shared" si="5"/>
        <v>10</v>
      </c>
      <c r="V39">
        <f t="shared" si="6"/>
        <v>1</v>
      </c>
      <c r="W39">
        <f ca="1" t="shared" si="7"/>
        <v>0</v>
      </c>
    </row>
    <row r="40" spans="2:23">
      <c r="G40">
        <v>0</v>
      </c>
      <c r="H40">
        <v>0</v>
      </c>
      <c r="I40">
        <v>0.28</v>
      </c>
      <c r="J40">
        <v>0.72</v>
      </c>
      <c r="L40">
        <f t="shared" si="0"/>
        <v>0</v>
      </c>
      <c r="Q40">
        <f t="shared" si="1"/>
        <v>0</v>
      </c>
      <c r="R40">
        <f t="shared" si="2"/>
        <v>2800</v>
      </c>
      <c r="S40">
        <f t="shared" si="3"/>
        <v>7200</v>
      </c>
      <c r="U40">
        <f t="shared" si="5"/>
        <v>10</v>
      </c>
      <c r="V40">
        <f t="shared" si="6"/>
        <v>2</v>
      </c>
      <c r="W40">
        <f ca="1" t="shared" si="7"/>
        <v>0</v>
      </c>
    </row>
    <row r="41" spans="2:23">
      <c r="G41">
        <v>0</v>
      </c>
      <c r="H41">
        <v>0</v>
      </c>
      <c r="I41">
        <v>0.25</v>
      </c>
      <c r="J41">
        <v>0.75</v>
      </c>
      <c r="L41">
        <f t="shared" si="0"/>
        <v>0</v>
      </c>
      <c r="Q41">
        <f t="shared" si="1"/>
        <v>0</v>
      </c>
      <c r="R41">
        <f t="shared" si="2"/>
        <v>2500</v>
      </c>
      <c r="S41">
        <f t="shared" si="3"/>
        <v>7500</v>
      </c>
      <c r="U41">
        <f t="shared" si="5"/>
        <v>10</v>
      </c>
      <c r="V41">
        <f t="shared" si="6"/>
        <v>3</v>
      </c>
      <c r="W41">
        <f ca="1" t="shared" si="7"/>
        <v>0</v>
      </c>
    </row>
    <row r="42" spans="2:23">
      <c r="U42">
        <f t="shared" si="5"/>
        <v>10</v>
      </c>
      <c r="V42">
        <f t="shared" si="6"/>
        <v>4</v>
      </c>
      <c r="W42">
        <f ca="1" t="shared" si="7"/>
        <v>0</v>
      </c>
    </row>
    <row r="43" spans="2:23">
      <c r="U43">
        <f t="shared" si="5"/>
        <v>11</v>
      </c>
      <c r="V43">
        <f t="shared" si="6"/>
        <v>1</v>
      </c>
      <c r="W43">
        <f ca="1" t="shared" si="7"/>
        <v>0</v>
      </c>
    </row>
    <row r="44" spans="2:23">
      <c r="U44">
        <f t="shared" si="5"/>
        <v>11</v>
      </c>
      <c r="V44">
        <f t="shared" si="6"/>
        <v>2</v>
      </c>
      <c r="W44">
        <f ca="1" t="shared" si="7"/>
        <v>0</v>
      </c>
    </row>
    <row r="45" spans="2:23">
      <c r="U45">
        <f t="shared" si="5"/>
        <v>11</v>
      </c>
      <c r="V45">
        <f t="shared" si="6"/>
        <v>3</v>
      </c>
      <c r="W45">
        <f ca="1" t="shared" si="7"/>
        <v>0</v>
      </c>
    </row>
    <row r="46" ht="16.5" spans="2:23">
      <c r="E46" s="1">
        <f>_xlfn.XLOOKUP(E47,价值表!$F:$F,价值表!$E:$E)</f>
        <v>62</v>
      </c>
      <c r="F46" s="1">
        <f>_xlfn.XLOOKUP(F47,价值表!$F:$F,价值表!$E:$E)</f>
        <v>63</v>
      </c>
      <c r="G46" s="1">
        <f>_xlfn.XLOOKUP(G47,价值表!$F:$F,价值表!$E:$E)</f>
        <v>2</v>
      </c>
      <c r="H46" s="1">
        <f>_xlfn.XLOOKUP(H47,价值表!$F:$F,价值表!$E:$E)</f>
        <v>6030001</v>
      </c>
      <c r="I46" s="1">
        <f>_xlfn.XLOOKUP(I47,价值表!$F:$F,价值表!$E:$E)</f>
        <v>6030002</v>
      </c>
      <c r="J46" s="1">
        <f>_xlfn.XLOOKUP(J47,价值表!$F:$F,价值表!$E:$E)</f>
        <v>6030003</v>
      </c>
      <c r="K46" s="1">
        <f>_xlfn.XLOOKUP(K47,价值表!$F:$F,价值表!$E:$E)</f>
        <v>6030004</v>
      </c>
      <c r="U46">
        <f t="shared" si="5"/>
        <v>11</v>
      </c>
      <c r="V46">
        <f t="shared" si="6"/>
        <v>4</v>
      </c>
      <c r="W46">
        <f ca="1" t="shared" si="7"/>
        <v>0</v>
      </c>
    </row>
    <row r="47" ht="16.5" spans="2:23">
      <c r="E47" s="2" t="s">
        <v>178</v>
      </c>
      <c r="F47" s="3" t="s">
        <v>32</v>
      </c>
      <c r="G47" s="2" t="s">
        <v>33</v>
      </c>
      <c r="H47" s="2" t="s">
        <v>34</v>
      </c>
      <c r="I47" s="2" t="s">
        <v>35</v>
      </c>
      <c r="J47" s="2" t="s">
        <v>36</v>
      </c>
      <c r="K47" s="2" t="s">
        <v>37</v>
      </c>
      <c r="U47">
        <f t="shared" si="5"/>
        <v>12</v>
      </c>
      <c r="V47">
        <f t="shared" si="6"/>
        <v>1</v>
      </c>
      <c r="W47">
        <f ca="1" t="shared" si="7"/>
        <v>0</v>
      </c>
    </row>
    <row r="48" ht="16.5" spans="2:23">
      <c r="B48">
        <v>1</v>
      </c>
      <c r="C48" s="4">
        <v>82</v>
      </c>
      <c r="D48">
        <f>MATCH(C48,载具预期!$J$36:$J$306,1)</f>
        <v>7</v>
      </c>
      <c r="E48">
        <f ca="1">OFFSET(载具预期!K$35,$D48,0)</f>
        <v>47</v>
      </c>
      <c r="F48">
        <f ca="1">OFFSET(载具预期!L$35,$D48,0)</f>
        <v>3960</v>
      </c>
      <c r="G48">
        <f ca="1">OFFSET(载具预期!M$35,$D48,0)</f>
        <v>8600</v>
      </c>
      <c r="H48">
        <f ca="1">OFFSET(载具预期!N$35,$D48,0)</f>
        <v>153.6</v>
      </c>
      <c r="I48">
        <f ca="1">OFFSET(载具预期!O$35,$D48,0)</f>
        <v>148.04</v>
      </c>
      <c r="J48">
        <f ca="1">OFFSET(载具预期!P$35,$D48,0)</f>
        <v>3.36</v>
      </c>
      <c r="K48">
        <f ca="1">OFFSET(载具预期!Q$35,$D48,0)</f>
        <v>0</v>
      </c>
      <c r="L48" t="str">
        <f ca="1">"["&amp;_xlfn.TEXTJOIN(",",1,M48:S48)&amp;"]"</f>
        <v>[{62,47},{63,3960},{2,8600},{6030001,153},{6030002,148},{6030003,3}]</v>
      </c>
      <c r="M48" t="str">
        <f ca="1" t="shared" ref="M48:S48" si="8">IF(INT(E48)&lt;=0,"","{"&amp;E$46&amp;","&amp;INT(E48)&amp;"}")</f>
        <v>{62,47}</v>
      </c>
      <c r="N48" t="str">
        <f ca="1" t="shared" si="8"/>
        <v>{63,3960}</v>
      </c>
      <c r="O48" t="str">
        <f ca="1" t="shared" si="8"/>
        <v>{2,8600}</v>
      </c>
      <c r="P48" t="str">
        <f ca="1" t="shared" si="8"/>
        <v>{6030001,153}</v>
      </c>
      <c r="Q48" t="str">
        <f ca="1" t="shared" si="8"/>
        <v>{6030002,148}</v>
      </c>
      <c r="R48" t="str">
        <f ca="1" t="shared" si="8"/>
        <v>{6030003,3}</v>
      </c>
      <c r="S48" t="str">
        <f ca="1" t="shared" si="8"/>
        <v/>
      </c>
      <c r="U48">
        <f t="shared" ref="U48:U72" si="9">U44+1</f>
        <v>12</v>
      </c>
      <c r="V48">
        <f t="shared" ref="V48:V72" si="10">V44</f>
        <v>2</v>
      </c>
      <c r="W48">
        <f ca="1" t="shared" si="7"/>
        <v>0</v>
      </c>
    </row>
    <row r="49" ht="16.5" spans="2:23">
      <c r="B49">
        <v>2</v>
      </c>
      <c r="C49" s="4">
        <v>92</v>
      </c>
      <c r="D49">
        <f>MATCH(C49,载具预期!$J$36:$J$306,1)</f>
        <v>11</v>
      </c>
      <c r="E49">
        <f ca="1">OFFSET(载具预期!K$35,$D49,0)-OFFSET(载具预期!K$35,$D48,0)</f>
        <v>27</v>
      </c>
      <c r="F49">
        <f ca="1">OFFSET(载具预期!L$35,$D49,0)-OFFSET(载具预期!L$35,$D48,0)</f>
        <v>2390</v>
      </c>
      <c r="G49">
        <f ca="1">OFFSET(载具预期!M$35,$D49,0)-OFFSET(载具预期!M$35,$D48,0)</f>
        <v>5400</v>
      </c>
      <c r="H49">
        <f ca="1">OFFSET(载具预期!N$35,$D49,0)-OFFSET(载具预期!N$35,$D48,0)</f>
        <v>92.2</v>
      </c>
      <c r="I49">
        <f ca="1">OFFSET(载具预期!O$35,$D49,0)-OFFSET(载具预期!O$35,$D48,0)</f>
        <v>86.92</v>
      </c>
      <c r="J49">
        <f ca="1">OFFSET(载具预期!P$35,$D49,0)-OFFSET(载具预期!P$35,$D48,0)</f>
        <v>2.88</v>
      </c>
      <c r="K49">
        <f ca="1">OFFSET(载具预期!Q$35,$D49,0)-OFFSET(载具预期!Q$35,$D48,0)</f>
        <v>0</v>
      </c>
      <c r="L49" t="str">
        <f ca="1" t="shared" ref="L49:L87" si="11">"["&amp;_xlfn.TEXTJOIN(",",1,M49:S49)&amp;"]"</f>
        <v>[{62,27},{63,2390},{2,5400},{6030001,92},{6030002,86},{6030003,2}]</v>
      </c>
      <c r="M49" t="str">
        <f ca="1" t="shared" ref="M49:M87" si="12">IF(INT(E49)&lt;=0,"","{"&amp;E$46&amp;","&amp;INT(E49)&amp;"}")</f>
        <v>{62,27}</v>
      </c>
      <c r="N49" t="str">
        <f ca="1" t="shared" ref="N49:N87" si="13">IF(INT(F49)&lt;=0,"","{"&amp;F$46&amp;","&amp;INT(F49)&amp;"}")</f>
        <v>{63,2390}</v>
      </c>
      <c r="O49" t="str">
        <f ca="1" t="shared" ref="O49:O87" si="14">IF(INT(G49)&lt;=0,"","{"&amp;G$46&amp;","&amp;INT(G49)&amp;"}")</f>
        <v>{2,5400}</v>
      </c>
      <c r="P49" t="str">
        <f ca="1" t="shared" ref="P49:P87" si="15">IF(INT(H49)&lt;=0,"","{"&amp;H$46&amp;","&amp;INT(H49)&amp;"}")</f>
        <v>{6030001,92}</v>
      </c>
      <c r="Q49" t="str">
        <f ca="1" t="shared" ref="Q49:Q87" si="16">IF(INT(I49)&lt;=0,"","{"&amp;I$46&amp;","&amp;INT(I49)&amp;"}")</f>
        <v>{6030002,86}</v>
      </c>
      <c r="R49" t="str">
        <f ca="1" t="shared" ref="R49:R87" si="17">IF(INT(J49)&lt;=0,"","{"&amp;J$46&amp;","&amp;INT(J49)&amp;"}")</f>
        <v>{6030003,2}</v>
      </c>
      <c r="S49" t="str">
        <f ca="1" t="shared" ref="S49:S87" si="18">IF(INT(K49)&lt;=0,"","{"&amp;K$46&amp;","&amp;INT(K49)&amp;"}")</f>
        <v/>
      </c>
      <c r="U49">
        <f t="shared" si="9"/>
        <v>12</v>
      </c>
      <c r="V49">
        <f t="shared" si="10"/>
        <v>3</v>
      </c>
      <c r="W49">
        <f ca="1" t="shared" si="7"/>
        <v>0</v>
      </c>
    </row>
    <row r="50" ht="16.5" spans="2:23">
      <c r="B50">
        <v>3</v>
      </c>
      <c r="C50" s="4">
        <v>102</v>
      </c>
      <c r="D50">
        <f>MATCH(C50,载具预期!$J$36:$J$306,1)</f>
        <v>13</v>
      </c>
      <c r="E50">
        <f ca="1">OFFSET(载具预期!K$35,$D50,0)-OFFSET(载具预期!K$35,$D49,0)</f>
        <v>14</v>
      </c>
      <c r="F50">
        <f ca="1">OFFSET(载具预期!L$35,$D50,0)-OFFSET(载具预期!L$35,$D49,0)</f>
        <v>1580</v>
      </c>
      <c r="G50">
        <f ca="1">OFFSET(载具预期!M$35,$D50,0)-OFFSET(载具预期!M$35,$D49,0)</f>
        <v>5000</v>
      </c>
      <c r="H50">
        <f ca="1">OFFSET(载具预期!N$35,$D50,0)-OFFSET(载具预期!N$35,$D49,0)</f>
        <v>52</v>
      </c>
      <c r="I50">
        <f ca="1">OFFSET(载具预期!O$35,$D50,0)-OFFSET(载具预期!O$35,$D49,0)</f>
        <v>50.0800000000001</v>
      </c>
      <c r="J50">
        <f ca="1">OFFSET(载具预期!P$35,$D50,0)-OFFSET(载具预期!P$35,$D49,0)</f>
        <v>1.92</v>
      </c>
      <c r="K50">
        <f ca="1">OFFSET(载具预期!Q$35,$D50,0)-OFFSET(载具预期!Q$35,$D49,0)</f>
        <v>0</v>
      </c>
      <c r="L50" t="str">
        <f ca="1" t="shared" si="11"/>
        <v>[{62,14},{63,1580},{2,5000},{6030001,52},{6030002,50},{6030003,1}]</v>
      </c>
      <c r="M50" t="str">
        <f ca="1" t="shared" si="12"/>
        <v>{62,14}</v>
      </c>
      <c r="N50" t="str">
        <f ca="1" t="shared" si="13"/>
        <v>{63,1580}</v>
      </c>
      <c r="O50" t="str">
        <f ca="1" t="shared" si="14"/>
        <v>{2,5000}</v>
      </c>
      <c r="P50" t="str">
        <f ca="1" t="shared" si="15"/>
        <v>{6030001,52}</v>
      </c>
      <c r="Q50" t="str">
        <f ca="1" t="shared" si="16"/>
        <v>{6030002,50}</v>
      </c>
      <c r="R50" t="str">
        <f ca="1" t="shared" si="17"/>
        <v>{6030003,1}</v>
      </c>
      <c r="S50" t="str">
        <f ca="1" t="shared" si="18"/>
        <v/>
      </c>
      <c r="U50">
        <f t="shared" si="9"/>
        <v>12</v>
      </c>
      <c r="V50">
        <f t="shared" si="10"/>
        <v>4</v>
      </c>
      <c r="W50">
        <f ca="1" t="shared" si="7"/>
        <v>0</v>
      </c>
    </row>
    <row r="51" ht="16.5" spans="2:23">
      <c r="B51">
        <v>4</v>
      </c>
      <c r="C51" s="4">
        <v>112</v>
      </c>
      <c r="D51">
        <f>MATCH(C51,载具预期!$J$36:$J$306,1)</f>
        <v>18</v>
      </c>
      <c r="E51">
        <f ca="1">OFFSET(载具预期!K$35,$D51,0)-OFFSET(载具预期!K$35,$D50,0)</f>
        <v>34</v>
      </c>
      <c r="F51">
        <f ca="1">OFFSET(载具预期!L$35,$D51,0)-OFFSET(载具预期!L$35,$D50,0)</f>
        <v>3220</v>
      </c>
      <c r="G51">
        <f ca="1">OFFSET(载具预期!M$35,$D51,0)-OFFSET(载具预期!M$35,$D50,0)</f>
        <v>7900</v>
      </c>
      <c r="H51">
        <f ca="1">OFFSET(载具预期!N$35,$D51,0)-OFFSET(载具预期!N$35,$D50,0)</f>
        <v>116.6</v>
      </c>
      <c r="I51">
        <f ca="1">OFFSET(载具预期!O$35,$D51,0)-OFFSET(载具预期!O$35,$D50,0)</f>
        <v>115.6</v>
      </c>
      <c r="J51">
        <f ca="1">OFFSET(载具预期!P$35,$D51,0)-OFFSET(载具预期!P$35,$D50,0)</f>
        <v>4.8</v>
      </c>
      <c r="K51">
        <f ca="1">OFFSET(载具预期!Q$35,$D51,0)-OFFSET(载具预期!Q$35,$D50,0)</f>
        <v>0</v>
      </c>
      <c r="L51" t="str">
        <f ca="1" t="shared" si="11"/>
        <v>[{62,34},{63,3220},{2,7900},{6030001,116},{6030002,115},{6030003,4}]</v>
      </c>
      <c r="M51" t="str">
        <f ca="1" t="shared" si="12"/>
        <v>{62,34}</v>
      </c>
      <c r="N51" t="str">
        <f ca="1" t="shared" si="13"/>
        <v>{63,3220}</v>
      </c>
      <c r="O51" t="str">
        <f ca="1" t="shared" si="14"/>
        <v>{2,7900}</v>
      </c>
      <c r="P51" t="str">
        <f ca="1" t="shared" si="15"/>
        <v>{6030001,116}</v>
      </c>
      <c r="Q51" t="str">
        <f ca="1" t="shared" si="16"/>
        <v>{6030002,115}</v>
      </c>
      <c r="R51" t="str">
        <f ca="1" t="shared" si="17"/>
        <v>{6030003,4}</v>
      </c>
      <c r="S51" t="str">
        <f ca="1" t="shared" si="18"/>
        <v/>
      </c>
      <c r="U51">
        <f t="shared" si="9"/>
        <v>13</v>
      </c>
      <c r="V51">
        <f t="shared" si="10"/>
        <v>1</v>
      </c>
      <c r="W51">
        <f ca="1" t="shared" si="7"/>
        <v>0</v>
      </c>
    </row>
    <row r="52" ht="16.5" spans="2:23">
      <c r="B52">
        <v>5</v>
      </c>
      <c r="C52" s="4">
        <v>122</v>
      </c>
      <c r="D52">
        <f>MATCH(C52,载具预期!$J$36:$J$306,1)</f>
        <v>21</v>
      </c>
      <c r="E52">
        <f ca="1">OFFSET(载具预期!K$35,$D52,0)-OFFSET(载具预期!K$35,$D51,0)</f>
        <v>20</v>
      </c>
      <c r="F52">
        <f ca="1">OFFSET(载具预期!L$35,$D52,0)-OFFSET(载具预期!L$35,$D51,0)</f>
        <v>1670</v>
      </c>
      <c r="G52">
        <f ca="1">OFFSET(载具预期!M$35,$D52,0)-OFFSET(载具预期!M$35,$D51,0)</f>
        <v>2900</v>
      </c>
      <c r="H52">
        <f ca="1">OFFSET(载具预期!N$35,$D52,0)-OFFSET(载具预期!N$35,$D51,0)</f>
        <v>68.2</v>
      </c>
      <c r="I52">
        <f ca="1">OFFSET(载具预期!O$35,$D52,0)-OFFSET(载具预期!O$35,$D51,0)</f>
        <v>63.2</v>
      </c>
      <c r="J52">
        <f ca="1">OFFSET(载具预期!P$35,$D52,0)-OFFSET(载具预期!P$35,$D51,0)</f>
        <v>3.6</v>
      </c>
      <c r="K52">
        <f ca="1">OFFSET(载具预期!Q$35,$D52,0)-OFFSET(载具预期!Q$35,$D51,0)</f>
        <v>0</v>
      </c>
      <c r="L52" t="str">
        <f ca="1" t="shared" si="11"/>
        <v>[{62,20},{63,1670},{2,2900},{6030001,68},{6030002,63},{6030003,3}]</v>
      </c>
      <c r="M52" t="str">
        <f ca="1" t="shared" si="12"/>
        <v>{62,20}</v>
      </c>
      <c r="N52" t="str">
        <f ca="1" t="shared" si="13"/>
        <v>{63,1670}</v>
      </c>
      <c r="O52" t="str">
        <f ca="1" t="shared" si="14"/>
        <v>{2,2900}</v>
      </c>
      <c r="P52" t="str">
        <f ca="1" t="shared" si="15"/>
        <v>{6030001,68}</v>
      </c>
      <c r="Q52" t="str">
        <f ca="1" t="shared" si="16"/>
        <v>{6030002,63}</v>
      </c>
      <c r="R52" t="str">
        <f ca="1" t="shared" si="17"/>
        <v>{6030003,3}</v>
      </c>
      <c r="S52" t="str">
        <f ca="1" t="shared" si="18"/>
        <v/>
      </c>
      <c r="U52">
        <f t="shared" si="9"/>
        <v>13</v>
      </c>
      <c r="V52">
        <f t="shared" si="10"/>
        <v>2</v>
      </c>
      <c r="W52">
        <f ca="1" t="shared" si="7"/>
        <v>0</v>
      </c>
    </row>
    <row r="53" ht="16.5" spans="2:23">
      <c r="B53">
        <v>6</v>
      </c>
      <c r="C53" s="4">
        <v>132</v>
      </c>
      <c r="D53">
        <f>MATCH(C53,载具预期!$J$36:$J$306,1)</f>
        <v>25</v>
      </c>
      <c r="E53">
        <f ca="1">OFFSET(载具预期!K$35,$D53,0)-OFFSET(载具预期!K$35,$D52,0)</f>
        <v>28</v>
      </c>
      <c r="F53">
        <f ca="1">OFFSET(载具预期!L$35,$D53,0)-OFFSET(载具预期!L$35,$D52,0)</f>
        <v>3260</v>
      </c>
      <c r="G53">
        <f ca="1">OFFSET(载具预期!M$35,$D53,0)-OFFSET(载具预期!M$35,$D52,0)</f>
        <v>10400</v>
      </c>
      <c r="H53">
        <f ca="1">OFFSET(载具预期!N$35,$D53,0)-OFFSET(载具预期!N$35,$D52,0)</f>
        <v>112</v>
      </c>
      <c r="I53">
        <f ca="1">OFFSET(载具预期!O$35,$D53,0)-OFFSET(载具预期!O$35,$D52,0)</f>
        <v>98.2399999999997</v>
      </c>
      <c r="J53">
        <f ca="1">OFFSET(载具预期!P$35,$D53,0)-OFFSET(载具预期!P$35,$D52,0)</f>
        <v>5.76000000000001</v>
      </c>
      <c r="K53">
        <f ca="1">OFFSET(载具预期!Q$35,$D53,0)-OFFSET(载具预期!Q$35,$D52,0)</f>
        <v>0</v>
      </c>
      <c r="L53" t="str">
        <f ca="1" t="shared" si="11"/>
        <v>[{62,28},{63,3260},{2,10400},{6030001,112},{6030002,98},{6030003,5}]</v>
      </c>
      <c r="M53" t="str">
        <f ca="1" t="shared" si="12"/>
        <v>{62,28}</v>
      </c>
      <c r="N53" t="str">
        <f ca="1" t="shared" si="13"/>
        <v>{63,3260}</v>
      </c>
      <c r="O53" t="str">
        <f ca="1" t="shared" si="14"/>
        <v>{2,10400}</v>
      </c>
      <c r="P53" t="str">
        <f ca="1" t="shared" si="15"/>
        <v>{6030001,112}</v>
      </c>
      <c r="Q53" t="str">
        <f ca="1" t="shared" si="16"/>
        <v>{6030002,98}</v>
      </c>
      <c r="R53" t="str">
        <f ca="1" t="shared" si="17"/>
        <v>{6030003,5}</v>
      </c>
      <c r="S53" t="str">
        <f ca="1" t="shared" si="18"/>
        <v/>
      </c>
      <c r="U53">
        <f t="shared" si="9"/>
        <v>13</v>
      </c>
      <c r="V53">
        <f t="shared" si="10"/>
        <v>3</v>
      </c>
      <c r="W53">
        <f ca="1" t="shared" si="7"/>
        <v>0</v>
      </c>
    </row>
    <row r="54" ht="16.5" spans="2:23">
      <c r="B54">
        <v>7</v>
      </c>
      <c r="C54" s="4">
        <v>142</v>
      </c>
      <c r="D54">
        <f>MATCH(C54,载具预期!$J$36:$J$306,1)</f>
        <v>30</v>
      </c>
      <c r="E54">
        <f ca="1">OFFSET(载具预期!K$35,$D54,0)-OFFSET(载具预期!K$35,$D53,0)</f>
        <v>33</v>
      </c>
      <c r="F54">
        <f ca="1">OFFSET(载具预期!L$35,$D54,0)-OFFSET(载具预期!L$35,$D53,0)</f>
        <v>2510</v>
      </c>
      <c r="G54">
        <f ca="1">OFFSET(载具预期!M$35,$D54,0)-OFFSET(载具预期!M$35,$D53,0)</f>
        <v>2900</v>
      </c>
      <c r="H54">
        <f ca="1">OFFSET(载具预期!N$35,$D54,0)-OFFSET(载具预期!N$35,$D53,0)</f>
        <v>113</v>
      </c>
      <c r="I54">
        <f ca="1">OFFSET(载具预期!O$35,$D54,0)-OFFSET(载具预期!O$35,$D53,0)</f>
        <v>99.5199999999999</v>
      </c>
      <c r="J54">
        <f ca="1">OFFSET(载具预期!P$35,$D54,0)-OFFSET(载具预期!P$35,$D53,0)</f>
        <v>6.48</v>
      </c>
      <c r="K54">
        <f ca="1">OFFSET(载具预期!Q$35,$D54,0)-OFFSET(载具预期!Q$35,$D53,0)</f>
        <v>0</v>
      </c>
      <c r="L54" t="str">
        <f ca="1" t="shared" si="11"/>
        <v>[{62,33},{63,2510},{2,2900},{6030001,113},{6030002,99},{6030003,6}]</v>
      </c>
      <c r="M54" t="str">
        <f ca="1" t="shared" si="12"/>
        <v>{62,33}</v>
      </c>
      <c r="N54" t="str">
        <f ca="1" t="shared" si="13"/>
        <v>{63,2510}</v>
      </c>
      <c r="O54" t="str">
        <f ca="1" t="shared" si="14"/>
        <v>{2,2900}</v>
      </c>
      <c r="P54" t="str">
        <f ca="1" t="shared" si="15"/>
        <v>{6030001,113}</v>
      </c>
      <c r="Q54" t="str">
        <f ca="1" t="shared" si="16"/>
        <v>{6030002,99}</v>
      </c>
      <c r="R54" t="str">
        <f ca="1" t="shared" si="17"/>
        <v>{6030003,6}</v>
      </c>
      <c r="S54" t="str">
        <f ca="1" t="shared" si="18"/>
        <v/>
      </c>
      <c r="U54">
        <f t="shared" si="9"/>
        <v>13</v>
      </c>
      <c r="V54">
        <f t="shared" si="10"/>
        <v>4</v>
      </c>
      <c r="W54">
        <f ca="1" t="shared" si="7"/>
        <v>0</v>
      </c>
    </row>
    <row r="55" ht="16.5" spans="2:23">
      <c r="B55">
        <v>8</v>
      </c>
      <c r="C55" s="4">
        <v>152</v>
      </c>
      <c r="D55">
        <f>MATCH(C55,载具预期!$J$36:$J$306,1)</f>
        <v>37</v>
      </c>
      <c r="E55">
        <f ca="1">OFFSET(载具预期!K$35,$D55,0)-OFFSET(载具预期!K$35,$D54,0)</f>
        <v>49</v>
      </c>
      <c r="F55">
        <f ca="1">OFFSET(载具预期!L$35,$D55,0)-OFFSET(载具预期!L$35,$D54,0)</f>
        <v>5985</v>
      </c>
      <c r="G55">
        <f ca="1">OFFSET(载具预期!M$35,$D55,0)-OFFSET(载具预期!M$35,$D54,0)</f>
        <v>18900</v>
      </c>
      <c r="H55">
        <f ca="1">OFFSET(载具预期!N$35,$D55,0)-OFFSET(载具预期!N$35,$D54,0)</f>
        <v>196</v>
      </c>
      <c r="I55">
        <f ca="1">OFFSET(载具预期!O$35,$D55,0)-OFFSET(载具预期!O$35,$D54,0)</f>
        <v>182.56</v>
      </c>
      <c r="J55">
        <f ca="1">OFFSET(载具预期!P$35,$D55,0)-OFFSET(载具预期!P$35,$D54,0)</f>
        <v>13.44</v>
      </c>
      <c r="K55">
        <f ca="1">OFFSET(载具预期!Q$35,$D55,0)-OFFSET(载具预期!Q$35,$D54,0)</f>
        <v>0</v>
      </c>
      <c r="L55" t="str">
        <f ca="1" t="shared" si="11"/>
        <v>[{62,49},{63,5985},{2,18900},{6030001,196},{6030002,182},{6030003,13}]</v>
      </c>
      <c r="M55" t="str">
        <f ca="1" t="shared" si="12"/>
        <v>{62,49}</v>
      </c>
      <c r="N55" t="str">
        <f ca="1" t="shared" si="13"/>
        <v>{63,5985}</v>
      </c>
      <c r="O55" t="str">
        <f ca="1" t="shared" si="14"/>
        <v>{2,18900}</v>
      </c>
      <c r="P55" t="str">
        <f ca="1" t="shared" si="15"/>
        <v>{6030001,196}</v>
      </c>
      <c r="Q55" t="str">
        <f ca="1" t="shared" si="16"/>
        <v>{6030002,182}</v>
      </c>
      <c r="R55" t="str">
        <f ca="1" t="shared" si="17"/>
        <v>{6030003,13}</v>
      </c>
      <c r="S55" t="str">
        <f ca="1" t="shared" si="18"/>
        <v/>
      </c>
      <c r="U55">
        <f t="shared" si="9"/>
        <v>14</v>
      </c>
      <c r="V55">
        <f t="shared" si="10"/>
        <v>1</v>
      </c>
      <c r="W55">
        <f ca="1" t="shared" si="7"/>
        <v>0</v>
      </c>
    </row>
    <row r="56" ht="16.5" spans="2:23">
      <c r="B56">
        <v>9</v>
      </c>
      <c r="C56" s="4">
        <v>162</v>
      </c>
      <c r="D56">
        <f>MATCH(C56,载具预期!$J$36:$J$306,1)</f>
        <v>45</v>
      </c>
      <c r="E56">
        <f ca="1">OFFSET(载具预期!K$35,$D56,0)-OFFSET(载具预期!K$35,$D55,0)</f>
        <v>55</v>
      </c>
      <c r="F56">
        <f ca="1">OFFSET(载具预期!L$35,$D56,0)-OFFSET(载具预期!L$35,$D55,0)</f>
        <v>6005</v>
      </c>
      <c r="G56">
        <f ca="1">OFFSET(载具预期!M$35,$D56,0)-OFFSET(载具预期!M$35,$D55,0)</f>
        <v>16300</v>
      </c>
      <c r="H56">
        <f ca="1">OFFSET(载具预期!N$35,$D56,0)-OFFSET(载具预期!N$35,$D55,0)</f>
        <v>212</v>
      </c>
      <c r="I56">
        <f ca="1">OFFSET(载具预期!O$35,$D56,0)-OFFSET(载具预期!O$35,$D55,0)</f>
        <v>195.12</v>
      </c>
      <c r="J56">
        <f ca="1">OFFSET(载具预期!P$35,$D56,0)-OFFSET(载具预期!P$35,$D55,0)</f>
        <v>14.88</v>
      </c>
      <c r="K56">
        <f ca="1">OFFSET(载具预期!Q$35,$D56,0)-OFFSET(载具预期!Q$35,$D55,0)</f>
        <v>0</v>
      </c>
      <c r="L56" t="str">
        <f ca="1" t="shared" si="11"/>
        <v>[{62,55},{63,6005},{2,16300},{6030001,212},{6030002,195},{6030003,14}]</v>
      </c>
      <c r="M56" t="str">
        <f ca="1" t="shared" si="12"/>
        <v>{62,55}</v>
      </c>
      <c r="N56" t="str">
        <f ca="1" t="shared" si="13"/>
        <v>{63,6005}</v>
      </c>
      <c r="O56" t="str">
        <f ca="1" t="shared" si="14"/>
        <v>{2,16300}</v>
      </c>
      <c r="P56" t="str">
        <f ca="1" t="shared" si="15"/>
        <v>{6030001,212}</v>
      </c>
      <c r="Q56" t="str">
        <f ca="1" t="shared" si="16"/>
        <v>{6030002,195}</v>
      </c>
      <c r="R56" t="str">
        <f ca="1" t="shared" si="17"/>
        <v>{6030003,14}</v>
      </c>
      <c r="S56" t="str">
        <f ca="1" t="shared" si="18"/>
        <v/>
      </c>
      <c r="U56">
        <f t="shared" si="9"/>
        <v>14</v>
      </c>
      <c r="V56">
        <f t="shared" si="10"/>
        <v>2</v>
      </c>
      <c r="W56">
        <f ca="1" t="shared" si="7"/>
        <v>0</v>
      </c>
    </row>
    <row r="57" ht="16.5" spans="2:23">
      <c r="B57">
        <v>10</v>
      </c>
      <c r="C57" s="4">
        <v>172</v>
      </c>
      <c r="D57">
        <f>MATCH(C57,载具预期!$J$36:$J$306,1)</f>
        <v>54</v>
      </c>
      <c r="E57">
        <f ca="1">OFFSET(载具预期!K$35,$D57,0)-OFFSET(载具预期!K$35,$D56,0)</f>
        <v>62</v>
      </c>
      <c r="F57">
        <f ca="1">OFFSET(载具预期!L$35,$D57,0)-OFFSET(载具预期!L$35,$D56,0)</f>
        <v>7000</v>
      </c>
      <c r="G57">
        <f ca="1">OFFSET(载具预期!M$35,$D57,0)-OFFSET(载具预期!M$35,$D56,0)</f>
        <v>19600</v>
      </c>
      <c r="H57">
        <f ca="1">OFFSET(载具预期!N$35,$D57,0)-OFFSET(载具预期!N$35,$D56,0)</f>
        <v>255</v>
      </c>
      <c r="I57">
        <f ca="1">OFFSET(载具预期!O$35,$D57,0)-OFFSET(载具预期!O$35,$D56,0)</f>
        <v>217.599999999999</v>
      </c>
      <c r="J57">
        <f ca="1">OFFSET(载具预期!P$35,$D57,0)-OFFSET(载具预期!P$35,$D56,0)</f>
        <v>20.4</v>
      </c>
      <c r="K57">
        <f ca="1">OFFSET(载具预期!Q$35,$D57,0)-OFFSET(载具预期!Q$35,$D56,0)</f>
        <v>0</v>
      </c>
      <c r="L57" t="str">
        <f ca="1" t="shared" si="11"/>
        <v>[{62,62},{63,7000},{2,19600},{6030001,255},{6030002,217},{6030003,20}]</v>
      </c>
      <c r="M57" t="str">
        <f ca="1" t="shared" si="12"/>
        <v>{62,62}</v>
      </c>
      <c r="N57" t="str">
        <f ca="1" t="shared" si="13"/>
        <v>{63,7000}</v>
      </c>
      <c r="O57" t="str">
        <f ca="1" t="shared" si="14"/>
        <v>{2,19600}</v>
      </c>
      <c r="P57" t="str">
        <f ca="1" t="shared" si="15"/>
        <v>{6030001,255}</v>
      </c>
      <c r="Q57" t="str">
        <f ca="1" t="shared" si="16"/>
        <v>{6030002,217}</v>
      </c>
      <c r="R57" t="str">
        <f ca="1" t="shared" si="17"/>
        <v>{6030003,20}</v>
      </c>
      <c r="S57" t="str">
        <f ca="1" t="shared" si="18"/>
        <v/>
      </c>
      <c r="U57">
        <f t="shared" si="9"/>
        <v>14</v>
      </c>
      <c r="V57">
        <f t="shared" si="10"/>
        <v>3</v>
      </c>
      <c r="W57">
        <f ca="1" t="shared" si="7"/>
        <v>0</v>
      </c>
    </row>
    <row r="58" ht="16.5" spans="2:23">
      <c r="B58">
        <v>11</v>
      </c>
      <c r="C58" s="4">
        <v>182</v>
      </c>
      <c r="D58">
        <f>MATCH(C58,载具预期!$J$36:$J$306,1)</f>
        <v>61</v>
      </c>
      <c r="E58">
        <f ca="1">OFFSET(载具预期!K$35,$D58,0)-OFFSET(载具预期!K$35,$D57,0)</f>
        <v>48</v>
      </c>
      <c r="F58">
        <f ca="1">OFFSET(载具预期!L$35,$D58,0)-OFFSET(载具预期!L$35,$D57,0)</f>
        <v>5210</v>
      </c>
      <c r="G58">
        <f ca="1">OFFSET(载具预期!M$35,$D58,0)-OFFSET(载具预期!M$35,$D57,0)</f>
        <v>13800</v>
      </c>
      <c r="H58">
        <f ca="1">OFFSET(载具预期!N$35,$D58,0)-OFFSET(载具预期!N$35,$D57,0)</f>
        <v>201</v>
      </c>
      <c r="I58">
        <f ca="1">OFFSET(载具预期!O$35,$D58,0)-OFFSET(载具预期!O$35,$D57,0)</f>
        <v>164.639999999999</v>
      </c>
      <c r="J58">
        <f ca="1">OFFSET(载具预期!P$35,$D58,0)-OFFSET(载具预期!P$35,$D57,0)</f>
        <v>15.36</v>
      </c>
      <c r="K58">
        <f ca="1">OFFSET(载具预期!Q$35,$D58,0)-OFFSET(载具预期!Q$35,$D57,0)</f>
        <v>0</v>
      </c>
      <c r="L58" t="str">
        <f ca="1" t="shared" si="11"/>
        <v>[{62,48},{63,5210},{2,13800},{6030001,201},{6030002,164},{6030003,15}]</v>
      </c>
      <c r="M58" t="str">
        <f ca="1" t="shared" si="12"/>
        <v>{62,48}</v>
      </c>
      <c r="N58" t="str">
        <f ca="1" t="shared" si="13"/>
        <v>{63,5210}</v>
      </c>
      <c r="O58" t="str">
        <f ca="1" t="shared" si="14"/>
        <v>{2,13800}</v>
      </c>
      <c r="P58" t="str">
        <f ca="1" t="shared" si="15"/>
        <v>{6030001,201}</v>
      </c>
      <c r="Q58" t="str">
        <f ca="1" t="shared" si="16"/>
        <v>{6030002,164}</v>
      </c>
      <c r="R58" t="str">
        <f ca="1" t="shared" si="17"/>
        <v>{6030003,15}</v>
      </c>
      <c r="S58" t="str">
        <f ca="1" t="shared" si="18"/>
        <v/>
      </c>
      <c r="U58">
        <f t="shared" si="9"/>
        <v>14</v>
      </c>
      <c r="V58">
        <f t="shared" si="10"/>
        <v>4</v>
      </c>
      <c r="W58">
        <f ca="1" t="shared" si="7"/>
        <v>0</v>
      </c>
    </row>
    <row r="59" ht="16.5" spans="2:23">
      <c r="B59">
        <v>12</v>
      </c>
      <c r="C59" s="4">
        <v>192</v>
      </c>
      <c r="D59">
        <f>MATCH(C59,载具预期!$J$36:$J$306,1)</f>
        <v>67</v>
      </c>
      <c r="E59">
        <f ca="1">OFFSET(载具预期!K$35,$D59,0)-OFFSET(载具预期!K$35,$D58,0)</f>
        <v>42</v>
      </c>
      <c r="F59">
        <f ca="1">OFFSET(载具预期!L$35,$D59,0)-OFFSET(载具预期!L$35,$D58,0)</f>
        <v>5370</v>
      </c>
      <c r="G59">
        <f ca="1">OFFSET(载具预期!M$35,$D59,0)-OFFSET(载具预期!M$35,$D58,0)</f>
        <v>17100</v>
      </c>
      <c r="H59">
        <f ca="1">OFFSET(载具预期!N$35,$D59,0)-OFFSET(载具预期!N$35,$D58,0)</f>
        <v>144</v>
      </c>
      <c r="I59">
        <f ca="1">OFFSET(载具预期!O$35,$D59,0)-OFFSET(载具预期!O$35,$D58,0)</f>
        <v>164.159999999999</v>
      </c>
      <c r="J59">
        <f ca="1">OFFSET(载具预期!P$35,$D59,0)-OFFSET(载具预期!P$35,$D58,0)</f>
        <v>15.84</v>
      </c>
      <c r="K59">
        <f ca="1">OFFSET(载具预期!Q$35,$D59,0)-OFFSET(载具预期!Q$35,$D58,0)</f>
        <v>0</v>
      </c>
      <c r="L59" t="str">
        <f ca="1" t="shared" si="11"/>
        <v>[{62,42},{63,5370},{2,17100},{6030001,144},{6030002,164},{6030003,15}]</v>
      </c>
      <c r="M59" t="str">
        <f ca="1" t="shared" si="12"/>
        <v>{62,42}</v>
      </c>
      <c r="N59" t="str">
        <f ca="1" t="shared" si="13"/>
        <v>{63,5370}</v>
      </c>
      <c r="O59" t="str">
        <f ca="1" t="shared" si="14"/>
        <v>{2,17100}</v>
      </c>
      <c r="P59" t="str">
        <f ca="1" t="shared" si="15"/>
        <v>{6030001,144}</v>
      </c>
      <c r="Q59" t="str">
        <f ca="1" t="shared" si="16"/>
        <v>{6030002,164}</v>
      </c>
      <c r="R59" t="str">
        <f ca="1" t="shared" si="17"/>
        <v>{6030003,15}</v>
      </c>
      <c r="S59" t="str">
        <f ca="1" t="shared" si="18"/>
        <v/>
      </c>
      <c r="U59">
        <f t="shared" si="9"/>
        <v>15</v>
      </c>
      <c r="V59">
        <f t="shared" si="10"/>
        <v>1</v>
      </c>
      <c r="W59">
        <f ca="1" t="shared" si="7"/>
        <v>0</v>
      </c>
    </row>
    <row r="60" ht="16.5" spans="2:23">
      <c r="B60">
        <v>13</v>
      </c>
      <c r="C60" s="4">
        <v>202</v>
      </c>
      <c r="D60">
        <f>MATCH(C60,载具预期!$J$36:$J$306,1)</f>
        <v>73</v>
      </c>
      <c r="E60">
        <f ca="1">OFFSET(载具预期!K$35,$D60,0)-OFFSET(载具预期!K$35,$D59,0)</f>
        <v>41</v>
      </c>
      <c r="F60">
        <f ca="1">OFFSET(载具预期!L$35,$D60,0)-OFFSET(载具预期!L$35,$D59,0)</f>
        <v>4550</v>
      </c>
      <c r="G60">
        <f ca="1">OFFSET(载具预期!M$35,$D60,0)-OFFSET(载具预期!M$35,$D59,0)</f>
        <v>11400</v>
      </c>
      <c r="H60">
        <f ca="1">OFFSET(载具预期!N$35,$D60,0)-OFFSET(载具预期!N$35,$D59,0)</f>
        <v>99</v>
      </c>
      <c r="I60">
        <f ca="1">OFFSET(载具预期!O$35,$D60,0)-OFFSET(载具预期!O$35,$D59,0)</f>
        <v>163.399999999999</v>
      </c>
      <c r="J60">
        <f ca="1">OFFSET(载具预期!P$35,$D60,0)-OFFSET(载具预期!P$35,$D59,0)</f>
        <v>15.6</v>
      </c>
      <c r="K60">
        <f ca="1">OFFSET(载具预期!Q$35,$D60,0)-OFFSET(载具预期!Q$35,$D59,0)</f>
        <v>0</v>
      </c>
      <c r="L60" t="str">
        <f ca="1" t="shared" si="11"/>
        <v>[{62,41},{63,4550},{2,11400},{6030001,99},{6030002,163},{6030003,15}]</v>
      </c>
      <c r="M60" t="str">
        <f ca="1" t="shared" si="12"/>
        <v>{62,41}</v>
      </c>
      <c r="N60" t="str">
        <f ca="1" t="shared" si="13"/>
        <v>{63,4550}</v>
      </c>
      <c r="O60" t="str">
        <f ca="1" t="shared" si="14"/>
        <v>{2,11400}</v>
      </c>
      <c r="P60" t="str">
        <f ca="1" t="shared" si="15"/>
        <v>{6030001,99}</v>
      </c>
      <c r="Q60" t="str">
        <f ca="1" t="shared" si="16"/>
        <v>{6030002,163}</v>
      </c>
      <c r="R60" t="str">
        <f ca="1" t="shared" si="17"/>
        <v>{6030003,15}</v>
      </c>
      <c r="S60" t="str">
        <f ca="1" t="shared" si="18"/>
        <v/>
      </c>
      <c r="U60">
        <f t="shared" si="9"/>
        <v>15</v>
      </c>
      <c r="V60">
        <f t="shared" si="10"/>
        <v>2</v>
      </c>
      <c r="W60">
        <f ca="1" t="shared" si="7"/>
        <v>0</v>
      </c>
    </row>
    <row r="61" ht="16.5" spans="2:23">
      <c r="B61">
        <v>14</v>
      </c>
      <c r="C61" s="4">
        <v>212</v>
      </c>
      <c r="D61">
        <f>MATCH(C61,载具预期!$J$36:$J$306,1)</f>
        <v>79</v>
      </c>
      <c r="E61">
        <f ca="1">OFFSET(载具预期!K$35,$D61,0)-OFFSET(载具预期!K$35,$D60,0)</f>
        <v>41</v>
      </c>
      <c r="F61">
        <f ca="1">OFFSET(载具预期!L$35,$D61,0)-OFFSET(载具预期!L$35,$D60,0)</f>
        <v>4510</v>
      </c>
      <c r="G61">
        <f ca="1">OFFSET(载具预期!M$35,$D61,0)-OFFSET(载具预期!M$35,$D60,0)</f>
        <v>11200</v>
      </c>
      <c r="H61">
        <f ca="1">OFFSET(载具预期!N$35,$D61,0)-OFFSET(载具预期!N$35,$D60,0)</f>
        <v>99</v>
      </c>
      <c r="I61">
        <f ca="1">OFFSET(载具预期!O$35,$D61,0)-OFFSET(载具预期!O$35,$D60,0)</f>
        <v>164.639999999999</v>
      </c>
      <c r="J61">
        <f ca="1">OFFSET(载具预期!P$35,$D61,0)-OFFSET(载具预期!P$35,$D60,0)</f>
        <v>13.36</v>
      </c>
      <c r="K61">
        <f ca="1">OFFSET(载具预期!Q$35,$D61,0)-OFFSET(载具预期!Q$35,$D60,0)</f>
        <v>0</v>
      </c>
      <c r="L61" t="str">
        <f ca="1" t="shared" si="11"/>
        <v>[{62,41},{63,4510},{2,11200},{6030001,99},{6030002,164},{6030003,13}]</v>
      </c>
      <c r="M61" t="str">
        <f ca="1" t="shared" si="12"/>
        <v>{62,41}</v>
      </c>
      <c r="N61" t="str">
        <f ca="1" t="shared" si="13"/>
        <v>{63,4510}</v>
      </c>
      <c r="O61" t="str">
        <f ca="1" t="shared" si="14"/>
        <v>{2,11200}</v>
      </c>
      <c r="P61" t="str">
        <f ca="1" t="shared" si="15"/>
        <v>{6030001,99}</v>
      </c>
      <c r="Q61" t="str">
        <f ca="1" t="shared" si="16"/>
        <v>{6030002,164}</v>
      </c>
      <c r="R61" t="str">
        <f ca="1" t="shared" si="17"/>
        <v>{6030003,13}</v>
      </c>
      <c r="S61" t="str">
        <f ca="1" t="shared" si="18"/>
        <v/>
      </c>
      <c r="U61">
        <f t="shared" si="9"/>
        <v>15</v>
      </c>
      <c r="V61">
        <f t="shared" si="10"/>
        <v>3</v>
      </c>
      <c r="W61">
        <f ca="1" t="shared" si="7"/>
        <v>0</v>
      </c>
    </row>
    <row r="62" ht="16.5" spans="2:23">
      <c r="B62">
        <v>15</v>
      </c>
      <c r="C62" s="4">
        <v>222</v>
      </c>
      <c r="D62">
        <f>MATCH(C62,载具预期!$J$36:$J$306,1)</f>
        <v>84</v>
      </c>
      <c r="E62">
        <f ca="1">OFFSET(载具预期!K$35,$D62,0)-OFFSET(载具预期!K$35,$D61,0)</f>
        <v>35</v>
      </c>
      <c r="F62">
        <f ca="1">OFFSET(载具预期!L$35,$D62,0)-OFFSET(载具预期!L$35,$D61,0)</f>
        <v>4575</v>
      </c>
      <c r="G62">
        <f ca="1">OFFSET(载具预期!M$35,$D62,0)-OFFSET(载具预期!M$35,$D61,0)</f>
        <v>14500</v>
      </c>
      <c r="H62">
        <f ca="1">OFFSET(载具预期!N$35,$D62,0)-OFFSET(载具预期!N$35,$D61,0)</f>
        <v>90</v>
      </c>
      <c r="I62">
        <f ca="1">OFFSET(载具预期!O$35,$D62,0)-OFFSET(载具预期!O$35,$D61,0)</f>
        <v>145.599999999999</v>
      </c>
      <c r="J62">
        <f ca="1">OFFSET(载具预期!P$35,$D62,0)-OFFSET(载具预期!P$35,$D61,0)</f>
        <v>14.4</v>
      </c>
      <c r="K62">
        <f ca="1">OFFSET(载具预期!Q$35,$D62,0)-OFFSET(载具预期!Q$35,$D61,0)</f>
        <v>0</v>
      </c>
      <c r="L62" t="str">
        <f ca="1" t="shared" si="11"/>
        <v>[{62,35},{63,4575},{2,14500},{6030001,90},{6030002,145},{6030003,14}]</v>
      </c>
      <c r="M62" t="str">
        <f ca="1" t="shared" si="12"/>
        <v>{62,35}</v>
      </c>
      <c r="N62" t="str">
        <f ca="1" t="shared" si="13"/>
        <v>{63,4575}</v>
      </c>
      <c r="O62" t="str">
        <f ca="1" t="shared" si="14"/>
        <v>{2,14500}</v>
      </c>
      <c r="P62" t="str">
        <f ca="1" t="shared" si="15"/>
        <v>{6030001,90}</v>
      </c>
      <c r="Q62" t="str">
        <f ca="1" t="shared" si="16"/>
        <v>{6030002,145}</v>
      </c>
      <c r="R62" t="str">
        <f ca="1" t="shared" si="17"/>
        <v>{6030003,14}</v>
      </c>
      <c r="S62" t="str">
        <f ca="1" t="shared" si="18"/>
        <v/>
      </c>
      <c r="U62">
        <f t="shared" si="9"/>
        <v>15</v>
      </c>
      <c r="V62">
        <f t="shared" si="10"/>
        <v>4</v>
      </c>
      <c r="W62">
        <f ca="1" t="shared" si="7"/>
        <v>0</v>
      </c>
    </row>
    <row r="63" ht="16.5" spans="2:23">
      <c r="B63">
        <v>16</v>
      </c>
      <c r="C63" s="4">
        <v>232</v>
      </c>
      <c r="D63">
        <f>MATCH(C63,载具预期!$J$36:$J$306,1)</f>
        <v>90</v>
      </c>
      <c r="E63">
        <f ca="1">OFFSET(载具预期!K$35,$D63,0)-OFFSET(载具预期!K$35,$D62,0)</f>
        <v>41</v>
      </c>
      <c r="F63">
        <f ca="1">OFFSET(载具预期!L$35,$D63,0)-OFFSET(载具预期!L$35,$D62,0)</f>
        <v>4640</v>
      </c>
      <c r="G63">
        <f ca="1">OFFSET(载具预期!M$35,$D63,0)-OFFSET(载具预期!M$35,$D62,0)</f>
        <v>11600</v>
      </c>
      <c r="H63">
        <f ca="1">OFFSET(载具预期!N$35,$D63,0)-OFFSET(载具预期!N$35,$D62,0)</f>
        <v>98.9999999999998</v>
      </c>
      <c r="I63">
        <f ca="1">OFFSET(载具预期!O$35,$D63,0)-OFFSET(载具预期!O$35,$D62,0)</f>
        <v>125.999999999999</v>
      </c>
      <c r="J63">
        <f ca="1">OFFSET(载具预期!P$35,$D63,0)-OFFSET(载具预期!P$35,$D62,0)</f>
        <v>15.0000000000001</v>
      </c>
      <c r="K63">
        <f ca="1">OFFSET(载具预期!Q$35,$D63,0)-OFFSET(载具预期!Q$35,$D62,0)</f>
        <v>0</v>
      </c>
      <c r="L63" t="str">
        <f ca="1" t="shared" si="11"/>
        <v>[{62,41},{63,4640},{2,11600},{6030001,98},{6030002,125},{6030003,15}]</v>
      </c>
      <c r="M63" t="str">
        <f ca="1" t="shared" si="12"/>
        <v>{62,41}</v>
      </c>
      <c r="N63" t="str">
        <f ca="1" t="shared" si="13"/>
        <v>{63,4640}</v>
      </c>
      <c r="O63" t="str">
        <f ca="1" t="shared" si="14"/>
        <v>{2,11600}</v>
      </c>
      <c r="P63" t="str">
        <f ca="1" t="shared" si="15"/>
        <v>{6030001,98}</v>
      </c>
      <c r="Q63" t="str">
        <f ca="1" t="shared" si="16"/>
        <v>{6030002,125}</v>
      </c>
      <c r="R63" t="str">
        <f ca="1" t="shared" si="17"/>
        <v>{6030003,15}</v>
      </c>
      <c r="S63" t="str">
        <f ca="1" t="shared" si="18"/>
        <v/>
      </c>
      <c r="U63">
        <f t="shared" si="9"/>
        <v>16</v>
      </c>
      <c r="V63">
        <f t="shared" si="10"/>
        <v>1</v>
      </c>
      <c r="W63">
        <f ca="1" t="shared" si="7"/>
        <v>0</v>
      </c>
    </row>
    <row r="64" ht="16.5" spans="2:23">
      <c r="B64">
        <v>17</v>
      </c>
      <c r="C64" s="4">
        <v>242</v>
      </c>
      <c r="D64">
        <f>MATCH(C64,载具预期!$J$36:$J$306,1)</f>
        <v>95</v>
      </c>
      <c r="E64">
        <f ca="1">OFFSET(载具预期!K$35,$D64,0)-OFFSET(载具预期!K$35,$D63,0)</f>
        <v>35</v>
      </c>
      <c r="F64">
        <f ca="1">OFFSET(载具预期!L$35,$D64,0)-OFFSET(载具预期!L$35,$D63,0)</f>
        <v>4700</v>
      </c>
      <c r="G64">
        <f ca="1">OFFSET(载具预期!M$35,$D64,0)-OFFSET(载具预期!M$35,$D63,0)</f>
        <v>15000</v>
      </c>
      <c r="H64">
        <f ca="1">OFFSET(载具预期!N$35,$D64,0)-OFFSET(载具预期!N$35,$D63,0)</f>
        <v>90</v>
      </c>
      <c r="I64">
        <f ca="1">OFFSET(载具预期!O$35,$D64,0)-OFFSET(载具预期!O$35,$D63,0)</f>
        <v>113.199999999999</v>
      </c>
      <c r="J64">
        <f ca="1">OFFSET(载具预期!P$35,$D64,0)-OFFSET(载具预期!P$35,$D63,0)</f>
        <v>16.8000000000001</v>
      </c>
      <c r="K64">
        <f ca="1">OFFSET(载具预期!Q$35,$D64,0)-OFFSET(载具预期!Q$35,$D63,0)</f>
        <v>0</v>
      </c>
      <c r="L64" t="str">
        <f ca="1" t="shared" si="11"/>
        <v>[{62,35},{63,4700},{2,15000},{6030001,90},{6030002,113},{6030003,16}]</v>
      </c>
      <c r="M64" t="str">
        <f ca="1" t="shared" si="12"/>
        <v>{62,35}</v>
      </c>
      <c r="N64" t="str">
        <f ca="1" t="shared" si="13"/>
        <v>{63,4700}</v>
      </c>
      <c r="O64" t="str">
        <f ca="1" t="shared" si="14"/>
        <v>{2,15000}</v>
      </c>
      <c r="P64" t="str">
        <f ca="1" t="shared" si="15"/>
        <v>{6030001,90}</v>
      </c>
      <c r="Q64" t="str">
        <f ca="1" t="shared" si="16"/>
        <v>{6030002,113}</v>
      </c>
      <c r="R64" t="str">
        <f ca="1" t="shared" si="17"/>
        <v>{6030003,16}</v>
      </c>
      <c r="S64" t="str">
        <f ca="1" t="shared" si="18"/>
        <v/>
      </c>
      <c r="U64">
        <f t="shared" si="9"/>
        <v>16</v>
      </c>
      <c r="V64">
        <f t="shared" si="10"/>
        <v>2</v>
      </c>
      <c r="W64">
        <f ca="1" t="shared" si="7"/>
        <v>0</v>
      </c>
    </row>
    <row r="65" ht="16.5" spans="2:23">
      <c r="B65">
        <v>18</v>
      </c>
      <c r="C65" s="4">
        <v>252</v>
      </c>
      <c r="D65">
        <f>MATCH(C65,载具预期!$J$36:$J$306,1)</f>
        <v>100</v>
      </c>
      <c r="E65">
        <f ca="1">OFFSET(载具预期!K$35,$D65,0)-OFFSET(载具预期!K$35,$D64,0)</f>
        <v>35</v>
      </c>
      <c r="F65">
        <f ca="1">OFFSET(载具预期!L$35,$D65,0)-OFFSET(载具预期!L$35,$D64,0)</f>
        <v>4700</v>
      </c>
      <c r="G65">
        <f ca="1">OFFSET(载具预期!M$35,$D65,0)-OFFSET(载具预期!M$35,$D64,0)</f>
        <v>15000</v>
      </c>
      <c r="H65">
        <f ca="1">OFFSET(载具预期!N$35,$D65,0)-OFFSET(载具预期!N$35,$D64,0)</f>
        <v>90</v>
      </c>
      <c r="I65">
        <f ca="1">OFFSET(载具预期!O$35,$D65,0)-OFFSET(载具预期!O$35,$D64,0)</f>
        <v>113.199999999999</v>
      </c>
      <c r="J65">
        <f ca="1">OFFSET(载具预期!P$35,$D65,0)-OFFSET(载具预期!P$35,$D64,0)</f>
        <v>16.8000000000001</v>
      </c>
      <c r="K65">
        <f ca="1">OFFSET(载具预期!Q$35,$D65,0)-OFFSET(载具预期!Q$35,$D64,0)</f>
        <v>0</v>
      </c>
      <c r="L65" t="str">
        <f ca="1" t="shared" si="11"/>
        <v>[{62,35},{63,4700},{2,15000},{6030001,90},{6030002,113},{6030003,16}]</v>
      </c>
      <c r="M65" t="str">
        <f ca="1" t="shared" si="12"/>
        <v>{62,35}</v>
      </c>
      <c r="N65" t="str">
        <f ca="1" t="shared" si="13"/>
        <v>{63,4700}</v>
      </c>
      <c r="O65" t="str">
        <f ca="1" t="shared" si="14"/>
        <v>{2,15000}</v>
      </c>
      <c r="P65" t="str">
        <f ca="1" t="shared" si="15"/>
        <v>{6030001,90}</v>
      </c>
      <c r="Q65" t="str">
        <f ca="1" t="shared" si="16"/>
        <v>{6030002,113}</v>
      </c>
      <c r="R65" t="str">
        <f ca="1" t="shared" si="17"/>
        <v>{6030003,16}</v>
      </c>
      <c r="S65" t="str">
        <f ca="1" t="shared" si="18"/>
        <v/>
      </c>
      <c r="U65">
        <f t="shared" si="9"/>
        <v>16</v>
      </c>
      <c r="V65">
        <f t="shared" si="10"/>
        <v>3</v>
      </c>
      <c r="W65">
        <f ca="1" t="shared" si="7"/>
        <v>0</v>
      </c>
    </row>
    <row r="66" ht="16.5" spans="2:23">
      <c r="B66">
        <v>19</v>
      </c>
      <c r="C66" s="4">
        <v>262</v>
      </c>
      <c r="D66">
        <f>MATCH(C66,载具预期!$J$36:$J$306,1)</f>
        <v>105</v>
      </c>
      <c r="E66">
        <f ca="1">OFFSET(载具预期!K$35,$D66,0)-OFFSET(载具预期!K$35,$D65,0)</f>
        <v>35</v>
      </c>
      <c r="F66">
        <f ca="1">OFFSET(载具预期!L$35,$D66,0)-OFFSET(载具预期!L$35,$D65,0)</f>
        <v>4740</v>
      </c>
      <c r="G66">
        <f ca="1">OFFSET(载具预期!M$35,$D66,0)-OFFSET(载具预期!M$35,$D65,0)</f>
        <v>15100</v>
      </c>
      <c r="H66">
        <f ca="1">OFFSET(载具预期!N$35,$D66,0)-OFFSET(载具预期!N$35,$D65,0)</f>
        <v>90</v>
      </c>
      <c r="I66">
        <f ca="1">OFFSET(载具预期!O$35,$D66,0)-OFFSET(载具预期!O$35,$D65,0)</f>
        <v>110.719999999999</v>
      </c>
      <c r="J66">
        <f ca="1">OFFSET(载具预期!P$35,$D66,0)-OFFSET(载具预期!P$35,$D65,0)</f>
        <v>21.2800000000001</v>
      </c>
      <c r="K66">
        <f ca="1">OFFSET(载具预期!Q$35,$D66,0)-OFFSET(载具预期!Q$35,$D65,0)</f>
        <v>0</v>
      </c>
      <c r="L66" t="str">
        <f ca="1" t="shared" si="11"/>
        <v>[{62,35},{63,4740},{2,15100},{6030001,90},{6030002,110},{6030003,21}]</v>
      </c>
      <c r="M66" t="str">
        <f ca="1" t="shared" si="12"/>
        <v>{62,35}</v>
      </c>
      <c r="N66" t="str">
        <f ca="1" t="shared" si="13"/>
        <v>{63,4740}</v>
      </c>
      <c r="O66" t="str">
        <f ca="1" t="shared" si="14"/>
        <v>{2,15100}</v>
      </c>
      <c r="P66" t="str">
        <f ca="1" t="shared" si="15"/>
        <v>{6030001,90}</v>
      </c>
      <c r="Q66" t="str">
        <f ca="1" t="shared" si="16"/>
        <v>{6030002,110}</v>
      </c>
      <c r="R66" t="str">
        <f ca="1" t="shared" si="17"/>
        <v>{6030003,21}</v>
      </c>
      <c r="S66" t="str">
        <f ca="1" t="shared" si="18"/>
        <v/>
      </c>
      <c r="U66">
        <f t="shared" si="9"/>
        <v>16</v>
      </c>
      <c r="V66">
        <f t="shared" si="10"/>
        <v>4</v>
      </c>
      <c r="W66">
        <f ca="1" t="shared" si="7"/>
        <v>0</v>
      </c>
    </row>
    <row r="67" ht="16.5" spans="2:23">
      <c r="B67">
        <v>20</v>
      </c>
      <c r="C67" s="4">
        <v>272</v>
      </c>
      <c r="D67">
        <f>MATCH(C67,载具预期!$J$36:$J$306,1)</f>
        <v>110</v>
      </c>
      <c r="E67">
        <f ca="1">OFFSET(载具预期!K$35,$D67,0)-OFFSET(载具预期!K$35,$D66,0)</f>
        <v>34</v>
      </c>
      <c r="F67">
        <f ca="1">OFFSET(载具预期!L$35,$D67,0)-OFFSET(载具预期!L$35,$D66,0)</f>
        <v>3860</v>
      </c>
      <c r="G67">
        <f ca="1">OFFSET(载具预期!M$35,$D67,0)-OFFSET(载具预期!M$35,$D66,0)</f>
        <v>8900</v>
      </c>
      <c r="H67">
        <f ca="1">OFFSET(载具预期!N$35,$D67,0)-OFFSET(载具预期!N$35,$D66,0)</f>
        <v>81</v>
      </c>
      <c r="I67">
        <f ca="1">OFFSET(载具预期!O$35,$D67,0)-OFFSET(载具预期!O$35,$D66,0)</f>
        <v>90.1999999999994</v>
      </c>
      <c r="J67">
        <f ca="1">OFFSET(载具预期!P$35,$D67,0)-OFFSET(载具预期!P$35,$D66,0)</f>
        <v>33.8</v>
      </c>
      <c r="K67">
        <f ca="1">OFFSET(载具预期!Q$35,$D67,0)-OFFSET(载具预期!Q$35,$D66,0)</f>
        <v>0</v>
      </c>
      <c r="L67" t="str">
        <f ca="1" t="shared" si="11"/>
        <v>[{62,34},{63,3860},{2,8900},{6030001,81},{6030002,90},{6030003,33}]</v>
      </c>
      <c r="M67" t="str">
        <f ca="1" t="shared" si="12"/>
        <v>{62,34}</v>
      </c>
      <c r="N67" t="str">
        <f ca="1" t="shared" si="13"/>
        <v>{63,3860}</v>
      </c>
      <c r="O67" t="str">
        <f ca="1" t="shared" si="14"/>
        <v>{2,8900}</v>
      </c>
      <c r="P67" t="str">
        <f ca="1" t="shared" si="15"/>
        <v>{6030001,81}</v>
      </c>
      <c r="Q67" t="str">
        <f ca="1" t="shared" si="16"/>
        <v>{6030002,90}</v>
      </c>
      <c r="R67" t="str">
        <f ca="1" t="shared" si="17"/>
        <v>{6030003,33}</v>
      </c>
      <c r="S67" t="str">
        <f ca="1" t="shared" si="18"/>
        <v/>
      </c>
      <c r="U67">
        <f t="shared" si="9"/>
        <v>17</v>
      </c>
      <c r="V67">
        <f t="shared" si="10"/>
        <v>1</v>
      </c>
      <c r="W67">
        <f ca="1" t="shared" si="7"/>
        <v>0</v>
      </c>
    </row>
    <row r="68" ht="16.5" spans="2:23">
      <c r="B68">
        <v>21</v>
      </c>
      <c r="C68" s="4">
        <v>282</v>
      </c>
      <c r="D68">
        <f>MATCH(C68,载具预期!$J$36:$J$306,1)</f>
        <v>114</v>
      </c>
      <c r="E68">
        <f ca="1">OFFSET(载具预期!K$35,$D68,0)-OFFSET(载具预期!K$35,$D67,0)</f>
        <v>28</v>
      </c>
      <c r="F68">
        <f ca="1">OFFSET(载具预期!L$35,$D68,0)-OFFSET(载具预期!L$35,$D67,0)</f>
        <v>3920</v>
      </c>
      <c r="G68">
        <f ca="1">OFFSET(载具预期!M$35,$D68,0)-OFFSET(载具预期!M$35,$D67,0)</f>
        <v>12400</v>
      </c>
      <c r="H68">
        <f ca="1">OFFSET(载具预期!N$35,$D68,0)-OFFSET(载具预期!N$35,$D67,0)</f>
        <v>72</v>
      </c>
      <c r="I68">
        <f ca="1">OFFSET(载具预期!O$35,$D68,0)-OFFSET(载具预期!O$35,$D67,0)</f>
        <v>80.6399999999994</v>
      </c>
      <c r="J68">
        <f ca="1">OFFSET(载具预期!P$35,$D68,0)-OFFSET(载具预期!P$35,$D67,0)</f>
        <v>31.3599999999999</v>
      </c>
      <c r="K68">
        <f ca="1">OFFSET(载具预期!Q$35,$D68,0)-OFFSET(载具预期!Q$35,$D67,0)</f>
        <v>0</v>
      </c>
      <c r="L68" t="str">
        <f ca="1" t="shared" si="11"/>
        <v>[{62,28},{63,3920},{2,12400},{6030001,72},{6030002,80},{6030003,31}]</v>
      </c>
      <c r="M68" t="str">
        <f ca="1" t="shared" si="12"/>
        <v>{62,28}</v>
      </c>
      <c r="N68" t="str">
        <f ca="1" t="shared" si="13"/>
        <v>{63,3920}</v>
      </c>
      <c r="O68" t="str">
        <f ca="1" t="shared" si="14"/>
        <v>{2,12400}</v>
      </c>
      <c r="P68" t="str">
        <f ca="1" t="shared" si="15"/>
        <v>{6030001,72}</v>
      </c>
      <c r="Q68" t="str">
        <f ca="1" t="shared" si="16"/>
        <v>{6030002,80}</v>
      </c>
      <c r="R68" t="str">
        <f ca="1" t="shared" si="17"/>
        <v>{6030003,31}</v>
      </c>
      <c r="S68" t="str">
        <f ca="1" t="shared" si="18"/>
        <v/>
      </c>
      <c r="U68">
        <f t="shared" ref="U68:U99" si="19">U64+1</f>
        <v>17</v>
      </c>
      <c r="V68">
        <f t="shared" ref="V68:V99" si="20">V64</f>
        <v>2</v>
      </c>
      <c r="W68">
        <f ca="1" t="shared" ref="W68:W99" si="21">OFFSET($L$1,U68,V68-1)</f>
        <v>0</v>
      </c>
    </row>
    <row r="69" ht="16.5" spans="2:23">
      <c r="B69">
        <v>22</v>
      </c>
      <c r="C69" s="4">
        <v>292</v>
      </c>
      <c r="D69">
        <f>MATCH(C69,载具预期!$J$36:$J$306,1)</f>
        <v>118</v>
      </c>
      <c r="E69">
        <f ca="1">OFFSET(载具预期!K$35,$D69,0)-OFFSET(载具预期!K$35,$D68,0)</f>
        <v>28</v>
      </c>
      <c r="F69">
        <f ca="1">OFFSET(载具预期!L$35,$D69,0)-OFFSET(载具预期!L$35,$D68,0)</f>
        <v>3920</v>
      </c>
      <c r="G69">
        <f ca="1">OFFSET(载具预期!M$35,$D69,0)-OFFSET(载具预期!M$35,$D68,0)</f>
        <v>12400</v>
      </c>
      <c r="H69">
        <f ca="1">OFFSET(载具预期!N$35,$D69,0)-OFFSET(载具预期!N$35,$D68,0)</f>
        <v>72</v>
      </c>
      <c r="I69">
        <f ca="1">OFFSET(载具预期!O$35,$D69,0)-OFFSET(载具预期!O$35,$D68,0)</f>
        <v>80.6399999999994</v>
      </c>
      <c r="J69">
        <f ca="1">OFFSET(载具预期!P$35,$D69,0)-OFFSET(载具预期!P$35,$D68,0)</f>
        <v>31.3599999999999</v>
      </c>
      <c r="K69">
        <f ca="1">OFFSET(载具预期!Q$35,$D69,0)-OFFSET(载具预期!Q$35,$D68,0)</f>
        <v>0</v>
      </c>
      <c r="L69" t="str">
        <f ca="1" t="shared" si="11"/>
        <v>[{62,28},{63,3920},{2,12400},{6030001,72},{6030002,80},{6030003,31}]</v>
      </c>
      <c r="M69" t="str">
        <f ca="1" t="shared" si="12"/>
        <v>{62,28}</v>
      </c>
      <c r="N69" t="str">
        <f ca="1" t="shared" si="13"/>
        <v>{63,3920}</v>
      </c>
      <c r="O69" t="str">
        <f ca="1" t="shared" si="14"/>
        <v>{2,12400}</v>
      </c>
      <c r="P69" t="str">
        <f ca="1" t="shared" si="15"/>
        <v>{6030001,72}</v>
      </c>
      <c r="Q69" t="str">
        <f ca="1" t="shared" si="16"/>
        <v>{6030002,80}</v>
      </c>
      <c r="R69" t="str">
        <f ca="1" t="shared" si="17"/>
        <v>{6030003,31}</v>
      </c>
      <c r="S69" t="str">
        <f ca="1" t="shared" si="18"/>
        <v/>
      </c>
      <c r="U69">
        <f t="shared" si="19"/>
        <v>17</v>
      </c>
      <c r="V69">
        <f t="shared" si="20"/>
        <v>3</v>
      </c>
      <c r="W69">
        <f ca="1" t="shared" si="21"/>
        <v>0</v>
      </c>
    </row>
    <row r="70" ht="16.5" spans="2:23">
      <c r="B70">
        <v>23</v>
      </c>
      <c r="C70" s="4">
        <v>302</v>
      </c>
      <c r="D70">
        <f>MATCH(C70,载具预期!$J$36:$J$306,1)</f>
        <v>122</v>
      </c>
      <c r="E70">
        <f ca="1">OFFSET(载具预期!K$35,$D70,0)-OFFSET(载具预期!K$35,$D69,0)</f>
        <v>28</v>
      </c>
      <c r="F70">
        <f ca="1">OFFSET(载具预期!L$35,$D70,0)-OFFSET(载具预期!L$35,$D69,0)</f>
        <v>3920</v>
      </c>
      <c r="G70">
        <f ca="1">OFFSET(载具预期!M$35,$D70,0)-OFFSET(载具预期!M$35,$D69,0)</f>
        <v>12400</v>
      </c>
      <c r="H70">
        <f ca="1">OFFSET(载具预期!N$35,$D70,0)-OFFSET(载具预期!N$35,$D69,0)</f>
        <v>72</v>
      </c>
      <c r="I70">
        <f ca="1">OFFSET(载具预期!O$35,$D70,0)-OFFSET(载具预期!O$35,$D69,0)</f>
        <v>80.6399999999994</v>
      </c>
      <c r="J70">
        <f ca="1">OFFSET(载具预期!P$35,$D70,0)-OFFSET(载具预期!P$35,$D69,0)</f>
        <v>31.3599999999999</v>
      </c>
      <c r="K70">
        <f ca="1">OFFSET(载具预期!Q$35,$D70,0)-OFFSET(载具预期!Q$35,$D69,0)</f>
        <v>0</v>
      </c>
      <c r="L70" t="str">
        <f ca="1" t="shared" si="11"/>
        <v>[{62,28},{63,3920},{2,12400},{6030001,72},{6030002,80},{6030003,31}]</v>
      </c>
      <c r="M70" t="str">
        <f ca="1" t="shared" si="12"/>
        <v>{62,28}</v>
      </c>
      <c r="N70" t="str">
        <f ca="1" t="shared" si="13"/>
        <v>{63,3920}</v>
      </c>
      <c r="O70" t="str">
        <f ca="1" t="shared" si="14"/>
        <v>{2,12400}</v>
      </c>
      <c r="P70" t="str">
        <f ca="1" t="shared" si="15"/>
        <v>{6030001,72}</v>
      </c>
      <c r="Q70" t="str">
        <f ca="1" t="shared" si="16"/>
        <v>{6030002,80}</v>
      </c>
      <c r="R70" t="str">
        <f ca="1" t="shared" si="17"/>
        <v>{6030003,31}</v>
      </c>
      <c r="S70" t="str">
        <f ca="1" t="shared" si="18"/>
        <v/>
      </c>
      <c r="U70">
        <f t="shared" si="19"/>
        <v>17</v>
      </c>
      <c r="V70">
        <f t="shared" si="20"/>
        <v>4</v>
      </c>
      <c r="W70">
        <f ca="1" t="shared" si="21"/>
        <v>0</v>
      </c>
    </row>
    <row r="71" ht="16.5" spans="2:23">
      <c r="B71">
        <v>24</v>
      </c>
      <c r="C71" s="4">
        <v>312</v>
      </c>
      <c r="D71">
        <f>MATCH(C71,载具预期!$J$36:$J$306,1)</f>
        <v>126</v>
      </c>
      <c r="E71">
        <f ca="1">OFFSET(载具预期!K$35,$D71,0)-OFFSET(载具预期!K$35,$D70,0)</f>
        <v>28</v>
      </c>
      <c r="F71">
        <f ca="1">OFFSET(载具预期!L$35,$D71,0)-OFFSET(载具预期!L$35,$D70,0)</f>
        <v>3960</v>
      </c>
      <c r="G71">
        <f ca="1">OFFSET(载具预期!M$35,$D71,0)-OFFSET(载具预期!M$35,$D70,0)</f>
        <v>12600</v>
      </c>
      <c r="H71">
        <f ca="1">OFFSET(载具预期!N$35,$D71,0)-OFFSET(载具预期!N$35,$D70,0)</f>
        <v>72</v>
      </c>
      <c r="I71">
        <f ca="1">OFFSET(载具预期!O$35,$D71,0)-OFFSET(载具预期!O$35,$D70,0)</f>
        <v>79.6799999999994</v>
      </c>
      <c r="J71">
        <f ca="1">OFFSET(载具预期!P$35,$D71,0)-OFFSET(载具预期!P$35,$D70,0)</f>
        <v>36.3199999999999</v>
      </c>
      <c r="K71">
        <f ca="1">OFFSET(载具预期!Q$35,$D71,0)-OFFSET(载具预期!Q$35,$D70,0)</f>
        <v>0</v>
      </c>
      <c r="L71" t="str">
        <f ca="1" t="shared" si="11"/>
        <v>[{62,28},{63,3960},{2,12600},{6030001,72},{6030002,79},{6030003,36}]</v>
      </c>
      <c r="M71" t="str">
        <f ca="1" t="shared" si="12"/>
        <v>{62,28}</v>
      </c>
      <c r="N71" t="str">
        <f ca="1" t="shared" si="13"/>
        <v>{63,3960}</v>
      </c>
      <c r="O71" t="str">
        <f ca="1" t="shared" si="14"/>
        <v>{2,12600}</v>
      </c>
      <c r="P71" t="str">
        <f ca="1" t="shared" si="15"/>
        <v>{6030001,72}</v>
      </c>
      <c r="Q71" t="str">
        <f ca="1" t="shared" si="16"/>
        <v>{6030002,79}</v>
      </c>
      <c r="R71" t="str">
        <f ca="1" t="shared" si="17"/>
        <v>{6030003,36}</v>
      </c>
      <c r="S71" t="str">
        <f ca="1" t="shared" si="18"/>
        <v/>
      </c>
      <c r="U71">
        <f t="shared" si="19"/>
        <v>18</v>
      </c>
      <c r="V71">
        <f t="shared" si="20"/>
        <v>1</v>
      </c>
      <c r="W71">
        <f ca="1" t="shared" si="21"/>
        <v>0</v>
      </c>
    </row>
    <row r="72" ht="16.5" spans="2:23">
      <c r="B72">
        <v>25</v>
      </c>
      <c r="C72" s="4">
        <v>322</v>
      </c>
      <c r="D72">
        <f>MATCH(C72,载具预期!$J$36:$J$306,1)</f>
        <v>130</v>
      </c>
      <c r="E72">
        <f ca="1">OFFSET(载具预期!K$35,$D72,0)-OFFSET(载具预期!K$35,$D71,0)</f>
        <v>27</v>
      </c>
      <c r="F72">
        <f ca="1">OFFSET(载具预期!L$35,$D72,0)-OFFSET(载具预期!L$35,$D71,0)</f>
        <v>2935</v>
      </c>
      <c r="G72">
        <f ca="1">OFFSET(载具预期!M$35,$D72,0)-OFFSET(载具预期!M$35,$D71,0)</f>
        <v>6000</v>
      </c>
      <c r="H72">
        <f ca="1">OFFSET(载具预期!N$35,$D72,0)-OFFSET(载具预期!N$35,$D71,0)</f>
        <v>63</v>
      </c>
      <c r="I72">
        <f ca="1">OFFSET(载具预期!O$35,$D72,0)-OFFSET(载具预期!O$35,$D71,0)</f>
        <v>68.3599999999992</v>
      </c>
      <c r="J72">
        <f ca="1">OFFSET(载具预期!P$35,$D72,0)-OFFSET(载具预期!P$35,$D71,0)</f>
        <v>34.64</v>
      </c>
      <c r="K72">
        <f ca="1">OFFSET(载具预期!Q$35,$D72,0)-OFFSET(载具预期!Q$35,$D71,0)</f>
        <v>0</v>
      </c>
      <c r="L72" t="str">
        <f ca="1" t="shared" si="11"/>
        <v>[{62,27},{63,2935},{2,6000},{6030001,63},{6030002,68},{6030003,34}]</v>
      </c>
      <c r="M72" t="str">
        <f ca="1" t="shared" si="12"/>
        <v>{62,27}</v>
      </c>
      <c r="N72" t="str">
        <f ca="1" t="shared" si="13"/>
        <v>{63,2935}</v>
      </c>
      <c r="O72" t="str">
        <f ca="1" t="shared" si="14"/>
        <v>{2,6000}</v>
      </c>
      <c r="P72" t="str">
        <f ca="1" t="shared" si="15"/>
        <v>{6030001,63}</v>
      </c>
      <c r="Q72" t="str">
        <f ca="1" t="shared" si="16"/>
        <v>{6030002,68}</v>
      </c>
      <c r="R72" t="str">
        <f ca="1" t="shared" si="17"/>
        <v>{6030003,34}</v>
      </c>
      <c r="S72" t="str">
        <f ca="1" t="shared" si="18"/>
        <v/>
      </c>
      <c r="U72">
        <f t="shared" si="19"/>
        <v>18</v>
      </c>
      <c r="V72">
        <f t="shared" si="20"/>
        <v>2</v>
      </c>
      <c r="W72">
        <f ca="1" t="shared" si="21"/>
        <v>0</v>
      </c>
    </row>
    <row r="73" ht="16.5" spans="2:23">
      <c r="B73">
        <v>26</v>
      </c>
      <c r="C73" s="4">
        <v>332</v>
      </c>
      <c r="D73">
        <f>MATCH(C73,载具预期!$J$36:$J$306,1)</f>
        <v>133</v>
      </c>
      <c r="E73">
        <f ca="1">OFFSET(载具预期!K$35,$D73,0)-OFFSET(载具预期!K$35,$D72,0)</f>
        <v>21</v>
      </c>
      <c r="F73">
        <f ca="1">OFFSET(载具预期!L$35,$D73,0)-OFFSET(载具预期!L$35,$D72,0)</f>
        <v>3000</v>
      </c>
      <c r="G73">
        <f ca="1">OFFSET(载具预期!M$35,$D73,0)-OFFSET(载具预期!M$35,$D72,0)</f>
        <v>9600</v>
      </c>
      <c r="H73">
        <f ca="1">OFFSET(载具预期!N$35,$D73,0)-OFFSET(载具预期!N$35,$D72,0)</f>
        <v>54</v>
      </c>
      <c r="I73">
        <f ca="1">OFFSET(载具预期!O$35,$D73,0)-OFFSET(载具预期!O$35,$D72,0)</f>
        <v>59.0399999999995</v>
      </c>
      <c r="J73">
        <f ca="1">OFFSET(载具预期!P$35,$D73,0)-OFFSET(载具预期!P$35,$D72,0)</f>
        <v>30.96</v>
      </c>
      <c r="K73">
        <f ca="1">OFFSET(载具预期!Q$35,$D73,0)-OFFSET(载具预期!Q$35,$D72,0)</f>
        <v>0</v>
      </c>
      <c r="L73" t="str">
        <f ca="1" t="shared" si="11"/>
        <v>[{62,21},{63,3000},{2,9600},{6030001,54},{6030002,59},{6030003,30}]</v>
      </c>
      <c r="M73" t="str">
        <f ca="1" t="shared" si="12"/>
        <v>{62,21}</v>
      </c>
      <c r="N73" t="str">
        <f ca="1" t="shared" si="13"/>
        <v>{63,3000}</v>
      </c>
      <c r="O73" t="str">
        <f ca="1" t="shared" si="14"/>
        <v>{2,9600}</v>
      </c>
      <c r="P73" t="str">
        <f ca="1" t="shared" si="15"/>
        <v>{6030001,54}</v>
      </c>
      <c r="Q73" t="str">
        <f ca="1" t="shared" si="16"/>
        <v>{6030002,59}</v>
      </c>
      <c r="R73" t="str">
        <f ca="1" t="shared" si="17"/>
        <v>{6030003,30}</v>
      </c>
      <c r="S73" t="str">
        <f ca="1" t="shared" si="18"/>
        <v/>
      </c>
      <c r="U73">
        <f t="shared" si="19"/>
        <v>18</v>
      </c>
      <c r="V73">
        <f t="shared" si="20"/>
        <v>3</v>
      </c>
      <c r="W73">
        <f ca="1" t="shared" si="21"/>
        <v>0</v>
      </c>
    </row>
    <row r="74" ht="16.5" spans="2:23">
      <c r="B74">
        <v>27</v>
      </c>
      <c r="C74" s="4">
        <v>342</v>
      </c>
      <c r="D74">
        <f>MATCH(C74,载具预期!$J$36:$J$306,1)</f>
        <v>137</v>
      </c>
      <c r="E74">
        <f ca="1">OFFSET(载具预期!K$35,$D74,0)-OFFSET(载具预期!K$35,$D73,0)</f>
        <v>28</v>
      </c>
      <c r="F74">
        <f ca="1">OFFSET(载具预期!L$35,$D74,0)-OFFSET(载具预期!L$35,$D73,0)</f>
        <v>4000</v>
      </c>
      <c r="G74">
        <f ca="1">OFFSET(载具预期!M$35,$D74,0)-OFFSET(载具预期!M$35,$D73,0)</f>
        <v>12800</v>
      </c>
      <c r="H74">
        <f ca="1">OFFSET(载具预期!N$35,$D74,0)-OFFSET(载具预期!N$35,$D73,0)</f>
        <v>72</v>
      </c>
      <c r="I74">
        <f ca="1">OFFSET(载具预期!O$35,$D74,0)-OFFSET(载具预期!O$35,$D73,0)</f>
        <v>78.7199999999993</v>
      </c>
      <c r="J74">
        <f ca="1">OFFSET(载具预期!P$35,$D74,0)-OFFSET(载具预期!P$35,$D73,0)</f>
        <v>41.28</v>
      </c>
      <c r="K74">
        <f ca="1">OFFSET(载具预期!Q$35,$D74,0)-OFFSET(载具预期!Q$35,$D73,0)</f>
        <v>0</v>
      </c>
      <c r="L74" t="str">
        <f ca="1" t="shared" si="11"/>
        <v>[{62,28},{63,4000},{2,12800},{6030001,72},{6030002,78},{6030003,41}]</v>
      </c>
      <c r="M74" t="str">
        <f ca="1" t="shared" si="12"/>
        <v>{62,28}</v>
      </c>
      <c r="N74" t="str">
        <f ca="1" t="shared" si="13"/>
        <v>{63,4000}</v>
      </c>
      <c r="O74" t="str">
        <f ca="1" t="shared" si="14"/>
        <v>{2,12800}</v>
      </c>
      <c r="P74" t="str">
        <f ca="1" t="shared" si="15"/>
        <v>{6030001,72}</v>
      </c>
      <c r="Q74" t="str">
        <f ca="1" t="shared" si="16"/>
        <v>{6030002,78}</v>
      </c>
      <c r="R74" t="str">
        <f ca="1" t="shared" si="17"/>
        <v>{6030003,41}</v>
      </c>
      <c r="S74" t="str">
        <f ca="1" t="shared" si="18"/>
        <v/>
      </c>
      <c r="U74">
        <f t="shared" si="19"/>
        <v>18</v>
      </c>
      <c r="V74">
        <f t="shared" si="20"/>
        <v>4</v>
      </c>
      <c r="W74">
        <f ca="1" t="shared" si="21"/>
        <v>0</v>
      </c>
    </row>
    <row r="75" ht="16.5" spans="2:23">
      <c r="B75">
        <v>28</v>
      </c>
      <c r="C75" s="4">
        <v>352</v>
      </c>
      <c r="D75">
        <f>MATCH(C75,载具预期!$J$36:$J$306,1)</f>
        <v>140</v>
      </c>
      <c r="E75">
        <f ca="1">OFFSET(载具预期!K$35,$D75,0)-OFFSET(载具预期!K$35,$D74,0)</f>
        <v>21</v>
      </c>
      <c r="F75">
        <f ca="1">OFFSET(载具预期!L$35,$D75,0)-OFFSET(载具预期!L$35,$D74,0)</f>
        <v>3000</v>
      </c>
      <c r="G75">
        <f ca="1">OFFSET(载具预期!M$35,$D75,0)-OFFSET(载具预期!M$35,$D74,0)</f>
        <v>9600</v>
      </c>
      <c r="H75">
        <f ca="1">OFFSET(载具预期!N$35,$D75,0)-OFFSET(载具预期!N$35,$D74,0)</f>
        <v>54</v>
      </c>
      <c r="I75">
        <f ca="1">OFFSET(载具预期!O$35,$D75,0)-OFFSET(载具预期!O$35,$D74,0)</f>
        <v>59.0399999999995</v>
      </c>
      <c r="J75">
        <f ca="1">OFFSET(载具预期!P$35,$D75,0)-OFFSET(载具预期!P$35,$D74,0)</f>
        <v>30.9600000000001</v>
      </c>
      <c r="K75">
        <f ca="1">OFFSET(载具预期!Q$35,$D75,0)-OFFSET(载具预期!Q$35,$D74,0)</f>
        <v>0</v>
      </c>
      <c r="L75" t="str">
        <f ca="1" t="shared" si="11"/>
        <v>[{62,21},{63,3000},{2,9600},{6030001,54},{6030002,59},{6030003,30}]</v>
      </c>
      <c r="M75" t="str">
        <f ca="1" t="shared" si="12"/>
        <v>{62,21}</v>
      </c>
      <c r="N75" t="str">
        <f ca="1" t="shared" si="13"/>
        <v>{63,3000}</v>
      </c>
      <c r="O75" t="str">
        <f ca="1" t="shared" si="14"/>
        <v>{2,9600}</v>
      </c>
      <c r="P75" t="str">
        <f ca="1" t="shared" si="15"/>
        <v>{6030001,54}</v>
      </c>
      <c r="Q75" t="str">
        <f ca="1" t="shared" si="16"/>
        <v>{6030002,59}</v>
      </c>
      <c r="R75" t="str">
        <f ca="1" t="shared" si="17"/>
        <v>{6030003,30}</v>
      </c>
      <c r="S75" t="str">
        <f ca="1" t="shared" si="18"/>
        <v/>
      </c>
      <c r="U75">
        <f t="shared" si="19"/>
        <v>19</v>
      </c>
      <c r="V75">
        <f t="shared" si="20"/>
        <v>1</v>
      </c>
      <c r="W75">
        <f ca="1" t="shared" si="21"/>
        <v>0</v>
      </c>
    </row>
    <row r="76" ht="16.5" spans="2:23">
      <c r="B76">
        <v>29</v>
      </c>
      <c r="C76" s="4">
        <v>362</v>
      </c>
      <c r="D76">
        <f>MATCH(C76,载具预期!$J$36:$J$306,1)</f>
        <v>143</v>
      </c>
      <c r="E76">
        <f ca="1">OFFSET(载具预期!K$35,$D76,0)-OFFSET(载具预期!K$35,$D75,0)</f>
        <v>21</v>
      </c>
      <c r="F76">
        <f ca="1">OFFSET(载具预期!L$35,$D76,0)-OFFSET(载具预期!L$35,$D75,0)</f>
        <v>3000</v>
      </c>
      <c r="G76">
        <f ca="1">OFFSET(载具预期!M$35,$D76,0)-OFFSET(载具预期!M$35,$D75,0)</f>
        <v>9600</v>
      </c>
      <c r="H76">
        <f ca="1">OFFSET(载具预期!N$35,$D76,0)-OFFSET(载具预期!N$35,$D75,0)</f>
        <v>54</v>
      </c>
      <c r="I76">
        <f ca="1">OFFSET(载具预期!O$35,$D76,0)-OFFSET(载具预期!O$35,$D75,0)</f>
        <v>59.0399999999995</v>
      </c>
      <c r="J76">
        <f ca="1">OFFSET(载具预期!P$35,$D76,0)-OFFSET(载具预期!P$35,$D75,0)</f>
        <v>30.9600000000002</v>
      </c>
      <c r="K76">
        <f ca="1">OFFSET(载具预期!Q$35,$D76,0)-OFFSET(载具预期!Q$35,$D75,0)</f>
        <v>0</v>
      </c>
      <c r="L76" t="str">
        <f ca="1" t="shared" si="11"/>
        <v>[{62,21},{63,3000},{2,9600},{6030001,54},{6030002,59},{6030003,30}]</v>
      </c>
      <c r="M76" t="str">
        <f ca="1" t="shared" si="12"/>
        <v>{62,21}</v>
      </c>
      <c r="N76" t="str">
        <f ca="1" t="shared" si="13"/>
        <v>{63,3000}</v>
      </c>
      <c r="O76" t="str">
        <f ca="1" t="shared" si="14"/>
        <v>{2,9600}</v>
      </c>
      <c r="P76" t="str">
        <f ca="1" t="shared" si="15"/>
        <v>{6030001,54}</v>
      </c>
      <c r="Q76" t="str">
        <f ca="1" t="shared" si="16"/>
        <v>{6030002,59}</v>
      </c>
      <c r="R76" t="str">
        <f ca="1" t="shared" si="17"/>
        <v>{6030003,30}</v>
      </c>
      <c r="S76" t="str">
        <f ca="1" t="shared" si="18"/>
        <v/>
      </c>
      <c r="U76">
        <f t="shared" si="19"/>
        <v>19</v>
      </c>
      <c r="V76">
        <f t="shared" si="20"/>
        <v>2</v>
      </c>
      <c r="W76">
        <f ca="1" t="shared" si="21"/>
        <v>0</v>
      </c>
    </row>
    <row r="77" ht="16.5" spans="2:23">
      <c r="B77">
        <v>30</v>
      </c>
      <c r="C77" s="4">
        <v>372</v>
      </c>
      <c r="D77">
        <f>MATCH(C77,载具预期!$J$36:$J$306,1)</f>
        <v>146</v>
      </c>
      <c r="E77">
        <f ca="1">OFFSET(载具预期!K$35,$D77,0)-OFFSET(载具预期!K$35,$D76,0)</f>
        <v>21</v>
      </c>
      <c r="F77">
        <f ca="1">OFFSET(载具预期!L$35,$D77,0)-OFFSET(载具预期!L$35,$D76,0)</f>
        <v>3080</v>
      </c>
      <c r="G77">
        <f ca="1">OFFSET(载具预期!M$35,$D77,0)-OFFSET(载具预期!M$35,$D76,0)</f>
        <v>9800</v>
      </c>
      <c r="H77">
        <f ca="1">OFFSET(载具预期!N$35,$D77,0)-OFFSET(载具预期!N$35,$D76,0)</f>
        <v>54</v>
      </c>
      <c r="I77">
        <f ca="1">OFFSET(载具预期!O$35,$D77,0)-OFFSET(载具预期!O$35,$D76,0)</f>
        <v>62.0799999999995</v>
      </c>
      <c r="J77">
        <f ca="1">OFFSET(载具预期!P$35,$D77,0)-OFFSET(载具预期!P$35,$D76,0)</f>
        <v>31.92</v>
      </c>
      <c r="K77">
        <f ca="1">OFFSET(载具预期!Q$35,$D77,0)-OFFSET(载具预期!Q$35,$D76,0)</f>
        <v>0</v>
      </c>
      <c r="L77" t="str">
        <f ca="1" t="shared" si="11"/>
        <v>[{62,21},{63,3080},{2,9800},{6030001,54},{6030002,62},{6030003,31}]</v>
      </c>
      <c r="M77" t="str">
        <f ca="1" t="shared" si="12"/>
        <v>{62,21}</v>
      </c>
      <c r="N77" t="str">
        <f ca="1" t="shared" si="13"/>
        <v>{63,3080}</v>
      </c>
      <c r="O77" t="str">
        <f ca="1" t="shared" si="14"/>
        <v>{2,9800}</v>
      </c>
      <c r="P77" t="str">
        <f ca="1" t="shared" si="15"/>
        <v>{6030001,54}</v>
      </c>
      <c r="Q77" t="str">
        <f ca="1" t="shared" si="16"/>
        <v>{6030002,62}</v>
      </c>
      <c r="R77" t="str">
        <f ca="1" t="shared" si="17"/>
        <v>{6030003,31}</v>
      </c>
      <c r="S77" t="str">
        <f ca="1" t="shared" si="18"/>
        <v/>
      </c>
      <c r="U77">
        <f t="shared" si="19"/>
        <v>19</v>
      </c>
      <c r="V77">
        <f t="shared" si="20"/>
        <v>3</v>
      </c>
      <c r="W77">
        <f ca="1" t="shared" si="21"/>
        <v>0</v>
      </c>
    </row>
    <row r="78" ht="16.5" spans="2:23">
      <c r="B78">
        <v>31</v>
      </c>
      <c r="C78" s="4">
        <v>382</v>
      </c>
      <c r="D78">
        <f>MATCH(C78,载具预期!$J$36:$J$306,1)</f>
        <v>150</v>
      </c>
      <c r="E78">
        <f ca="1">OFFSET(载具预期!K$35,$D78,0)-OFFSET(载具预期!K$35,$D77,0)</f>
        <v>27</v>
      </c>
      <c r="F78">
        <f ca="1">OFFSET(载具预期!L$35,$D78,0)-OFFSET(载具预期!L$35,$D77,0)</f>
        <v>3055</v>
      </c>
      <c r="G78">
        <f ca="1">OFFSET(载具预期!M$35,$D78,0)-OFFSET(载具预期!M$35,$D77,0)</f>
        <v>6200</v>
      </c>
      <c r="H78">
        <f ca="1">OFFSET(载具预期!N$35,$D78,0)-OFFSET(载具预期!N$35,$D77,0)</f>
        <v>63</v>
      </c>
      <c r="I78">
        <f ca="1">OFFSET(载具预期!O$35,$D78,0)-OFFSET(载具预期!O$35,$D77,0)</f>
        <v>73.6799999999994</v>
      </c>
      <c r="J78">
        <f ca="1">OFFSET(载具预期!P$35,$D78,0)-OFFSET(载具预期!P$35,$D77,0)</f>
        <v>36.5599999999998</v>
      </c>
      <c r="K78">
        <v>0</v>
      </c>
      <c r="L78" t="str">
        <f ca="1" t="shared" si="11"/>
        <v>[{62,27},{63,3055},{2,6200},{6030001,63},{6030002,73},{6030003,36}]</v>
      </c>
      <c r="M78" t="str">
        <f ca="1" t="shared" si="12"/>
        <v>{62,27}</v>
      </c>
      <c r="N78" t="str">
        <f ca="1" t="shared" si="13"/>
        <v>{63,3055}</v>
      </c>
      <c r="O78" t="str">
        <f ca="1" t="shared" si="14"/>
        <v>{2,6200}</v>
      </c>
      <c r="P78" t="str">
        <f ca="1" t="shared" si="15"/>
        <v>{6030001,63}</v>
      </c>
      <c r="Q78" t="str">
        <f ca="1" t="shared" si="16"/>
        <v>{6030002,73}</v>
      </c>
      <c r="R78" t="str">
        <f ca="1" t="shared" si="17"/>
        <v>{6030003,36}</v>
      </c>
      <c r="S78" t="str">
        <f t="shared" si="18"/>
        <v/>
      </c>
      <c r="U78">
        <f t="shared" si="19"/>
        <v>19</v>
      </c>
      <c r="V78">
        <f t="shared" si="20"/>
        <v>4</v>
      </c>
      <c r="W78">
        <f ca="1" t="shared" si="21"/>
        <v>0</v>
      </c>
    </row>
    <row r="79" ht="16.5" spans="2:23">
      <c r="B79">
        <v>32</v>
      </c>
      <c r="C79" s="4">
        <v>392</v>
      </c>
      <c r="D79">
        <f>MATCH(C79,载具预期!$J$36:$J$306,1)</f>
        <v>154</v>
      </c>
      <c r="E79">
        <f ca="1">OFFSET(载具预期!K$35,$D79,0)-OFFSET(载具预期!K$35,$D78,0)</f>
        <v>28</v>
      </c>
      <c r="F79">
        <f ca="1">OFFSET(载具预期!L$35,$D79,0)-OFFSET(载具预期!L$35,$D78,0)</f>
        <v>4160</v>
      </c>
      <c r="G79">
        <f ca="1">OFFSET(载具预期!M$35,$D79,0)-OFFSET(载具预期!M$35,$D78,0)</f>
        <v>13200</v>
      </c>
      <c r="H79">
        <f ca="1">OFFSET(载具预期!N$35,$D79,0)-OFFSET(载具预期!N$35,$D78,0)</f>
        <v>72</v>
      </c>
      <c r="I79">
        <f ca="1">OFFSET(载具预期!O$35,$D79,0)-OFFSET(载具预期!O$35,$D78,0)</f>
        <v>84.7999999999993</v>
      </c>
      <c r="J79">
        <f ca="1">OFFSET(载具预期!P$35,$D79,0)-OFFSET(载具预期!P$35,$D78,0)</f>
        <v>43.1999999999998</v>
      </c>
      <c r="K79">
        <v>0</v>
      </c>
      <c r="L79" t="str">
        <f ca="1" t="shared" si="11"/>
        <v>[{62,28},{63,4160},{2,13200},{6030001,72},{6030002,84},{6030003,43}]</v>
      </c>
      <c r="M79" t="str">
        <f ca="1" t="shared" si="12"/>
        <v>{62,28}</v>
      </c>
      <c r="N79" t="str">
        <f ca="1" t="shared" si="13"/>
        <v>{63,4160}</v>
      </c>
      <c r="O79" t="str">
        <f ca="1" t="shared" si="14"/>
        <v>{2,13200}</v>
      </c>
      <c r="P79" t="str">
        <f ca="1" t="shared" si="15"/>
        <v>{6030001,72}</v>
      </c>
      <c r="Q79" t="str">
        <f ca="1" t="shared" si="16"/>
        <v>{6030002,84}</v>
      </c>
      <c r="R79" t="str">
        <f ca="1" t="shared" si="17"/>
        <v>{6030003,43}</v>
      </c>
      <c r="S79" t="str">
        <f t="shared" si="18"/>
        <v/>
      </c>
      <c r="U79">
        <f t="shared" si="19"/>
        <v>20</v>
      </c>
      <c r="V79">
        <f t="shared" si="20"/>
        <v>1</v>
      </c>
      <c r="W79">
        <f ca="1" t="shared" si="21"/>
        <v>0</v>
      </c>
    </row>
    <row r="80" ht="16.5" spans="2:23">
      <c r="B80">
        <v>33</v>
      </c>
      <c r="C80" s="4">
        <v>402</v>
      </c>
      <c r="D80">
        <f>MATCH(C80,载具预期!$J$36:$J$306,1)</f>
        <v>159</v>
      </c>
      <c r="E80">
        <f ca="1">OFFSET(载具预期!K$35,$D80,0)-OFFSET(载具预期!K$35,$D79,0)</f>
        <v>35</v>
      </c>
      <c r="F80">
        <f ca="1">OFFSET(载具预期!L$35,$D80,0)-OFFSET(载具预期!L$35,$D79,0)</f>
        <v>5200</v>
      </c>
      <c r="G80">
        <f ca="1">OFFSET(载具预期!M$35,$D80,0)-OFFSET(载具预期!M$35,$D79,0)</f>
        <v>16500</v>
      </c>
      <c r="H80">
        <f ca="1">OFFSET(载具预期!N$35,$D80,0)-OFFSET(载具预期!N$35,$D79,0)</f>
        <v>90</v>
      </c>
      <c r="I80">
        <f ca="1">OFFSET(载具预期!O$35,$D80,0)-OFFSET(载具预期!O$35,$D79,0)</f>
        <v>105.999999999999</v>
      </c>
      <c r="J80">
        <f ca="1">OFFSET(载具预期!P$35,$D80,0)-OFFSET(载具预期!P$35,$D79,0)</f>
        <v>53.9999999999998</v>
      </c>
      <c r="K80">
        <f ca="1">OFFSET(载具预期!Q$35,$D80,0)-OFFSET(载具预期!Q$35,$D79,0)</f>
        <v>0</v>
      </c>
      <c r="L80" t="str">
        <f ca="1" t="shared" si="11"/>
        <v>[{62,35},{63,5200},{2,16500},{6030001,90},{6030002,105},{6030003,53}]</v>
      </c>
      <c r="M80" t="str">
        <f ca="1" t="shared" si="12"/>
        <v>{62,35}</v>
      </c>
      <c r="N80" t="str">
        <f ca="1" t="shared" si="13"/>
        <v>{63,5200}</v>
      </c>
      <c r="O80" t="str">
        <f ca="1" t="shared" si="14"/>
        <v>{2,16500}</v>
      </c>
      <c r="P80" t="str">
        <f ca="1" t="shared" si="15"/>
        <v>{6030001,90}</v>
      </c>
      <c r="Q80" t="str">
        <f ca="1" t="shared" si="16"/>
        <v>{6030002,105}</v>
      </c>
      <c r="R80" t="str">
        <f ca="1" t="shared" si="17"/>
        <v>{6030003,53}</v>
      </c>
      <c r="S80" t="str">
        <f ca="1" t="shared" si="18"/>
        <v/>
      </c>
      <c r="U80">
        <f t="shared" si="19"/>
        <v>20</v>
      </c>
      <c r="V80">
        <f t="shared" si="20"/>
        <v>2</v>
      </c>
      <c r="W80">
        <f ca="1" t="shared" si="21"/>
        <v>0</v>
      </c>
    </row>
    <row r="81" ht="16.5" spans="2:23">
      <c r="B81">
        <v>34</v>
      </c>
      <c r="C81" s="4">
        <v>412</v>
      </c>
      <c r="D81">
        <f>MATCH(C81,载具预期!$J$36:$J$306,1)</f>
        <v>164</v>
      </c>
      <c r="E81">
        <f ca="1">OFFSET(载具预期!K$35,$D81,0)-OFFSET(载具预期!K$35,$D80,0)</f>
        <v>35</v>
      </c>
      <c r="F81">
        <f ca="1">OFFSET(载具预期!L$35,$D81,0)-OFFSET(载具预期!L$35,$D80,0)</f>
        <v>5200</v>
      </c>
      <c r="G81">
        <f ca="1">OFFSET(载具预期!M$35,$D81,0)-OFFSET(载具预期!M$35,$D80,0)</f>
        <v>16500</v>
      </c>
      <c r="H81">
        <f ca="1">OFFSET(载具预期!N$35,$D81,0)-OFFSET(载具预期!N$35,$D80,0)</f>
        <v>90</v>
      </c>
      <c r="I81">
        <f ca="1">OFFSET(载具预期!O$35,$D81,0)-OFFSET(载具预期!O$35,$D80,0)</f>
        <v>105.999999999999</v>
      </c>
      <c r="J81">
        <f ca="1">OFFSET(载具预期!P$35,$D81,0)-OFFSET(载具预期!P$35,$D80,0)</f>
        <v>53.9999999999998</v>
      </c>
      <c r="K81">
        <f ca="1">OFFSET(载具预期!Q$35,$D81,0)-OFFSET(载具预期!Q$35,$D80,0)</f>
        <v>0</v>
      </c>
      <c r="L81" t="str">
        <f ca="1" t="shared" si="11"/>
        <v>[{62,35},{63,5200},{2,16500},{6030001,90},{6030002,105},{6030003,53}]</v>
      </c>
      <c r="M81" t="str">
        <f ca="1" t="shared" si="12"/>
        <v>{62,35}</v>
      </c>
      <c r="N81" t="str">
        <f ca="1" t="shared" si="13"/>
        <v>{63,5200}</v>
      </c>
      <c r="O81" t="str">
        <f ca="1" t="shared" si="14"/>
        <v>{2,16500}</v>
      </c>
      <c r="P81" t="str">
        <f ca="1" t="shared" si="15"/>
        <v>{6030001,90}</v>
      </c>
      <c r="Q81" t="str">
        <f ca="1" t="shared" si="16"/>
        <v>{6030002,105}</v>
      </c>
      <c r="R81" t="str">
        <f ca="1" t="shared" si="17"/>
        <v>{6030003,53}</v>
      </c>
      <c r="S81" t="str">
        <f ca="1" t="shared" si="18"/>
        <v/>
      </c>
      <c r="U81">
        <f t="shared" si="19"/>
        <v>20</v>
      </c>
      <c r="V81">
        <f t="shared" si="20"/>
        <v>3</v>
      </c>
      <c r="W81">
        <f ca="1" t="shared" si="21"/>
        <v>0</v>
      </c>
    </row>
    <row r="82" ht="16.5" spans="2:23">
      <c r="B82">
        <v>35</v>
      </c>
      <c r="C82" s="4">
        <v>422</v>
      </c>
      <c r="D82">
        <f>MATCH(C82,载具预期!$J$36:$J$306,1)</f>
        <v>169</v>
      </c>
      <c r="E82">
        <f ca="1">OFFSET(载具预期!K$35,$D82,0)-OFFSET(载具预期!K$35,$D81,0)</f>
        <v>35</v>
      </c>
      <c r="F82">
        <f ca="1">OFFSET(载具预期!L$35,$D82,0)-OFFSET(载具预期!L$35,$D81,0)</f>
        <v>5325</v>
      </c>
      <c r="G82">
        <f ca="1">OFFSET(载具预期!M$35,$D82,0)-OFFSET(载具预期!M$35,$D81,0)</f>
        <v>17000</v>
      </c>
      <c r="H82">
        <f ca="1">OFFSET(载具预期!N$35,$D82,0)-OFFSET(载具预期!N$35,$D81,0)</f>
        <v>90</v>
      </c>
      <c r="I82">
        <f ca="1">OFFSET(载具预期!O$35,$D82,0)-OFFSET(载具预期!O$35,$D81,0)</f>
        <v>103.599999999999</v>
      </c>
      <c r="J82">
        <f ca="1">OFFSET(载具预期!P$35,$D82,0)-OFFSET(载具预期!P$35,$D81,0)</f>
        <v>66.3999999999999</v>
      </c>
      <c r="K82">
        <f ca="1">OFFSET(载具预期!Q$35,$D82,0)-OFFSET(载具预期!Q$35,$D81,0)</f>
        <v>0</v>
      </c>
      <c r="L82" t="str">
        <f ca="1" t="shared" si="11"/>
        <v>[{62,35},{63,5325},{2,17000},{6030001,90},{6030002,103},{6030003,66}]</v>
      </c>
      <c r="M82" t="str">
        <f ca="1" t="shared" si="12"/>
        <v>{62,35}</v>
      </c>
      <c r="N82" t="str">
        <f ca="1" t="shared" si="13"/>
        <v>{63,5325}</v>
      </c>
      <c r="O82" t="str">
        <f ca="1" t="shared" si="14"/>
        <v>{2,17000}</v>
      </c>
      <c r="P82" t="str">
        <f ca="1" t="shared" si="15"/>
        <v>{6030001,90}</v>
      </c>
      <c r="Q82" t="str">
        <f ca="1" t="shared" si="16"/>
        <v>{6030002,103}</v>
      </c>
      <c r="R82" t="str">
        <f ca="1" t="shared" si="17"/>
        <v>{6030003,66}</v>
      </c>
      <c r="S82" t="str">
        <f ca="1" t="shared" si="18"/>
        <v/>
      </c>
      <c r="U82">
        <f t="shared" si="19"/>
        <v>20</v>
      </c>
      <c r="V82">
        <f t="shared" si="20"/>
        <v>4</v>
      </c>
      <c r="W82">
        <f ca="1" t="shared" si="21"/>
        <v>0</v>
      </c>
    </row>
    <row r="83" ht="16.5" spans="2:23">
      <c r="B83">
        <v>36</v>
      </c>
      <c r="C83" s="4">
        <v>432</v>
      </c>
      <c r="D83">
        <f>MATCH(C83,载具预期!$J$36:$J$306,1)</f>
        <v>174</v>
      </c>
      <c r="E83">
        <f ca="1">OFFSET(载具预期!K$35,$D83,0)-OFFSET(载具预期!K$35,$D82,0)</f>
        <v>34</v>
      </c>
      <c r="F83">
        <f ca="1">OFFSET(载具预期!L$35,$D83,0)-OFFSET(载具预期!L$35,$D82,0)</f>
        <v>4200</v>
      </c>
      <c r="G83">
        <f ca="1">OFFSET(载具预期!M$35,$D83,0)-OFFSET(载具预期!M$35,$D82,0)</f>
        <v>9800</v>
      </c>
      <c r="H83">
        <f ca="1">OFFSET(载具预期!N$35,$D83,0)-OFFSET(载具预期!N$35,$D82,0)</f>
        <v>81</v>
      </c>
      <c r="I83">
        <f ca="1">OFFSET(载具预期!O$35,$D83,0)-OFFSET(载具预期!O$35,$D82,0)</f>
        <v>92.9599999999991</v>
      </c>
      <c r="J83">
        <f ca="1">OFFSET(载具预期!P$35,$D83,0)-OFFSET(载具预期!P$35,$D82,0)</f>
        <v>58.5199999999999</v>
      </c>
      <c r="K83">
        <v>0</v>
      </c>
      <c r="L83" t="str">
        <f ca="1" t="shared" si="11"/>
        <v>[{62,34},{63,4200},{2,9800},{6030001,81},{6030002,92},{6030003,58}]</v>
      </c>
      <c r="M83" t="str">
        <f ca="1" t="shared" si="12"/>
        <v>{62,34}</v>
      </c>
      <c r="N83" t="str">
        <f ca="1" t="shared" si="13"/>
        <v>{63,4200}</v>
      </c>
      <c r="O83" t="str">
        <f ca="1" t="shared" si="14"/>
        <v>{2,9800}</v>
      </c>
      <c r="P83" t="str">
        <f ca="1" t="shared" si="15"/>
        <v>{6030001,81}</v>
      </c>
      <c r="Q83" t="str">
        <f ca="1" t="shared" si="16"/>
        <v>{6030002,92}</v>
      </c>
      <c r="R83" t="str">
        <f ca="1" t="shared" si="17"/>
        <v>{6030003,58}</v>
      </c>
      <c r="S83" t="str">
        <f t="shared" si="18"/>
        <v/>
      </c>
      <c r="U83">
        <f t="shared" si="19"/>
        <v>21</v>
      </c>
      <c r="V83">
        <f t="shared" si="20"/>
        <v>1</v>
      </c>
      <c r="W83">
        <f ca="1" t="shared" si="21"/>
        <v>0</v>
      </c>
    </row>
    <row r="84" ht="16.5" spans="2:23">
      <c r="B84">
        <v>37</v>
      </c>
      <c r="C84" s="4">
        <v>442</v>
      </c>
      <c r="D84">
        <f>MATCH(C84,载具预期!$J$36:$J$306,1)</f>
        <v>179</v>
      </c>
      <c r="E84">
        <f ca="1">OFFSET(载具预期!K$35,$D84,0)-OFFSET(载具预期!K$35,$D83,0)</f>
        <v>35</v>
      </c>
      <c r="F84">
        <f ca="1">OFFSET(载具预期!L$35,$D84,0)-OFFSET(载具预期!L$35,$D83,0)</f>
        <v>5325</v>
      </c>
      <c r="G84">
        <f ca="1">OFFSET(载具预期!M$35,$D84,0)-OFFSET(载具预期!M$35,$D83,0)</f>
        <v>17000</v>
      </c>
      <c r="H84">
        <f ca="1">OFFSET(载具预期!N$35,$D84,0)-OFFSET(载具预期!N$35,$D83,0)</f>
        <v>90</v>
      </c>
      <c r="I84">
        <f ca="1">OFFSET(载具预期!O$35,$D84,0)-OFFSET(载具预期!O$35,$D83,0)</f>
        <v>103.600000000001</v>
      </c>
      <c r="J84">
        <f ca="1">OFFSET(载具预期!P$35,$D84,0)-OFFSET(载具预期!P$35,$D83,0)</f>
        <v>66.3999999999999</v>
      </c>
      <c r="K84">
        <f ca="1">OFFSET(载具预期!Q$35,$D84,0)-OFFSET(载具预期!Q$35,$D83,0)</f>
        <v>0</v>
      </c>
      <c r="L84" t="str">
        <f ca="1" t="shared" si="11"/>
        <v>[{62,35},{63,5325},{2,17000},{6030001,90},{6030002,103},{6030003,66}]</v>
      </c>
      <c r="M84" t="str">
        <f ca="1" t="shared" si="12"/>
        <v>{62,35}</v>
      </c>
      <c r="N84" t="str">
        <f ca="1" t="shared" si="13"/>
        <v>{63,5325}</v>
      </c>
      <c r="O84" t="str">
        <f ca="1" t="shared" si="14"/>
        <v>{2,17000}</v>
      </c>
      <c r="P84" t="str">
        <f ca="1" t="shared" si="15"/>
        <v>{6030001,90}</v>
      </c>
      <c r="Q84" t="str">
        <f ca="1" t="shared" si="16"/>
        <v>{6030002,103}</v>
      </c>
      <c r="R84" t="str">
        <f ca="1" t="shared" si="17"/>
        <v>{6030003,66}</v>
      </c>
      <c r="S84" t="str">
        <f ca="1" t="shared" si="18"/>
        <v/>
      </c>
      <c r="U84">
        <f t="shared" si="19"/>
        <v>21</v>
      </c>
      <c r="V84">
        <f t="shared" si="20"/>
        <v>2</v>
      </c>
      <c r="W84">
        <f ca="1" t="shared" si="21"/>
        <v>0</v>
      </c>
    </row>
    <row r="85" ht="16.5" spans="2:23">
      <c r="B85">
        <v>38</v>
      </c>
      <c r="C85" s="4">
        <v>452</v>
      </c>
      <c r="D85">
        <f>MATCH(C85,载具预期!$J$36:$J$306,1)</f>
        <v>184</v>
      </c>
      <c r="E85">
        <f ca="1">OFFSET(载具预期!K$35,$D85,0)-OFFSET(载具预期!K$35,$D84,0)</f>
        <v>35</v>
      </c>
      <c r="F85">
        <f ca="1">OFFSET(载具预期!L$35,$D85,0)-OFFSET(载具预期!L$35,$D84,0)</f>
        <v>5325</v>
      </c>
      <c r="G85">
        <f ca="1">OFFSET(载具预期!M$35,$D85,0)-OFFSET(载具预期!M$35,$D84,0)</f>
        <v>17000</v>
      </c>
      <c r="H85">
        <f ca="1">OFFSET(载具预期!N$35,$D85,0)-OFFSET(载具预期!N$35,$D84,0)</f>
        <v>90</v>
      </c>
      <c r="I85">
        <f ca="1">OFFSET(载具预期!O$35,$D85,0)-OFFSET(载具预期!O$35,$D84,0)</f>
        <v>103.600000000001</v>
      </c>
      <c r="J85">
        <f ca="1">OFFSET(载具预期!P$35,$D85,0)-OFFSET(载具预期!P$35,$D84,0)</f>
        <v>66.4000000000001</v>
      </c>
      <c r="K85">
        <f ca="1">OFFSET(载具预期!Q$35,$D85,0)-OFFSET(载具预期!Q$35,$D84,0)</f>
        <v>0</v>
      </c>
      <c r="L85" t="str">
        <f ca="1" t="shared" si="11"/>
        <v>[{62,35},{63,5325},{2,17000},{6030001,90},{6030002,103},{6030003,66}]</v>
      </c>
      <c r="M85" t="str">
        <f ca="1" t="shared" si="12"/>
        <v>{62,35}</v>
      </c>
      <c r="N85" t="str">
        <f ca="1" t="shared" si="13"/>
        <v>{63,5325}</v>
      </c>
      <c r="O85" t="str">
        <f ca="1" t="shared" si="14"/>
        <v>{2,17000}</v>
      </c>
      <c r="P85" t="str">
        <f ca="1" t="shared" si="15"/>
        <v>{6030001,90}</v>
      </c>
      <c r="Q85" t="str">
        <f ca="1" t="shared" si="16"/>
        <v>{6030002,103}</v>
      </c>
      <c r="R85" t="str">
        <f ca="1" t="shared" si="17"/>
        <v>{6030003,66}</v>
      </c>
      <c r="S85" t="str">
        <f ca="1" t="shared" si="18"/>
        <v/>
      </c>
      <c r="U85">
        <f t="shared" si="19"/>
        <v>21</v>
      </c>
      <c r="V85">
        <f t="shared" si="20"/>
        <v>3</v>
      </c>
      <c r="W85">
        <f ca="1" t="shared" si="21"/>
        <v>0</v>
      </c>
    </row>
    <row r="86" ht="16.5" spans="2:23">
      <c r="B86">
        <v>39</v>
      </c>
      <c r="C86" s="4">
        <v>462</v>
      </c>
      <c r="D86">
        <f>MATCH(C86,载具预期!$J$36:$J$306,1)</f>
        <v>189</v>
      </c>
      <c r="E86">
        <f ca="1">OFFSET(载具预期!K$35,$D86,0)-OFFSET(载具预期!K$35,$D85,0)</f>
        <v>35</v>
      </c>
      <c r="F86">
        <f ca="1">OFFSET(载具预期!L$35,$D86,0)-OFFSET(载具预期!L$35,$D85,0)</f>
        <v>5525</v>
      </c>
      <c r="G86">
        <f ca="1">OFFSET(载具预期!M$35,$D86,0)-OFFSET(载具预期!M$35,$D85,0)</f>
        <v>17500</v>
      </c>
      <c r="H86">
        <f ca="1">OFFSET(载具预期!N$35,$D86,0)-OFFSET(载具预期!N$35,$D85,0)</f>
        <v>90</v>
      </c>
      <c r="I86">
        <f ca="1">OFFSET(载具预期!O$35,$D86,0)-OFFSET(载具预期!O$35,$D85,0)</f>
        <v>111.199999999999</v>
      </c>
      <c r="J86">
        <f ca="1">OFFSET(载具预期!P$35,$D86,0)-OFFSET(载具预期!P$35,$D85,0)</f>
        <v>66.3999999999999</v>
      </c>
      <c r="K86">
        <f ca="1">OFFSET(载具预期!Q$35,$D86,0)-OFFSET(载具预期!Q$35,$D85,0)</f>
        <v>2.4</v>
      </c>
      <c r="L86" t="str">
        <f ca="1" t="shared" si="11"/>
        <v>[{62,35},{63,5525},{2,17500},{6030001,90},{6030002,111},{6030003,66},{6030004,2}]</v>
      </c>
      <c r="M86" t="str">
        <f ca="1" t="shared" si="12"/>
        <v>{62,35}</v>
      </c>
      <c r="N86" t="str">
        <f ca="1" t="shared" si="13"/>
        <v>{63,5525}</v>
      </c>
      <c r="O86" t="str">
        <f ca="1" t="shared" si="14"/>
        <v>{2,17500}</v>
      </c>
      <c r="P86" t="str">
        <f ca="1" t="shared" si="15"/>
        <v>{6030001,90}</v>
      </c>
      <c r="Q86" t="str">
        <f ca="1" t="shared" si="16"/>
        <v>{6030002,111}</v>
      </c>
      <c r="R86" t="str">
        <f ca="1" t="shared" si="17"/>
        <v>{6030003,66}</v>
      </c>
      <c r="S86" t="str">
        <f ca="1" t="shared" si="18"/>
        <v>{6030004,2}</v>
      </c>
      <c r="U86">
        <f t="shared" si="19"/>
        <v>21</v>
      </c>
      <c r="V86">
        <f t="shared" si="20"/>
        <v>4</v>
      </c>
      <c r="W86">
        <f ca="1" t="shared" si="21"/>
        <v>0</v>
      </c>
    </row>
    <row r="87" ht="16.5" spans="2:23">
      <c r="B87">
        <v>40</v>
      </c>
      <c r="C87" s="4">
        <v>472</v>
      </c>
      <c r="D87">
        <f>MATCH(C87,载具预期!$J$36:$J$306,1)</f>
        <v>194</v>
      </c>
      <c r="E87">
        <f ca="1">OFFSET(载具预期!K$35,$D87,0)-OFFSET(载具预期!K$35,$D86,0)</f>
        <v>34</v>
      </c>
      <c r="F87">
        <f ca="1">OFFSET(载具预期!L$35,$D87,0)-OFFSET(载具预期!L$35,$D86,0)</f>
        <v>4360</v>
      </c>
      <c r="G87">
        <f ca="1">OFFSET(载具预期!M$35,$D87,0)-OFFSET(载具预期!M$35,$D86,0)</f>
        <v>10100</v>
      </c>
      <c r="H87">
        <f ca="1">OFFSET(载具预期!N$35,$D87,0)-OFFSET(载具预期!N$35,$D86,0)</f>
        <v>80.9999999999995</v>
      </c>
      <c r="I87">
        <f ca="1">OFFSET(载具预期!O$35,$D87,0)-OFFSET(载具预期!O$35,$D86,0)</f>
        <v>101.039999999999</v>
      </c>
      <c r="J87">
        <f ca="1">OFFSET(载具预期!P$35,$D87,0)-OFFSET(载具预期!P$35,$D86,0)</f>
        <v>58.2799999999997</v>
      </c>
      <c r="K87">
        <f ca="1">OFFSET(载具预期!Q$35,$D87,0)-OFFSET(载具预期!Q$35,$D86,0)</f>
        <v>1.68</v>
      </c>
      <c r="L87" t="str">
        <f ca="1" t="shared" si="11"/>
        <v>[{62,34},{63,4360},{2,10100},{6030001,80},{6030002,101},{6030003,58},{6030004,1}]</v>
      </c>
      <c r="M87" t="str">
        <f ca="1" t="shared" si="12"/>
        <v>{62,34}</v>
      </c>
      <c r="N87" t="str">
        <f ca="1" t="shared" si="13"/>
        <v>{63,4360}</v>
      </c>
      <c r="O87" t="str">
        <f ca="1" t="shared" si="14"/>
        <v>{2,10100}</v>
      </c>
      <c r="P87" t="str">
        <f ca="1" t="shared" si="15"/>
        <v>{6030001,80}</v>
      </c>
      <c r="Q87" t="str">
        <f ca="1" t="shared" si="16"/>
        <v>{6030002,101}</v>
      </c>
      <c r="R87" t="str">
        <f ca="1" t="shared" si="17"/>
        <v>{6030003,58}</v>
      </c>
      <c r="S87" t="str">
        <f ca="1" t="shared" si="18"/>
        <v>{6030004,1}</v>
      </c>
      <c r="U87">
        <f t="shared" si="19"/>
        <v>22</v>
      </c>
      <c r="V87">
        <f t="shared" si="20"/>
        <v>1</v>
      </c>
      <c r="W87">
        <f ca="1" t="shared" si="21"/>
        <v>0</v>
      </c>
    </row>
    <row r="88" spans="2:23">
      <c r="U88">
        <f t="shared" si="19"/>
        <v>22</v>
      </c>
      <c r="V88">
        <f t="shared" si="20"/>
        <v>2</v>
      </c>
      <c r="W88">
        <f ca="1" t="shared" si="21"/>
        <v>0</v>
      </c>
    </row>
    <row r="89" spans="2:23">
      <c r="U89">
        <f t="shared" si="19"/>
        <v>22</v>
      </c>
      <c r="V89">
        <f t="shared" si="20"/>
        <v>3</v>
      </c>
      <c r="W89">
        <f ca="1" t="shared" si="21"/>
        <v>0</v>
      </c>
    </row>
    <row r="90" spans="2:23">
      <c r="U90">
        <f t="shared" si="19"/>
        <v>22</v>
      </c>
      <c r="V90">
        <f t="shared" si="20"/>
        <v>4</v>
      </c>
      <c r="W90">
        <f ca="1" t="shared" si="21"/>
        <v>0</v>
      </c>
    </row>
    <row r="91" spans="2:23">
      <c r="U91">
        <f t="shared" si="19"/>
        <v>23</v>
      </c>
      <c r="V91">
        <f t="shared" si="20"/>
        <v>1</v>
      </c>
      <c r="W91">
        <f ca="1" t="shared" si="21"/>
        <v>0</v>
      </c>
    </row>
    <row r="92" spans="2:23">
      <c r="U92">
        <f t="shared" si="19"/>
        <v>23</v>
      </c>
      <c r="V92">
        <f t="shared" si="20"/>
        <v>2</v>
      </c>
      <c r="W92">
        <f ca="1" t="shared" si="21"/>
        <v>0</v>
      </c>
    </row>
    <row r="93" spans="2:23">
      <c r="U93">
        <f t="shared" si="19"/>
        <v>23</v>
      </c>
      <c r="V93">
        <f t="shared" si="20"/>
        <v>3</v>
      </c>
      <c r="W93">
        <f ca="1" t="shared" si="21"/>
        <v>0</v>
      </c>
    </row>
    <row r="94" spans="2:23">
      <c r="U94">
        <f t="shared" si="19"/>
        <v>23</v>
      </c>
      <c r="V94">
        <f t="shared" si="20"/>
        <v>4</v>
      </c>
      <c r="W94">
        <f ca="1" t="shared" si="21"/>
        <v>0</v>
      </c>
    </row>
    <row r="95" spans="2:23">
      <c r="U95">
        <f t="shared" si="19"/>
        <v>24</v>
      </c>
      <c r="V95">
        <f t="shared" si="20"/>
        <v>1</v>
      </c>
      <c r="W95">
        <f ca="1" t="shared" si="21"/>
        <v>0</v>
      </c>
    </row>
    <row r="96" spans="2:23">
      <c r="U96">
        <f t="shared" si="19"/>
        <v>24</v>
      </c>
      <c r="V96">
        <f t="shared" si="20"/>
        <v>2</v>
      </c>
      <c r="W96">
        <f ca="1" t="shared" si="21"/>
        <v>0</v>
      </c>
    </row>
    <row r="97" spans="21:23">
      <c r="U97">
        <f t="shared" si="19"/>
        <v>24</v>
      </c>
      <c r="V97">
        <f t="shared" si="20"/>
        <v>3</v>
      </c>
      <c r="W97">
        <f ca="1" t="shared" si="21"/>
        <v>0</v>
      </c>
    </row>
    <row r="98" spans="21:23">
      <c r="U98">
        <f t="shared" si="19"/>
        <v>24</v>
      </c>
      <c r="V98">
        <f t="shared" si="20"/>
        <v>4</v>
      </c>
      <c r="W98">
        <f ca="1" t="shared" si="21"/>
        <v>0</v>
      </c>
    </row>
    <row r="99" spans="21:23">
      <c r="U99">
        <f t="shared" si="19"/>
        <v>25</v>
      </c>
      <c r="V99">
        <f t="shared" si="20"/>
        <v>1</v>
      </c>
      <c r="W99">
        <f ca="1" t="shared" si="21"/>
        <v>0</v>
      </c>
    </row>
    <row r="100" spans="21:23">
      <c r="U100">
        <f t="shared" ref="U100:U131" si="22">U96+1</f>
        <v>25</v>
      </c>
      <c r="V100">
        <f t="shared" ref="V100:V131" si="23">V96</f>
        <v>2</v>
      </c>
      <c r="W100">
        <f ca="1" t="shared" ref="W100:W131" si="24">OFFSET($L$1,U100,V100-1)</f>
        <v>0</v>
      </c>
    </row>
    <row r="101" spans="21:23">
      <c r="U101">
        <f t="shared" si="22"/>
        <v>25</v>
      </c>
      <c r="V101">
        <f t="shared" si="23"/>
        <v>3</v>
      </c>
      <c r="W101">
        <f ca="1" t="shared" si="24"/>
        <v>0</v>
      </c>
    </row>
    <row r="102" spans="21:23">
      <c r="U102">
        <f t="shared" si="22"/>
        <v>25</v>
      </c>
      <c r="V102">
        <f t="shared" si="23"/>
        <v>4</v>
      </c>
      <c r="W102">
        <f ca="1" t="shared" si="24"/>
        <v>0</v>
      </c>
    </row>
    <row r="103" spans="21:23">
      <c r="U103">
        <f t="shared" si="22"/>
        <v>26</v>
      </c>
      <c r="V103">
        <f t="shared" si="23"/>
        <v>1</v>
      </c>
      <c r="W103">
        <f ca="1" t="shared" si="24"/>
        <v>0</v>
      </c>
    </row>
    <row r="104" spans="21:23">
      <c r="U104">
        <f t="shared" si="22"/>
        <v>26</v>
      </c>
      <c r="V104">
        <f t="shared" si="23"/>
        <v>2</v>
      </c>
      <c r="W104">
        <f ca="1" t="shared" si="24"/>
        <v>0</v>
      </c>
    </row>
    <row r="105" spans="21:23">
      <c r="U105">
        <f t="shared" si="22"/>
        <v>26</v>
      </c>
      <c r="V105">
        <f t="shared" si="23"/>
        <v>3</v>
      </c>
      <c r="W105">
        <f ca="1" t="shared" si="24"/>
        <v>0</v>
      </c>
    </row>
    <row r="106" spans="21:23">
      <c r="U106">
        <f t="shared" si="22"/>
        <v>26</v>
      </c>
      <c r="V106">
        <f t="shared" si="23"/>
        <v>4</v>
      </c>
      <c r="W106">
        <f ca="1" t="shared" si="24"/>
        <v>0</v>
      </c>
    </row>
    <row r="107" spans="21:23">
      <c r="U107">
        <f t="shared" si="22"/>
        <v>27</v>
      </c>
      <c r="V107">
        <f t="shared" si="23"/>
        <v>1</v>
      </c>
      <c r="W107">
        <f ca="1" t="shared" si="24"/>
        <v>0</v>
      </c>
    </row>
    <row r="108" spans="21:23">
      <c r="U108">
        <f t="shared" si="22"/>
        <v>27</v>
      </c>
      <c r="V108">
        <f t="shared" si="23"/>
        <v>2</v>
      </c>
      <c r="W108">
        <f ca="1" t="shared" si="24"/>
        <v>0</v>
      </c>
    </row>
    <row r="109" spans="21:23">
      <c r="U109">
        <f t="shared" si="22"/>
        <v>27</v>
      </c>
      <c r="V109">
        <f t="shared" si="23"/>
        <v>3</v>
      </c>
      <c r="W109">
        <f ca="1" t="shared" si="24"/>
        <v>0</v>
      </c>
    </row>
    <row r="110" spans="21:23">
      <c r="U110">
        <f t="shared" si="22"/>
        <v>27</v>
      </c>
      <c r="V110">
        <f t="shared" si="23"/>
        <v>4</v>
      </c>
      <c r="W110">
        <f ca="1" t="shared" si="24"/>
        <v>0</v>
      </c>
    </row>
    <row r="111" spans="21:23">
      <c r="U111">
        <f t="shared" si="22"/>
        <v>28</v>
      </c>
      <c r="V111">
        <f t="shared" si="23"/>
        <v>1</v>
      </c>
      <c r="W111">
        <f ca="1" t="shared" si="24"/>
        <v>0</v>
      </c>
    </row>
    <row r="112" spans="21:23">
      <c r="U112">
        <f t="shared" si="22"/>
        <v>28</v>
      </c>
      <c r="V112">
        <f t="shared" si="23"/>
        <v>2</v>
      </c>
      <c r="W112">
        <f ca="1" t="shared" si="24"/>
        <v>0</v>
      </c>
    </row>
    <row r="113" spans="21:23">
      <c r="U113">
        <f t="shared" si="22"/>
        <v>28</v>
      </c>
      <c r="V113">
        <f t="shared" si="23"/>
        <v>3</v>
      </c>
      <c r="W113">
        <f ca="1" t="shared" si="24"/>
        <v>0</v>
      </c>
    </row>
    <row r="114" spans="21:23">
      <c r="U114">
        <f t="shared" si="22"/>
        <v>28</v>
      </c>
      <c r="V114">
        <f t="shared" si="23"/>
        <v>4</v>
      </c>
      <c r="W114">
        <f ca="1" t="shared" si="24"/>
        <v>0</v>
      </c>
    </row>
    <row r="115" spans="21:23">
      <c r="U115">
        <f t="shared" si="22"/>
        <v>29</v>
      </c>
      <c r="V115">
        <f t="shared" si="23"/>
        <v>1</v>
      </c>
      <c r="W115">
        <f ca="1" t="shared" si="24"/>
        <v>0</v>
      </c>
    </row>
    <row r="116" spans="21:23">
      <c r="U116">
        <f t="shared" si="22"/>
        <v>29</v>
      </c>
      <c r="V116">
        <f t="shared" si="23"/>
        <v>2</v>
      </c>
      <c r="W116">
        <f ca="1" t="shared" si="24"/>
        <v>0</v>
      </c>
    </row>
    <row r="117" spans="21:23">
      <c r="U117">
        <f t="shared" si="22"/>
        <v>29</v>
      </c>
      <c r="V117">
        <f t="shared" si="23"/>
        <v>3</v>
      </c>
      <c r="W117">
        <f ca="1" t="shared" si="24"/>
        <v>0</v>
      </c>
    </row>
    <row r="118" spans="21:23">
      <c r="U118">
        <f t="shared" si="22"/>
        <v>29</v>
      </c>
      <c r="V118">
        <f t="shared" si="23"/>
        <v>4</v>
      </c>
      <c r="W118">
        <f ca="1" t="shared" si="24"/>
        <v>0</v>
      </c>
    </row>
    <row r="119" spans="21:23">
      <c r="U119">
        <f t="shared" si="22"/>
        <v>30</v>
      </c>
      <c r="V119">
        <f t="shared" si="23"/>
        <v>1</v>
      </c>
      <c r="W119">
        <f ca="1" t="shared" si="24"/>
        <v>0</v>
      </c>
    </row>
    <row r="120" spans="21:23">
      <c r="U120">
        <f t="shared" si="22"/>
        <v>30</v>
      </c>
      <c r="V120">
        <f t="shared" si="23"/>
        <v>2</v>
      </c>
      <c r="W120">
        <f ca="1" t="shared" si="24"/>
        <v>0</v>
      </c>
    </row>
    <row r="121" spans="21:23">
      <c r="U121">
        <f t="shared" si="22"/>
        <v>30</v>
      </c>
      <c r="V121">
        <f t="shared" si="23"/>
        <v>3</v>
      </c>
      <c r="W121">
        <f ca="1" t="shared" si="24"/>
        <v>0</v>
      </c>
    </row>
    <row r="122" spans="21:23">
      <c r="U122">
        <f t="shared" si="22"/>
        <v>30</v>
      </c>
      <c r="V122">
        <f t="shared" si="23"/>
        <v>4</v>
      </c>
      <c r="W122">
        <f ca="1" t="shared" si="24"/>
        <v>0</v>
      </c>
    </row>
    <row r="123" spans="21:23">
      <c r="U123">
        <f t="shared" si="22"/>
        <v>31</v>
      </c>
      <c r="V123">
        <f t="shared" si="23"/>
        <v>1</v>
      </c>
      <c r="W123">
        <f ca="1" t="shared" si="24"/>
        <v>0</v>
      </c>
    </row>
    <row r="124" spans="21:23">
      <c r="U124">
        <f t="shared" si="22"/>
        <v>31</v>
      </c>
      <c r="V124">
        <f t="shared" si="23"/>
        <v>2</v>
      </c>
      <c r="W124">
        <f ca="1" t="shared" si="24"/>
        <v>0</v>
      </c>
    </row>
    <row r="125" spans="21:23">
      <c r="U125">
        <f t="shared" si="22"/>
        <v>31</v>
      </c>
      <c r="V125">
        <f t="shared" si="23"/>
        <v>3</v>
      </c>
      <c r="W125">
        <f ca="1" t="shared" si="24"/>
        <v>0</v>
      </c>
    </row>
    <row r="126" spans="21:23">
      <c r="U126">
        <f t="shared" si="22"/>
        <v>31</v>
      </c>
      <c r="V126">
        <f t="shared" si="23"/>
        <v>4</v>
      </c>
      <c r="W126">
        <f ca="1" t="shared" si="24"/>
        <v>0</v>
      </c>
    </row>
    <row r="127" spans="21:23">
      <c r="U127">
        <f t="shared" si="22"/>
        <v>32</v>
      </c>
      <c r="V127">
        <f t="shared" si="23"/>
        <v>1</v>
      </c>
      <c r="W127">
        <f ca="1" t="shared" si="24"/>
        <v>0</v>
      </c>
    </row>
    <row r="128" spans="21:23">
      <c r="U128">
        <f t="shared" si="22"/>
        <v>32</v>
      </c>
      <c r="V128">
        <f t="shared" si="23"/>
        <v>2</v>
      </c>
      <c r="W128">
        <f ca="1" t="shared" si="24"/>
        <v>0</v>
      </c>
    </row>
    <row r="129" spans="21:23">
      <c r="U129">
        <f t="shared" si="22"/>
        <v>32</v>
      </c>
      <c r="V129">
        <f t="shared" si="23"/>
        <v>3</v>
      </c>
      <c r="W129">
        <f ca="1" t="shared" si="24"/>
        <v>0</v>
      </c>
    </row>
    <row r="130" spans="21:23">
      <c r="U130">
        <f t="shared" si="22"/>
        <v>32</v>
      </c>
      <c r="V130">
        <f t="shared" si="23"/>
        <v>4</v>
      </c>
      <c r="W130">
        <f ca="1" t="shared" si="24"/>
        <v>0</v>
      </c>
    </row>
    <row r="131" spans="21:23">
      <c r="U131">
        <f t="shared" si="22"/>
        <v>33</v>
      </c>
      <c r="V131">
        <f t="shared" si="23"/>
        <v>1</v>
      </c>
      <c r="W131">
        <f ca="1" t="shared" si="24"/>
        <v>0</v>
      </c>
    </row>
    <row r="132" spans="21:23">
      <c r="U132">
        <f t="shared" ref="U132:U156" si="25">U128+1</f>
        <v>33</v>
      </c>
      <c r="V132">
        <f t="shared" ref="V132:V156" si="26">V128</f>
        <v>2</v>
      </c>
      <c r="W132">
        <f ca="1" t="shared" ref="W132:W162" si="27">OFFSET($L$1,U132,V132-1)</f>
        <v>0</v>
      </c>
    </row>
    <row r="133" spans="21:23">
      <c r="U133">
        <f t="shared" si="25"/>
        <v>33</v>
      </c>
      <c r="V133">
        <f t="shared" si="26"/>
        <v>3</v>
      </c>
      <c r="W133">
        <f ca="1" t="shared" si="27"/>
        <v>0</v>
      </c>
    </row>
    <row r="134" spans="21:23">
      <c r="U134">
        <f t="shared" si="25"/>
        <v>33</v>
      </c>
      <c r="V134">
        <f t="shared" si="26"/>
        <v>4</v>
      </c>
      <c r="W134">
        <f ca="1" t="shared" si="27"/>
        <v>0</v>
      </c>
    </row>
    <row r="135" spans="21:23">
      <c r="U135">
        <f t="shared" si="25"/>
        <v>34</v>
      </c>
      <c r="V135">
        <f t="shared" si="26"/>
        <v>1</v>
      </c>
      <c r="W135">
        <f ca="1" t="shared" si="27"/>
        <v>0</v>
      </c>
    </row>
    <row r="136" spans="21:23">
      <c r="U136">
        <f t="shared" si="25"/>
        <v>34</v>
      </c>
      <c r="V136">
        <f t="shared" si="26"/>
        <v>2</v>
      </c>
      <c r="W136">
        <f ca="1" t="shared" si="27"/>
        <v>0</v>
      </c>
    </row>
    <row r="137" spans="21:23">
      <c r="U137">
        <f t="shared" si="25"/>
        <v>34</v>
      </c>
      <c r="V137">
        <f t="shared" si="26"/>
        <v>3</v>
      </c>
      <c r="W137">
        <f ca="1" t="shared" si="27"/>
        <v>0</v>
      </c>
    </row>
    <row r="138" spans="21:23">
      <c r="U138">
        <f t="shared" si="25"/>
        <v>34</v>
      </c>
      <c r="V138">
        <f t="shared" si="26"/>
        <v>4</v>
      </c>
      <c r="W138">
        <f ca="1" t="shared" si="27"/>
        <v>0</v>
      </c>
    </row>
    <row r="139" spans="21:23">
      <c r="U139">
        <f t="shared" si="25"/>
        <v>35</v>
      </c>
      <c r="V139">
        <f t="shared" si="26"/>
        <v>1</v>
      </c>
      <c r="W139">
        <f ca="1" t="shared" si="27"/>
        <v>0</v>
      </c>
    </row>
    <row r="140" spans="21:23">
      <c r="U140">
        <f t="shared" si="25"/>
        <v>35</v>
      </c>
      <c r="V140">
        <f t="shared" si="26"/>
        <v>2</v>
      </c>
      <c r="W140">
        <f ca="1" t="shared" si="27"/>
        <v>0</v>
      </c>
    </row>
    <row r="141" spans="21:23">
      <c r="U141">
        <f t="shared" si="25"/>
        <v>35</v>
      </c>
      <c r="V141">
        <f t="shared" si="26"/>
        <v>3</v>
      </c>
      <c r="W141">
        <f ca="1" t="shared" si="27"/>
        <v>0</v>
      </c>
    </row>
    <row r="142" spans="21:23">
      <c r="U142">
        <f t="shared" si="25"/>
        <v>35</v>
      </c>
      <c r="V142">
        <f t="shared" si="26"/>
        <v>4</v>
      </c>
      <c r="W142">
        <f ca="1" t="shared" si="27"/>
        <v>0</v>
      </c>
    </row>
    <row r="143" spans="21:23">
      <c r="U143">
        <f t="shared" si="25"/>
        <v>36</v>
      </c>
      <c r="V143">
        <f t="shared" si="26"/>
        <v>1</v>
      </c>
      <c r="W143">
        <f ca="1" t="shared" si="27"/>
        <v>0</v>
      </c>
    </row>
    <row r="144" spans="21:23">
      <c r="U144">
        <f t="shared" si="25"/>
        <v>36</v>
      </c>
      <c r="V144">
        <f t="shared" si="26"/>
        <v>2</v>
      </c>
      <c r="W144">
        <f ca="1" t="shared" si="27"/>
        <v>0</v>
      </c>
    </row>
    <row r="145" spans="21:23">
      <c r="U145">
        <f t="shared" si="25"/>
        <v>36</v>
      </c>
      <c r="V145">
        <f t="shared" si="26"/>
        <v>3</v>
      </c>
      <c r="W145">
        <f ca="1" t="shared" si="27"/>
        <v>0</v>
      </c>
    </row>
    <row r="146" spans="21:23">
      <c r="U146">
        <f t="shared" si="25"/>
        <v>36</v>
      </c>
      <c r="V146">
        <f t="shared" si="26"/>
        <v>4</v>
      </c>
      <c r="W146">
        <f ca="1" t="shared" si="27"/>
        <v>0</v>
      </c>
    </row>
    <row r="147" spans="21:23">
      <c r="U147">
        <f t="shared" si="25"/>
        <v>37</v>
      </c>
      <c r="V147">
        <f t="shared" si="26"/>
        <v>1</v>
      </c>
      <c r="W147">
        <f ca="1" t="shared" si="27"/>
        <v>0</v>
      </c>
    </row>
    <row r="148" spans="21:23">
      <c r="U148">
        <f t="shared" si="25"/>
        <v>37</v>
      </c>
      <c r="V148">
        <f t="shared" si="26"/>
        <v>2</v>
      </c>
      <c r="W148">
        <f ca="1" t="shared" si="27"/>
        <v>0</v>
      </c>
    </row>
    <row r="149" spans="21:23">
      <c r="U149">
        <f t="shared" si="25"/>
        <v>37</v>
      </c>
      <c r="V149">
        <f t="shared" si="26"/>
        <v>3</v>
      </c>
      <c r="W149">
        <f ca="1" t="shared" si="27"/>
        <v>0</v>
      </c>
    </row>
    <row r="150" spans="21:23">
      <c r="U150">
        <f t="shared" si="25"/>
        <v>37</v>
      </c>
      <c r="V150">
        <f t="shared" si="26"/>
        <v>4</v>
      </c>
      <c r="W150">
        <f ca="1" t="shared" si="27"/>
        <v>0</v>
      </c>
    </row>
    <row r="151" spans="21:23">
      <c r="U151">
        <f t="shared" si="25"/>
        <v>38</v>
      </c>
      <c r="V151">
        <f t="shared" si="26"/>
        <v>1</v>
      </c>
      <c r="W151">
        <f ca="1" t="shared" si="27"/>
        <v>0</v>
      </c>
    </row>
    <row r="152" spans="21:23">
      <c r="U152">
        <f t="shared" si="25"/>
        <v>38</v>
      </c>
      <c r="V152">
        <f t="shared" si="26"/>
        <v>2</v>
      </c>
      <c r="W152">
        <f ca="1" t="shared" si="27"/>
        <v>0</v>
      </c>
    </row>
    <row r="153" spans="21:23">
      <c r="U153">
        <f t="shared" si="25"/>
        <v>38</v>
      </c>
      <c r="V153">
        <f t="shared" si="26"/>
        <v>3</v>
      </c>
      <c r="W153">
        <f ca="1" t="shared" si="27"/>
        <v>0</v>
      </c>
    </row>
    <row r="154" spans="21:23">
      <c r="U154">
        <f t="shared" si="25"/>
        <v>38</v>
      </c>
      <c r="V154">
        <f t="shared" si="26"/>
        <v>4</v>
      </c>
      <c r="W154">
        <f ca="1" t="shared" si="27"/>
        <v>0</v>
      </c>
    </row>
    <row r="155" spans="21:23">
      <c r="U155">
        <f t="shared" si="25"/>
        <v>39</v>
      </c>
      <c r="V155">
        <f t="shared" si="26"/>
        <v>1</v>
      </c>
      <c r="W155">
        <f ca="1" t="shared" si="27"/>
        <v>0</v>
      </c>
    </row>
    <row r="156" spans="21:23">
      <c r="U156">
        <f t="shared" ref="U156:U168" si="28">U152+1</f>
        <v>39</v>
      </c>
      <c r="V156">
        <f t="shared" ref="V156:V168" si="29">V152</f>
        <v>2</v>
      </c>
      <c r="W156">
        <f ca="1" t="shared" si="27"/>
        <v>0</v>
      </c>
    </row>
    <row r="157" spans="21:23">
      <c r="U157">
        <f t="shared" si="28"/>
        <v>39</v>
      </c>
      <c r="V157">
        <f t="shared" si="29"/>
        <v>3</v>
      </c>
      <c r="W157">
        <f ca="1" t="shared" si="27"/>
        <v>0</v>
      </c>
    </row>
    <row r="158" spans="21:23">
      <c r="U158">
        <f t="shared" si="28"/>
        <v>39</v>
      </c>
      <c r="V158">
        <f t="shared" si="29"/>
        <v>4</v>
      </c>
      <c r="W158">
        <f ca="1" t="shared" si="27"/>
        <v>0</v>
      </c>
    </row>
    <row r="159" spans="21:23">
      <c r="U159">
        <f t="shared" si="28"/>
        <v>40</v>
      </c>
      <c r="V159">
        <f t="shared" si="29"/>
        <v>1</v>
      </c>
      <c r="W159">
        <f ca="1" t="shared" si="27"/>
        <v>0</v>
      </c>
    </row>
    <row r="160" spans="21:23">
      <c r="U160">
        <f t="shared" si="28"/>
        <v>40</v>
      </c>
      <c r="V160">
        <f t="shared" si="29"/>
        <v>2</v>
      </c>
      <c r="W160">
        <f ca="1" t="shared" si="27"/>
        <v>0</v>
      </c>
    </row>
    <row r="161" spans="21:23">
      <c r="U161">
        <f t="shared" si="28"/>
        <v>40</v>
      </c>
      <c r="V161">
        <f t="shared" si="29"/>
        <v>3</v>
      </c>
      <c r="W161">
        <f ca="1" t="shared" si="27"/>
        <v>0</v>
      </c>
    </row>
    <row r="162" spans="21:23">
      <c r="U162">
        <f t="shared" si="28"/>
        <v>40</v>
      </c>
      <c r="V162">
        <f t="shared" si="29"/>
        <v>4</v>
      </c>
      <c r="W162">
        <f ca="1" t="shared" si="27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养成规划</vt:lpstr>
      <vt:lpstr>载具属性</vt:lpstr>
      <vt:lpstr>载具产出</vt:lpstr>
      <vt:lpstr>载具预期</vt:lpstr>
      <vt:lpstr>价值表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Leslie_</cp:lastModifiedBy>
  <dcterms:created xsi:type="dcterms:W3CDTF">2025-05-12T09:01:00Z</dcterms:created>
  <dcterms:modified xsi:type="dcterms:W3CDTF">2026-08-26T06:58:04Z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EBF646011E7E4FC2A55642EB9E299090_12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